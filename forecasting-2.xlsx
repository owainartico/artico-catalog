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Forecast_nano" r:id="rId1" sheetId="1" state="hidden"/>
    <sheet name="Forecast" r:id="rId2" sheetId="2"/>
    <sheet name="Booklights" r:id="rId3" sheetId="3" state="hidden"/>
    <sheet name="Booklights Forecast July31" r:id="rId4" sheetId="4" state="hidden"/>
    <sheet name="Regular Forecast" r:id="rId5" sheetId="5" state="hidden"/>
    <sheet name="Forecast_nano_REV2" r:id="rId6" sheetId="6" state="hidden"/>
    <sheet name="Forecast_nano_July8" r:id="rId7" sheetId="7" state="hidden"/>
    <sheet name="Forecast_nano_June30" r:id="rId8" sheetId="8" state="hidden"/>
    <sheet name="Forecast_nano_REV2_1" r:id="rId9" sheetId="9" state="hidden"/>
    <sheet name="Planned order" r:id="rId10" sheetId="10"/>
    <sheet name="Assumptions" r:id="rId11" sheetId="11"/>
    <sheet name="SOH" r:id="rId12" sheetId="12"/>
    <sheet name="MOQ" r:id="rId13" sheetId="13"/>
    <sheet name="PO" r:id="rId14" sheetId="14"/>
    <sheet name="inventory value" r:id="rId15" sheetId="15"/>
  </sheets>
  <definedNames>
    <definedName name="MOQ">'MOQ'!$A:$C</definedName>
    <definedName name="UNITVALUE">'inventory value'!$A:$E</definedName>
    <definedName name="FEB23SOH">'inventory value'!$B:$C</definedName>
    <definedName name="ETAMAR7">'PO'!$F$2:$G$81</definedName>
    <definedName name="AFTERCNY">'PO'!$F$82:$G$96</definedName>
  </definedNames>
  <extLst/>
</workbook>
</file>

<file path=xl/sharedStrings.xml><?xml version="1.0" encoding="utf-8"?>
<sst xmlns="http://schemas.openxmlformats.org/spreadsheetml/2006/main" count="7845" uniqueCount="7845">
  <si>
    <t>7%%</t>
  </si>
  <si>
    <t>1 YEAR</t>
  </si>
  <si>
    <t>OCT-MAR</t>
  </si>
  <si>
    <t>TOTAL</t>
  </si>
  <si>
    <t>APRIL</t>
  </si>
  <si>
    <t>MAY</t>
  </si>
  <si>
    <t>JUNE</t>
  </si>
  <si>
    <t>JULY</t>
  </si>
  <si>
    <t>AUGUST</t>
  </si>
  <si>
    <t>SEPTEMBER</t>
  </si>
  <si>
    <t>OCTOBER</t>
  </si>
  <si>
    <t>Planning Group</t>
  </si>
  <si>
    <t>Product Category</t>
  </si>
  <si>
    <t>item_name</t>
  </si>
  <si>
    <t>sku</t>
  </si>
  <si>
    <t>sales</t>
  </si>
  <si>
    <t>ACTUAL + 10%</t>
  </si>
  <si>
    <t>FCST</t>
  </si>
  <si>
    <t>SOH as of MAY 1</t>
  </si>
  <si>
    <t>PENDING PO -ETA MAY</t>
  </si>
  <si>
    <t>PENDING PO -ETA JUNE</t>
  </si>
  <si>
    <t>BALANCE</t>
  </si>
  <si>
    <t>MOQ</t>
  </si>
  <si>
    <t>ORDER</t>
  </si>
  <si>
    <t>SOH - Stock out month</t>
  </si>
  <si>
    <t>SOH</t>
  </si>
  <si>
    <t>PO</t>
  </si>
  <si>
    <t>STOCK</t>
  </si>
  <si>
    <t>1 MAIN RUNNER</t>
  </si>
  <si>
    <t>Book Light</t>
  </si>
  <si>
    <t>Amber Book Light Rechargeable - Black</t>
  </si>
  <si>
    <t>ABL001</t>
  </si>
  <si>
    <t>REFER BELOW</t>
  </si>
  <si>
    <t>Amber Book Light Rechargeable - White</t>
  </si>
  <si>
    <t>ABL009</t>
  </si>
  <si>
    <t>Animal Book Light Rechargeable - Cat (New)</t>
  </si>
  <si>
    <t>ABL018</t>
  </si>
  <si>
    <t>Animal Book Light Rechargeable - Dinosaur (New)</t>
  </si>
  <si>
    <t>ABL019</t>
  </si>
  <si>
    <t>Animal Book Light Rechargeable - Dog (New)</t>
  </si>
  <si>
    <t>ABL020</t>
  </si>
  <si>
    <t>Animal Book Light Rechargeable - Rabbit (New)</t>
  </si>
  <si>
    <t>ABL021</t>
  </si>
  <si>
    <t>Animal Book Light Rechargeable - Unicorn (New)</t>
  </si>
  <si>
    <t>ABL023</t>
  </si>
  <si>
    <t>9Z Do Not Reorder- Discontinued</t>
  </si>
  <si>
    <t>Animal Book Light CDU</t>
  </si>
  <si>
    <t>ABLCDU</t>
  </si>
  <si>
    <t>Animal Book Light Rechargeable Set Up</t>
  </si>
  <si>
    <t>ABLSP</t>
  </si>
  <si>
    <t>The Flexi Book Light Battery - Black</t>
  </si>
  <si>
    <t>FB001</t>
  </si>
  <si>
    <t>The Flexi Book Light Battery - White</t>
  </si>
  <si>
    <t>FB002</t>
  </si>
  <si>
    <t>The Flexi Book Light Battery - Blue</t>
  </si>
  <si>
    <t>FB003</t>
  </si>
  <si>
    <t>The Flexi Book Light Battery - Pink</t>
  </si>
  <si>
    <t>FB004</t>
  </si>
  <si>
    <t>Flexi Book Light Battery Set Up 24 units</t>
  </si>
  <si>
    <t>FBSP</t>
  </si>
  <si>
    <t>Nano Book Light Rechargeable - Black</t>
  </si>
  <si>
    <t>NBL01</t>
  </si>
  <si>
    <t>Nano Book Light Rechargeable - White</t>
  </si>
  <si>
    <t>NBL02</t>
  </si>
  <si>
    <t>MAY/OCTOBER</t>
  </si>
  <si>
    <t>Nano Book Light Rechargeable - Blue</t>
  </si>
  <si>
    <t>NBL03</t>
  </si>
  <si>
    <t>Nano Book Light Rechargeable - Pink</t>
  </si>
  <si>
    <t>NBL04</t>
  </si>
  <si>
    <t>The Flexi Book Light Rechargeable - Black</t>
  </si>
  <si>
    <t>RCBL001</t>
  </si>
  <si>
    <t>The Flexi Book Light Rechargeable - Pink</t>
  </si>
  <si>
    <t>RCBL002</t>
  </si>
  <si>
    <t>The Flexi Book Light Rechargeable - Blue</t>
  </si>
  <si>
    <t>RCBL003</t>
  </si>
  <si>
    <t>The Flexi Book Light Rechargeable - White</t>
  </si>
  <si>
    <t>RCBL004</t>
  </si>
  <si>
    <t>NO STOCK</t>
  </si>
  <si>
    <t>The Flexi Book Light Rechargeable Set Up</t>
  </si>
  <si>
    <t>RCBLSP</t>
  </si>
  <si>
    <t>Amber Smart Light - Black</t>
  </si>
  <si>
    <t>SL007</t>
  </si>
  <si>
    <t>Amber Smart Light - White</t>
  </si>
  <si>
    <t>SL008</t>
  </si>
  <si>
    <t>Amber Smart Light - Green</t>
  </si>
  <si>
    <t>SL009</t>
  </si>
  <si>
    <t>Amber Smart Light - Pink</t>
  </si>
  <si>
    <t>SL010</t>
  </si>
  <si>
    <t>Amber Smart Light - Blue</t>
  </si>
  <si>
    <t>SL011</t>
  </si>
  <si>
    <t>Amber Smart Light Set Up</t>
  </si>
  <si>
    <t>SPASL</t>
  </si>
  <si>
    <t>Ultra Book Light Rechargeable - Black</t>
  </si>
  <si>
    <t>UBL01</t>
  </si>
  <si>
    <t>Wrap Light Rechargeable - Black</t>
  </si>
  <si>
    <t>WL002</t>
  </si>
  <si>
    <t>Wrap Light Rechargeable - White</t>
  </si>
  <si>
    <t>WL003</t>
  </si>
  <si>
    <t>Bookmarks</t>
  </si>
  <si>
    <t>Reading Friend - Unicorn</t>
  </si>
  <si>
    <t>RF001</t>
  </si>
  <si>
    <t>Reading Friend - Llama</t>
  </si>
  <si>
    <t>RF002</t>
  </si>
  <si>
    <t>Reading Friend - Dog</t>
  </si>
  <si>
    <t>RF003</t>
  </si>
  <si>
    <t>Reading Friend - Cat</t>
  </si>
  <si>
    <t>RF004</t>
  </si>
  <si>
    <t>Reading Friend - Koala</t>
  </si>
  <si>
    <t>RF005</t>
  </si>
  <si>
    <t>Reading Friend - Kangaroo</t>
  </si>
  <si>
    <t>RF006</t>
  </si>
  <si>
    <t>Reading Friend - Bear</t>
  </si>
  <si>
    <t>RF007</t>
  </si>
  <si>
    <t>Reading Friend - Kiwi</t>
  </si>
  <si>
    <t>RF008</t>
  </si>
  <si>
    <t>Reading Friend - Wolf</t>
  </si>
  <si>
    <t>RF009</t>
  </si>
  <si>
    <t>Reading Friend - Dinosaur</t>
  </si>
  <si>
    <t>RF010</t>
  </si>
  <si>
    <t>Reading Friend - Fox</t>
  </si>
  <si>
    <t>RF011</t>
  </si>
  <si>
    <t>Reading Friend - Rabbit</t>
  </si>
  <si>
    <t>RF012</t>
  </si>
  <si>
    <t>Reading Friend - Elephant</t>
  </si>
  <si>
    <t>RF013</t>
  </si>
  <si>
    <t>Reading Friend - Horse</t>
  </si>
  <si>
    <t>RF014</t>
  </si>
  <si>
    <t>Reading Friend - Giraffe</t>
  </si>
  <si>
    <t>RF015</t>
  </si>
  <si>
    <t>Reading Friend - Flamingo</t>
  </si>
  <si>
    <t>RF016</t>
  </si>
  <si>
    <t>Reading Friend - Platypus</t>
  </si>
  <si>
    <t>RF017</t>
  </si>
  <si>
    <t>Reading Friend - Panda</t>
  </si>
  <si>
    <t>RF020</t>
  </si>
  <si>
    <t>Reading Friend - Ginger Cat</t>
  </si>
  <si>
    <t>RF021</t>
  </si>
  <si>
    <t>Reading Friend - Crocodile</t>
  </si>
  <si>
    <t>RF022</t>
  </si>
  <si>
    <t>Reading Friend - Labrador</t>
  </si>
  <si>
    <t>RF023</t>
  </si>
  <si>
    <t>Reading Friend - Pink Unicorn</t>
  </si>
  <si>
    <t>RF024</t>
  </si>
  <si>
    <t>Reading Friends Set Up 36 units</t>
  </si>
  <si>
    <t>SPRF</t>
  </si>
  <si>
    <t>Reading Friends NZ Set Up 36 units</t>
  </si>
  <si>
    <t>SPRFNZ</t>
  </si>
  <si>
    <t>WHITCOULLS ONLY</t>
  </si>
  <si>
    <t>SOH as of April 1</t>
  </si>
  <si>
    <t>MAY/JUNE</t>
  </si>
  <si>
    <t>2 China Standard</t>
  </si>
  <si>
    <t>Games</t>
  </si>
  <si>
    <t>Harlequin Games Dice Cup Dice &amp; Playing Cards</t>
  </si>
  <si>
    <t>HQ001</t>
  </si>
  <si>
    <t>Harlequin Games Bocce</t>
  </si>
  <si>
    <t>HQ008</t>
  </si>
  <si>
    <t>Harlequin Games Poker Set</t>
  </si>
  <si>
    <t>HQ011</t>
  </si>
  <si>
    <t>Harlequin Games Table Tennis Set</t>
  </si>
  <si>
    <t>HQ013</t>
  </si>
  <si>
    <t>Harlequin Games Diabolo</t>
  </si>
  <si>
    <t>HQ019</t>
  </si>
  <si>
    <t>Harlequin Games Lawn Darts</t>
  </si>
  <si>
    <t>HQ024</t>
  </si>
  <si>
    <t>Harlequin Games Deluxe Bingo</t>
  </si>
  <si>
    <t>HQ026</t>
  </si>
  <si>
    <t>Mens Gifts</t>
  </si>
  <si>
    <t>Krafftman - Poker Set</t>
  </si>
  <si>
    <t>MT08</t>
  </si>
  <si>
    <t>4 FYTM - From You To Me</t>
  </si>
  <si>
    <t>Gift Journals</t>
  </si>
  <si>
    <t>DEAR DAD - FYTM CONTEMPORAY</t>
  </si>
  <si>
    <t>DDC</t>
  </si>
  <si>
    <t>DEAR GRANDAD FYTM CONTEMPORAY</t>
  </si>
  <si>
    <t>DGDC</t>
  </si>
  <si>
    <t>DEAR GRANDMA FYTM CONTEMPORAY</t>
  </si>
  <si>
    <t>DGMC</t>
  </si>
  <si>
    <t>DEAR MUM - FYTM CONTEMPORARY</t>
  </si>
  <si>
    <t>DMC</t>
  </si>
  <si>
    <t>Monthly Calendar based on Main Runners Actual</t>
  </si>
  <si>
    <t>MAR - AUG</t>
  </si>
  <si>
    <t>FEB</t>
  </si>
  <si>
    <t>MARCH</t>
  </si>
  <si>
    <t>SOH as of FEB 23</t>
  </si>
  <si>
    <t>Value per Unit</t>
  </si>
  <si>
    <t>Stock Value</t>
  </si>
  <si>
    <t>PENDING PO -ETA MAR</t>
  </si>
  <si>
    <t>PENDING PO - TBA</t>
  </si>
  <si>
    <t>Stockout month</t>
  </si>
  <si>
    <t>DC</t>
  </si>
  <si>
    <t>Flexi Book Light Rechargeable Set Up</t>
  </si>
  <si>
    <t>FBLRSP</t>
  </si>
  <si>
    <t>The Flexi Book Light Rechargeable New - Black</t>
  </si>
  <si>
    <t>FBL01</t>
  </si>
  <si>
    <t>The Flexi Book Light Rechargeable New - Pink</t>
  </si>
  <si>
    <t>FBL02</t>
  </si>
  <si>
    <t>The Flexi Book Light Rechargeable New - Blue</t>
  </si>
  <si>
    <t>FBL03</t>
  </si>
  <si>
    <t>The Flexi Book Light Rechargeable New - White</t>
  </si>
  <si>
    <t>FBL04</t>
  </si>
  <si>
    <t>Flexi and Traveller Book Light Rechargeable Set Up</t>
  </si>
  <si>
    <t>FBTBLRSP</t>
  </si>
  <si>
    <t>Traveller Book Light Rechargeable Set Up</t>
  </si>
  <si>
    <t>TBLRSP</t>
  </si>
  <si>
    <t>Traveller Book Light Rechargeable - Black</t>
  </si>
  <si>
    <t>TBL01</t>
  </si>
  <si>
    <t>Traveller Book Light Rechargeable - White</t>
  </si>
  <si>
    <t>TBL02</t>
  </si>
  <si>
    <t>Nano Light Set Up</t>
  </si>
  <si>
    <t>SPNL</t>
  </si>
  <si>
    <t>WHITCOULLS</t>
  </si>
  <si>
    <t>DEC</t>
  </si>
  <si>
    <t>DECEMBER</t>
  </si>
  <si>
    <t>SOH as of FE 23</t>
  </si>
  <si>
    <t>4 FYTM  - From You To Me</t>
  </si>
  <si>
    <t>YEAR 1</t>
  </si>
  <si>
    <t>YEAR 2</t>
  </si>
  <si>
    <t>YEAR 3</t>
  </si>
  <si>
    <t>Flexi Book Light Rechargeable Set Up (PCS)</t>
  </si>
  <si>
    <t>Flexi and Traveller Book Light Rechargeable Set Up (PCS)</t>
  </si>
  <si>
    <t>Traveller Book Light Rechargeable Set Up (PCS)</t>
  </si>
  <si>
    <t>Nano Light Set Up (PCS)</t>
  </si>
  <si>
    <t>50% nano</t>
  </si>
  <si>
    <t>25% nano</t>
  </si>
  <si>
    <t>50% new flexi</t>
  </si>
  <si>
    <t>75% new flexi</t>
  </si>
  <si>
    <t>FEB - JULY</t>
  </si>
  <si>
    <t>NOVEMBER</t>
  </si>
  <si>
    <t>SOH as of 
JULY 31</t>
  </si>
  <si>
    <t>PENDING PO -ETA AUGUST</t>
  </si>
  <si>
    <t>PENDING PO -ETA SEPTEMBER</t>
  </si>
  <si>
    <t>PENDING PO -ETA OCT</t>
  </si>
  <si>
    <t>JAN - JUN</t>
  </si>
  <si>
    <t>SOH as of JUNE 30</t>
  </si>
  <si>
    <t>PENDING PO -ETA JULY</t>
  </si>
  <si>
    <t>PENDING PO -ETA TBA</t>
  </si>
  <si>
    <t>Stock out month</t>
  </si>
  <si>
    <t>STOCK OUT MONTH</t>
  </si>
  <si>
    <t>all nano</t>
  </si>
  <si>
    <t>SOH as of JUNE 24</t>
  </si>
  <si>
    <t>PENDING PO -ETAJULY</t>
  </si>
  <si>
    <t>MAY/DECEMBER</t>
  </si>
  <si>
    <t xml:space="preserve"> FBL01</t>
  </si>
  <si>
    <t xml:space="preserve"> FBL02</t>
  </si>
  <si>
    <t xml:space="preserve"> FBL03</t>
  </si>
  <si>
    <t xml:space="preserve"> FBL04</t>
  </si>
  <si>
    <t>DISCONTINUED AND FOR DC</t>
  </si>
  <si>
    <t>JAN -JUN</t>
  </si>
  <si>
    <t>NO STOCK/SEPTEMBER</t>
  </si>
  <si>
    <t>NO STOCK/OCTOBER</t>
  </si>
  <si>
    <t>NO STOCK/NOVEMBER</t>
  </si>
  <si>
    <t>NO STOCK/DEC</t>
  </si>
  <si>
    <t>JULY/NOVEMBER</t>
  </si>
  <si>
    <t>JULY/AUGUST</t>
  </si>
  <si>
    <t>Nano Blue 240</t>
  </si>
  <si>
    <t>Nano Black 200</t>
  </si>
  <si>
    <t>Flexi new Black 400</t>
  </si>
  <si>
    <t>Flexi New Blue 250</t>
  </si>
  <si>
    <t>NO STOCK/</t>
  </si>
  <si>
    <t>NO STOCK/DECEMBER</t>
  </si>
  <si>
    <t>SOH as of MAY 13</t>
  </si>
  <si>
    <t>ITEM NAME</t>
  </si>
  <si>
    <t>SKU</t>
  </si>
  <si>
    <t>FORECAST</t>
  </si>
  <si>
    <t>SOH  as of 
FEB 23</t>
  </si>
  <si>
    <t xml:space="preserve"> Value per Unit </t>
  </si>
  <si>
    <t>Stockout Month of current SOH</t>
  </si>
  <si>
    <t>Stockout Month after PO</t>
  </si>
  <si>
    <t>BALANCE UNTIL AUGUST</t>
  </si>
  <si>
    <t xml:space="preserve">QTY TO ORDER </t>
  </si>
  <si>
    <t>REMARKS</t>
  </si>
  <si>
    <t>PO VALUE</t>
  </si>
  <si>
    <t>order next time</t>
  </si>
  <si>
    <t>DC?</t>
  </si>
  <si>
    <t>ALL MEN STUFF</t>
  </si>
  <si>
    <t>Bvooklight Assumptions 7 May 2025</t>
  </si>
  <si>
    <t>Until 31 July</t>
  </si>
  <si>
    <t>Aug</t>
  </si>
  <si>
    <t>Sep</t>
  </si>
  <si>
    <t>Oct</t>
  </si>
  <si>
    <t>Nov</t>
  </si>
  <si>
    <t>Dec</t>
  </si>
  <si>
    <t>When stock runs out assume all customers order Nano Black in stead</t>
  </si>
  <si>
    <t>50 Pct Nano 50 Pct New Flexis</t>
  </si>
  <si>
    <t>25 Pct Nano 75 Pct New Flexis</t>
  </si>
  <si>
    <t>When stock runs out assume all customers order Nano White in stead</t>
  </si>
  <si>
    <t>When stock runs out assume all customers order Nano Pink in stead</t>
  </si>
  <si>
    <t>When stock runs out assume all customers order Nano Blue in stead</t>
  </si>
  <si>
    <t>OTHER ASSUMPTIONS</t>
  </si>
  <si>
    <t>Standard Monthly Calendar Percentage - in Top Row (updated % upto 2025 sales)</t>
  </si>
  <si>
    <t>Used the sales data from Feb to July and May to October for new and DC items</t>
  </si>
  <si>
    <t>Calendarization is 49.9% and 46.09% Pct of Year (plus 10% for expected growth, etc.) for non-Whitcoulls items</t>
  </si>
  <si>
    <t>Calendarization is 55.44% and 54.56% Pct of Year (plus 10% for expected growth, etc.) for Whitcoulls items</t>
  </si>
  <si>
    <t>Covering Christmas season sales</t>
  </si>
  <si>
    <t xml:space="preserve">For the discontinued Amber, Flexi Battery, and Flexi booklights, I only put forecast up to the month of December. </t>
  </si>
  <si>
    <t>Considering the demand will be zero or ewuivalent to the lat stocks since we have the new booklights as alternatives.</t>
  </si>
  <si>
    <t>For Whitcoulls orders, I copied sales from Feb to July, added 10%.</t>
  </si>
  <si>
    <t xml:space="preserve"> You can see order patterns by them. </t>
  </si>
  <si>
    <t>All Set up in pieces are added to individual items already</t>
  </si>
  <si>
    <t>Items included in set up are highlighted in various colors</t>
  </si>
  <si>
    <t>Column BI to CH is Stock distribution</t>
  </si>
  <si>
    <t>Here we can see when the stockout months</t>
  </si>
  <si>
    <t xml:space="preserve">Column BG - Planned Order </t>
  </si>
  <si>
    <t>Order quantity considering balances and MOQ</t>
  </si>
  <si>
    <t>Discontinued Items highlighted in Red</t>
  </si>
  <si>
    <t>Used unit value as of Feb 2 Inventory Valuation</t>
  </si>
  <si>
    <t>SOH FEB 23</t>
  </si>
  <si>
    <t>Status</t>
  </si>
  <si>
    <t>unit</t>
  </si>
  <si>
    <t>1 Compact Lenses Chilli</t>
  </si>
  <si>
    <t>inactive</t>
  </si>
  <si>
    <t>pcs</t>
  </si>
  <si>
    <t>1 Compact Lenses Jet</t>
  </si>
  <si>
    <t>1 Compact Lenses Olive</t>
  </si>
  <si>
    <t>1 Compact Lenses Orchid</t>
  </si>
  <si>
    <t>1 Compact Lenses Storm</t>
  </si>
  <si>
    <t>1 Compact Lenses Twilight</t>
  </si>
  <si>
    <t>1.5 Compact Lenses Chilli</t>
  </si>
  <si>
    <t>1.5 Compact Lenses Olive</t>
  </si>
  <si>
    <t>1.5 Compact Lenses Orchid</t>
  </si>
  <si>
    <t>1.5 Compact Lenses Storm</t>
  </si>
  <si>
    <t>1.5 Compact Lenses Twilight</t>
  </si>
  <si>
    <t>RFS11363</t>
  </si>
  <si>
    <t>100 PIECE CUBE JIGSAW PUZZLE - EARTH</t>
  </si>
  <si>
    <t>RFS11364</t>
  </si>
  <si>
    <t>100 PIECE CUBE JIGSAW PUZZLE - SOLAR SYSTEM PLANET</t>
  </si>
  <si>
    <t>RFS11356</t>
  </si>
  <si>
    <t>100 PIECE CUBE JIGSAW PUZZLE - VINTAGE MAP</t>
  </si>
  <si>
    <t>PZT005</t>
  </si>
  <si>
    <t>1000 Puzzle Cinque Terre</t>
  </si>
  <si>
    <t>active</t>
  </si>
  <si>
    <t>PZT002</t>
  </si>
  <si>
    <t>1000 Puzzle Florence</t>
  </si>
  <si>
    <t>PZT004</t>
  </si>
  <si>
    <t>1000 Puzzle Roman Forum</t>
  </si>
  <si>
    <t>PZT003</t>
  </si>
  <si>
    <t>1000 Puzzle St Peter's</t>
  </si>
  <si>
    <t>PZT006</t>
  </si>
  <si>
    <t>1000 Puzzle Umbria</t>
  </si>
  <si>
    <t>PZT001</t>
  </si>
  <si>
    <t>1000 Puzzle Venice</t>
  </si>
  <si>
    <t>SM007</t>
  </si>
  <si>
    <t>101 Books Scratch Poster</t>
  </si>
  <si>
    <t>SM006</t>
  </si>
  <si>
    <t>101 Movies Scratch Poster</t>
  </si>
  <si>
    <t>DICD12</t>
  </si>
  <si>
    <t>12 HOOK MAGNET OR KEYRING DISPLAY</t>
  </si>
  <si>
    <t>RFS10493</t>
  </si>
  <si>
    <t>12 PENCILS IN CYLINDRICAL TIN/SHARPENER</t>
  </si>
  <si>
    <t>RFS11642</t>
  </si>
  <si>
    <t>125 PIECE MAGIC TRICK SET</t>
  </si>
  <si>
    <t>RFS11652</t>
  </si>
  <si>
    <t>2 CASTANETS IN A PRINTED BOX - HARLEQUIN</t>
  </si>
  <si>
    <t>2 Compact Lenses Chilli</t>
  </si>
  <si>
    <t>2 Compact Lenses Jet</t>
  </si>
  <si>
    <t>2 Compact Lenses Olive</t>
  </si>
  <si>
    <t>2 Compact Lenses Orchid</t>
  </si>
  <si>
    <t>2 Compact Lenses Storm</t>
  </si>
  <si>
    <t>2 Compact Lenses Twilight</t>
  </si>
  <si>
    <t>RFS11413</t>
  </si>
  <si>
    <t>2 DRAWER BABY KEEPSAKE BOX - PETER RABBIT ADVENTURES</t>
  </si>
  <si>
    <t>RFS11795</t>
  </si>
  <si>
    <t>2 TONE BLOCK IN A PRINTED BOX - HARLEQUIN</t>
  </si>
  <si>
    <t>RFS11651</t>
  </si>
  <si>
    <t>2 X 6" MARCHING CYMBALS IN A PRINTED BOX - HARLEQUIN</t>
  </si>
  <si>
    <t>PENREF1</t>
  </si>
  <si>
    <t>2-pack Pen Refill Black</t>
  </si>
  <si>
    <t>PENREF2</t>
  </si>
  <si>
    <t>2-pack Pen Refill Blue</t>
  </si>
  <si>
    <t>2.5 Compact Lenses Chilli</t>
  </si>
  <si>
    <t>2.5 Compact Lenses Jet</t>
  </si>
  <si>
    <t>2.5 Compact Lenses Olive</t>
  </si>
  <si>
    <t>2.5 Compact Lenses Orchid</t>
  </si>
  <si>
    <t>2.5 Compact Lenses Storm</t>
  </si>
  <si>
    <t>2.5 Compact Lenses Twilight</t>
  </si>
  <si>
    <t>EIED02</t>
  </si>
  <si>
    <t>2018 A6 DIARIES WITH ELASTIC IN CDU - CLAIRE COXON ART DECO</t>
  </si>
  <si>
    <t>EICLD01-4</t>
  </si>
  <si>
    <t>2018 ILLUSTRATED DIARIES IN CDU - GREEN FLORAL, BUTTERFLIES, OWL, BLUE FLORAL</t>
  </si>
  <si>
    <t>EIJD01</t>
  </si>
  <si>
    <t>2018 JOURNAL DIARIES IN CDU - BEATRIX POTTER ADVENTURES</t>
  </si>
  <si>
    <t>EIJD02</t>
  </si>
  <si>
    <t>2018 JOURNAL DIARIES IN CDU - CLAIRE COXON ART DECO</t>
  </si>
  <si>
    <t>EIJD06</t>
  </si>
  <si>
    <t>2018 JOURNAL DIARIES IN CDU - MARZIPAN</t>
  </si>
  <si>
    <t>EIJD07</t>
  </si>
  <si>
    <t>2018 JOURNAL DIARIES IN CDU - PIZAZZ</t>
  </si>
  <si>
    <t>EIMD01</t>
  </si>
  <si>
    <t>2018 MINI MAGNETIC DIARIES IN CDU - BEATRIX POTTER ADVENTURES</t>
  </si>
  <si>
    <t>EIMD02</t>
  </si>
  <si>
    <t>2018 MINI MAGNETIC DIARIES IN CDU - CLAIRE COXON ART DECO</t>
  </si>
  <si>
    <t>EIMD04</t>
  </si>
  <si>
    <t>2018 MINI MAGNETIC DIARIES IN CDU - KIMBERLIN DOGS</t>
  </si>
  <si>
    <t>EIMD05</t>
  </si>
  <si>
    <t>2018 MINI MAGNETIC DIARIES IN CDU - KIMBERLIN KITTENS</t>
  </si>
  <si>
    <t>EIMD06</t>
  </si>
  <si>
    <t>2018 MINI MAGNETIC DIARIES IN CDU - MARZIPAN</t>
  </si>
  <si>
    <t>EIMD07</t>
  </si>
  <si>
    <t>2018 MINI MAGNETIC DIARIES IN CDU - PIZZAZ</t>
  </si>
  <si>
    <t>EIOD01</t>
  </si>
  <si>
    <t>2018 ORGANISER DIARY - CLAIRE COXON ART DECO</t>
  </si>
  <si>
    <t>EIPYP01</t>
  </si>
  <si>
    <t>2018 PADDED YEAR PLANNER - CLAIRE COXON ART DECO</t>
  </si>
  <si>
    <t>EIPYP03</t>
  </si>
  <si>
    <t>2018 PADDED YEAR PLANNER - PIZAZZ</t>
  </si>
  <si>
    <t>EISD01</t>
  </si>
  <si>
    <t>2018 SLIM CASED DIARIES IN CDU - BEATRIX POTTER ADVENTURES</t>
  </si>
  <si>
    <t>EISD02</t>
  </si>
  <si>
    <t>2018 SLIM CASED DIARIES IN CDU - CLAIRE COXON ART DECO</t>
  </si>
  <si>
    <t>EISD04</t>
  </si>
  <si>
    <t>2018 SLIM CASED DIARIES IN CDU - KIMBERLIN DOGS</t>
  </si>
  <si>
    <t>EISD05</t>
  </si>
  <si>
    <t>2018 SLIM CASED DIARIES IN CDU - KIMBERLIN KITTENS</t>
  </si>
  <si>
    <t>EISD06</t>
  </si>
  <si>
    <t>2018 SLIM CASED DIARIES IN CDU - MARZIPAN</t>
  </si>
  <si>
    <t>EISD07</t>
  </si>
  <si>
    <t>2018 SLIM CASED DIARIES IN CDU - PIZAZZ</t>
  </si>
  <si>
    <t>3DAG012</t>
  </si>
  <si>
    <t>3D AG Brush Tailed Possum</t>
  </si>
  <si>
    <t>3DAG007</t>
  </si>
  <si>
    <t>3D AG Butterfly</t>
  </si>
  <si>
    <t>3DAG010</t>
  </si>
  <si>
    <t>3D AG Clown Fish</t>
  </si>
  <si>
    <t>3DAG002</t>
  </si>
  <si>
    <t>3D AG Common Wombat in Snow</t>
  </si>
  <si>
    <t>3DAG014</t>
  </si>
  <si>
    <t>3D AG Kangaroo</t>
  </si>
  <si>
    <t>3DAG013</t>
  </si>
  <si>
    <t>3D AG Koala</t>
  </si>
  <si>
    <t>3DAG004</t>
  </si>
  <si>
    <t>3D AG Mainland Masked Owl</t>
  </si>
  <si>
    <t>3DAG001</t>
  </si>
  <si>
    <t>3D AG Milky Way Pilbara Tent</t>
  </si>
  <si>
    <t>3DAG008</t>
  </si>
  <si>
    <t>3D AG Rainbow Lorikeet</t>
  </si>
  <si>
    <t>3DAG005</t>
  </si>
  <si>
    <t>3D AG Saltwater Crocodile</t>
  </si>
  <si>
    <t>3DAG003</t>
  </si>
  <si>
    <t>3D AG Waterfall Pilbara</t>
  </si>
  <si>
    <t>3DAG006</t>
  </si>
  <si>
    <t>3D AG Yellow-Top Daisy</t>
  </si>
  <si>
    <t>SP301</t>
  </si>
  <si>
    <t>3D Animal Bookmarks Set Up 72 Units</t>
  </si>
  <si>
    <t>3DAGSP</t>
  </si>
  <si>
    <t>3D Australian Geographic Bookmark Set Up</t>
  </si>
  <si>
    <t>3D026</t>
  </si>
  <si>
    <t>3D Bkmk - Artic Wolf</t>
  </si>
  <si>
    <t>3D008</t>
  </si>
  <si>
    <t>3D Bkmk - Balloons</t>
  </si>
  <si>
    <t>3D003</t>
  </si>
  <si>
    <t>3D Bkmk - Be. Here. Now</t>
  </si>
  <si>
    <t>3D018</t>
  </si>
  <si>
    <t>3D Bkmk - Beagle</t>
  </si>
  <si>
    <t>3D014</t>
  </si>
  <si>
    <t>3D Bkmk - Black Lab</t>
  </si>
  <si>
    <t>3D035</t>
  </si>
  <si>
    <t>3D Bkmk - Brown Mare</t>
  </si>
  <si>
    <t>3D005</t>
  </si>
  <si>
    <t>3D Bkmk - Chimpanzee</t>
  </si>
  <si>
    <t>3D023</t>
  </si>
  <si>
    <t>3D Bkmk - Cocker Spaniel</t>
  </si>
  <si>
    <t>3D030</t>
  </si>
  <si>
    <t>3D Bkmk - Diplodocus</t>
  </si>
  <si>
    <t>3D032</t>
  </si>
  <si>
    <t>3D Bkmk - Dolphin</t>
  </si>
  <si>
    <t>3D002</t>
  </si>
  <si>
    <t>3D Bkmk - Dream with out fear</t>
  </si>
  <si>
    <t>3D028</t>
  </si>
  <si>
    <t>3D Bkmk - Elephant</t>
  </si>
  <si>
    <t>3D009</t>
  </si>
  <si>
    <t>3D Bkmk - English Bulldog Puppy</t>
  </si>
  <si>
    <t>3D025</t>
  </si>
  <si>
    <t>3D Bkmk - Foxes</t>
  </si>
  <si>
    <t>3D010</t>
  </si>
  <si>
    <t>3D Bkmk - French Bulldog Puppy</t>
  </si>
  <si>
    <t>3D034</t>
  </si>
  <si>
    <t>3D Bkmk - Ginger Cat</t>
  </si>
  <si>
    <t>3D013</t>
  </si>
  <si>
    <t>3D Bkmk - Giraffe</t>
  </si>
  <si>
    <t>3D019</t>
  </si>
  <si>
    <t>3D Bkmk - Grey Kitten</t>
  </si>
  <si>
    <t>3D001</t>
  </si>
  <si>
    <t>3D Bkmk - I love you to the moon and back</t>
  </si>
  <si>
    <t>3D016</t>
  </si>
  <si>
    <t>3D Bkmk - Kangaroo</t>
  </si>
  <si>
    <t>3D011</t>
  </si>
  <si>
    <t>3D Bkmk - Kitten and Puppies</t>
  </si>
  <si>
    <t>3D012</t>
  </si>
  <si>
    <t>3D Bkmk - Kitten sleeping</t>
  </si>
  <si>
    <t>3D039</t>
  </si>
  <si>
    <t>3D Bkmk - Kittens</t>
  </si>
  <si>
    <t>3D022</t>
  </si>
  <si>
    <t>3D Bkmk - Koala</t>
  </si>
  <si>
    <t>3D020</t>
  </si>
  <si>
    <t>3D Bkmk - Leopard</t>
  </si>
  <si>
    <t>3D037</t>
  </si>
  <si>
    <t>3D Bkmk - Lion</t>
  </si>
  <si>
    <t>3D007</t>
  </si>
  <si>
    <t>3D Bkmk - Live. Love. Sparkle</t>
  </si>
  <si>
    <t>3D021</t>
  </si>
  <si>
    <t>3D Bkmk - Lorikeet</t>
  </si>
  <si>
    <t>3D024</t>
  </si>
  <si>
    <t>3D Bkmk - Meerkat</t>
  </si>
  <si>
    <t>3D015</t>
  </si>
  <si>
    <t>3D Bkmk - Owl</t>
  </si>
  <si>
    <t>3D027</t>
  </si>
  <si>
    <t>3D Bkmk - Panda</t>
  </si>
  <si>
    <t>3D038</t>
  </si>
  <si>
    <t>3D Bkmk - Pug</t>
  </si>
  <si>
    <t>3D004</t>
  </si>
  <si>
    <t>3D Bkmk - Smile and the world smiles back</t>
  </si>
  <si>
    <t>3D006</t>
  </si>
  <si>
    <t>3D Bkmk - Solar System</t>
  </si>
  <si>
    <t>3D017</t>
  </si>
  <si>
    <t>3D Bkmk - Squirrel</t>
  </si>
  <si>
    <t>3D031</t>
  </si>
  <si>
    <t>3D Bkmk - T-Rex</t>
  </si>
  <si>
    <t>3D029</t>
  </si>
  <si>
    <t>3D Bkmk - Tiger</t>
  </si>
  <si>
    <t>3D036</t>
  </si>
  <si>
    <t>3D Bkmk - Tree Frog</t>
  </si>
  <si>
    <t>3D033</t>
  </si>
  <si>
    <t>3D Bkmk - White Stallion</t>
  </si>
  <si>
    <t>RFS11648</t>
  </si>
  <si>
    <t>4" MONKEY BLUE DRUM - HARLEQUIN</t>
  </si>
  <si>
    <t>5 Candle Goblet Stand - Smoked Glass 53x15cm</t>
  </si>
  <si>
    <t>5 Candle Holder - Smoked Glass 33x10cm</t>
  </si>
  <si>
    <t>5 Candle Stand - Circle, Smoked Glass 30cm</t>
  </si>
  <si>
    <t>RFS11368</t>
  </si>
  <si>
    <t>5 ROUND STORAGE BOX SETS - BEATRIX POTTER</t>
  </si>
  <si>
    <t>SM010</t>
  </si>
  <si>
    <t>50 TV Box Sets Scratch Poster</t>
  </si>
  <si>
    <t>RFS11177</t>
  </si>
  <si>
    <t>87 PIECE ART SET - PETER RABBIT ADVENTURES</t>
  </si>
  <si>
    <t>P5705</t>
  </si>
  <si>
    <t>A PRESENT FOR MY AUNT</t>
  </si>
  <si>
    <t>P5702</t>
  </si>
  <si>
    <t>A PRESENT FOR MY DAD</t>
  </si>
  <si>
    <t>P5701</t>
  </si>
  <si>
    <t>A PRESENT FOR MY GRANDMA</t>
  </si>
  <si>
    <t>P5700</t>
  </si>
  <si>
    <t>A PRESENT FOR MY GRANDPA</t>
  </si>
  <si>
    <t>P5703</t>
  </si>
  <si>
    <t>A PRESENT FOR MY MUM</t>
  </si>
  <si>
    <t>P5707</t>
  </si>
  <si>
    <t>A PRESENT FOR MY TEACHER FEMALE</t>
  </si>
  <si>
    <t>P5706</t>
  </si>
  <si>
    <t>A PRESENT FOR MY TEACHER MALE</t>
  </si>
  <si>
    <t>P5704</t>
  </si>
  <si>
    <t>A PRESENT FOR MY UNCLE</t>
  </si>
  <si>
    <t>T4A</t>
  </si>
  <si>
    <t>A Tale for a Sleepy Bunny</t>
  </si>
  <si>
    <t>Pieces</t>
  </si>
  <si>
    <t>RFS11210</t>
  </si>
  <si>
    <t>A4 WEEKLY PLANNER - PETER RABBIT ADVENTURES</t>
  </si>
  <si>
    <t>SPFJB</t>
  </si>
  <si>
    <t>A5 BLANK FABRIC JOURNALS STARTER PACK 8 pcs</t>
  </si>
  <si>
    <t>JSU</t>
  </si>
  <si>
    <t>A5 Fabric Journal</t>
  </si>
  <si>
    <t>SPFJCL</t>
  </si>
  <si>
    <t>A5 FABRIC JOURNAL SET UP - CHAPTER &amp; LIGHT</t>
  </si>
  <si>
    <t>SPFJ</t>
  </si>
  <si>
    <t>A5 FABRIC JOURNALS STARTER PACK</t>
  </si>
  <si>
    <t>CDUA5FJ</t>
  </si>
  <si>
    <t>A5 FABRIC JOURNALS WDU</t>
  </si>
  <si>
    <t>Each</t>
  </si>
  <si>
    <t>GR900077</t>
  </si>
  <si>
    <t>A5 JOURNAL - FIRST CLASS NOTEBOOK</t>
  </si>
  <si>
    <t>A57079</t>
  </si>
  <si>
    <t>A5 JOURNAL - I HATE TO WASTE SICK DAYS</t>
  </si>
  <si>
    <t>GR900075</t>
  </si>
  <si>
    <t>A5 JOURNAL - MULTICOLOUR STAMP</t>
  </si>
  <si>
    <t>GR900076</t>
  </si>
  <si>
    <t>A5 JOURNAL - RED AND BLUE STAMPS</t>
  </si>
  <si>
    <t>NBA5PC02</t>
  </si>
  <si>
    <t>A5 Notebook - Planet Cat (Life Is Simple)</t>
  </si>
  <si>
    <t>NBA5WM02</t>
  </si>
  <si>
    <t>A5 Notebook- William Morris (Willow Grey)</t>
  </si>
  <si>
    <t>A5RFNDLBLACK</t>
  </si>
  <si>
    <t>A5 Notes &amp; Doodles Black</t>
  </si>
  <si>
    <t>A5RFNDLGREEN</t>
  </si>
  <si>
    <t>A5 Notes &amp; Doodles Green</t>
  </si>
  <si>
    <t>A5RFNDLPINK</t>
  </si>
  <si>
    <t>A5 Notes &amp; Doodles Pink</t>
  </si>
  <si>
    <t>A5RFNDLPURPLE</t>
  </si>
  <si>
    <t>A5 Notes &amp; Doodles Purple</t>
  </si>
  <si>
    <t>A5RFNDLYELLOW</t>
  </si>
  <si>
    <t>A5 Notes &amp; Doodles Yellow</t>
  </si>
  <si>
    <t>A5RFLBLACK</t>
  </si>
  <si>
    <t>A5 Really Useful Journal Black</t>
  </si>
  <si>
    <t>A5RFLGREEN</t>
  </si>
  <si>
    <t>A5 Really Useful Journal Green</t>
  </si>
  <si>
    <t>A5RFLORANGE</t>
  </si>
  <si>
    <t>A5 Really Useful Journal Orange</t>
  </si>
  <si>
    <t>A5RFLPINK</t>
  </si>
  <si>
    <t>A5 Really Useful Journal Pink</t>
  </si>
  <si>
    <t>A5RFLPURPLE</t>
  </si>
  <si>
    <t>A5 Really Useful Journal Purple</t>
  </si>
  <si>
    <t>A5RFLRED</t>
  </si>
  <si>
    <t>A5 Really Useful Journal Red</t>
  </si>
  <si>
    <t>A5RFLYELLOW</t>
  </si>
  <si>
    <t>A5 Really Useful Journal Yellow</t>
  </si>
  <si>
    <t>SPA6FJ</t>
  </si>
  <si>
    <t>A6 FABRIC JOURNALS STARTER PACK</t>
  </si>
  <si>
    <t>CDUA6FJ</t>
  </si>
  <si>
    <t>A6 FABRIC JOURNALS WDU</t>
  </si>
  <si>
    <t>34A614</t>
  </si>
  <si>
    <t>A6 JOURNAL - CORONATION</t>
  </si>
  <si>
    <t>34A613</t>
  </si>
  <si>
    <t>A6 JOURNAL - ENO FAIRY</t>
  </si>
  <si>
    <t>GR900081</t>
  </si>
  <si>
    <t>A6 JOURNAL - FIRST CLASS NOTEBOOK</t>
  </si>
  <si>
    <t>AAAAA</t>
  </si>
  <si>
    <t>A6 JOURNAL - IT'S BETTER TO HAVE</t>
  </si>
  <si>
    <t>GR900082</t>
  </si>
  <si>
    <t>A6 JOURNAL - LITTLE BLACK BOOK</t>
  </si>
  <si>
    <t>GR900079</t>
  </si>
  <si>
    <t>A6 JOURNAL - MULTI COLOUR STAMP</t>
  </si>
  <si>
    <t>34A608</t>
  </si>
  <si>
    <t>A6 JOURNAL - NERVOUS PILLS</t>
  </si>
  <si>
    <t>GR900080</t>
  </si>
  <si>
    <t>A6 JOURNAL - RED AND BLUE STAMP</t>
  </si>
  <si>
    <t>34A602</t>
  </si>
  <si>
    <t>A6 JOURNAL - SEW &amp; SAVE</t>
  </si>
  <si>
    <t>A636062</t>
  </si>
  <si>
    <t>A6 JOURNAL - SO BLOODY BLONDE (NEW)</t>
  </si>
  <si>
    <t>34A609</t>
  </si>
  <si>
    <t>A6 JOURNAL - WE RECOMMEND CADBURYS</t>
  </si>
  <si>
    <t>donotORDER026</t>
  </si>
  <si>
    <t>A6 JOURNAL - YOU'RE ONLY NAUGHTY</t>
  </si>
  <si>
    <t>NBA6RHS02</t>
  </si>
  <si>
    <t>A6 Notebook (pen) - RHS (Geo Coral)</t>
  </si>
  <si>
    <t>NBA6RHS01</t>
  </si>
  <si>
    <t>A6 Notebook (pen) - RHS (Geo Navy)</t>
  </si>
  <si>
    <t>NBA6WM02</t>
  </si>
  <si>
    <t>A6 Notebook (pen) - William Morris (Willow Ochre)</t>
  </si>
  <si>
    <t>NBA6CR04</t>
  </si>
  <si>
    <t>A6 Notebook - MTTBWY (Dreams Do Come True)</t>
  </si>
  <si>
    <t>NBA6CR02</t>
  </si>
  <si>
    <t>A6 Notebook - MTTBWY (Following the Rules)</t>
  </si>
  <si>
    <t>NBA6CR03</t>
  </si>
  <si>
    <t>A6 Notebook - MTTBWY (Plan B)</t>
  </si>
  <si>
    <t>NBSTRHS01</t>
  </si>
  <si>
    <t>A6 Notebook Set 3 (Softback) - RHS (Irises &amp; Hellebores).</t>
  </si>
  <si>
    <t>A6RFNDSBLACK</t>
  </si>
  <si>
    <t>A6 Notes &amp; Doodles Black</t>
  </si>
  <si>
    <t>A6RFNDSGREEN</t>
  </si>
  <si>
    <t>A6 Notes &amp; Doodles Green</t>
  </si>
  <si>
    <t>A6RFNDSORANGE</t>
  </si>
  <si>
    <t>A6 Notes &amp; Doodles Orange</t>
  </si>
  <si>
    <t>A6RFNDSPINK</t>
  </si>
  <si>
    <t>A6 Notes &amp; Doodles Pink</t>
  </si>
  <si>
    <t>A6RFNDSPURPLE</t>
  </si>
  <si>
    <t>A6 Notes &amp; Doodles Purple</t>
  </si>
  <si>
    <t>A6RFNDSRED</t>
  </si>
  <si>
    <t>A6 Notes &amp; Doodles Red</t>
  </si>
  <si>
    <t>A6RFNDSYELLOW</t>
  </si>
  <si>
    <t>A6 Notes &amp; Doodles Yellow</t>
  </si>
  <si>
    <t>A6RFSBLACK</t>
  </si>
  <si>
    <t>A6 Really Useful Journal Black</t>
  </si>
  <si>
    <t>A6RFSGREEN</t>
  </si>
  <si>
    <t>A6 Really Useful Journal Green</t>
  </si>
  <si>
    <t>A6RFSORANGE</t>
  </si>
  <si>
    <t>A6 Really Useful Journal Orange</t>
  </si>
  <si>
    <t>A6RFSPINK</t>
  </si>
  <si>
    <t>A6 Really Useful Journal Pink</t>
  </si>
  <si>
    <t>A6RFSPURPLE</t>
  </si>
  <si>
    <t>A6 Really Useful Journal Purple</t>
  </si>
  <si>
    <t>A6RFSRED</t>
  </si>
  <si>
    <t>A6 Really Useful Journal Red</t>
  </si>
  <si>
    <t>A6RFSYELLOW</t>
  </si>
  <si>
    <t>A6 Really Useful Journal Yellow</t>
  </si>
  <si>
    <t>SPJA7</t>
  </si>
  <si>
    <t>A7 FABRIC JOURNALS STARTER PACK</t>
  </si>
  <si>
    <t>NBA7RHS02</t>
  </si>
  <si>
    <t>A7 Notebook (pen) - RHS (Geo Navy)</t>
  </si>
  <si>
    <t>NBA7RHS01</t>
  </si>
  <si>
    <t>A7 Notebook (pen) - RHS (Irises &amp; Hellebores)</t>
  </si>
  <si>
    <t>ACDU</t>
  </si>
  <si>
    <t>ACRYLIC CDU</t>
  </si>
  <si>
    <t>ADDWM01</t>
  </si>
  <si>
    <t>Address Book (Pen) - William Morris (Strawberry Thief)</t>
  </si>
  <si>
    <t>SM003</t>
  </si>
  <si>
    <t>AG Australia Scratch Map</t>
  </si>
  <si>
    <t>AGB015</t>
  </si>
  <si>
    <t>AG Bkmk Australian Butterflies</t>
  </si>
  <si>
    <t>AGB003</t>
  </si>
  <si>
    <t>AG Bkmk Brumby</t>
  </si>
  <si>
    <t>AGB002</t>
  </si>
  <si>
    <t>AG Bkmk Cassowary in Port Douglas</t>
  </si>
  <si>
    <t>AGB011</t>
  </si>
  <si>
    <t>AG Bkmk Cattle Muster</t>
  </si>
  <si>
    <t>AGB016</t>
  </si>
  <si>
    <t>AG Bkmk Desert</t>
  </si>
  <si>
    <t>AGB013</t>
  </si>
  <si>
    <t>AG Bkmk Emu</t>
  </si>
  <si>
    <t>AGB012</t>
  </si>
  <si>
    <t>AG Bkmk Hanging Rock</t>
  </si>
  <si>
    <t>AGB008</t>
  </si>
  <si>
    <t>AG Bkmk Kangaroo</t>
  </si>
  <si>
    <t>AGB006</t>
  </si>
  <si>
    <t>AG Bkmk Kookaburra</t>
  </si>
  <si>
    <t>AGB001</t>
  </si>
  <si>
    <t>AG Bkmk Leadbeater's Possum</t>
  </si>
  <si>
    <t>AGB010</t>
  </si>
  <si>
    <t>AG Bkmk Milky Way Pilbura Tree</t>
  </si>
  <si>
    <t>AGB004</t>
  </si>
  <si>
    <t>AG Bkmk Rainbow Lorikeets</t>
  </si>
  <si>
    <t>AGB005</t>
  </si>
  <si>
    <t>AG Bkmk Red Dirt Track</t>
  </si>
  <si>
    <t>AGB014</t>
  </si>
  <si>
    <t>AG Bkmk Termite Mound</t>
  </si>
  <si>
    <t>AGB009</t>
  </si>
  <si>
    <t>AG Bkmk Wombat</t>
  </si>
  <si>
    <t>AGB007</t>
  </si>
  <si>
    <t>AG Bkmk World Map</t>
  </si>
  <si>
    <t>AGBCDU</t>
  </si>
  <si>
    <t>AG Bookmark CDU</t>
  </si>
  <si>
    <t>AGGC014</t>
  </si>
  <si>
    <t>AG Cards Australian Butterflies</t>
  </si>
  <si>
    <t>AGGC001</t>
  </si>
  <si>
    <t>AG Cards Australian Map</t>
  </si>
  <si>
    <t>AGGC009</t>
  </si>
  <si>
    <t>AG Cards Brumby</t>
  </si>
  <si>
    <t>AGGC007</t>
  </si>
  <si>
    <t>AG Cards Ghost Gum Trees</t>
  </si>
  <si>
    <t>AGGC010</t>
  </si>
  <si>
    <t>AG Cards Little Penguins</t>
  </si>
  <si>
    <t>AGGC004</t>
  </si>
  <si>
    <t>AG Cards Milky Way Pilbura</t>
  </si>
  <si>
    <t>AGGC015</t>
  </si>
  <si>
    <t>AG Cards Mount Warning</t>
  </si>
  <si>
    <t>AGGC008</t>
  </si>
  <si>
    <t>AG Cards Rainbow Lorikeet</t>
  </si>
  <si>
    <t>AGGC011</t>
  </si>
  <si>
    <t>AG Cards Saltwater Crocodile</t>
  </si>
  <si>
    <t>AGGC016</t>
  </si>
  <si>
    <t>AG Cards Shingleback Lizard</t>
  </si>
  <si>
    <t>AGGC013</t>
  </si>
  <si>
    <t>AG Cards Southern Cassowary</t>
  </si>
  <si>
    <t>AGGC003</t>
  </si>
  <si>
    <t>AG Cards Uluru</t>
  </si>
  <si>
    <t>AGGC006</t>
  </si>
  <si>
    <t>AG Cards Waterfall Pilbura</t>
  </si>
  <si>
    <t>AGGC012</t>
  </si>
  <si>
    <t>AG Cards Weddell Seal</t>
  </si>
  <si>
    <t>AGGC005</t>
  </si>
  <si>
    <t>AG Cards Wombat Snow</t>
  </si>
  <si>
    <t>AGGC002</t>
  </si>
  <si>
    <t>AG Cards World Map</t>
  </si>
  <si>
    <t>AGC006</t>
  </si>
  <si>
    <t>AG Coasters Australia Map</t>
  </si>
  <si>
    <t>AGC016</t>
  </si>
  <si>
    <t>AG Coasters Australian Butterflies</t>
  </si>
  <si>
    <t>AGC010</t>
  </si>
  <si>
    <t>AG Coasters Brumby</t>
  </si>
  <si>
    <t>AGC003</t>
  </si>
  <si>
    <t>AG Coasters Desert</t>
  </si>
  <si>
    <t>AGC011</t>
  </si>
  <si>
    <t>AG Coasters Kangaroo</t>
  </si>
  <si>
    <t>AGC005</t>
  </si>
  <si>
    <t>AG Coasters Koala</t>
  </si>
  <si>
    <t>AGC009</t>
  </si>
  <si>
    <t>AG Coasters Little Penguins</t>
  </si>
  <si>
    <t>AGC014</t>
  </si>
  <si>
    <t>AG Coasters Milky Way Pilbura</t>
  </si>
  <si>
    <t>AGC008</t>
  </si>
  <si>
    <t>AG Coasters Saltwater Crocodile</t>
  </si>
  <si>
    <t>AGC004</t>
  </si>
  <si>
    <t>AG Coasters Shingleback Lizard</t>
  </si>
  <si>
    <t>AGC012</t>
  </si>
  <si>
    <t>AG Coasters Southern Cassowary</t>
  </si>
  <si>
    <t>AGC015</t>
  </si>
  <si>
    <t>AG Coasters Uluru</t>
  </si>
  <si>
    <t>AGC002</t>
  </si>
  <si>
    <t>AG Coasters Waterfall Pilbura</t>
  </si>
  <si>
    <t>AGC007</t>
  </si>
  <si>
    <t>AG Coasters Weddell Seal</t>
  </si>
  <si>
    <t>AGC013</t>
  </si>
  <si>
    <t>AG Coasters Wombat Snow</t>
  </si>
  <si>
    <t>AGC001</t>
  </si>
  <si>
    <t>AG Coasters World Map</t>
  </si>
  <si>
    <t>AGGCCDU</t>
  </si>
  <si>
    <t>AG Greeting Card CDU</t>
  </si>
  <si>
    <t>AGSPINNER</t>
  </si>
  <si>
    <t>AG SPINNER</t>
  </si>
  <si>
    <t>TJ001</t>
  </si>
  <si>
    <t>AG Travel Journal A5 Leatherette</t>
  </si>
  <si>
    <t>SM002</t>
  </si>
  <si>
    <t>AG World Scratch Map</t>
  </si>
  <si>
    <t>CDU6</t>
  </si>
  <si>
    <t>All Display 6</t>
  </si>
  <si>
    <t>CDU8</t>
  </si>
  <si>
    <t>All Display 8</t>
  </si>
  <si>
    <t>CDU37300D</t>
  </si>
  <si>
    <t>AlLPHABOOKS DISPLAY LARGE - HOLDS 78 PIECES</t>
  </si>
  <si>
    <t>CDU37399D</t>
  </si>
  <si>
    <t>AlLPHABOOKS DISPLAY MINI - HOLDS 9 PIECES</t>
  </si>
  <si>
    <t>00ab</t>
  </si>
  <si>
    <t>Alpha Books Set Up</t>
  </si>
  <si>
    <t>SP373</t>
  </si>
  <si>
    <t>Alpha Books Starter Pack</t>
  </si>
  <si>
    <t>ALPHABOOKS - A</t>
  </si>
  <si>
    <t>ALPHABOOKS - AMPERSAND &amp;</t>
  </si>
  <si>
    <t>ALPHABOOKS - B</t>
  </si>
  <si>
    <t>ALPHABOOKS - C</t>
  </si>
  <si>
    <t>ALPHABOOKS - D</t>
  </si>
  <si>
    <t>ALPHABOOKS - E</t>
  </si>
  <si>
    <t>ALPHABOOKS - F</t>
  </si>
  <si>
    <t>ALPHABOOKS - G</t>
  </si>
  <si>
    <t>ALPHABOOKS - H</t>
  </si>
  <si>
    <t>ALPHABOOKS - I</t>
  </si>
  <si>
    <t>ALPHABOOKS - J</t>
  </si>
  <si>
    <t>ALPHABOOKS - K</t>
  </si>
  <si>
    <t>ALPHABOOKS - L</t>
  </si>
  <si>
    <t>ALPHABOOKS - M</t>
  </si>
  <si>
    <t>ALPHABOOKS - N</t>
  </si>
  <si>
    <t>ALPHABOOKS - O</t>
  </si>
  <si>
    <t>ALPHABOOKS - P</t>
  </si>
  <si>
    <t>ALPHABOOKS - Q</t>
  </si>
  <si>
    <t>ALPHABOOKS - R</t>
  </si>
  <si>
    <t>ALPHABOOKS - S</t>
  </si>
  <si>
    <t>ALPHABOOKS - T</t>
  </si>
  <si>
    <t>ALPHABOOKS - U</t>
  </si>
  <si>
    <t>ALPHABOOKS - V</t>
  </si>
  <si>
    <t>ALPHABOOKS - W</t>
  </si>
  <si>
    <t>ALPHABOOKS - X</t>
  </si>
  <si>
    <t>ALPHABOOKS - Y</t>
  </si>
  <si>
    <t>ALPHABOOKS - Z</t>
  </si>
  <si>
    <t>ABL006</t>
  </si>
  <si>
    <t>Amber Halo Lamp Rechargeable</t>
  </si>
  <si>
    <t>ABL008</t>
  </si>
  <si>
    <t>Amber Motion Sensor Light Rechargeable</t>
  </si>
  <si>
    <t>SL012</t>
  </si>
  <si>
    <t>Amber Smart Light - Red</t>
  </si>
  <si>
    <t>ASLWD</t>
  </si>
  <si>
    <t>Amber Smart Lights Wooden Display</t>
  </si>
  <si>
    <t>HS003</t>
  </si>
  <si>
    <t>Amethyst - Creativity</t>
  </si>
  <si>
    <t>ABL005</t>
  </si>
  <si>
    <t>Animal Book Light Rechargeable - Bear</t>
  </si>
  <si>
    <t>ABL017</t>
  </si>
  <si>
    <t>Animal Book Light Rechargeable - Cat</t>
  </si>
  <si>
    <t>ABL004</t>
  </si>
  <si>
    <t>Animal Book Light Rechargeable - Dog</t>
  </si>
  <si>
    <t>ABL003</t>
  </si>
  <si>
    <t>Animal Book Light Rechargeable - T-Rex</t>
  </si>
  <si>
    <t>ABL016</t>
  </si>
  <si>
    <t>Animal Book Light Rechargeable - Tiger</t>
  </si>
  <si>
    <t>ABL002</t>
  </si>
  <si>
    <t>Animal Book Light Rechargeable - Unicorn</t>
  </si>
  <si>
    <t>WBKASP</t>
  </si>
  <si>
    <t>Animal Set Up Australian Made Wooden Bookmarks 72 Units</t>
  </si>
  <si>
    <t>WAKRASP</t>
  </si>
  <si>
    <t>Animal Set Up Australian Made Wooden Keyrings 72 Units</t>
  </si>
  <si>
    <t>WAMGSP</t>
  </si>
  <si>
    <t>Animal Set Up Australian Made Wooden Magnets 72 Units</t>
  </si>
  <si>
    <t>AP04</t>
  </si>
  <si>
    <t>Apron - Australian Natives</t>
  </si>
  <si>
    <t>GR170040</t>
  </si>
  <si>
    <t>APRON - BEST CHEF COLLECT 200</t>
  </si>
  <si>
    <t>GR170001</t>
  </si>
  <si>
    <t>APRON - COLONEL MUSTARD</t>
  </si>
  <si>
    <t>GR900059</t>
  </si>
  <si>
    <t>APRON - FIRST CLASS CHEF</t>
  </si>
  <si>
    <t>AP05</t>
  </si>
  <si>
    <t>Apron - Golden Wattle</t>
  </si>
  <si>
    <t>APRONVR3</t>
  </si>
  <si>
    <t>APRON - HAS EVERYONE GONE</t>
  </si>
  <si>
    <t>APRON6017</t>
  </si>
  <si>
    <t>APRON - HOORAY</t>
  </si>
  <si>
    <t>APRON3030</t>
  </si>
  <si>
    <t>APRON - I DON'T DO HOUSEWORK</t>
  </si>
  <si>
    <t>APRON6016</t>
  </si>
  <si>
    <t>APRON - I ONLY HAVE A KITCHEN</t>
  </si>
  <si>
    <t>APRONVR15</t>
  </si>
  <si>
    <t>APRON - LIFE IS A STRUGGLE</t>
  </si>
  <si>
    <t>GR170000</t>
  </si>
  <si>
    <t>APRON - MISS SCARLETT</t>
  </si>
  <si>
    <t>AP03</t>
  </si>
  <si>
    <t>Apron - Monet's Water Lilies</t>
  </si>
  <si>
    <t>GR900063</t>
  </si>
  <si>
    <t>APRON - MULTICOLOUR STAMPS</t>
  </si>
  <si>
    <t>APRNPC01</t>
  </si>
  <si>
    <t>Apron - Planet Cat (Life Is Simple)</t>
  </si>
  <si>
    <t>APRON8528</t>
  </si>
  <si>
    <t>APRON - QUEEN OF EFFING EVERYTHING</t>
  </si>
  <si>
    <t>AP01</t>
  </si>
  <si>
    <t>Apron - Strawberry Thief</t>
  </si>
  <si>
    <t>AP02</t>
  </si>
  <si>
    <t>Apron - Sunflowers</t>
  </si>
  <si>
    <t>AP06</t>
  </si>
  <si>
    <t>Apron - Tropical Koala</t>
  </si>
  <si>
    <t>ADB002</t>
  </si>
  <si>
    <t>Art Deco Bookmark Black Notebook</t>
  </si>
  <si>
    <t>ADB004</t>
  </si>
  <si>
    <t>Art Deco Bookmark Copper Flower</t>
  </si>
  <si>
    <t>ADB003</t>
  </si>
  <si>
    <t>Art Deco Bookmark Gold World</t>
  </si>
  <si>
    <t>ADB001</t>
  </si>
  <si>
    <t>Art Deco Bookmark Red Scallop</t>
  </si>
  <si>
    <t>ADB006</t>
  </si>
  <si>
    <t>Art Deco Bookmark Silver Frame</t>
  </si>
  <si>
    <t>ADB005</t>
  </si>
  <si>
    <t>Art Deco Bookmark Silver House</t>
  </si>
  <si>
    <t>ACD001</t>
  </si>
  <si>
    <t>Artico Magnet Counter Display</t>
  </si>
  <si>
    <t>TAPE</t>
  </si>
  <si>
    <t>Artico Packaging Tape</t>
  </si>
  <si>
    <t>LABEL</t>
  </si>
  <si>
    <t>Artico Thermal Label</t>
  </si>
  <si>
    <t>LABEL2.0</t>
  </si>
  <si>
    <t>Artico Thermal Label New</t>
  </si>
  <si>
    <t>WO035</t>
  </si>
  <si>
    <t>Australia - Australian Made Wooden Ornament</t>
  </si>
  <si>
    <t>AGBSP</t>
  </si>
  <si>
    <t>Australian Geographic Bookmarks Starter Pack</t>
  </si>
  <si>
    <t>AGCSP</t>
  </si>
  <si>
    <t>Australian Geographic Coaster Starter Pack</t>
  </si>
  <si>
    <t>AGGCSP</t>
  </si>
  <si>
    <t>Australian Geographic Greeting Cards Starter Pack</t>
  </si>
  <si>
    <t>AGSP</t>
  </si>
  <si>
    <t>Australian Geographic Spinner Set Up</t>
  </si>
  <si>
    <t>WB054</t>
  </si>
  <si>
    <t>Australian Made Wooden Bookmark - A Book A Day</t>
  </si>
  <si>
    <t>WB025</t>
  </si>
  <si>
    <t>Australian Made Wooden Bookmark - Aussie Thongs</t>
  </si>
  <si>
    <t>WB007</t>
  </si>
  <si>
    <t>Australian Made Wooden Bookmark - Banksia</t>
  </si>
  <si>
    <t>WB026</t>
  </si>
  <si>
    <t>Australian Made Wooden Bookmark - Beach</t>
  </si>
  <si>
    <t>CUST01</t>
  </si>
  <si>
    <t>Australian Made Wooden Bookmark - Better Read Than Dead</t>
  </si>
  <si>
    <t>WB051</t>
  </si>
  <si>
    <t>Australian Made Wooden Bookmark - Bondi Beach Driving Kangaroo</t>
  </si>
  <si>
    <t>WB048</t>
  </si>
  <si>
    <t>Australian Made Wooden Bookmark - Bondi Beach Driving Koala</t>
  </si>
  <si>
    <t>WB049</t>
  </si>
  <si>
    <t>Australian Made Wooden Bookmark - Bondi Beach Kangaroo</t>
  </si>
  <si>
    <t>WB046</t>
  </si>
  <si>
    <t>Australian Made Wooden Bookmark - Bondi Beach Koala</t>
  </si>
  <si>
    <t>WB050</t>
  </si>
  <si>
    <t>Australian Made Wooden Bookmark - Bondi Beach Lifeguard Kangaroo</t>
  </si>
  <si>
    <t>WB047</t>
  </si>
  <si>
    <t>Australian Made Wooden Bookmark - Bondi Beach Lifeguard Koala</t>
  </si>
  <si>
    <t>WB045</t>
  </si>
  <si>
    <t>Australian Made Wooden Bookmark - Bondi Beach Surf Board</t>
  </si>
  <si>
    <t>WB008</t>
  </si>
  <si>
    <t>Australian Made Wooden Bookmark - Bottle Brush</t>
  </si>
  <si>
    <t>WB012</t>
  </si>
  <si>
    <t>Australian Made Wooden Bookmark - Canberra Bell</t>
  </si>
  <si>
    <t>WB004</t>
  </si>
  <si>
    <t>Australian Made Wooden Bookmark - Carnation</t>
  </si>
  <si>
    <t>WB013</t>
  </si>
  <si>
    <t>Australian Made Wooden Bookmark - Cassowary</t>
  </si>
  <si>
    <t>WB052</t>
  </si>
  <si>
    <t>Australian Made Wooden Bookmark - Cat's Coffee &amp; Books</t>
  </si>
  <si>
    <t>WB014</t>
  </si>
  <si>
    <t>Australian Made Wooden Bookmark - Cockatoo</t>
  </si>
  <si>
    <t>WB053</t>
  </si>
  <si>
    <t>Australian Made Wooden Bookmark - Dogs &amp; Books</t>
  </si>
  <si>
    <t>WB015</t>
  </si>
  <si>
    <t>Australian Made Wooden Bookmark - Echidna</t>
  </si>
  <si>
    <t>WB016</t>
  </si>
  <si>
    <t>Australian Made Wooden Bookmark - Emu</t>
  </si>
  <si>
    <t>WB042</t>
  </si>
  <si>
    <t>Australian Made Wooden Bookmark - Enemies to Lovers</t>
  </si>
  <si>
    <t>WB017</t>
  </si>
  <si>
    <t>Australian Made Wooden Bookmark - Fairy Penguin</t>
  </si>
  <si>
    <t>WB027</t>
  </si>
  <si>
    <t>Australian Made Wooden Bookmark - Flinders Street Station</t>
  </si>
  <si>
    <t>WB040</t>
  </si>
  <si>
    <t>Australian Made Wooden Bookmark - Fly or Die</t>
  </si>
  <si>
    <t>WB018</t>
  </si>
  <si>
    <t>Australian Made Wooden Bookmark - Galah</t>
  </si>
  <si>
    <t>WB010</t>
  </si>
  <si>
    <t>Australian Made Wooden Bookmark - Golden Wattle</t>
  </si>
  <si>
    <t>WB028</t>
  </si>
  <si>
    <t>Australian Made Wooden Bookmark - Great Barrier Reef</t>
  </si>
  <si>
    <t>WB005</t>
  </si>
  <si>
    <t>Australian Made Wooden Bookmark - Hydrangea</t>
  </si>
  <si>
    <t>WB043</t>
  </si>
  <si>
    <t>Australian Made Wooden Bookmark - I Can Fix Him Or Join Him</t>
  </si>
  <si>
    <t>WB041</t>
  </si>
  <si>
    <t>Australian Made Wooden Bookmark - I Don't Kneel to Fae Kings</t>
  </si>
  <si>
    <t>WB039</t>
  </si>
  <si>
    <t>Australian Made Wooden Bookmark - In My Romantasy Era</t>
  </si>
  <si>
    <t>WB055</t>
  </si>
  <si>
    <t>Australian Made Wooden Bookmark - It's Not Hoarding</t>
  </si>
  <si>
    <t>WB019</t>
  </si>
  <si>
    <t>Australian Made Wooden Bookmark - Kangaroo</t>
  </si>
  <si>
    <t>WB011</t>
  </si>
  <si>
    <t>Australian Made Wooden Bookmark - Kangaroo Paw</t>
  </si>
  <si>
    <t>WB020</t>
  </si>
  <si>
    <t>Australian Made Wooden Bookmark - Koala</t>
  </si>
  <si>
    <t>WB021</t>
  </si>
  <si>
    <t>Australian Made Wooden Bookmark - Kookaburra</t>
  </si>
  <si>
    <t>WB029</t>
  </si>
  <si>
    <t>Australian Made Wooden Bookmark - Opera House</t>
  </si>
  <si>
    <t>WB006</t>
  </si>
  <si>
    <t>Australian Made Wooden Bookmark - Pink Rock Lily</t>
  </si>
  <si>
    <t>WB022</t>
  </si>
  <si>
    <t>Australian Made Wooden Bookmark - Platypus</t>
  </si>
  <si>
    <t>WB023</t>
  </si>
  <si>
    <t>Australian Made Wooden Bookmark - Rainbow Lorikeet</t>
  </si>
  <si>
    <t>WB001</t>
  </si>
  <si>
    <t>Australian Made Wooden Bookmark - Rose</t>
  </si>
  <si>
    <t>WB030</t>
  </si>
  <si>
    <t>Australian Made Wooden Bookmark - Southern Lights</t>
  </si>
  <si>
    <t>WB003</t>
  </si>
  <si>
    <t>Australian Made Wooden Bookmark - Sunflower</t>
  </si>
  <si>
    <t>WB031</t>
  </si>
  <si>
    <t>Australian Made Wooden Bookmark - Surfing Kangaroo</t>
  </si>
  <si>
    <t>WB032</t>
  </si>
  <si>
    <t>Australian Made Wooden Bookmark - Surfing Koala</t>
  </si>
  <si>
    <t>WB034</t>
  </si>
  <si>
    <t>Australian Made Wooden Bookmark - Sydney Harbour</t>
  </si>
  <si>
    <t>WB033</t>
  </si>
  <si>
    <t>Australian Made Wooden Bookmark - Sydney Harbour Bridge</t>
  </si>
  <si>
    <t>WB024</t>
  </si>
  <si>
    <t>Australian Made Wooden Bookmark - Tasmanian Devil</t>
  </si>
  <si>
    <t>WB035</t>
  </si>
  <si>
    <t>Australian Made Wooden Bookmark - Three Sisters</t>
  </si>
  <si>
    <t>WB044</t>
  </si>
  <si>
    <t>Australian Made Wooden Bookmark - To The Stars Who Listen</t>
  </si>
  <si>
    <t>WB036</t>
  </si>
  <si>
    <t>Australian Made Wooden Bookmark - Tram</t>
  </si>
  <si>
    <t>WB002</t>
  </si>
  <si>
    <t>Australian Made Wooden Bookmark - Tulip</t>
  </si>
  <si>
    <t>WB037</t>
  </si>
  <si>
    <t>Australian Made Wooden Bookmark - Twelve Apostles</t>
  </si>
  <si>
    <t>WB038</t>
  </si>
  <si>
    <t>Australian Made Wooden Bookmark - Uluru</t>
  </si>
  <si>
    <t>WB009</t>
  </si>
  <si>
    <t>Australian Made Wooden Bookmark - Waratah</t>
  </si>
  <si>
    <t>WC007</t>
  </si>
  <si>
    <t>Australian Made Wooden Coasters - Banksia</t>
  </si>
  <si>
    <t>WC013</t>
  </si>
  <si>
    <t>Australian Made Wooden Coasters - Big Rocking Horse</t>
  </si>
  <si>
    <t>WC008</t>
  </si>
  <si>
    <t>Australian Made Wooden Coasters - Bottle Brush</t>
  </si>
  <si>
    <t>WC012</t>
  </si>
  <si>
    <t>Australian Made Wooden Coasters - Canberra Bell</t>
  </si>
  <si>
    <t>WC004</t>
  </si>
  <si>
    <t>Australian Made Wooden Coasters - Carnation</t>
  </si>
  <si>
    <t>WC010</t>
  </si>
  <si>
    <t>Australian Made Wooden Coasters - Golden Wattle</t>
  </si>
  <si>
    <t>WC005</t>
  </si>
  <si>
    <t>Australian Made Wooden Coasters - Hydrangea</t>
  </si>
  <si>
    <t>WC011</t>
  </si>
  <si>
    <t>Australian Made Wooden Coasters - Kangaroo Paw</t>
  </si>
  <si>
    <t>WC006</t>
  </si>
  <si>
    <t>Australian Made Wooden Coasters - Pink Rock Lily</t>
  </si>
  <si>
    <t>WC001</t>
  </si>
  <si>
    <t>Australian Made Wooden Coasters - Rose</t>
  </si>
  <si>
    <t>WC003</t>
  </si>
  <si>
    <t>Australian Made Wooden Coasters - Sunflower</t>
  </si>
  <si>
    <t>WC002</t>
  </si>
  <si>
    <t>Australian Made Wooden Coasters - Tulip</t>
  </si>
  <si>
    <t>WC009</t>
  </si>
  <si>
    <t>Australian Made Wooden Coasters - Waratah</t>
  </si>
  <si>
    <t>GCF001</t>
  </si>
  <si>
    <t>Australian Made Wooden Greeting Card - Australian Natives</t>
  </si>
  <si>
    <t>GCB001</t>
  </si>
  <si>
    <t>Australian Made Wooden Greeting Card - Book Lovers Cats</t>
  </si>
  <si>
    <t>GCB002</t>
  </si>
  <si>
    <t>Australian Made Wooden Greeting Card - Book Lovers Dogs</t>
  </si>
  <si>
    <t>GCB003</t>
  </si>
  <si>
    <t>Australian Made Wooden Greeting Card - Book Lovers Fly Or Die</t>
  </si>
  <si>
    <t>GCB004</t>
  </si>
  <si>
    <t>Australian Made Wooden Greeting Card - Book Lovers Hoarding</t>
  </si>
  <si>
    <t>GCB005</t>
  </si>
  <si>
    <t>Australian Made Wooden Greeting Card - Book Lovers In My Romantasy Era</t>
  </si>
  <si>
    <t>GCB006</t>
  </si>
  <si>
    <t>Australian Made Wooden Greeting Card - Book Lovers Tea</t>
  </si>
  <si>
    <t>GCF002</t>
  </si>
  <si>
    <t>Australian Made Wooden Greeting Card - Lilies</t>
  </si>
  <si>
    <t>GCF003</t>
  </si>
  <si>
    <t>Australian Made Wooden Greeting Card - Orchids</t>
  </si>
  <si>
    <t>GCF004</t>
  </si>
  <si>
    <t>Australian Made Wooden Greeting Card - Roses</t>
  </si>
  <si>
    <t>GCR001</t>
  </si>
  <si>
    <t>Australian Made Wooden Greeting Card - Rude Cake</t>
  </si>
  <si>
    <t>GCR002</t>
  </si>
  <si>
    <t>Australian Made Wooden Greeting Card - Rude Cheers</t>
  </si>
  <si>
    <t>GCR003</t>
  </si>
  <si>
    <t>Australian Made Wooden Greeting Card - Rude Dog</t>
  </si>
  <si>
    <t>GCR004</t>
  </si>
  <si>
    <t>Australian Made Wooden Greeting Card - Rude Love</t>
  </si>
  <si>
    <t>GCR005</t>
  </si>
  <si>
    <t>Australian Made Wooden Greeting Card - Rude Queen</t>
  </si>
  <si>
    <t>GCR006</t>
  </si>
  <si>
    <t>Australian Made Wooden Greeting Card - Rude Wine</t>
  </si>
  <si>
    <t>GCF005</t>
  </si>
  <si>
    <t>Australian Made Wooden Greeting Card - Sunflowers</t>
  </si>
  <si>
    <t>GCT001</t>
  </si>
  <si>
    <t>Australian Made Wooden Greeting Card - Tiny Emotional Support Apple</t>
  </si>
  <si>
    <t>GCT002</t>
  </si>
  <si>
    <t>Australian Made Wooden Greeting Card - Tiny Emotional Support Avocado</t>
  </si>
  <si>
    <t>GCT003</t>
  </si>
  <si>
    <t>Australian Made Wooden Greeting Card - Tiny Emotional Support Carrot</t>
  </si>
  <si>
    <t>GCT004</t>
  </si>
  <si>
    <t>Australian Made Wooden Greeting Card - Tiny Emotional Support Coffee</t>
  </si>
  <si>
    <t>GCT005</t>
  </si>
  <si>
    <t>Australian Made Wooden Greeting Card - Tiny Emotional Support Duck</t>
  </si>
  <si>
    <t>GCT006</t>
  </si>
  <si>
    <t>Australian Made Wooden Greeting Card - Tiny Emotional Support Frog</t>
  </si>
  <si>
    <t>GCT007</t>
  </si>
  <si>
    <t>Australian Made Wooden Greeting Card - Tiny Emotional Support Koala</t>
  </si>
  <si>
    <t>GCT008</t>
  </si>
  <si>
    <t>Australian Made Wooden Greeting Card - Tiny Emotional Support Pickle</t>
  </si>
  <si>
    <t>GCT009</t>
  </si>
  <si>
    <t>Australian Made Wooden Greeting Card - Tiny Emotional Support Plant</t>
  </si>
  <si>
    <t>GCT010</t>
  </si>
  <si>
    <t>Australian Made Wooden Greeting Card - Tiny Emotional Support Poo</t>
  </si>
  <si>
    <t>GCT011</t>
  </si>
  <si>
    <t>Australian Made Wooden Greeting Card - Tiny Emotional Support Potato</t>
  </si>
  <si>
    <t>GCT012</t>
  </si>
  <si>
    <t>Australian Made Wooden Greeting Card - Tiny Emotional Support Pug</t>
  </si>
  <si>
    <t>GCT013</t>
  </si>
  <si>
    <t>Australian Made Wooden Greeting Card - Tiny Emotional Support Quokka</t>
  </si>
  <si>
    <t>GCT014</t>
  </si>
  <si>
    <t>Australian Made Wooden Greeting Card - Tiny Emotional Support Sloth</t>
  </si>
  <si>
    <t>GCT015</t>
  </si>
  <si>
    <t>Australian Made Wooden Greeting Card - Tiny Emotional Support Sunflower</t>
  </si>
  <si>
    <t>GCT016</t>
  </si>
  <si>
    <t>Australian Made Wooden Greeting Card - Tiny Emotional Support Turtle</t>
  </si>
  <si>
    <t>GCT017</t>
  </si>
  <si>
    <t>Australian Made Wooden Greeting Card - Tiny Emotional Support Unicorn</t>
  </si>
  <si>
    <t>GCF006</t>
  </si>
  <si>
    <t>Australian Made Wooden Greeting Card - Tulips</t>
  </si>
  <si>
    <t>SPGC</t>
  </si>
  <si>
    <t>AUSTRALIAN MADE WOODEN GREETING CARDS SET UP 144pcs</t>
  </si>
  <si>
    <t>AMWL</t>
  </si>
  <si>
    <t>Australian Made Wooden LOGO</t>
  </si>
  <si>
    <t>WO034</t>
  </si>
  <si>
    <t>Australian Made Wooden Ornament - Best Teacher</t>
  </si>
  <si>
    <t>WO016</t>
  </si>
  <si>
    <t>Australian Made Wooden Ornament - Black Cat</t>
  </si>
  <si>
    <t>WO006</t>
  </si>
  <si>
    <t>Australian Made Wooden Ornament - Candy Cane</t>
  </si>
  <si>
    <t>WO004</t>
  </si>
  <si>
    <t>Australian Made Wooden Ornament - Christmas Tree</t>
  </si>
  <si>
    <t>WO022</t>
  </si>
  <si>
    <t>Australian Made Wooden Ornament - Cockatoo</t>
  </si>
  <si>
    <t>WO019</t>
  </si>
  <si>
    <t>Australian Made Wooden Ornament - Echidna</t>
  </si>
  <si>
    <t>WO015</t>
  </si>
  <si>
    <t>Australian Made Wooden Ornament - French Bulldog</t>
  </si>
  <si>
    <t>WO017</t>
  </si>
  <si>
    <t>Australian Made Wooden Ornament - Ginger Cat</t>
  </si>
  <si>
    <t>WO005</t>
  </si>
  <si>
    <t>Australian Made Wooden Ornament - Gingerbread Man</t>
  </si>
  <si>
    <t>WO029</t>
  </si>
  <si>
    <t>Australian Made Wooden Ornament - Horse</t>
  </si>
  <si>
    <t>WO025</t>
  </si>
  <si>
    <t>Australian Made Wooden Ornament - Kangaroo 1</t>
  </si>
  <si>
    <t>WO026</t>
  </si>
  <si>
    <t>Australian Made Wooden Ornament - Kangaroo 2</t>
  </si>
  <si>
    <t>WO027</t>
  </si>
  <si>
    <t>Australian Made Wooden Ornament - Koala 1</t>
  </si>
  <si>
    <t>WO028</t>
  </si>
  <si>
    <t>Australian Made Wooden Ornament - Koala 2</t>
  </si>
  <si>
    <t>WO033</t>
  </si>
  <si>
    <t>Australian Made Wooden Ornament - Kookaburra</t>
  </si>
  <si>
    <t>WO013</t>
  </si>
  <si>
    <t>Australian Made Wooden Ornament - Labrador</t>
  </si>
  <si>
    <t>WO032</t>
  </si>
  <si>
    <t>Australian Made Wooden Ornament - Penguin</t>
  </si>
  <si>
    <t>WO023</t>
  </si>
  <si>
    <t>Australian Made Wooden Ornament - Platypus 1</t>
  </si>
  <si>
    <t>WO024</t>
  </si>
  <si>
    <t>Australian Made Wooden Ornament - Platypus 2</t>
  </si>
  <si>
    <t>WO021</t>
  </si>
  <si>
    <t>Australian Made Wooden Ornament - Rainbow Lorikeet</t>
  </si>
  <si>
    <t>WO002</t>
  </si>
  <si>
    <t>Australian Made Wooden Ornament - Reindeer</t>
  </si>
  <si>
    <t>WO001</t>
  </si>
  <si>
    <t>Australian Made Wooden Ornament - Santa</t>
  </si>
  <si>
    <t>WO014</t>
  </si>
  <si>
    <t>Australian Made Wooden Ornament - Scruffy Dog</t>
  </si>
  <si>
    <t>WO008</t>
  </si>
  <si>
    <t>Australian Made Wooden Ornament - Sleigh</t>
  </si>
  <si>
    <t>WO007</t>
  </si>
  <si>
    <t>Australian Made Wooden Ornament - Snow Flake</t>
  </si>
  <si>
    <t>WO003</t>
  </si>
  <si>
    <t>Australian Made Wooden Ornament - Snowman</t>
  </si>
  <si>
    <t>WO010</t>
  </si>
  <si>
    <t>Australian Made Wooden Ornament - Star</t>
  </si>
  <si>
    <t>WO009</t>
  </si>
  <si>
    <t>Australian Made Wooden Ornament - Stocking</t>
  </si>
  <si>
    <t>WO011</t>
  </si>
  <si>
    <t>Australian Made Wooden Ornament - T Rex</t>
  </si>
  <si>
    <t>WO020</t>
  </si>
  <si>
    <t>Australian Made Wooden Ornament - Tasmanian Devil</t>
  </si>
  <si>
    <t>WO030</t>
  </si>
  <si>
    <t>Australian Made Wooden Ornament - Unicorn</t>
  </si>
  <si>
    <t>WO018</t>
  </si>
  <si>
    <t>Australian Made Wooden Ornament - White Cat</t>
  </si>
  <si>
    <t>WO031</t>
  </si>
  <si>
    <t>Australian Made Wooden Ornament - Wolf</t>
  </si>
  <si>
    <t>WO012</t>
  </si>
  <si>
    <t>Australian Made Wooden Ornament -Triceratops</t>
  </si>
  <si>
    <t>WOSU</t>
  </si>
  <si>
    <t>Australian Made Wooden Ornaments Christmas Set Up</t>
  </si>
  <si>
    <t>WO059</t>
  </si>
  <si>
    <t>Australian Map - Australian Made Wooden Ornament</t>
  </si>
  <si>
    <t>AZL01L1.5</t>
  </si>
  <si>
    <t>kg</t>
  </si>
  <si>
    <t>AZLSS</t>
  </si>
  <si>
    <t>Azzurri Blue Light Reading Glasses Back Up 1 of each SKU</t>
  </si>
  <si>
    <t>AZLSP</t>
  </si>
  <si>
    <t>Azzurri Blue Light Reading Glasses Setup 26D x 20W x 57Hcm</t>
  </si>
  <si>
    <t>AZB01</t>
  </si>
  <si>
    <t>Azzurri Reading Glasses Bari 1 L0</t>
  </si>
  <si>
    <t>AZB01L1</t>
  </si>
  <si>
    <t>Azzurri Reading Glasses Bari 1 L1</t>
  </si>
  <si>
    <t>AZB01L1.5</t>
  </si>
  <si>
    <t>Azzurri Reading Glasses Bari 1 L1.5</t>
  </si>
  <si>
    <t>AZB01L2</t>
  </si>
  <si>
    <t>Azzurri Reading Glasses Bari 1 L2</t>
  </si>
  <si>
    <t>AZB01L2.5</t>
  </si>
  <si>
    <t>Azzurri Reading Glasses Bari 1 L2.5</t>
  </si>
  <si>
    <t>AZB01L3</t>
  </si>
  <si>
    <t>Azzurri Reading Glasses Bari 1 L3</t>
  </si>
  <si>
    <t>AZB02</t>
  </si>
  <si>
    <t>Azzurri Reading Glasses Bari 2 L0</t>
  </si>
  <si>
    <t>AZB02L1</t>
  </si>
  <si>
    <t>Azzurri Reading Glasses Bari 2 L1</t>
  </si>
  <si>
    <t>AZB02L1.5</t>
  </si>
  <si>
    <t>Azzurri Reading Glasses Bari 2 L1.5</t>
  </si>
  <si>
    <t>AZB02L2</t>
  </si>
  <si>
    <t>Azzurri Reading Glasses Bari 2 L2</t>
  </si>
  <si>
    <t>AZB02L2.5</t>
  </si>
  <si>
    <t>Azzurri Reading Glasses Bari 2 L2.5</t>
  </si>
  <si>
    <t>AZB02L3</t>
  </si>
  <si>
    <t>Azzurri Reading Glasses Bari 2 L3</t>
  </si>
  <si>
    <t>AZC01</t>
  </si>
  <si>
    <t>Azzurri Reading Glasses Como 1 L0</t>
  </si>
  <si>
    <t>AZC01L1</t>
  </si>
  <si>
    <t>Azzurri Reading Glasses Como 1 L1</t>
  </si>
  <si>
    <t>AZC01L1.5</t>
  </si>
  <si>
    <t>Azzurri Reading Glasses Como 1 L1.5</t>
  </si>
  <si>
    <t>AZC01L2</t>
  </si>
  <si>
    <t>Azzurri Reading Glasses Como 1 L2</t>
  </si>
  <si>
    <t>AZC01L2.5</t>
  </si>
  <si>
    <t>Azzurri Reading Glasses Como 1 L2.5</t>
  </si>
  <si>
    <t>AZC01L3</t>
  </si>
  <si>
    <t>Azzurri Reading Glasses Como 1 L3</t>
  </si>
  <si>
    <t>AZC02</t>
  </si>
  <si>
    <t>Azzurri Reading Glasses Como 2 L0</t>
  </si>
  <si>
    <t>AZC02L1</t>
  </si>
  <si>
    <t>Azzurri Reading Glasses Como 2 L1</t>
  </si>
  <si>
    <t>AZC02L1.5</t>
  </si>
  <si>
    <t>Azzurri Reading Glasses Como 2 L1.5</t>
  </si>
  <si>
    <t>AZC02L2</t>
  </si>
  <si>
    <t>Azzurri Reading Glasses Como 2 L2</t>
  </si>
  <si>
    <t>AZC02L2.5</t>
  </si>
  <si>
    <t>Azzurri Reading Glasses Como 2 L2.5</t>
  </si>
  <si>
    <t>AZC02L3</t>
  </si>
  <si>
    <t>Azzurri Reading Glasses Como 2 L3</t>
  </si>
  <si>
    <t>AZD</t>
  </si>
  <si>
    <t>Azzurri Reading Glasses Display</t>
  </si>
  <si>
    <t>AZL01</t>
  </si>
  <si>
    <t>Azzurri Reading Glasses Lucca 1 L0</t>
  </si>
  <si>
    <t>AZL01L1</t>
  </si>
  <si>
    <t>Azzurri Reading Glasses Lucca 1 L1</t>
  </si>
  <si>
    <t>Azzurri Reading Glasses Lucca 1 L1.5</t>
  </si>
  <si>
    <t>AZL01L2</t>
  </si>
  <si>
    <t>Azzurri Reading Glasses Lucca 1 L2</t>
  </si>
  <si>
    <t>AZL01L2.5</t>
  </si>
  <si>
    <t>Azzurri Reading Glasses Lucca 1 L2.5</t>
  </si>
  <si>
    <t>AZL01L3</t>
  </si>
  <si>
    <t>Azzurri Reading Glasses Lucca 1 L3</t>
  </si>
  <si>
    <t>AZL02</t>
  </si>
  <si>
    <t>Azzurri Reading Glasses Lucca 2 L0</t>
  </si>
  <si>
    <t>AZL02L1</t>
  </si>
  <si>
    <t>Azzurri Reading Glasses Lucca 2 L1</t>
  </si>
  <si>
    <t>AZL02L1.5</t>
  </si>
  <si>
    <t>Azzurri Reading Glasses Lucca 2 L1.5</t>
  </si>
  <si>
    <t>AZL02L2</t>
  </si>
  <si>
    <t>Azzurri Reading Glasses Lucca 2 L2</t>
  </si>
  <si>
    <t>AZL02L2.5</t>
  </si>
  <si>
    <t>Azzurri Reading Glasses Lucca 2 L2.5</t>
  </si>
  <si>
    <t>AZL02L3</t>
  </si>
  <si>
    <t>Azzurri Reading Glasses Lucca 2 L3</t>
  </si>
  <si>
    <t>AZS</t>
  </si>
  <si>
    <t>Azzurri Sample Set</t>
  </si>
  <si>
    <t>BBSP</t>
  </si>
  <si>
    <t>BABY BOOKS STARTER PACK</t>
  </si>
  <si>
    <t>BBSPNO2</t>
  </si>
  <si>
    <t>BABY BOOKS STARTER PACK NO2</t>
  </si>
  <si>
    <t>BTB006</t>
  </si>
  <si>
    <t>Baby Talk BIBS - 50% Mum 50% Dad</t>
  </si>
  <si>
    <t>BTB005</t>
  </si>
  <si>
    <t>Baby Talk BIBS - 9 Months Inside</t>
  </si>
  <si>
    <t>BTB007</t>
  </si>
  <si>
    <t>Baby Talk BIBS - Am I on Social Media?</t>
  </si>
  <si>
    <t>BTB004</t>
  </si>
  <si>
    <t>Baby Talk BIBS - Bring Me Milk</t>
  </si>
  <si>
    <t>BTB003</t>
  </si>
  <si>
    <t>Baby Talk BIBS - Cape Backwards</t>
  </si>
  <si>
    <t>BTB009</t>
  </si>
  <si>
    <t>Baby Talk BIBS - Grandma Loves Me</t>
  </si>
  <si>
    <t>BTB001</t>
  </si>
  <si>
    <t>Baby Talk BIBS - I Drink Until</t>
  </si>
  <si>
    <t>BTB008</t>
  </si>
  <si>
    <t>Baby Talk BIBS - I'm not crying</t>
  </si>
  <si>
    <t>BTB002</t>
  </si>
  <si>
    <t>Baby Talk BIBS - Party At My Crib</t>
  </si>
  <si>
    <t>BTBBO</t>
  </si>
  <si>
    <t>Baby Talk Bibs Bibs Only</t>
  </si>
  <si>
    <t>BTBD</t>
  </si>
  <si>
    <t>BABY TALK BIBS DISPLAY</t>
  </si>
  <si>
    <t>BTB6PK</t>
  </si>
  <si>
    <t>Baby Talk Bibs Gift Pack of 6</t>
  </si>
  <si>
    <t>BTBSP</t>
  </si>
  <si>
    <t>BABY TALK BIBS SETUP</t>
  </si>
  <si>
    <t>Kit2</t>
  </si>
  <si>
    <t>Baby Talk Kit 1</t>
  </si>
  <si>
    <t>BTO001</t>
  </si>
  <si>
    <t>Baby Talk Onesies - 50% Mum 50% Dad</t>
  </si>
  <si>
    <t>BTO002</t>
  </si>
  <si>
    <t>Baby Talk Onesies - Get Milk</t>
  </si>
  <si>
    <t>BTO006</t>
  </si>
  <si>
    <t>Baby Talk Onesies - If you can read this</t>
  </si>
  <si>
    <t>BTO003</t>
  </si>
  <si>
    <t>Baby Talk Onesies - Its 5 O'Clock</t>
  </si>
  <si>
    <t>BTO005</t>
  </si>
  <si>
    <t>Baby Talk Onesies - Party at my Crib</t>
  </si>
  <si>
    <t>BTO004</t>
  </si>
  <si>
    <t>Baby Talk Onesies - That Smell</t>
  </si>
  <si>
    <t>BTS002</t>
  </si>
  <si>
    <t>Baby Talk Socks - 50% Mum 50% Dad</t>
  </si>
  <si>
    <t>BTS005</t>
  </si>
  <si>
    <t>Baby Talk Socks - Am I on Social Media Yet</t>
  </si>
  <si>
    <t>BTS004</t>
  </si>
  <si>
    <t>Baby Talk Socks - Bring Me Some Milk</t>
  </si>
  <si>
    <t>BTS008</t>
  </si>
  <si>
    <t>Baby Talk Socks - I Drink Until</t>
  </si>
  <si>
    <t>BTS006</t>
  </si>
  <si>
    <t>Baby Talk Socks - I'm Not Crying</t>
  </si>
  <si>
    <t>BTS001</t>
  </si>
  <si>
    <t>Baby Talk Socks - My Grandma Loves Me</t>
  </si>
  <si>
    <t>BTS003</t>
  </si>
  <si>
    <t>Baby Talk Socks - Of Course I'm Cute</t>
  </si>
  <si>
    <t>BTS007</t>
  </si>
  <si>
    <t>Baby Talk Socks - Party At My Crib</t>
  </si>
  <si>
    <t>BTSD</t>
  </si>
  <si>
    <t>BABY TALK SOCKS DISPLAY</t>
  </si>
  <si>
    <t>SPBTS</t>
  </si>
  <si>
    <t>BABY TALK SOCKS SETUP</t>
  </si>
  <si>
    <t>RFS11624</t>
  </si>
  <si>
    <t>Balloon Racing Cars</t>
  </si>
  <si>
    <t>BF11</t>
  </si>
  <si>
    <t>Bamboo Fan - Australian Natives</t>
  </si>
  <si>
    <t>BF08</t>
  </si>
  <si>
    <t>Bamboo Fan - Blue Larkspur</t>
  </si>
  <si>
    <t>BF04</t>
  </si>
  <si>
    <t>Bamboo Fan - Fruit</t>
  </si>
  <si>
    <t>BF12</t>
  </si>
  <si>
    <t>Bamboo Fan - Golden Wattle</t>
  </si>
  <si>
    <t>BF01</t>
  </si>
  <si>
    <t>Bamboo Fan - Hampton Stripe</t>
  </si>
  <si>
    <t>BF03</t>
  </si>
  <si>
    <t>Bamboo Fan - Kilburn</t>
  </si>
  <si>
    <t>BF02</t>
  </si>
  <si>
    <t>Bamboo Fan - Leopard Print</t>
  </si>
  <si>
    <t>BF10</t>
  </si>
  <si>
    <t>Bamboo Fan - Monet Water Lilies</t>
  </si>
  <si>
    <t>BH040</t>
  </si>
  <si>
    <t>Bamboo Fan - Peonie Rose</t>
  </si>
  <si>
    <t>BF05</t>
  </si>
  <si>
    <t>Bamboo Fan - Strawberry Thief Blue</t>
  </si>
  <si>
    <t>BF06</t>
  </si>
  <si>
    <t>Bamboo Fan - Strawberry Thief Red</t>
  </si>
  <si>
    <t>BF13</t>
  </si>
  <si>
    <t>Bamboo Fan - Tropical Koala</t>
  </si>
  <si>
    <t>BF09</t>
  </si>
  <si>
    <t>Bamboo Fan - Van Gogh Sunflowers</t>
  </si>
  <si>
    <t>BF07</t>
  </si>
  <si>
    <t>Bamboo Fan - Wild Tulip</t>
  </si>
  <si>
    <t>WM027</t>
  </si>
  <si>
    <t>Bamboo Fan - William Morris Lavendar Strawberry Thief</t>
  </si>
  <si>
    <t>WM009</t>
  </si>
  <si>
    <t>Bamboo Fan - William Morris Mint Larkspur</t>
  </si>
  <si>
    <t>Bamboo Fan - William Morris Strawberry Thief</t>
  </si>
  <si>
    <t>WM028</t>
  </si>
  <si>
    <t>Bamboo Fan - William Morris Sweet Briar</t>
  </si>
  <si>
    <t>BFSUBH</t>
  </si>
  <si>
    <t>Bamboo Fan Bluhen Set Up</t>
  </si>
  <si>
    <t>BFSU</t>
  </si>
  <si>
    <t>Bamboo Fan Set Up</t>
  </si>
  <si>
    <t>BFSUWM</t>
  </si>
  <si>
    <t>Bamboo Fan Set Up William Morris</t>
  </si>
  <si>
    <t>BFCDU</t>
  </si>
  <si>
    <t>Bamboo Fans CDU</t>
  </si>
  <si>
    <t>CDUBF</t>
  </si>
  <si>
    <t>Bamboo Fans WDU</t>
  </si>
  <si>
    <t>BRR01</t>
  </si>
  <si>
    <t>Bamboo Reading Rest</t>
  </si>
  <si>
    <t>WFM007</t>
  </si>
  <si>
    <t>Banksia - Australian Made Wooden Fridge Magnet</t>
  </si>
  <si>
    <t>WK007</t>
  </si>
  <si>
    <t>Banksia - Australian Made Wooden Key Ring</t>
  </si>
  <si>
    <t>BOOKRF01</t>
  </si>
  <si>
    <t>Banner Pad: Rupert Fawcett (Off the Leash Dogs)</t>
  </si>
  <si>
    <t>BOOKRF02</t>
  </si>
  <si>
    <t>Banner Pad: Rupert Fawcett (On the Prowl Cats)</t>
  </si>
  <si>
    <t>CS29</t>
  </si>
  <si>
    <t>Barn and Farm Animal Sleeve</t>
  </si>
  <si>
    <t>PLY8B</t>
  </si>
  <si>
    <t>Basswood Plywood 1.5mm 90cm x 30cm</t>
  </si>
  <si>
    <t>PLY8A</t>
  </si>
  <si>
    <t>Basswood Plywood 1.5mm 90cm x 60cm</t>
  </si>
  <si>
    <t>PLY8</t>
  </si>
  <si>
    <t>Basswood Plywood 1.5mm 90cm x 90cm</t>
  </si>
  <si>
    <t>PLY3B</t>
  </si>
  <si>
    <t>Basswood Plywood 3mm 90cm x 30cm</t>
  </si>
  <si>
    <t>PLY3A</t>
  </si>
  <si>
    <t>Basswood Plywood 3mm 90cm x 60cm</t>
  </si>
  <si>
    <t>PLY3</t>
  </si>
  <si>
    <t>Basswood Plywood 3mm 90cm x 90cm</t>
  </si>
  <si>
    <t>PLY6</t>
  </si>
  <si>
    <t>Basswood Plywood 6mm</t>
  </si>
  <si>
    <t>PLY6C</t>
  </si>
  <si>
    <t>Basswood Plywood 6mm 120cm x 70cm</t>
  </si>
  <si>
    <t>PLY6A</t>
  </si>
  <si>
    <t>Basswood Plywood 6mm 170cm x 90cm</t>
  </si>
  <si>
    <t>PLY5</t>
  </si>
  <si>
    <t>Basswood Plywood 6mm 70cm x 90cm</t>
  </si>
  <si>
    <t>PLY7</t>
  </si>
  <si>
    <t>Basswood Plywood 6mm 80cm x 30cm</t>
  </si>
  <si>
    <t>PLY6B</t>
  </si>
  <si>
    <t>Basswood Plywood 6mm  85cm x 30cm</t>
  </si>
  <si>
    <t>CR006</t>
  </si>
  <si>
    <t>Bath Bomb - Fruit William Morris</t>
  </si>
  <si>
    <t>CR005</t>
  </si>
  <si>
    <t>Bath Bomb - Strawberry Thief William Morris</t>
  </si>
  <si>
    <t>BABG088</t>
  </si>
  <si>
    <t>BATH GEL PENGUIN HONEYDEW</t>
  </si>
  <si>
    <t>BABG087</t>
  </si>
  <si>
    <t>BATH GEL POLAR BEAR PEACH</t>
  </si>
  <si>
    <t>BABM022</t>
  </si>
  <si>
    <t>BATH MAT TOWELLING WHALE</t>
  </si>
  <si>
    <t>CR041</t>
  </si>
  <si>
    <t>Bath Tea Bags - Australian Natives</t>
  </si>
  <si>
    <t>CR024</t>
  </si>
  <si>
    <t>Bath Tea Bags - Fruit</t>
  </si>
  <si>
    <t>CR042</t>
  </si>
  <si>
    <t>Bath Tea Bags - Golden Wattle</t>
  </si>
  <si>
    <t>CR026</t>
  </si>
  <si>
    <t>Bath Tea Bags - Monet Water Lilies</t>
  </si>
  <si>
    <t>CR023</t>
  </si>
  <si>
    <t>Bath Tea Bags - Strawberry Thief</t>
  </si>
  <si>
    <t>CR047</t>
  </si>
  <si>
    <t>Bath Tea Bags - Tropical Koala</t>
  </si>
  <si>
    <t>CR025</t>
  </si>
  <si>
    <t>Bath Tea Bags - Van Gogh Sunflowers</t>
  </si>
  <si>
    <t>BAT</t>
  </si>
  <si>
    <t>BATHTIME ADVENTURE TOWER DISPLAY</t>
  </si>
  <si>
    <t>BBBH6</t>
  </si>
  <si>
    <t>Bean Bag Book Holder Monet's Water Lilies</t>
  </si>
  <si>
    <t>BBBH3</t>
  </si>
  <si>
    <t>Bean Bag Book Holder North Sea Green</t>
  </si>
  <si>
    <t>BBBH7</t>
  </si>
  <si>
    <t>Bean Bag Book Holder Peonie Rose</t>
  </si>
  <si>
    <t>BBBH1</t>
  </si>
  <si>
    <t>Bean Bag Book Holder Raspberry Blush</t>
  </si>
  <si>
    <t>BBBHSU</t>
  </si>
  <si>
    <t>Bean Bag Book Holder Starter Pack</t>
  </si>
  <si>
    <t>BBBH4</t>
  </si>
  <si>
    <t>Bean Bag Book Holder Strawberry Thief</t>
  </si>
  <si>
    <t>BBBH2</t>
  </si>
  <si>
    <t>Bean Bag Book Holder Tropical Blue</t>
  </si>
  <si>
    <t>BBBH5</t>
  </si>
  <si>
    <t>Bean Bag Book Holder Van Gogh's Sunflowers</t>
  </si>
  <si>
    <t>Kit3</t>
  </si>
  <si>
    <t>Beer Kit 1</t>
  </si>
  <si>
    <t>31902P</t>
  </si>
  <si>
    <t>BFG MAGNET BOOK MARK</t>
  </si>
  <si>
    <t>BM180</t>
  </si>
  <si>
    <t>BIG MILESTONE 18TH CDCARD</t>
  </si>
  <si>
    <t>BM21</t>
  </si>
  <si>
    <t>BIG MILESTONE 21ST CDCARD</t>
  </si>
  <si>
    <t>BM30</t>
  </si>
  <si>
    <t>BIG MILESTONE 30TH CDCARD</t>
  </si>
  <si>
    <t>BM40</t>
  </si>
  <si>
    <t>BIG MILESTONE 40TH CDCARD</t>
  </si>
  <si>
    <t>BM50</t>
  </si>
  <si>
    <t>BIG MILESTONE 50TH CDCARD</t>
  </si>
  <si>
    <t>BM60</t>
  </si>
  <si>
    <t>BIG MILESTONE 60TH CDCARD</t>
  </si>
  <si>
    <t>BM70</t>
  </si>
  <si>
    <t>BIG MILESTONE 70TH CDCARD</t>
  </si>
  <si>
    <t>BM80</t>
  </si>
  <si>
    <t>BIG MILESTONE 80TH CDCARD</t>
  </si>
  <si>
    <t>BOX70170</t>
  </si>
  <si>
    <t>Big Tuck Box 70 x 5 x 170cm</t>
  </si>
  <si>
    <t>RFS11792</t>
  </si>
  <si>
    <t>Bike Lights &amp; Bell</t>
  </si>
  <si>
    <t>WO049</t>
  </si>
  <si>
    <t>Bin Chicken - Australian Made Wooden Ornament</t>
  </si>
  <si>
    <t>WO048</t>
  </si>
  <si>
    <t>Bin Cricket Stumps - Australian Made Wooden Ornament</t>
  </si>
  <si>
    <t>CS42</t>
  </si>
  <si>
    <t>Bird House Sleeve</t>
  </si>
  <si>
    <t>BB40</t>
  </si>
  <si>
    <t>BIRTHDAY BOX 40TH</t>
  </si>
  <si>
    <t>BB60</t>
  </si>
  <si>
    <t>BIRTHDAY BOX 60TH</t>
  </si>
  <si>
    <t>BB70</t>
  </si>
  <si>
    <t>BIRTHDAY BOX 70TH</t>
  </si>
  <si>
    <t>RFS11118</t>
  </si>
  <si>
    <t>BIRTHDAY CRACKERS WITH MINIATURE GAMES</t>
  </si>
  <si>
    <t>BS31</t>
  </si>
  <si>
    <t>BIRTHDAY STAR 1931</t>
  </si>
  <si>
    <t>BS32</t>
  </si>
  <si>
    <t>BIRTHDAY STAR 1932</t>
  </si>
  <si>
    <t>BS33</t>
  </si>
  <si>
    <t>BIRTHDAY STAR 1933</t>
  </si>
  <si>
    <t>BS34</t>
  </si>
  <si>
    <t>BIRTHDAY STAR 1934</t>
  </si>
  <si>
    <t>BS35</t>
  </si>
  <si>
    <t>BIRTHDAY STAR 1935</t>
  </si>
  <si>
    <t>BS36</t>
  </si>
  <si>
    <t>BIRTHDAY STAR 1936</t>
  </si>
  <si>
    <t>BS37</t>
  </si>
  <si>
    <t>BIRTHDAY STAR 1937</t>
  </si>
  <si>
    <t>BS38</t>
  </si>
  <si>
    <t>BIRTHDAY STAR 1938</t>
  </si>
  <si>
    <t>BS39</t>
  </si>
  <si>
    <t>BIRTHDAY STAR 1939</t>
  </si>
  <si>
    <t>BS40</t>
  </si>
  <si>
    <t>BIRTHDAY STAR 1940</t>
  </si>
  <si>
    <t>BS41</t>
  </si>
  <si>
    <t>BIRTHDAY STAR 1941</t>
  </si>
  <si>
    <t>BS42</t>
  </si>
  <si>
    <t>BIRTHDAY STAR 1942</t>
  </si>
  <si>
    <t>BS43</t>
  </si>
  <si>
    <t>BIRTHDAY STAR 1943</t>
  </si>
  <si>
    <t>BS44</t>
  </si>
  <si>
    <t>BIRTHDAY STAR 1944</t>
  </si>
  <si>
    <t>BS45</t>
  </si>
  <si>
    <t>BIRTHDAY STAR 1945</t>
  </si>
  <si>
    <t>BS46</t>
  </si>
  <si>
    <t>BIRTHDAY STAR 1946</t>
  </si>
  <si>
    <t>BS47</t>
  </si>
  <si>
    <t>BIRTHDAY STAR 1947</t>
  </si>
  <si>
    <t>BS48</t>
  </si>
  <si>
    <t>BIRTHDAY STAR 1948</t>
  </si>
  <si>
    <t>BS49</t>
  </si>
  <si>
    <t>BIRTHDAY STAR 1949</t>
  </si>
  <si>
    <t>BS50</t>
  </si>
  <si>
    <t>BIRTHDAY STAR 1950</t>
  </si>
  <si>
    <t>BS51</t>
  </si>
  <si>
    <t>BIRTHDAY STAR 1951</t>
  </si>
  <si>
    <t>BS52</t>
  </si>
  <si>
    <t>BIRTHDAY STAR 1952</t>
  </si>
  <si>
    <t>BS53</t>
  </si>
  <si>
    <t>BIRTHDAY STAR 1953</t>
  </si>
  <si>
    <t>BS54</t>
  </si>
  <si>
    <t>BIRTHDAY STAR 1954</t>
  </si>
  <si>
    <t>BS55</t>
  </si>
  <si>
    <t>BIRTHDAY STAR 1955</t>
  </si>
  <si>
    <t>BS56</t>
  </si>
  <si>
    <t>BIRTHDAY STAR 1956</t>
  </si>
  <si>
    <t>BS57</t>
  </si>
  <si>
    <t>BIRTHDAY STAR 1957</t>
  </si>
  <si>
    <t>BS58</t>
  </si>
  <si>
    <t>BIRTHDAY STAR 1958</t>
  </si>
  <si>
    <t>BS59</t>
  </si>
  <si>
    <t>BIRTHDAY STAR 1959</t>
  </si>
  <si>
    <t>BS60</t>
  </si>
  <si>
    <t>BIRTHDAY STAR 1960</t>
  </si>
  <si>
    <t>BS61</t>
  </si>
  <si>
    <t>BIRTHDAY STAR 1961</t>
  </si>
  <si>
    <t>BS62</t>
  </si>
  <si>
    <t>BIRTHDAY STAR 1962</t>
  </si>
  <si>
    <t>BS63</t>
  </si>
  <si>
    <t>BIRTHDAY STAR 1963</t>
  </si>
  <si>
    <t>BS64</t>
  </si>
  <si>
    <t>BIRTHDAY STAR 1964</t>
  </si>
  <si>
    <t>BS65</t>
  </si>
  <si>
    <t>BIRTHDAY STAR 1965</t>
  </si>
  <si>
    <t>BS66</t>
  </si>
  <si>
    <t>BIRTHDAY STAR 1966</t>
  </si>
  <si>
    <t>BS67</t>
  </si>
  <si>
    <t>BIRTHDAY STAR 1967</t>
  </si>
  <si>
    <t>BS68</t>
  </si>
  <si>
    <t>BIRTHDAY STAR 1968</t>
  </si>
  <si>
    <t>BS69</t>
  </si>
  <si>
    <t>BIRTHDAY STAR 1969</t>
  </si>
  <si>
    <t>BS70</t>
  </si>
  <si>
    <t>BIRTHDAY STAR 1970</t>
  </si>
  <si>
    <t>BS71</t>
  </si>
  <si>
    <t>BIRTHDAY STAR 1971</t>
  </si>
  <si>
    <t>BS72</t>
  </si>
  <si>
    <t>BIRTHDAY STAR 1972</t>
  </si>
  <si>
    <t>BS73</t>
  </si>
  <si>
    <t>BIRTHDAY STAR 1973</t>
  </si>
  <si>
    <t>BS74</t>
  </si>
  <si>
    <t>BIRTHDAY STAR 1974</t>
  </si>
  <si>
    <t>BS75</t>
  </si>
  <si>
    <t>BIRTHDAY STAR 1975</t>
  </si>
  <si>
    <t>BS76</t>
  </si>
  <si>
    <t>BIRTHDAY STAR 1976</t>
  </si>
  <si>
    <t>BS77</t>
  </si>
  <si>
    <t>BIRTHDAY STAR 1977</t>
  </si>
  <si>
    <t>BS78</t>
  </si>
  <si>
    <t>BIRTHDAY STAR 1978</t>
  </si>
  <si>
    <t>BS79</t>
  </si>
  <si>
    <t>BIRTHDAY STAR 1979</t>
  </si>
  <si>
    <t>BS80</t>
  </si>
  <si>
    <t>BIRTHDAY STAR 1980</t>
  </si>
  <si>
    <t>BS81</t>
  </si>
  <si>
    <t>BIRTHDAY STAR 1981</t>
  </si>
  <si>
    <t>BS82</t>
  </si>
  <si>
    <t>BIRTHDAY STAR 1982</t>
  </si>
  <si>
    <t>BS83</t>
  </si>
  <si>
    <t>BIRTHDAY STAR 1983</t>
  </si>
  <si>
    <t>BS84</t>
  </si>
  <si>
    <t>BIRTHDAY STAR 1984</t>
  </si>
  <si>
    <t>BS85</t>
  </si>
  <si>
    <t>BIRTHDAY STAR 1985</t>
  </si>
  <si>
    <t>BS86</t>
  </si>
  <si>
    <t>BIRTHDAY STAR 1986</t>
  </si>
  <si>
    <t>BS87</t>
  </si>
  <si>
    <t>BIRTHDAY STAR 1987</t>
  </si>
  <si>
    <t>BS88</t>
  </si>
  <si>
    <t>BIRTHDAY STAR 1988</t>
  </si>
  <si>
    <t>BS89</t>
  </si>
  <si>
    <t>BIRTHDAY STAR 1989</t>
  </si>
  <si>
    <t>BS90</t>
  </si>
  <si>
    <t>BIRTHDAY STAR 1990</t>
  </si>
  <si>
    <t>BS91</t>
  </si>
  <si>
    <t>BIRTHDAY STAR 1991</t>
  </si>
  <si>
    <t>BS92</t>
  </si>
  <si>
    <t>BIRTHDAY STAR 1992</t>
  </si>
  <si>
    <t>BS93</t>
  </si>
  <si>
    <t>BIRTHDAY STAR 1993</t>
  </si>
  <si>
    <t>BS94</t>
  </si>
  <si>
    <t>BIRTHDAY STAR 1994</t>
  </si>
  <si>
    <t>BS95</t>
  </si>
  <si>
    <t>BIRTHDAY STAR 1995</t>
  </si>
  <si>
    <t>BS96</t>
  </si>
  <si>
    <t>BIRTHDAY STAR 1996</t>
  </si>
  <si>
    <t>BS97</t>
  </si>
  <si>
    <t>BIRTHDAY STAR 1997</t>
  </si>
  <si>
    <t>BS98</t>
  </si>
  <si>
    <t>BIRTHDAY STAR 1998</t>
  </si>
  <si>
    <t>BS99</t>
  </si>
  <si>
    <t>BIRTHDAY STAR 1999</t>
  </si>
  <si>
    <t>BS00</t>
  </si>
  <si>
    <t>BIRTHDAY STAR 2000</t>
  </si>
  <si>
    <t>BS01</t>
  </si>
  <si>
    <t>BIRTHDAY STAR 2001</t>
  </si>
  <si>
    <t>BS02</t>
  </si>
  <si>
    <t>BIRTHDAY STAR 2002</t>
  </si>
  <si>
    <t>BSFS</t>
  </si>
  <si>
    <t>Birthday Star CD Set Up</t>
  </si>
  <si>
    <t>BSD</t>
  </si>
  <si>
    <t>BIRTHDAY STAR DVDS</t>
  </si>
  <si>
    <t>BFS</t>
  </si>
  <si>
    <t>Black Floor Spinner</t>
  </si>
  <si>
    <t>BFSRB</t>
  </si>
  <si>
    <t>Black Floor Spinner Rotating Base</t>
  </si>
  <si>
    <t>BMCD</t>
  </si>
  <si>
    <t>BLACK MESH COUNTER DISPLAY</t>
  </si>
  <si>
    <t>THROWM04</t>
  </si>
  <si>
    <t>Blanket (Jacquard) - William Morris (Grey 125x150)</t>
  </si>
  <si>
    <t>THROWM01</t>
  </si>
  <si>
    <t>Blanket (Jacquard) - William Morris (Willow Blue 125x150)</t>
  </si>
  <si>
    <t>THROWM02</t>
  </si>
  <si>
    <t>Blanket (Jacquard) - William Morris (Willow Ochre 125x150)</t>
  </si>
  <si>
    <t>BLOCK LIGHT - BLACK - ECLIPSE</t>
  </si>
  <si>
    <t>BLOCK LIGHT - BLUE - XRAY</t>
  </si>
  <si>
    <t>BLOCK LIGHT - GREEN - AURORA</t>
  </si>
  <si>
    <t>BLOCK LIGHT - PURPLE - UV</t>
  </si>
  <si>
    <t>BLOCK LIGHT - RED - NEON</t>
  </si>
  <si>
    <t>BLOCK LIGHT - WHITE - SUBZERO</t>
  </si>
  <si>
    <t>BH007</t>
  </si>
  <si>
    <t>Bluhen - Black Floral Hair Wrap</t>
  </si>
  <si>
    <t>BH015</t>
  </si>
  <si>
    <t>Bluhen - Black Floral Head Band</t>
  </si>
  <si>
    <t>BH011</t>
  </si>
  <si>
    <t>Bluhen - Black Floral Microfiber Scrunchie</t>
  </si>
  <si>
    <t>BH023</t>
  </si>
  <si>
    <t>Bluhen - Black Floral Satin Eyemask and Scrunchie</t>
  </si>
  <si>
    <t>BH031</t>
  </si>
  <si>
    <t>Bluhen - Black Floral Satin Pillow Case</t>
  </si>
  <si>
    <t>BH027</t>
  </si>
  <si>
    <t>Bluhen - Black Floral Satin Sleep Bonnet</t>
  </si>
  <si>
    <t>BH003</t>
  </si>
  <si>
    <t>Bluhen - Black Floral Shower Cap</t>
  </si>
  <si>
    <t>BH035</t>
  </si>
  <si>
    <t>Bluhen - Black Floral Slippers</t>
  </si>
  <si>
    <t>BH018</t>
  </si>
  <si>
    <t>Bluhen - Derma Roller</t>
  </si>
  <si>
    <t>BH056</t>
  </si>
  <si>
    <t>Bluhen - Hampton Stripe Hair Wrap</t>
  </si>
  <si>
    <t>SPC01</t>
  </si>
  <si>
    <t>Bluhen - Hampton Stripe Satin Pillow Case</t>
  </si>
  <si>
    <t>BH017</t>
  </si>
  <si>
    <t>Bluhen - Ice Roller</t>
  </si>
  <si>
    <t>BH019</t>
  </si>
  <si>
    <t>Bluhen - Jade Roller</t>
  </si>
  <si>
    <t>BH057</t>
  </si>
  <si>
    <t>Bluhen - Kilburn Hair Wrap</t>
  </si>
  <si>
    <t>SPC02</t>
  </si>
  <si>
    <t>Bluhen - Kilburn Satin Pillow Case</t>
  </si>
  <si>
    <t>BH024</t>
  </si>
  <si>
    <t>Bluhen - Lavender Scented Satin Eyemask Peonie Rose</t>
  </si>
  <si>
    <t>BH005</t>
  </si>
  <si>
    <t>Bluhen - Leopard Print Hair Wrap</t>
  </si>
  <si>
    <t>BH013</t>
  </si>
  <si>
    <t>Bluhen - Leopard Print Head Band</t>
  </si>
  <si>
    <t>BH009</t>
  </si>
  <si>
    <t>Bluhen - Leopard Print Microfiber Scrunchie</t>
  </si>
  <si>
    <t>BH021</t>
  </si>
  <si>
    <t>Bluhen - Leopard Print Satin Eyemask and Scrunchie</t>
  </si>
  <si>
    <t>BH029</t>
  </si>
  <si>
    <t>Bluhen - Leopard Print Satin Pillow Case</t>
  </si>
  <si>
    <t>BH025</t>
  </si>
  <si>
    <t>Bluhen - Leopard Print Satin Sleep Bonnet</t>
  </si>
  <si>
    <t>BH001</t>
  </si>
  <si>
    <t>Bluhen - Leopard Print Shower Cap</t>
  </si>
  <si>
    <t>BH033</t>
  </si>
  <si>
    <t>Bluhen - Leopard Print Slippers</t>
  </si>
  <si>
    <t>BH008</t>
  </si>
  <si>
    <t>Bluhen - Peonie Rose Hair Wrap</t>
  </si>
  <si>
    <t>BH016</t>
  </si>
  <si>
    <t>Bluhen - Peonie Rose Head Band</t>
  </si>
  <si>
    <t>BH032</t>
  </si>
  <si>
    <t>Bluhen - Peonie Rose Satin Pillow Case</t>
  </si>
  <si>
    <t>BH028</t>
  </si>
  <si>
    <t>Bluhen - Peonie Rose Satin Sleep Bonnet</t>
  </si>
  <si>
    <t>BH004</t>
  </si>
  <si>
    <t>Bluhen - Peonie Rose Shower Cap</t>
  </si>
  <si>
    <t>BH012</t>
  </si>
  <si>
    <t>Bluhen - Peonie Rose Towelling Scrunchie</t>
  </si>
  <si>
    <t>BH006</t>
  </si>
  <si>
    <t>Bluhen - Pink Polka Dot Hair Wrap</t>
  </si>
  <si>
    <t>BH014</t>
  </si>
  <si>
    <t>Bluhen - Pink Polka Dot Head Band</t>
  </si>
  <si>
    <t>BH022</t>
  </si>
  <si>
    <t>Bluhen - Pink Polka Dot Satin Eyemask and Scrunchie</t>
  </si>
  <si>
    <t>BH030</t>
  </si>
  <si>
    <t>Bluhen - Pink Polka Dot Satin Pillow Case</t>
  </si>
  <si>
    <t>BH026</t>
  </si>
  <si>
    <t>Bluhen - Pink Polka Dot Satin Sleep Bonnet</t>
  </si>
  <si>
    <t>BH002</t>
  </si>
  <si>
    <t>Bluhen - Pink Polka Dot Shower Cap</t>
  </si>
  <si>
    <t>BH034</t>
  </si>
  <si>
    <t>Bluhen - Pink Polka Dot Slippers</t>
  </si>
  <si>
    <t>BH010</t>
  </si>
  <si>
    <t>Bluhen - Pink Polka Dot Towelling Scrunchie</t>
  </si>
  <si>
    <t>BH020</t>
  </si>
  <si>
    <t>Bluhen - Rose Quartz Roller</t>
  </si>
  <si>
    <t>BHSHSU</t>
  </si>
  <si>
    <t>Bluhen - Shower Hub Set Up</t>
  </si>
  <si>
    <t>BHSCSU</t>
  </si>
  <si>
    <t>Bluhen - Sleep Center Set Up with 10Pct Discount</t>
  </si>
  <si>
    <t>BH047</t>
  </si>
  <si>
    <t>Bluhen 10pc Manicure Set - Black Floral</t>
  </si>
  <si>
    <t>BH048</t>
  </si>
  <si>
    <t>Bluhen 10pc Manicure Set - Peonie Rose</t>
  </si>
  <si>
    <t>BH039</t>
  </si>
  <si>
    <t>Bluhen Bamboo Fan - Black Floral</t>
  </si>
  <si>
    <t>BH41</t>
  </si>
  <si>
    <t>Bluhen Coin Pouch - Black Floral</t>
  </si>
  <si>
    <t>BH44</t>
  </si>
  <si>
    <t>Bluhen Coin Pouch - Peonie Rose</t>
  </si>
  <si>
    <t>BH037</t>
  </si>
  <si>
    <t>Bluhen Cosmetic Bag - Black Floral</t>
  </si>
  <si>
    <t>BH038</t>
  </si>
  <si>
    <t>Bluhen Cosmetics Bag - Peonie Rose</t>
  </si>
  <si>
    <t>BHD</t>
  </si>
  <si>
    <t>Bluhen Display</t>
  </si>
  <si>
    <t>BH045</t>
  </si>
  <si>
    <t>Bluhen Lunch Bag - Black Floral</t>
  </si>
  <si>
    <t>BH046</t>
  </si>
  <si>
    <t>Bluhen Lunch Bag - Peonie Rose</t>
  </si>
  <si>
    <t>BHMDO</t>
  </si>
  <si>
    <t>BLUHEN Mothers Day Offer</t>
  </si>
  <si>
    <t>BH50</t>
  </si>
  <si>
    <t>Bluhen Mug Boxed - Black Floral</t>
  </si>
  <si>
    <t>BH51</t>
  </si>
  <si>
    <t>Bluhen Mug Boxed - Peonie Rose</t>
  </si>
  <si>
    <t>BH55</t>
  </si>
  <si>
    <t>Bluhen Scarf - Black Floral</t>
  </si>
  <si>
    <t>BH042</t>
  </si>
  <si>
    <t>Bluhen Toiletry Bag - Black Floral</t>
  </si>
  <si>
    <t>BH043</t>
  </si>
  <si>
    <t>Bluhen Toiletry Bag - Peonie Rose</t>
  </si>
  <si>
    <t>BH49A</t>
  </si>
  <si>
    <t>Bluhen Umbrella - Black Floral ( Auto)</t>
  </si>
  <si>
    <t>BH46A</t>
  </si>
  <si>
    <t>Bluhen Umbrella - Peonie Rose ( Auto)</t>
  </si>
  <si>
    <t>WFM031</t>
  </si>
  <si>
    <t>Bondi Beach Driving Kangaroo - Australian Made Wooden Fridge Magnet</t>
  </si>
  <si>
    <t>WFM028</t>
  </si>
  <si>
    <t>Bondi Beach Driving Koala - Australian Made Wooden Fridge Magnet</t>
  </si>
  <si>
    <t>WFM029</t>
  </si>
  <si>
    <t>Bondi Beach Kangaroo - Australian Made Wooden Fridge Magnet</t>
  </si>
  <si>
    <t>WFM026</t>
  </si>
  <si>
    <t>Bondi Beach Koala - Australian Made Wooden Fridge Magnet</t>
  </si>
  <si>
    <t>WFM030</t>
  </si>
  <si>
    <t>Bondi Beach Lifeguard Kangaroo - Australian Made Wooden Fridge Magnet</t>
  </si>
  <si>
    <t>WFM027</t>
  </si>
  <si>
    <t>Bondi Beach Lifeguard Koala - Australian Made Wooden Fridge Magnet</t>
  </si>
  <si>
    <t>WFM025</t>
  </si>
  <si>
    <t>Bondi Beach Surf Board - Australian Made Wooden Fridge Magnet</t>
  </si>
  <si>
    <t>GR170007</t>
  </si>
  <si>
    <t>BONE CHINA MUG - COLONEL MUSTARD</t>
  </si>
  <si>
    <t>GR170008</t>
  </si>
  <si>
    <t>BONE CHINA MUG - MISS SCARLETT</t>
  </si>
  <si>
    <t>GR170009</t>
  </si>
  <si>
    <t>BONE CHINA MUG - MRS PEACOCK</t>
  </si>
  <si>
    <t>GR900010</t>
  </si>
  <si>
    <t>BONE CHINA MUG - SENT WITH LOVE</t>
  </si>
  <si>
    <t>BOOK FAN - BLUE</t>
  </si>
  <si>
    <t>BOOK FAN - GREEN</t>
  </si>
  <si>
    <t>BOOK FAN - PURPLE</t>
  </si>
  <si>
    <t>BOOK FAN - RED</t>
  </si>
  <si>
    <t>CDU348</t>
  </si>
  <si>
    <t>BOOK FANS CDU</t>
  </si>
  <si>
    <t>001BB</t>
  </si>
  <si>
    <t>Book Keepers Bookmarks</t>
  </si>
  <si>
    <t>Book Keepers Bookmarks - Letter A</t>
  </si>
  <si>
    <t>Book Keepers Bookmarks - Letter B</t>
  </si>
  <si>
    <t>Book Keepers Bookmarks - Letter C</t>
  </si>
  <si>
    <t>Book Keepers Bookmarks - Letter D</t>
  </si>
  <si>
    <t>Book Keepers Bookmarks - Letter E</t>
  </si>
  <si>
    <t>Book Keepers Bookmarks - Letter F</t>
  </si>
  <si>
    <t>Book Keepers Bookmarks - Letter G</t>
  </si>
  <si>
    <t>Book Keepers Bookmarks - Letter H</t>
  </si>
  <si>
    <t>Book Keepers Bookmarks - Letter I</t>
  </si>
  <si>
    <t>Book Keepers Bookmarks - Letter J</t>
  </si>
  <si>
    <t>Book Keepers Bookmarks - Letter K</t>
  </si>
  <si>
    <t>Book Keepers Bookmarks - Letter L</t>
  </si>
  <si>
    <t>Book Keepers Bookmarks - Letter M</t>
  </si>
  <si>
    <t>Book Keepers Bookmarks - Letter N</t>
  </si>
  <si>
    <t>Book Keepers Bookmarks - Letter O</t>
  </si>
  <si>
    <t>Book Keepers Bookmarks - Letter P</t>
  </si>
  <si>
    <t>Book Keepers Bookmarks - Letter R</t>
  </si>
  <si>
    <t>Book Keepers Bookmarks - Letter S</t>
  </si>
  <si>
    <t>Book Keepers Bookmarks - Letter T</t>
  </si>
  <si>
    <t>Book Keepers Bookmarks - Letter U</t>
  </si>
  <si>
    <t>Book Keepers Bookmarks - Letter V</t>
  </si>
  <si>
    <t>Book Keepers Bookmarks - Letter W</t>
  </si>
  <si>
    <t>Book Keepers Bookmarks - Letter Y</t>
  </si>
  <si>
    <t>Book Keepers Bookmarks - Letter Z</t>
  </si>
  <si>
    <t>92600P</t>
  </si>
  <si>
    <t>Book Keepers Bookmarks Starter Pack 33 Bookmarks</t>
  </si>
  <si>
    <t>BLB011</t>
  </si>
  <si>
    <t>Book Lover Bookmarks - Book by its Movie</t>
  </si>
  <si>
    <t>BLB003</t>
  </si>
  <si>
    <t>Book Lover Bookmarks - Book Hangover</t>
  </si>
  <si>
    <t>BLB009</t>
  </si>
  <si>
    <t>Book Lover Bookmarks - Books Need Me Too</t>
  </si>
  <si>
    <t>BLB005</t>
  </si>
  <si>
    <t>Book Lover Bookmarks - I Like To Party</t>
  </si>
  <si>
    <t>BLB002</t>
  </si>
  <si>
    <t>Book Lover Bookmarks - I Love Books</t>
  </si>
  <si>
    <t>BLB001</t>
  </si>
  <si>
    <t>Book Lover Bookmarks - Its Not Hoarding</t>
  </si>
  <si>
    <t>BLB004</t>
  </si>
  <si>
    <t>Book Lover Bookmarks - Just One More Chapter</t>
  </si>
  <si>
    <t>BLB007</t>
  </si>
  <si>
    <t>Book Lover Bookmarks - Man of My Dreams</t>
  </si>
  <si>
    <t>BLB012</t>
  </si>
  <si>
    <t>Book Lover Bookmarks - My Personality</t>
  </si>
  <si>
    <t>BLB008</t>
  </si>
  <si>
    <t>Book Lover Bookmarks - Read Books, Drink Tea</t>
  </si>
  <si>
    <t>BLB010</t>
  </si>
  <si>
    <t>Book Lover Bookmarks - Romantic Walks</t>
  </si>
  <si>
    <t>BLB006</t>
  </si>
  <si>
    <t>Book Lover Bookmarks - Too Many Books</t>
  </si>
  <si>
    <t>BLBMSP</t>
  </si>
  <si>
    <t>Book Lovers Bookmark Set Up 72 units Do not use</t>
  </si>
  <si>
    <t>SWC008</t>
  </si>
  <si>
    <t>Book Lovers Calendar</t>
  </si>
  <si>
    <t>SPGCBL</t>
  </si>
  <si>
    <t>Book Lovers Set Up Australian Made Wooden Greeting Cards 36pcs</t>
  </si>
  <si>
    <t>BOOK NOTES - FOODIE</t>
  </si>
  <si>
    <t>BOOK NOTES - GARDENING</t>
  </si>
  <si>
    <t>BOOK NOTES - MUSIC</t>
  </si>
  <si>
    <t>BOOK NOTES - SHOPPING</t>
  </si>
  <si>
    <t>BOOK NOTES - STUDY</t>
  </si>
  <si>
    <t>BOOK NOTES - TRAVEL</t>
  </si>
  <si>
    <t>BKO002</t>
  </si>
  <si>
    <t>Book Ogre Blue</t>
  </si>
  <si>
    <t>BKO003</t>
  </si>
  <si>
    <t>Book Ogre Green</t>
  </si>
  <si>
    <t>BOOK TAILS BOOKMARK - BEAR</t>
  </si>
  <si>
    <t>BOOK TAILS BOOKMARK - COW</t>
  </si>
  <si>
    <t>BOOK TAILS BOOKMARK - DOG</t>
  </si>
  <si>
    <t>BOOK TAILS BOOKMARK - JAGUAR</t>
  </si>
  <si>
    <t>BOOK TAILS BOOKMARK - PIG</t>
  </si>
  <si>
    <t>BOOK TAILS BOOKMARK - SHEEP</t>
  </si>
  <si>
    <t>CDU968</t>
  </si>
  <si>
    <t>BOOK TAILS DISPLAY STAND</t>
  </si>
  <si>
    <t>SP968</t>
  </si>
  <si>
    <t>Book Tails Set Up 36 units</t>
  </si>
  <si>
    <t>SP432</t>
  </si>
  <si>
    <t>BOOKAROO A5 NOTEBOOK SET UP</t>
  </si>
  <si>
    <t>SP433</t>
  </si>
  <si>
    <t>BOOKAROO BOOK &amp; STUFF POUCH SET UP 3 PCS</t>
  </si>
  <si>
    <t>BOOKAROO BOOKS &amp; STUFF POUCH</t>
  </si>
  <si>
    <t>BOOKAROO BOOKS &amp; STUFF POUCH - BLUSH</t>
  </si>
  <si>
    <t>BOOKAROO BOOKS &amp; STUFF POUCH - BROWN</t>
  </si>
  <si>
    <t>BOOKAROO BOOKS &amp; STUFF POUCH - CHARTREUSE</t>
  </si>
  <si>
    <t>BOOKAROO BOOKS &amp; STUFF POUCH - PALE PINK</t>
  </si>
  <si>
    <t>BOOKAROO BOOKS &amp; STUFF POUCH - TURQUOISE</t>
  </si>
  <si>
    <t>BOOKAROO DISPLAY - 12 CM</t>
  </si>
  <si>
    <t>BOOKAROO DISPLAY - 15 CM</t>
  </si>
  <si>
    <t>BOOKAROO GLASSES CASE - BLACK</t>
  </si>
  <si>
    <t>BOOKAROO GLASSES CASE - BROWN</t>
  </si>
  <si>
    <t>BOOKAROO GLASSES CASE - CHARCOAL</t>
  </si>
  <si>
    <t>BOOKAROO GLASSES CASE - CREAM</t>
  </si>
  <si>
    <t>BOOKAROO GLASSES CASE - GOLD</t>
  </si>
  <si>
    <t>BOOKAROO GLASSES CASE - PURPLE</t>
  </si>
  <si>
    <t>BOOKAROO GLASSES CASE - TURQUOISE</t>
  </si>
  <si>
    <t>CDU412</t>
  </si>
  <si>
    <t>BOOKAROO GLASSES CASE CDU</t>
  </si>
  <si>
    <t>SP412</t>
  </si>
  <si>
    <t>BOOKAROO GLASSES CASE SET UP SET UP 15 pcs</t>
  </si>
  <si>
    <t>Bookaroo Graphite Pencils - Blues</t>
  </si>
  <si>
    <t>Bookaroo Graphite Pencils - Gold</t>
  </si>
  <si>
    <t>Bookaroo Graphite Pencils - Greens</t>
  </si>
  <si>
    <t>Bookaroo Graphite Pencils - Mono</t>
  </si>
  <si>
    <t>Bookaroo Graphite Pencils - Pastels</t>
  </si>
  <si>
    <t>Bookaroo Graphite Pencils - Pinks</t>
  </si>
  <si>
    <t>CDU796</t>
  </si>
  <si>
    <t>BOOKAROO GRAPHITE PENCILS DISPLAY CDU</t>
  </si>
  <si>
    <t>SP796</t>
  </si>
  <si>
    <t>BOOKAROO GRAPHITE PENCILS Starter Pack</t>
  </si>
  <si>
    <t>BOOKAROO HANDY SPECS - BLACK</t>
  </si>
  <si>
    <t>BOOKAROO HANDY SPECS - BROWN</t>
  </si>
  <si>
    <t>BOOKAROO HANDY SPECS - GOLD</t>
  </si>
  <si>
    <t>BOOKAROO HANDY SPECS - RED</t>
  </si>
  <si>
    <t>CDU406</t>
  </si>
  <si>
    <t>BOOKAROO HANDY SPECS CDU</t>
  </si>
  <si>
    <t>SP406</t>
  </si>
  <si>
    <t>BOOKAROO HANDY SPECS SET UP 11 PCS</t>
  </si>
  <si>
    <t>BOOKAROO NOTEBOOK ( A5) - BLACK</t>
  </si>
  <si>
    <t>BOOKAROO NOTEBOOK ( A5) - BLUSH</t>
  </si>
  <si>
    <t>BOOKAROO NOTEBOOK ( A5) - BROWN</t>
  </si>
  <si>
    <t>BOOKAROO NOTEBOOK ( A5) - CREAM</t>
  </si>
  <si>
    <t>BOOKAROO NOTEBOOK ( A5) - FOREST GREEN</t>
  </si>
  <si>
    <t>BOOKAROO NOTEBOOK ( A5) - LILAC</t>
  </si>
  <si>
    <t>BOOKAROO NOTEBOOK ( A5) - NAVY</t>
  </si>
  <si>
    <t>BOOKAROO NOTEBOOK ( A5) - NAVY NEW 2023</t>
  </si>
  <si>
    <t>BOOKAROO NOTEBOOK ( A5) - PINK</t>
  </si>
  <si>
    <t>BOOKAROO NOTEBOOK ( A5) - PURPLE</t>
  </si>
  <si>
    <t>BOOKAROO NOTEBOOK ( A5) - TURQUOISE</t>
  </si>
  <si>
    <t>CDU432</t>
  </si>
  <si>
    <t>BOOKAROO NOTEBOOK ( A5) CDU</t>
  </si>
  <si>
    <t>BOOKAROO NOTEBOOK TIDY - CHARCOAL</t>
  </si>
  <si>
    <t>BOOKAROO NOTEBOOK TIDY - PURPLE</t>
  </si>
  <si>
    <t>BOOKAROO NOTEBOOK TIDY - RED</t>
  </si>
  <si>
    <t>BOOKAROO NOTEBOOK TIDY - ROSE GOLD</t>
  </si>
  <si>
    <t>BOOKAROO NOTEBOOK TIDY - TURQUOISE</t>
  </si>
  <si>
    <t>CDU409</t>
  </si>
  <si>
    <t>BOOKAROO NOTEBOOK TIDY CDU</t>
  </si>
  <si>
    <t>SP409</t>
  </si>
  <si>
    <t>BOOKAROO NOTEBOOK TIDY SET UP 12 units</t>
  </si>
  <si>
    <t>BOOKAROO PEN - BLACK</t>
  </si>
  <si>
    <t>BOOKAROO PEN - CHARCOAL</t>
  </si>
  <si>
    <t>BOOKAROO PEN - CHARTREUSE</t>
  </si>
  <si>
    <t>BOOKAROO PEN - CREAM</t>
  </si>
  <si>
    <t>BOOKAROO PEN - DARK RED</t>
  </si>
  <si>
    <t>BOOKAROO PEN - FOREST GREEN</t>
  </si>
  <si>
    <t>BOOKAROO PEN - GOLD</t>
  </si>
  <si>
    <t>BOOKAROO PEN - HOT PINK</t>
  </si>
  <si>
    <t>BOOKAROO PEN - LILAC</t>
  </si>
  <si>
    <t>BOOKAROO PEN - NAVY</t>
  </si>
  <si>
    <t>BOOKAROO PEN - ORANGE</t>
  </si>
  <si>
    <t>BOOKAROO PEN - PURPLE</t>
  </si>
  <si>
    <t>BOOKAROO PEN - TURQUOISE</t>
  </si>
  <si>
    <t>BOOKAROO PEN - YELLOW</t>
  </si>
  <si>
    <t>CDU431</t>
  </si>
  <si>
    <t>BOOKAROO PEN DISPLAY CDU</t>
  </si>
  <si>
    <t>BOOKAROO PEN POUCH - BLACK</t>
  </si>
  <si>
    <t>BOOKAROO PEN POUCH - BLUSH</t>
  </si>
  <si>
    <t>BOOKAROO PEN POUCH - BROWN</t>
  </si>
  <si>
    <t>BOOKAROO PEN POUCH - CREAM</t>
  </si>
  <si>
    <t>BOOKAROO PEN POUCH - FERN</t>
  </si>
  <si>
    <t>BOOKAROO PEN POUCH - GOLD</t>
  </si>
  <si>
    <t>BOOKAROO PEN POUCH - MINT</t>
  </si>
  <si>
    <t>BOOKAROO PEN POUCH - NAVY</t>
  </si>
  <si>
    <t>BOOKAROO PEN POUCH - PINK</t>
  </si>
  <si>
    <t>BOOKAROO PEN POUCH - PURPLE</t>
  </si>
  <si>
    <t>BOOKAROO PEN POUCH - ROSE GOLD</t>
  </si>
  <si>
    <t>BOOKAROO PEN POUCH - TURQUOISE</t>
  </si>
  <si>
    <t>CDU407</t>
  </si>
  <si>
    <t>BOOKAROO PEN POUCH CDU</t>
  </si>
  <si>
    <t>SP407</t>
  </si>
  <si>
    <t>BOOKAROO PEN POUCH SET UP SET UP</t>
  </si>
  <si>
    <t>BOOKAROO PEN REFILLS - BLACK INK</t>
  </si>
  <si>
    <t>SP431</t>
  </si>
  <si>
    <t>BOOKAROO PEN SET UP</t>
  </si>
  <si>
    <t>BOOKAROO PHONE HOLDER - BROWN</t>
  </si>
  <si>
    <t>BOOKAROO PHONE HOLDER - CHARCOAL</t>
  </si>
  <si>
    <t>BOOKAROO PHONE HOLDER - CREAM</t>
  </si>
  <si>
    <t>BOOKAROO PHONE HOLDER - DARK RED</t>
  </si>
  <si>
    <t>BOOKAROO PHONE HOLDER - TEAL</t>
  </si>
  <si>
    <t>SP538</t>
  </si>
  <si>
    <t>BOOKAROO PHONE HOLDER SET UP 15 units</t>
  </si>
  <si>
    <t>BOOKAROO PHONE POCKET - BLACK</t>
  </si>
  <si>
    <t>BOOKAROO PHONE POCKET - BROWN</t>
  </si>
  <si>
    <t>BOOKAROO PHONE POCKET - CHARCOAL</t>
  </si>
  <si>
    <t>BOOKAROO PHONE POCKET - CREAM</t>
  </si>
  <si>
    <t>BOOKAROO PHONE POCKET - GOLD</t>
  </si>
  <si>
    <t>BOOKAROO PHONE POCKET - ROSE GOLD</t>
  </si>
  <si>
    <t>BOOKAROO PHONE POCKET - TURQUOISE</t>
  </si>
  <si>
    <t>CDU405</t>
  </si>
  <si>
    <t>BOOKAROO PHONE POCKET CDU</t>
  </si>
  <si>
    <t>SP405</t>
  </si>
  <si>
    <t>BOOKAROO PHONE POCKET SET UP 15 PCS</t>
  </si>
  <si>
    <t>BOOKAROO POCKET NOTEBOOK ( A6) - BLACK</t>
  </si>
  <si>
    <t>BOOKAROO POCKET NOTEBOOK ( A6) - BLUSH</t>
  </si>
  <si>
    <t>BOOKAROO POCKET NOTEBOOK ( A6) - BROWN</t>
  </si>
  <si>
    <t>BOOKAROO POCKET NOTEBOOK ( A6) - CHARCOAL</t>
  </si>
  <si>
    <t>BOOKAROO POCKET NOTEBOOK ( A6) - CREAM</t>
  </si>
  <si>
    <t>BOOKAROO POCKET NOTEBOOK ( A6) - FOREST GREEN</t>
  </si>
  <si>
    <t>BOOKAROO POCKET NOTEBOOK ( A6) - HOT PINK</t>
  </si>
  <si>
    <t>BOOKAROO POCKET NOTEBOOK ( A6) - LILAC</t>
  </si>
  <si>
    <t>BOOKAROO POCKET NOTEBOOK ( A6) - NAVY</t>
  </si>
  <si>
    <t>BOOKAROO POCKET NOTEBOOK ( A6) - PURPLE</t>
  </si>
  <si>
    <t>BOOKAROO POCKET NOTEBOOK ( A6) - TURQUOISE</t>
  </si>
  <si>
    <t>CDU430</t>
  </si>
  <si>
    <t>BOOKAROO POCKET NOTEBOOK ( A6) CDU</t>
  </si>
  <si>
    <t>SP430</t>
  </si>
  <si>
    <t>BOOKAROO POCKET NOTEBOOK (A6) - SET UP 12 units</t>
  </si>
  <si>
    <t>BOOKAROO Shelf Display 40cm</t>
  </si>
  <si>
    <t>BOOKAROO Shelf Display Insert</t>
  </si>
  <si>
    <t>BOOKAROO TOOL BELT - CHARCOAL</t>
  </si>
  <si>
    <t>BOOKAROO TOOL BELT - PURPLE</t>
  </si>
  <si>
    <t>BOOKAROO TOOL BELT - RED</t>
  </si>
  <si>
    <t>BOOKAROO TOOL BELT - TURQUOISE</t>
  </si>
  <si>
    <t>CDU411</t>
  </si>
  <si>
    <t>BOOKAROO TOOL BELT CDU</t>
  </si>
  <si>
    <t>SP411</t>
  </si>
  <si>
    <t>BOOKAROO TOOL BELT SET UP 18 PCS</t>
  </si>
  <si>
    <t>BOOKAROO TRAVEL TECH TIDY - BLACK</t>
  </si>
  <si>
    <t>BOOKAROO TRAVEL TECH TIDY - BROWN</t>
  </si>
  <si>
    <t>BOOKAROO TRAVEL TECH TIDY - COPPER</t>
  </si>
  <si>
    <t>BOOKAROO TRAVEL TECH TIDY - CREAM</t>
  </si>
  <si>
    <t>BOOKAROO TRAVEL TECH TIDY - GOLD</t>
  </si>
  <si>
    <t>BOOKAROO TRAVEL TECH TIDY - MINT</t>
  </si>
  <si>
    <t>BOOKAROO TRAVEL TECH TIDY - PINK</t>
  </si>
  <si>
    <t>RFS10501</t>
  </si>
  <si>
    <t>BOOKEND GIFT SET - VINTAGE MAP</t>
  </si>
  <si>
    <t>CDU92600</t>
  </si>
  <si>
    <t>BOOKKEEPER BOOKMARK 2021 DISPLAY</t>
  </si>
  <si>
    <t>BLSP</t>
  </si>
  <si>
    <t>Booklovers Bookmarks Starter Pack</t>
  </si>
  <si>
    <t>BLCAU</t>
  </si>
  <si>
    <t>BOOKLOVERS CORNER PACK AUSTRALIA</t>
  </si>
  <si>
    <t>BLD</t>
  </si>
  <si>
    <t>BOOKLOVERS DISPLAY</t>
  </si>
  <si>
    <t>BLD2</t>
  </si>
  <si>
    <t>BOOKLOVERS DISPLAY 2</t>
  </si>
  <si>
    <t>ABL111</t>
  </si>
  <si>
    <t>Bookmark Book Light</t>
  </si>
  <si>
    <t>BMWDU</t>
  </si>
  <si>
    <t>Bookmarks Display</t>
  </si>
  <si>
    <t>CS44</t>
  </si>
  <si>
    <t>Bookmarks Sleeve</t>
  </si>
  <si>
    <t>WO060</t>
  </si>
  <si>
    <t>Boomerang - Australian Made Wooden Ornament</t>
  </si>
  <si>
    <t>BPBB01-2</t>
  </si>
  <si>
    <t>BOTANICAL PUZZLE BAND BOOKS IN CDU - CROSSWORD, SUDOKU</t>
  </si>
  <si>
    <t>BPBB03-4</t>
  </si>
  <si>
    <t>BOTANICAL PUZZLE BAND BOOKS IN CDU - WORD SEARCH</t>
  </si>
  <si>
    <t>BBTA1</t>
  </si>
  <si>
    <t>BOTTLE BAG- WINE MAKES MUMMY CLEVER</t>
  </si>
  <si>
    <t>WFM008</t>
  </si>
  <si>
    <t>Bottle Brush - Australian Made Wooden Fridge Magnet</t>
  </si>
  <si>
    <t>WK008</t>
  </si>
  <si>
    <t>Bottle Brush - Australian Made Wooden Key Ring</t>
  </si>
  <si>
    <t>Bottle Opener - 16/A Bottles</t>
  </si>
  <si>
    <t>Bottle Stopper - Corkscrew S/3</t>
  </si>
  <si>
    <t>Box160</t>
  </si>
  <si>
    <t>Box 160*50*5</t>
  </si>
  <si>
    <t>Box4545</t>
  </si>
  <si>
    <t>Box 45cm * 45cm * 30cm</t>
  </si>
  <si>
    <t>Box6040</t>
  </si>
  <si>
    <t>Box 60cm * 40cm * 40cm</t>
  </si>
  <si>
    <t>Box6860</t>
  </si>
  <si>
    <t>Box 68cm * 60cm 8 60cm</t>
  </si>
  <si>
    <t>MUG6017</t>
  </si>
  <si>
    <t>BOXED MUG - HOORAY</t>
  </si>
  <si>
    <t>MUG7093</t>
  </si>
  <si>
    <t>BOXED MUG - I'M THE KIND OF DIRTY</t>
  </si>
  <si>
    <t>MUGPMU5</t>
  </si>
  <si>
    <t>BOXED MUG - PICK ME UP</t>
  </si>
  <si>
    <t>MUGPMU3</t>
  </si>
  <si>
    <t>BOXED MUG - PICK ME UP -WORK</t>
  </si>
  <si>
    <t>MUG7154</t>
  </si>
  <si>
    <t>BOXED MUG -START THE DAY WITH A SMILE</t>
  </si>
  <si>
    <t>MUGBTA04</t>
  </si>
  <si>
    <t>BOXED MUG- THE SHED</t>
  </si>
  <si>
    <t>WO062</t>
  </si>
  <si>
    <t>Bridge - Australian Made Wooden Ornament</t>
  </si>
  <si>
    <t>BRILLIANT READING REST AUBERGINE</t>
  </si>
  <si>
    <t>BRILLIANT READING REST BURNT ORANGE</t>
  </si>
  <si>
    <t>BRILLIANT READING REST BURNT SCARLET</t>
  </si>
  <si>
    <t>CDU96000</t>
  </si>
  <si>
    <t>BRILLIANT READING REST DISPLAY</t>
  </si>
  <si>
    <t>BRILLIANT READING REST DUCK EGG BLUE</t>
  </si>
  <si>
    <t>BRILLIANT READING REST LIME</t>
  </si>
  <si>
    <t>BTB</t>
  </si>
  <si>
    <t>BUMP TO BIRTHDAY</t>
  </si>
  <si>
    <t>F3A</t>
  </si>
  <si>
    <t>BUMP TO BIRTHDAY FABRIC</t>
  </si>
  <si>
    <t>CS43</t>
  </si>
  <si>
    <t>Butterfly House Sleeve</t>
  </si>
  <si>
    <t>C5WKE</t>
  </si>
  <si>
    <t>C5 White Kraft Envelope</t>
  </si>
  <si>
    <t>C6BKE</t>
  </si>
  <si>
    <t>C6 Brown Kraft Envelope</t>
  </si>
  <si>
    <t>MUGCAD01</t>
  </si>
  <si>
    <t>CADBURY CHUNK MUG</t>
  </si>
  <si>
    <t>WFM012</t>
  </si>
  <si>
    <t>Canberra Bell - Australian Made Wooden Fridge Magnet</t>
  </si>
  <si>
    <t>WK012</t>
  </si>
  <si>
    <t>Canberra Bell - Australian Made Wooden Key Ring</t>
  </si>
  <si>
    <t>CM004</t>
  </si>
  <si>
    <t>Candle Matches Black/Black</t>
  </si>
  <si>
    <t>CM002</t>
  </si>
  <si>
    <t>Candle Matches Black/Blue</t>
  </si>
  <si>
    <t>CM001</t>
  </si>
  <si>
    <t>Candle Matches Black/Pink</t>
  </si>
  <si>
    <t>CM003</t>
  </si>
  <si>
    <t>Candle Matches Black/White</t>
  </si>
  <si>
    <t>CM006</t>
  </si>
  <si>
    <t>Candle Matches LOVE</t>
  </si>
  <si>
    <t>CM005</t>
  </si>
  <si>
    <t>Candle Matches NA</t>
  </si>
  <si>
    <t>CARDIH02</t>
  </si>
  <si>
    <t>Card Game Pack IHB (A Lesson In Life &amp; Death)</t>
  </si>
  <si>
    <t>CARDIH03</t>
  </si>
  <si>
    <t>Card Game Pack IHB (Fake News: World History)</t>
  </si>
  <si>
    <t>RFS10934</t>
  </si>
  <si>
    <t>CARD GAMES SET IN A BOX - HARLEQUIN</t>
  </si>
  <si>
    <t>CARDCR01</t>
  </si>
  <si>
    <t>Card Pack: Charlotte Reed (MTTBWY Wisdom Cards)</t>
  </si>
  <si>
    <t>CARDIH01</t>
  </si>
  <si>
    <t>Card Pack: IHB (Date Night Cards)</t>
  </si>
  <si>
    <t>CS1</t>
  </si>
  <si>
    <t>Card Sleeve</t>
  </si>
  <si>
    <t>CDB01</t>
  </si>
  <si>
    <t>Cardboard Box 30 x 25 x 5</t>
  </si>
  <si>
    <t>CH001</t>
  </si>
  <si>
    <t>Cardholder - Australian Natives</t>
  </si>
  <si>
    <t>CH002</t>
  </si>
  <si>
    <t>Cardholder - Golden Wattle</t>
  </si>
  <si>
    <t>CH004</t>
  </si>
  <si>
    <t>Cardholder - Monet Water Lilies</t>
  </si>
  <si>
    <t>CH003</t>
  </si>
  <si>
    <t>Cardholder - Strawberry Thief Blue</t>
  </si>
  <si>
    <t>CH006</t>
  </si>
  <si>
    <t>Cardholder - Tropical Koala</t>
  </si>
  <si>
    <t>CH005</t>
  </si>
  <si>
    <t>Cardholder - Van Gogh's Sunflowers</t>
  </si>
  <si>
    <t>WFM004</t>
  </si>
  <si>
    <t>Carnation - Australian Made Wooden Fridge Magnet</t>
  </si>
  <si>
    <t>WK004</t>
  </si>
  <si>
    <t>Carnation - Australian Made Wooden Key Ring</t>
  </si>
  <si>
    <t>CLR</t>
  </si>
  <si>
    <t>Carton Live Racking</t>
  </si>
  <si>
    <t>WFM013</t>
  </si>
  <si>
    <t>Cassowary - Australian Made Wooden Fridge Magnet</t>
  </si>
  <si>
    <t>WK013</t>
  </si>
  <si>
    <t>Cassowary - Australian Made Wooden Key Ring</t>
  </si>
  <si>
    <t>WO036</t>
  </si>
  <si>
    <t>Cassowary - Australian Made Wooden Ornament</t>
  </si>
  <si>
    <t>CDTN</t>
  </si>
  <si>
    <t>CD/DVD TOWER NEW</t>
  </si>
  <si>
    <t>A30</t>
  </si>
  <si>
    <t>CDCARD 1930</t>
  </si>
  <si>
    <t>A31</t>
  </si>
  <si>
    <t>CDCARD 1931</t>
  </si>
  <si>
    <t>A32</t>
  </si>
  <si>
    <t>CDCARD 1932</t>
  </si>
  <si>
    <t>A33</t>
  </si>
  <si>
    <t>CDCARD 1933</t>
  </si>
  <si>
    <t>A34</t>
  </si>
  <si>
    <t>CDCARD 1934</t>
  </si>
  <si>
    <t>A35</t>
  </si>
  <si>
    <t>CDCARD 1935</t>
  </si>
  <si>
    <t>A36</t>
  </si>
  <si>
    <t>CDCARD 1936</t>
  </si>
  <si>
    <t>A37</t>
  </si>
  <si>
    <t>CDCARD 1937</t>
  </si>
  <si>
    <t>A38</t>
  </si>
  <si>
    <t>CDCARD 1938</t>
  </si>
  <si>
    <t>A39</t>
  </si>
  <si>
    <t>CDCARD 1939</t>
  </si>
  <si>
    <t>A40</t>
  </si>
  <si>
    <t>CDCARD 1940</t>
  </si>
  <si>
    <t>A41</t>
  </si>
  <si>
    <t>CDCARD 1941</t>
  </si>
  <si>
    <t>A42</t>
  </si>
  <si>
    <t>CDCARD 1942</t>
  </si>
  <si>
    <t>A43</t>
  </si>
  <si>
    <t>CDCARD 1943</t>
  </si>
  <si>
    <t>A44</t>
  </si>
  <si>
    <t>CDCARD 1944</t>
  </si>
  <si>
    <t>A45</t>
  </si>
  <si>
    <t>CDCARD 1945</t>
  </si>
  <si>
    <t>A46</t>
  </si>
  <si>
    <t>CDCARD 1946</t>
  </si>
  <si>
    <t>A47</t>
  </si>
  <si>
    <t>CDCARD 1947</t>
  </si>
  <si>
    <t>A48</t>
  </si>
  <si>
    <t>CDCARD 1948</t>
  </si>
  <si>
    <t>A49</t>
  </si>
  <si>
    <t>CDCARD 1949</t>
  </si>
  <si>
    <t>A50</t>
  </si>
  <si>
    <t>CDCARD 1950</t>
  </si>
  <si>
    <t>A51</t>
  </si>
  <si>
    <t>CDCARD 1951</t>
  </si>
  <si>
    <t>A52</t>
  </si>
  <si>
    <t>CDCARD 1952</t>
  </si>
  <si>
    <t>A53</t>
  </si>
  <si>
    <t>CDCARD 1953</t>
  </si>
  <si>
    <t>A54</t>
  </si>
  <si>
    <t>CDCARD 1954</t>
  </si>
  <si>
    <t>A55</t>
  </si>
  <si>
    <t>CDCARD 1955</t>
  </si>
  <si>
    <t>A56</t>
  </si>
  <si>
    <t>CDCARD 1956</t>
  </si>
  <si>
    <t>A57</t>
  </si>
  <si>
    <t>CDCARD 1957</t>
  </si>
  <si>
    <t>A58</t>
  </si>
  <si>
    <t>CDCARD 1958</t>
  </si>
  <si>
    <t>A59</t>
  </si>
  <si>
    <t>CDCARD 1959</t>
  </si>
  <si>
    <t>A60</t>
  </si>
  <si>
    <t>CDCARD 1960</t>
  </si>
  <si>
    <t>A61</t>
  </si>
  <si>
    <t>CDCARD 1961</t>
  </si>
  <si>
    <t>A62</t>
  </si>
  <si>
    <t>CDCARD 1962</t>
  </si>
  <si>
    <t>A63</t>
  </si>
  <si>
    <t>CDCARD 1963</t>
  </si>
  <si>
    <t>A64</t>
  </si>
  <si>
    <t>CDCARD 1964</t>
  </si>
  <si>
    <t>A65</t>
  </si>
  <si>
    <t>CDCARD 1965</t>
  </si>
  <si>
    <t>A66</t>
  </si>
  <si>
    <t>CDCARD 1966</t>
  </si>
  <si>
    <t>A67</t>
  </si>
  <si>
    <t>CDCARD 1967</t>
  </si>
  <si>
    <t>A68</t>
  </si>
  <si>
    <t>CDCARD 1968</t>
  </si>
  <si>
    <t>A69</t>
  </si>
  <si>
    <t>CDCARD 1969</t>
  </si>
  <si>
    <t>A70</t>
  </si>
  <si>
    <t>CDCARD 1970</t>
  </si>
  <si>
    <t>A71</t>
  </si>
  <si>
    <t>CDCARD 1971</t>
  </si>
  <si>
    <t>A72</t>
  </si>
  <si>
    <t>CDCARD 1972</t>
  </si>
  <si>
    <t>A73</t>
  </si>
  <si>
    <t>CDCARD 1973</t>
  </si>
  <si>
    <t>A74</t>
  </si>
  <si>
    <t>CDCARD 1974</t>
  </si>
  <si>
    <t>A75</t>
  </si>
  <si>
    <t>CDCARD 1975</t>
  </si>
  <si>
    <t>A76</t>
  </si>
  <si>
    <t>CDCARD 1976</t>
  </si>
  <si>
    <t>A77</t>
  </si>
  <si>
    <t>CDCARD 1977</t>
  </si>
  <si>
    <t>A78</t>
  </si>
  <si>
    <t>CDCARD 1978</t>
  </si>
  <si>
    <t>A79</t>
  </si>
  <si>
    <t>CDCARD 1979</t>
  </si>
  <si>
    <t>A80</t>
  </si>
  <si>
    <t>CDCARD 1980</t>
  </si>
  <si>
    <t>A81</t>
  </si>
  <si>
    <t>CDCARD 1981</t>
  </si>
  <si>
    <t>A82</t>
  </si>
  <si>
    <t>CDCARD 1982</t>
  </si>
  <si>
    <t>A83</t>
  </si>
  <si>
    <t>CDCARD 1983</t>
  </si>
  <si>
    <t>A84</t>
  </si>
  <si>
    <t>CDCARD 1984</t>
  </si>
  <si>
    <t>A85</t>
  </si>
  <si>
    <t>CDCARD 1985</t>
  </si>
  <si>
    <t>A86</t>
  </si>
  <si>
    <t>CDCARD 1986</t>
  </si>
  <si>
    <t>A87</t>
  </si>
  <si>
    <t>CDCARD 1987</t>
  </si>
  <si>
    <t>A88</t>
  </si>
  <si>
    <t>CDCARD 1988</t>
  </si>
  <si>
    <t>A89</t>
  </si>
  <si>
    <t>CDCARD 1989</t>
  </si>
  <si>
    <t>A90</t>
  </si>
  <si>
    <t>CDCARD 1990</t>
  </si>
  <si>
    <t>A91</t>
  </si>
  <si>
    <t>CDCARD 1991</t>
  </si>
  <si>
    <t>A92</t>
  </si>
  <si>
    <t>CDCARD 1992</t>
  </si>
  <si>
    <t>A93</t>
  </si>
  <si>
    <t>CDCARD 1993</t>
  </si>
  <si>
    <t>A94</t>
  </si>
  <si>
    <t>CDCARD 1994</t>
  </si>
  <si>
    <t>A95</t>
  </si>
  <si>
    <t>CDCARD 1995</t>
  </si>
  <si>
    <t>A96</t>
  </si>
  <si>
    <t>CDCARD 1996</t>
  </si>
  <si>
    <t>A97</t>
  </si>
  <si>
    <t>CDCARD 1997</t>
  </si>
  <si>
    <t>A98</t>
  </si>
  <si>
    <t>CDCARD 1998</t>
  </si>
  <si>
    <t>A99</t>
  </si>
  <si>
    <t>CDCARD 1999</t>
  </si>
  <si>
    <t>A00</t>
  </si>
  <si>
    <t>CDCARD 2000</t>
  </si>
  <si>
    <t>A01</t>
  </si>
  <si>
    <t>CDCARD 2001</t>
  </si>
  <si>
    <t>A02</t>
  </si>
  <si>
    <t>CDCARD 2002</t>
  </si>
  <si>
    <t>A03</t>
  </si>
  <si>
    <t>CDCARD 2003</t>
  </si>
  <si>
    <t>A04</t>
  </si>
  <si>
    <t>CDCARD 2004</t>
  </si>
  <si>
    <t>A05</t>
  </si>
  <si>
    <t>CDCARD 2005</t>
  </si>
  <si>
    <t>RFS10814</t>
  </si>
  <si>
    <t>CDU 14 Units A5 ASSORTED ELASTIC LEATHERETTE NOTEBOOKS</t>
  </si>
  <si>
    <t>RFS11213</t>
  </si>
  <si>
    <t>CDU 14 Units A5 LEATHERETTE DOODLE BOOKS</t>
  </si>
  <si>
    <t>RFS10813</t>
  </si>
  <si>
    <t>CDU 28 Units A6 ASSORTED ELASTIC LEATHERETTE NOTEBOOKS</t>
  </si>
  <si>
    <t>RFS11214</t>
  </si>
  <si>
    <t>CDU 28 units A6 LEATHERETTE DOODLE BOOKS IN</t>
  </si>
  <si>
    <t>PACBIH01</t>
  </si>
  <si>
    <t>CDU : Ice House Books (Empty)</t>
  </si>
  <si>
    <t>CDUQ1</t>
  </si>
  <si>
    <t>CDU BTB and Story of Us</t>
  </si>
  <si>
    <t>CDUCCS</t>
  </si>
  <si>
    <t>CDU CUP CAKE SOCKS</t>
  </si>
  <si>
    <t>CDUQ2</t>
  </si>
  <si>
    <t>CDU Timeless</t>
  </si>
  <si>
    <t>CST005</t>
  </si>
  <si>
    <t>Ceramic Coaster Fruit William Morris</t>
  </si>
  <si>
    <t>CST003</t>
  </si>
  <si>
    <t>Ceramic Coaster Jasmine William Morris</t>
  </si>
  <si>
    <t>CST007</t>
  </si>
  <si>
    <t>Ceramic Coaster Larkspur Mint William Morris</t>
  </si>
  <si>
    <t>CST001</t>
  </si>
  <si>
    <t>Ceramic Coaster Marigold William Morris</t>
  </si>
  <si>
    <t>CST006</t>
  </si>
  <si>
    <t>Ceramic Coaster Strawberry Thief William Morris</t>
  </si>
  <si>
    <t>CST009</t>
  </si>
  <si>
    <t>Ceramic Coaster Sweet Briar William Morris</t>
  </si>
  <si>
    <t>CST008</t>
  </si>
  <si>
    <t>Ceramic Coaster Vintage Blume William Morris</t>
  </si>
  <si>
    <t>CST004</t>
  </si>
  <si>
    <t>Ceramic Coaster Wild Tulip William Morris</t>
  </si>
  <si>
    <t>CST002</t>
  </si>
  <si>
    <t>Ceramic Coaster Willow Bough William Morris</t>
  </si>
  <si>
    <t>CCFQ</t>
  </si>
  <si>
    <t>Ceramic Coasters Funny Quotes Set Up 42 pieces w Display</t>
  </si>
  <si>
    <t>RS037</t>
  </si>
  <si>
    <t>Chapter &amp; Sole - Cats, Coffee and Books</t>
  </si>
  <si>
    <t>RS038</t>
  </si>
  <si>
    <t>Chapter &amp; Sole - Dogs and Books</t>
  </si>
  <si>
    <t>RS035</t>
  </si>
  <si>
    <t>Chapter &amp; Sole - It's Not Hoarding If It's Books</t>
  </si>
  <si>
    <t>RS034</t>
  </si>
  <si>
    <t>Chapter &amp; Sole - Just One More Chapter</t>
  </si>
  <si>
    <t>RS039</t>
  </si>
  <si>
    <t>Chapter &amp; Sole - No Such Thing As Too Many Books</t>
  </si>
  <si>
    <t>RS036</t>
  </si>
  <si>
    <t>Chapter &amp; Sole - Read Books Drink Tea Be Happy</t>
  </si>
  <si>
    <t>RS033</t>
  </si>
  <si>
    <t>Chapter &amp; Sole - Reading is Dreaming With Your Eyes Open</t>
  </si>
  <si>
    <t>CSWDU</t>
  </si>
  <si>
    <t>Chapter &amp; Sole Sock Display</t>
  </si>
  <si>
    <t>CSRSSU</t>
  </si>
  <si>
    <t>Chapter &amp; Sole Sock Set Up</t>
  </si>
  <si>
    <t>CF1</t>
  </si>
  <si>
    <t>Charcoal Filter</t>
  </si>
  <si>
    <t>C1</t>
  </si>
  <si>
    <t>Charity Item</t>
  </si>
  <si>
    <t>Cheese Plates - Mahattan, S/4 18cm</t>
  </si>
  <si>
    <t>Cheese Stones - Black, S/6 4cm</t>
  </si>
  <si>
    <t>RFS10459</t>
  </si>
  <si>
    <t>Chess &amp; Backgammon Set Vintage</t>
  </si>
  <si>
    <t>CC01</t>
  </si>
  <si>
    <t>Christmas Crackers for Book Lovers - Box of 9</t>
  </si>
  <si>
    <t>RFS11232</t>
  </si>
  <si>
    <t>CHUNKY PHOTO ALBUM - PETER RABBIT STRIPES</t>
  </si>
  <si>
    <t>SPCD</t>
  </si>
  <si>
    <t>Classic CD Setup</t>
  </si>
  <si>
    <t>DVDSP</t>
  </si>
  <si>
    <t>Classic DVD Setup</t>
  </si>
  <si>
    <t>SM009</t>
  </si>
  <si>
    <t>Classic World Scratch Map</t>
  </si>
  <si>
    <t>CY18</t>
  </si>
  <si>
    <t>CLASSIC YEARS 18TH BIRTHDAY CDCARD</t>
  </si>
  <si>
    <t>CY21</t>
  </si>
  <si>
    <t>CLASSIC YEARS 21ST BIRTHDAY CDCARD</t>
  </si>
  <si>
    <t>CY30</t>
  </si>
  <si>
    <t>CLASSIC YEARS 30TH BIRTHDAY CDCARD</t>
  </si>
  <si>
    <t>CY40</t>
  </si>
  <si>
    <t>CLASSIC YEARS 40TH BIRTHDAY CDCARD</t>
  </si>
  <si>
    <t>CY50</t>
  </si>
  <si>
    <t>CLASSIC YEARS 50TH BIRTHDAY CDCARD</t>
  </si>
  <si>
    <t>CY60</t>
  </si>
  <si>
    <t>CLASSIC YEARS 60TH BIRTHDAY CDCARD</t>
  </si>
  <si>
    <t>CY70</t>
  </si>
  <si>
    <t>CLASSIC YEARS 70TH BIRTHDAY CDCARD</t>
  </si>
  <si>
    <t>SP929</t>
  </si>
  <si>
    <t>Clip On Letter Starter Pack 72 units</t>
  </si>
  <si>
    <t>CDU1400</t>
  </si>
  <si>
    <t>CLIP ON LETTER WIRE SPINNER</t>
  </si>
  <si>
    <t>CLIP STRIP FOR EDB</t>
  </si>
  <si>
    <t>GR170006</t>
  </si>
  <si>
    <t>CLUEDO - ESPRESSO CUP GIFT SET</t>
  </si>
  <si>
    <t>GR170005</t>
  </si>
  <si>
    <t>CLUEDO A5 NOTEBOOK - SECRET NOTES</t>
  </si>
  <si>
    <t>GR170004</t>
  </si>
  <si>
    <t>CLUEDO COASTERS SET OF 6</t>
  </si>
  <si>
    <t>GR170003</t>
  </si>
  <si>
    <t>CLUEDO PLACEMATS SET OF 6</t>
  </si>
  <si>
    <t>CST16582</t>
  </si>
  <si>
    <t>COASTER - A RECENT STUDY FOUND</t>
  </si>
  <si>
    <t>CST011</t>
  </si>
  <si>
    <t>Coaster - Adulting infused with wine and cake</t>
  </si>
  <si>
    <t>CST19706</t>
  </si>
  <si>
    <t>COASTER - BATTLE BODY</t>
  </si>
  <si>
    <t>CST8531</t>
  </si>
  <si>
    <t>COASTER - BEER, ITS CHEAPER</t>
  </si>
  <si>
    <t>CST012</t>
  </si>
  <si>
    <t>Coaster - Boss Lady</t>
  </si>
  <si>
    <t>CST6013</t>
  </si>
  <si>
    <t>COASTER - BOTH OF US CAN'T LOOK GOOD</t>
  </si>
  <si>
    <t>CST17020</t>
  </si>
  <si>
    <t>COASTER - CHILDREN : THE GIFT THAT KEEPS TAKING</t>
  </si>
  <si>
    <t>CSTTA7</t>
  </si>
  <si>
    <t>COASTER - DAD'S SHED</t>
  </si>
  <si>
    <t>CST16725</t>
  </si>
  <si>
    <t>COASTER - DIFFICULT CHILDHOODS</t>
  </si>
  <si>
    <t>CST9250</t>
  </si>
  <si>
    <t>COASTER - DRINK COFFEE</t>
  </si>
  <si>
    <t>CST014</t>
  </si>
  <si>
    <t>Coaster - Drink wine and judge</t>
  </si>
  <si>
    <t>CST19702</t>
  </si>
  <si>
    <t>COASTER - GAVE A SHIT</t>
  </si>
  <si>
    <t>CST17004</t>
  </si>
  <si>
    <t>COASTER - HIDING EVERYTHING IS</t>
  </si>
  <si>
    <t>CST16661</t>
  </si>
  <si>
    <t>COASTER - HIPSTERS ARE WHAT HAPPENS</t>
  </si>
  <si>
    <t>CST17518</t>
  </si>
  <si>
    <t>COASTER - I COOK WITH WINE</t>
  </si>
  <si>
    <t>CST3030</t>
  </si>
  <si>
    <t>COASTER - I DON"T DO HOUSEWORK</t>
  </si>
  <si>
    <t>CST17073</t>
  </si>
  <si>
    <t>COASTER - I DRINK COFFEE BECAUSE I NEED IT</t>
  </si>
  <si>
    <t>CST013</t>
  </si>
  <si>
    <t>Coaster - I enjoy being used</t>
  </si>
  <si>
    <t>CST16728</t>
  </si>
  <si>
    <t>COASTER - I LIKE TO THINK COFFEE</t>
  </si>
  <si>
    <t>CST16727</t>
  </si>
  <si>
    <t>COASTER - I LOOKED UP FROM MY PHONE</t>
  </si>
  <si>
    <t>CST7182</t>
  </si>
  <si>
    <t>COASTER - I NEED A LOT OF COFFEE</t>
  </si>
  <si>
    <t>CST6016</t>
  </si>
  <si>
    <t>COASTER - I ONLY HAVE A KITCHEN</t>
  </si>
  <si>
    <t>CST16723</t>
  </si>
  <si>
    <t>COASTER - I REALLY NEED A DAY BETWEEN</t>
  </si>
  <si>
    <t>CST016</t>
  </si>
  <si>
    <t>Coaster - I think you are really funny - Vodka</t>
  </si>
  <si>
    <t>CST16881</t>
  </si>
  <si>
    <t>COASTER - I WEAR THE PANTS</t>
  </si>
  <si>
    <t>CST010</t>
  </si>
  <si>
    <t>Coaster - I'm here for the wine</t>
  </si>
  <si>
    <t>CST16963</t>
  </si>
  <si>
    <t>COASTER - I'M NOT OLD. I'M RETRO.</t>
  </si>
  <si>
    <t>CST19991</t>
  </si>
  <si>
    <t>COASTER - IF I AGREED WITH YOU</t>
  </si>
  <si>
    <t>CST9366</t>
  </si>
  <si>
    <t>COASTER - IT'S BETTER TO HAVE LOVED</t>
  </si>
  <si>
    <t>CST7409</t>
  </si>
  <si>
    <t>COASTER - JUST BECAUSE I WORK HERE</t>
  </si>
  <si>
    <t>CST19719</t>
  </si>
  <si>
    <t>COASTER - MY COFFEE NEEDS COFFEE</t>
  </si>
  <si>
    <t>CST16869</t>
  </si>
  <si>
    <t>COASTER - MY FANTASY</t>
  </si>
  <si>
    <t>CST16665</t>
  </si>
  <si>
    <t>COASTER - MY PROBLEM IS THAT</t>
  </si>
  <si>
    <t>CST16824</t>
  </si>
  <si>
    <t>COASTER - NEVER LAUGH</t>
  </si>
  <si>
    <t>CST8545</t>
  </si>
  <si>
    <t>COASTER - OF COURSE I LOVE YOU</t>
  </si>
  <si>
    <t>CSTPMU5</t>
  </si>
  <si>
    <t>COASTER - PICK ME UP - ALCOHOL</t>
  </si>
  <si>
    <t>CSTPMU1</t>
  </si>
  <si>
    <t>COASTER - PICK ME UP - COFFEE</t>
  </si>
  <si>
    <t>CSTPMU4</t>
  </si>
  <si>
    <t>COASTER - PICK ME UP - SHOPPING</t>
  </si>
  <si>
    <t>CSTPMU2</t>
  </si>
  <si>
    <t>COASTER - PICK ME UP - TEA</t>
  </si>
  <si>
    <t>CSTPMU3</t>
  </si>
  <si>
    <t>COASTER - PICK ME UP - WORK</t>
  </si>
  <si>
    <t>CST018</t>
  </si>
  <si>
    <t>Coaster - Please leave by 9</t>
  </si>
  <si>
    <t>CST19709</t>
  </si>
  <si>
    <t>COASTER - REALIZE NO SENSE</t>
  </si>
  <si>
    <t>CST19704</t>
  </si>
  <si>
    <t>COASTER - SOMETIMES PEOPLE SEE ME</t>
  </si>
  <si>
    <t>CST19701</t>
  </si>
  <si>
    <t>COASTER - TEMPTATION</t>
  </si>
  <si>
    <t>CST7811</t>
  </si>
  <si>
    <t>COASTER - THE FIRST 50 YEARS</t>
  </si>
  <si>
    <t>CST017</t>
  </si>
  <si>
    <t>Coaster - They are definitely into you - Rum</t>
  </si>
  <si>
    <t>CST19710</t>
  </si>
  <si>
    <t>COASTER - TIME IN THE DAY</t>
  </si>
  <si>
    <t>CST17492</t>
  </si>
  <si>
    <t>COASTER - TO SAVE TIME</t>
  </si>
  <si>
    <t>CST015</t>
  </si>
  <si>
    <t>Coaster - Trust me you can dance - Gin</t>
  </si>
  <si>
    <t>CST7548</t>
  </si>
  <si>
    <t>COASTER - YOU MEAN DRINKING BEER</t>
  </si>
  <si>
    <t>AGCCDU</t>
  </si>
  <si>
    <t>Coaster CDU</t>
  </si>
  <si>
    <t>DICSO1B</t>
  </si>
  <si>
    <t>COASTER COUNTER 40 POCKET SPINNER</t>
  </si>
  <si>
    <t>CTDC</t>
  </si>
  <si>
    <t>Coaster Display Card</t>
  </si>
  <si>
    <t>DISP16</t>
  </si>
  <si>
    <t>Coaster Display Starter Pack 54 units</t>
  </si>
  <si>
    <t>CST7474</t>
  </si>
  <si>
    <t>COASTER-COFFEE!</t>
  </si>
  <si>
    <t>CSTTA3</t>
  </si>
  <si>
    <t>COASTER-DAD'S TAXI</t>
  </si>
  <si>
    <t>CST16917</t>
  </si>
  <si>
    <t>COASTER-I JUST WANT PEOPLE TO ACCEPT ME</t>
  </si>
  <si>
    <t>CST6005</t>
  </si>
  <si>
    <t>COASTER-I'M NOT HARD TO PLEASE</t>
  </si>
  <si>
    <t>CSTTA5</t>
  </si>
  <si>
    <t>COASTER-LATTE AFTER THE SCHOOL RUN</t>
  </si>
  <si>
    <t>CST8528</t>
  </si>
  <si>
    <t>COASTER-QUEEN OF F'ING EVERYTHING</t>
  </si>
  <si>
    <t>CST4WM01</t>
  </si>
  <si>
    <t>Coasters Set of 4 - William Morris (Blue &amp; Ochre Mixed)</t>
  </si>
  <si>
    <t>CST1PC02</t>
  </si>
  <si>
    <t>Coasters Single - Planet Cat (Great Thoughts)</t>
  </si>
  <si>
    <t>CST1PC04</t>
  </si>
  <si>
    <t>Coasters Single - Planet Cat (Greater Love)</t>
  </si>
  <si>
    <t>CST1PC06</t>
  </si>
  <si>
    <t>Coasters Single - Planet Cat (Mysterious Folk)</t>
  </si>
  <si>
    <t>CST1PC03</t>
  </si>
  <si>
    <t>Coasters Single - Planet Cat (Simple Life)</t>
  </si>
  <si>
    <t>CST1PC05</t>
  </si>
  <si>
    <t>Coasters Single - Planet Cat (Slow Down)</t>
  </si>
  <si>
    <t>CST1PC01</t>
  </si>
  <si>
    <t>Coasters Single - Planet Cat (Time Spent)</t>
  </si>
  <si>
    <t>CCWM</t>
  </si>
  <si>
    <t>Coasters William Morris Set Up 36 pieces w Display</t>
  </si>
  <si>
    <t>WFM014</t>
  </si>
  <si>
    <t>Cockatoo - Australian Made Wooden Fridge Magnet</t>
  </si>
  <si>
    <t>WK014</t>
  </si>
  <si>
    <t>Cockatoo - Australian Made Wooden Key Ring</t>
  </si>
  <si>
    <t>WO037</t>
  </si>
  <si>
    <t>Cockatoo - Australian Made Wooden Ornament</t>
  </si>
  <si>
    <t>WM016</t>
  </si>
  <si>
    <t>Coin Pouch - William Morris (Grey Larkspur)</t>
  </si>
  <si>
    <t>WM006</t>
  </si>
  <si>
    <t>Coin Pouch - William Morris (Mint Larkspur)</t>
  </si>
  <si>
    <t>WM015</t>
  </si>
  <si>
    <t>Coin Pouch - William Morris (Rose Gold Larkspur)</t>
  </si>
  <si>
    <t>WM029</t>
  </si>
  <si>
    <t>Coin Pouch - William Morris Lavender Strawberry Thief</t>
  </si>
  <si>
    <t>WM030</t>
  </si>
  <si>
    <t>Coin Pouch - William Morris Sweet Briar</t>
  </si>
  <si>
    <t>PURSRHS02</t>
  </si>
  <si>
    <t>Coin Purse - RHS (PVC Coral)</t>
  </si>
  <si>
    <t>ROTOT</t>
  </si>
  <si>
    <t>COLLECTORS TIN</t>
  </si>
  <si>
    <t>CDU917D24</t>
  </si>
  <si>
    <t>COMPACT LENS 24 HOOK STAND</t>
  </si>
  <si>
    <t>CM08</t>
  </si>
  <si>
    <t>Compact Mirror - Australian Natives</t>
  </si>
  <si>
    <t>CM09</t>
  </si>
  <si>
    <t>Compact Mirror - Golden Wattle</t>
  </si>
  <si>
    <t>CM02</t>
  </si>
  <si>
    <t>Compact Mirror - Strawberry Thief</t>
  </si>
  <si>
    <t>CM06</t>
  </si>
  <si>
    <t>Compact Mirror - Sunflowers</t>
  </si>
  <si>
    <t>CM10</t>
  </si>
  <si>
    <t>Compact Mirror - Tropical Koala</t>
  </si>
  <si>
    <t>CM07</t>
  </si>
  <si>
    <t>Compact Mirror - Water Lilies</t>
  </si>
  <si>
    <t>CMCDU</t>
  </si>
  <si>
    <t>Compact Mirror CDU</t>
  </si>
  <si>
    <t>CM03</t>
  </si>
  <si>
    <t>Compact Mirror Fruit</t>
  </si>
  <si>
    <t>CM05</t>
  </si>
  <si>
    <t>Compact Mirror Kilburn</t>
  </si>
  <si>
    <t>CM04</t>
  </si>
  <si>
    <t>Compact Mirror Peonie Rose</t>
  </si>
  <si>
    <t>CMASS24</t>
  </si>
  <si>
    <t>Compact Mirrors - Assorted 24 Units</t>
  </si>
  <si>
    <t>CM01</t>
  </si>
  <si>
    <t>Compact Mirrors - William Morris 24 Units</t>
  </si>
  <si>
    <t>PB02</t>
  </si>
  <si>
    <t>Compact Mirrors and Pill Boxes - Fruit and Strawberry Thief 24 Units</t>
  </si>
  <si>
    <t>PB03</t>
  </si>
  <si>
    <t>Compact Mirrors and Pill Boxes - Peonie Rose and Kilburn 24 Units</t>
  </si>
  <si>
    <t>PB04</t>
  </si>
  <si>
    <t>Compact Mirrors and Pill Boxes - Sunflowers and Water Lilies 24 Units</t>
  </si>
  <si>
    <t>BH007C</t>
  </si>
  <si>
    <t>Component - Black Floral Hair Wrap</t>
  </si>
  <si>
    <t>BH023C</t>
  </si>
  <si>
    <t>Component - Black Floral Satin Eyemask and Scrunchie</t>
  </si>
  <si>
    <t>BH031C</t>
  </si>
  <si>
    <t>Component - Black Floral Satin Pillow</t>
  </si>
  <si>
    <t>BH027C</t>
  </si>
  <si>
    <t>Component - Black Floral Satin Sleep Cap</t>
  </si>
  <si>
    <t>BH003C</t>
  </si>
  <si>
    <t>Component - Black Floral Shower Cap</t>
  </si>
  <si>
    <t>BH035C</t>
  </si>
  <si>
    <t>Component - Black Floral Slippers</t>
  </si>
  <si>
    <t>BH015C</t>
  </si>
  <si>
    <t>Component - Black Floral Spa Head Band</t>
  </si>
  <si>
    <t>BH011C</t>
  </si>
  <si>
    <t>Component - Black Floral Towling Scrunchie</t>
  </si>
  <si>
    <t>BH018C</t>
  </si>
  <si>
    <t>Component - Derma Roller</t>
  </si>
  <si>
    <t>BH017C</t>
  </si>
  <si>
    <t>Component - Ice Roller</t>
  </si>
  <si>
    <t>BH019C</t>
  </si>
  <si>
    <t>Component - Jade Roller</t>
  </si>
  <si>
    <t>BH005C</t>
  </si>
  <si>
    <t>Component - Leopard Print Hair Wrap</t>
  </si>
  <si>
    <t>BH021C</t>
  </si>
  <si>
    <t>Component - Leopard Print Satin Eyemask and Scrunchie</t>
  </si>
  <si>
    <t>BH029C</t>
  </si>
  <si>
    <t>Component - Leopard Print Satin Pillow</t>
  </si>
  <si>
    <t>BH025C</t>
  </si>
  <si>
    <t>Component - Leopard Print Satin Sleep Cap</t>
  </si>
  <si>
    <t>BH001C</t>
  </si>
  <si>
    <t>Component - Leopard Print Shower Cap</t>
  </si>
  <si>
    <t>BH033C</t>
  </si>
  <si>
    <t>Component - Leopard Print Slippers</t>
  </si>
  <si>
    <t>BH013C</t>
  </si>
  <si>
    <t>Component - Leopard Print Spa Head Band</t>
  </si>
  <si>
    <t>BH009C</t>
  </si>
  <si>
    <t>Component - Leopard Print Towling Scrunchie</t>
  </si>
  <si>
    <t>BH008C</t>
  </si>
  <si>
    <t>Component - Peonie Rose Hair Wrap</t>
  </si>
  <si>
    <t>BH024C</t>
  </si>
  <si>
    <t>Component - Peonie Rose Satin Eyemask and Scrunchie</t>
  </si>
  <si>
    <t>BH032C</t>
  </si>
  <si>
    <t>Component - Peonie Rose Satin Pillow</t>
  </si>
  <si>
    <t>BH028C</t>
  </si>
  <si>
    <t>Component - Peonie Rose Satin Sleep Cap</t>
  </si>
  <si>
    <t>BH004C</t>
  </si>
  <si>
    <t>Component - Peonie Rose Shower Cap</t>
  </si>
  <si>
    <t>BH036C</t>
  </si>
  <si>
    <t>Component - Peonie Rose Slippers</t>
  </si>
  <si>
    <t>BH016C</t>
  </si>
  <si>
    <t>Component - Peonie Rose Spa Head Band</t>
  </si>
  <si>
    <t>BH012C</t>
  </si>
  <si>
    <t>Component - Peonie Rose Towling Scrunchie</t>
  </si>
  <si>
    <t>BH006C</t>
  </si>
  <si>
    <t>Component - Pink Polka Dot Hair Wrap</t>
  </si>
  <si>
    <t>BH022C</t>
  </si>
  <si>
    <t>Component - Pink Polka Dot Satin Eyemask and Scrunchie</t>
  </si>
  <si>
    <t>BH030C</t>
  </si>
  <si>
    <t>Component - Pink Polka Dot Satin Pillow</t>
  </si>
  <si>
    <t>BH026C</t>
  </si>
  <si>
    <t>Component - Pink Polka Dot Satin Sleep Cap</t>
  </si>
  <si>
    <t>BH002C</t>
  </si>
  <si>
    <t>Component - Pink Polka Dot Shower Cap</t>
  </si>
  <si>
    <t>BH034C</t>
  </si>
  <si>
    <t>Component - Pink Polka Dot Slippers</t>
  </si>
  <si>
    <t>BH014C</t>
  </si>
  <si>
    <t>Component - Pink Polka Dot Spa Head Band</t>
  </si>
  <si>
    <t>BH010C</t>
  </si>
  <si>
    <t>Component - Pink Polka Dot Towling Scrunchie</t>
  </si>
  <si>
    <t>BH020C</t>
  </si>
  <si>
    <t>Component - Rose Quartz Roller</t>
  </si>
  <si>
    <t>JOCM</t>
  </si>
  <si>
    <t>COOKING UP MEMORIES, FROM YOU TO ME</t>
  </si>
  <si>
    <t>Cooling Cubes - S/4 3cm</t>
  </si>
  <si>
    <t>CB07</t>
  </si>
  <si>
    <t>Cosmetic Bag - Australian Natives</t>
  </si>
  <si>
    <t>CB11</t>
  </si>
  <si>
    <t>Cosmetic Bag - Falling Free</t>
  </si>
  <si>
    <t>CB02</t>
  </si>
  <si>
    <t>Cosmetic Bag - Fruit</t>
  </si>
  <si>
    <t>CB08</t>
  </si>
  <si>
    <t>Cosmetic Bag - Golden Wattle</t>
  </si>
  <si>
    <t>CB04</t>
  </si>
  <si>
    <t>Cosmetic Bag - Kilburn</t>
  </si>
  <si>
    <t>CB03</t>
  </si>
  <si>
    <t>Cosmetic Bag - Peonie Rose</t>
  </si>
  <si>
    <t>MAKEPC01</t>
  </si>
  <si>
    <t>Cosmetic Bag - Planet Cat (Simple Life)</t>
  </si>
  <si>
    <t>CB10</t>
  </si>
  <si>
    <t>Cosmetic Bag - Quiet Blossom</t>
  </si>
  <si>
    <t>MAKERHS01</t>
  </si>
  <si>
    <t>Cosmetic Bag - RHS (Oilcloth Irises &amp; Hellebores)</t>
  </si>
  <si>
    <t>MAKERHS05</t>
  </si>
  <si>
    <t>Cosmetic bag - RHS (PVC Coral)</t>
  </si>
  <si>
    <t>CB01</t>
  </si>
  <si>
    <t>Cosmetic Bag - Strawberry Thief</t>
  </si>
  <si>
    <t>CB05</t>
  </si>
  <si>
    <t>Cosmetic Bag - Sunflowers</t>
  </si>
  <si>
    <t>CB09</t>
  </si>
  <si>
    <t>Cosmetic Bag - Tropical Koala</t>
  </si>
  <si>
    <t>CB06</t>
  </si>
  <si>
    <t>Cosmetic Bag - Water Lilies</t>
  </si>
  <si>
    <t>MAKEWM01</t>
  </si>
  <si>
    <t>Cosmetic Bag - William Morris (Strawberry Thief Blue)</t>
  </si>
  <si>
    <t>WM020</t>
  </si>
  <si>
    <t>Cosmetics Bag - William Morris Lavender Strawberry Thief</t>
  </si>
  <si>
    <t>WM019</t>
  </si>
  <si>
    <t>Cosmetics Bag - William Morris Mint Larkspur</t>
  </si>
  <si>
    <t>WM021</t>
  </si>
  <si>
    <t>Cosmetics Bag - William Morris Sweet Briar</t>
  </si>
  <si>
    <t>CSD</t>
  </si>
  <si>
    <t>Counter Stand Display</t>
  </si>
  <si>
    <t>RFS11116</t>
  </si>
  <si>
    <t>CRACKERS WITH MAGIC GAMES</t>
  </si>
  <si>
    <t>TC007</t>
  </si>
  <si>
    <t>Craftsman - BBQ Master Set</t>
  </si>
  <si>
    <t>TC006</t>
  </si>
  <si>
    <t>Craftsman - Beard Shaping Kit</t>
  </si>
  <si>
    <t>TC003</t>
  </si>
  <si>
    <t>Craftsman - Docking Station</t>
  </si>
  <si>
    <t>TC004</t>
  </si>
  <si>
    <t>Craftsman - Large Valet Tray</t>
  </si>
  <si>
    <t>TC002</t>
  </si>
  <si>
    <t>Craftsman - Leather Shoe Cleaning Kit</t>
  </si>
  <si>
    <t>TC001</t>
  </si>
  <si>
    <t>Craftsman - Sneaker Cleaning Kit</t>
  </si>
  <si>
    <t>TC011</t>
  </si>
  <si>
    <t>Craftsman - Toiletry Bag</t>
  </si>
  <si>
    <t>TC008</t>
  </si>
  <si>
    <t>Craftsman - Twin Hip Flask</t>
  </si>
  <si>
    <t>TC012</t>
  </si>
  <si>
    <t>Craftsman - Watch Roll</t>
  </si>
  <si>
    <t>CFD22</t>
  </si>
  <si>
    <t>Craftsman Fathers Day Offer 2022 Pack of each at 10 Pct Discount</t>
  </si>
  <si>
    <t>CRD</t>
  </si>
  <si>
    <t>Creams Display</t>
  </si>
  <si>
    <t>credit</t>
  </si>
  <si>
    <t>Credit</t>
  </si>
  <si>
    <t>CREDIT CARD MAGNIFIER</t>
  </si>
  <si>
    <t>CBALL01</t>
  </si>
  <si>
    <t>CRICKET BALL - VINTAGE RED &amp; WHITE STRIPE</t>
  </si>
  <si>
    <t>BAGRHS02</t>
  </si>
  <si>
    <t>Cross Body Bag - RHS (Irises &amp; Hellebores)</t>
  </si>
  <si>
    <t>ZCUPTA03</t>
  </si>
  <si>
    <t>CUP &amp; SAUCER - MUM'S TAXI</t>
  </si>
  <si>
    <t>ZCUP7290</t>
  </si>
  <si>
    <t>CUP &amp; SAUCER-COFFEE, I BELIEVE IN COFFEE</t>
  </si>
  <si>
    <t>CCSCDU</t>
  </si>
  <si>
    <t>Cup Cake Socks CDU</t>
  </si>
  <si>
    <t>CS003</t>
  </si>
  <si>
    <t>Cupcake Socks - Berry Bang</t>
  </si>
  <si>
    <t>CS002</t>
  </si>
  <si>
    <t>Cupcake Socks - Blue Frosted</t>
  </si>
  <si>
    <t>CS005</t>
  </si>
  <si>
    <t>Cupcake Socks - Dark Infusion</t>
  </si>
  <si>
    <t>CS001</t>
  </si>
  <si>
    <t>Cupcake Socks - Hundreds and Thousands</t>
  </si>
  <si>
    <t>CS004</t>
  </si>
  <si>
    <t>Cupcake Socks - Rasberry Swirl</t>
  </si>
  <si>
    <t>CS006</t>
  </si>
  <si>
    <t>Cupcake Socks - Strawberry Love</t>
  </si>
  <si>
    <t>CSSU</t>
  </si>
  <si>
    <t>Cupcake Socks Set Up</t>
  </si>
  <si>
    <t>CUSHWM06</t>
  </si>
  <si>
    <t>Cushion (30x50) - William Morris (Willow Grey)</t>
  </si>
  <si>
    <t>CUSHWM05</t>
  </si>
  <si>
    <t>Cushion (30x50) - William Morris (Willow Ochre)</t>
  </si>
  <si>
    <t>CUSHWM01</t>
  </si>
  <si>
    <t>Cushion (40 x 40) - William Morris (Strawberry Thief Blue)</t>
  </si>
  <si>
    <t>WM002</t>
  </si>
  <si>
    <t>Cushion - William Morris (Blue Larkspur)</t>
  </si>
  <si>
    <t>WM003</t>
  </si>
  <si>
    <t>Cushion - William Morris (Rose Gold Larkspur)</t>
  </si>
  <si>
    <t>CUSHPC01</t>
  </si>
  <si>
    <t>Cushion Filled - Planet Cat (Slow Down)</t>
  </si>
  <si>
    <t>RFS11628</t>
  </si>
  <si>
    <t>Cylinder Tin Compendium</t>
  </si>
  <si>
    <t>DMJ</t>
  </si>
  <si>
    <t>DAD &amp; ME JOURNAL</t>
  </si>
  <si>
    <t>BSS001</t>
  </si>
  <si>
    <t>DARK FLORAL STATIONARY SET</t>
  </si>
  <si>
    <t>DBCDU</t>
  </si>
  <si>
    <t>Dartboard CDU</t>
  </si>
  <si>
    <t>DBB</t>
  </si>
  <si>
    <t>DEAR BABY GUEST BOOK - BLUE</t>
  </si>
  <si>
    <t>DBG</t>
  </si>
  <si>
    <t>DEAR BABY GUEST BOOK - GREEN</t>
  </si>
  <si>
    <t>DBP</t>
  </si>
  <si>
    <t>DEAR BABY GUEST BOOK - PINK</t>
  </si>
  <si>
    <t>JOB</t>
  </si>
  <si>
    <t>DEAR BROTHER, FROM YOU TO ME</t>
  </si>
  <si>
    <t>JOD</t>
  </si>
  <si>
    <t>DEAR DAD, FROM YOU TO ME</t>
  </si>
  <si>
    <t>T2L</t>
  </si>
  <si>
    <t>Dear Daddy Love from Me</t>
  </si>
  <si>
    <t>T2N</t>
  </si>
  <si>
    <t>Dear Daddy Love from Us</t>
  </si>
  <si>
    <t>JOF</t>
  </si>
  <si>
    <t>DEAR FRIEND, FROM YOU TO ME</t>
  </si>
  <si>
    <t>JOGD</t>
  </si>
  <si>
    <t>DEAR GRANDAD, FROM YOU TO ME</t>
  </si>
  <si>
    <t>JOGM</t>
  </si>
  <si>
    <t>DEAR GRANDMA, FROM YOU TO ME</t>
  </si>
  <si>
    <t>JOM</t>
  </si>
  <si>
    <t>DEAR MUM, FROM YOU TO ME</t>
  </si>
  <si>
    <t>T2K</t>
  </si>
  <si>
    <t>Dear Mummy Love From Me</t>
  </si>
  <si>
    <t>T2M</t>
  </si>
  <si>
    <t>Dear Mummy Love From Us</t>
  </si>
  <si>
    <t>JOSIS</t>
  </si>
  <si>
    <t>DEAR SISTER, FROM YOU TO ME</t>
  </si>
  <si>
    <t>JOSON</t>
  </si>
  <si>
    <t>DEAR SON, FROM YOU TO ME</t>
  </si>
  <si>
    <t>xxzz</t>
  </si>
  <si>
    <t>Deleted item</t>
  </si>
  <si>
    <t>HQ001C</t>
  </si>
  <si>
    <t>Dice Cup, Dice &amp; Playing Cards - HARLEQUIN GAMES Dice Cup</t>
  </si>
  <si>
    <t>HQ001P</t>
  </si>
  <si>
    <t>Dice Cup, Dice &amp; Playing Cards - HARLEQUIN GAMES Playing Cards</t>
  </si>
  <si>
    <t>35BN06</t>
  </si>
  <si>
    <t>DIE CUT NOTEBOOK - DORMOBILE</t>
  </si>
  <si>
    <t>JODM</t>
  </si>
  <si>
    <t>DIGGING UP MEMORIES, FROM YOU TO ME</t>
  </si>
  <si>
    <t>CS32</t>
  </si>
  <si>
    <t>Dinosaur Range Sleeve</t>
  </si>
  <si>
    <t>Discontinued Products</t>
  </si>
  <si>
    <t>CDUBJ</t>
  </si>
  <si>
    <t>Display Baby Journals</t>
  </si>
  <si>
    <t>CDUFYTMC</t>
  </si>
  <si>
    <t>Display From You To Me</t>
  </si>
  <si>
    <t>DOG EARS BOOKMARK - BULLDOG</t>
  </si>
  <si>
    <t>DOG EARS BOOKMARK - DACHSHUND</t>
  </si>
  <si>
    <t>DOG EARS BOOKMARK - GOLDEN RETRIEVER</t>
  </si>
  <si>
    <t>DOG EARS BOOKMARK - LABRADOR</t>
  </si>
  <si>
    <t>DOG EARS BOOKMARK - PUG</t>
  </si>
  <si>
    <t>DOG EARS BOOKMARK - TERRIER</t>
  </si>
  <si>
    <t>CDU374</t>
  </si>
  <si>
    <t>DOG EARS BOOKMARKS DISPLAY STAND</t>
  </si>
  <si>
    <t>SWC005</t>
  </si>
  <si>
    <t>Dog Shaming Calendar</t>
  </si>
  <si>
    <t>DSTD</t>
  </si>
  <si>
    <t>Double Sided Table Top Display (Christmas Ornaments)</t>
  </si>
  <si>
    <t>GLSVR22</t>
  </si>
  <si>
    <t>DRINKING GLASSES - SET OF TWO</t>
  </si>
  <si>
    <t>DTFA</t>
  </si>
  <si>
    <t>DTF Adhesive 1KG</t>
  </si>
  <si>
    <t>DTFHP</t>
  </si>
  <si>
    <t>DTF Hot Peel 60cm x 100m</t>
  </si>
  <si>
    <t>DTFC</t>
  </si>
  <si>
    <t>DTF Ink - Cyan  1 Litre</t>
  </si>
  <si>
    <t>DTFK</t>
  </si>
  <si>
    <t>DTF Ink - Key  1 Litre</t>
  </si>
  <si>
    <t>DTFM</t>
  </si>
  <si>
    <t>DTF Ink - Magenta  1 Litre</t>
  </si>
  <si>
    <t>DTFW</t>
  </si>
  <si>
    <t>DTF Ink - White 1 Litre</t>
  </si>
  <si>
    <t>DTFY</t>
  </si>
  <si>
    <t>DTF Ink - Yellow  1 Litre</t>
  </si>
  <si>
    <t>DVDFS</t>
  </si>
  <si>
    <t>DVD CARD SPINNER</t>
  </si>
  <si>
    <t>DVDFSC</t>
  </si>
  <si>
    <t>DVD CARD SPINNER HEADER CARD</t>
  </si>
  <si>
    <t>DVDCDT</t>
  </si>
  <si>
    <t>DVD CD Tower</t>
  </si>
  <si>
    <t>D30</t>
  </si>
  <si>
    <t>DVDCARD 1930</t>
  </si>
  <si>
    <t>D31</t>
  </si>
  <si>
    <t>DVDCARD 1931</t>
  </si>
  <si>
    <t>D32</t>
  </si>
  <si>
    <t>DVDCARD 1932</t>
  </si>
  <si>
    <t>D33</t>
  </si>
  <si>
    <t>DVDCARD 1933</t>
  </si>
  <si>
    <t>D34</t>
  </si>
  <si>
    <t>DVDCARD 1934</t>
  </si>
  <si>
    <t>D35</t>
  </si>
  <si>
    <t>DVDCARD 1935</t>
  </si>
  <si>
    <t>D36</t>
  </si>
  <si>
    <t>DVDCARD 1936</t>
  </si>
  <si>
    <t>D37</t>
  </si>
  <si>
    <t>DVDCARD 1937</t>
  </si>
  <si>
    <t>D38</t>
  </si>
  <si>
    <t>DVDCARD 1938</t>
  </si>
  <si>
    <t>D39</t>
  </si>
  <si>
    <t>DVDCARD 1939</t>
  </si>
  <si>
    <t>D40</t>
  </si>
  <si>
    <t>DVDCARD 1940</t>
  </si>
  <si>
    <t>D41</t>
  </si>
  <si>
    <t>DVDCARD 1941</t>
  </si>
  <si>
    <t>D42</t>
  </si>
  <si>
    <t>DVDCARD 1942</t>
  </si>
  <si>
    <t>D43</t>
  </si>
  <si>
    <t>DVDCARD 1943</t>
  </si>
  <si>
    <t>D44</t>
  </si>
  <si>
    <t>DVDCARD 1944</t>
  </si>
  <si>
    <t>D45</t>
  </si>
  <si>
    <t>DVDCARD 1945</t>
  </si>
  <si>
    <t>D46</t>
  </si>
  <si>
    <t>DVDCARD 1946</t>
  </si>
  <si>
    <t>D47</t>
  </si>
  <si>
    <t>DVDCARD 1947</t>
  </si>
  <si>
    <t>D48</t>
  </si>
  <si>
    <t>DVDCARD 1948</t>
  </si>
  <si>
    <t>D49</t>
  </si>
  <si>
    <t>DVDCARD 1949</t>
  </si>
  <si>
    <t>D50</t>
  </si>
  <si>
    <t>DVDCARD 1950</t>
  </si>
  <si>
    <t>D51</t>
  </si>
  <si>
    <t>DVDCARD 1951</t>
  </si>
  <si>
    <t>D52</t>
  </si>
  <si>
    <t>DVDCARD 1952</t>
  </si>
  <si>
    <t>D53</t>
  </si>
  <si>
    <t>DVDCARD 1953</t>
  </si>
  <si>
    <t>D54</t>
  </si>
  <si>
    <t>DVDCARD 1954</t>
  </si>
  <si>
    <t>D55</t>
  </si>
  <si>
    <t>DVDCARD 1955</t>
  </si>
  <si>
    <t>D56</t>
  </si>
  <si>
    <t>DVDCARD 1956</t>
  </si>
  <si>
    <t>D57</t>
  </si>
  <si>
    <t>DVDCARD 1957</t>
  </si>
  <si>
    <t>D58</t>
  </si>
  <si>
    <t>DVDCARD 1958</t>
  </si>
  <si>
    <t>D59</t>
  </si>
  <si>
    <t>DVDCARD 1959</t>
  </si>
  <si>
    <t>D60</t>
  </si>
  <si>
    <t>DVDCARD 1960</t>
  </si>
  <si>
    <t>D61</t>
  </si>
  <si>
    <t>DVDCARD 1961</t>
  </si>
  <si>
    <t>D62</t>
  </si>
  <si>
    <t>DVDCARD 1962</t>
  </si>
  <si>
    <t>D63</t>
  </si>
  <si>
    <t>DVDCARD 1963</t>
  </si>
  <si>
    <t>D64</t>
  </si>
  <si>
    <t>DVDCARD 1964</t>
  </si>
  <si>
    <t>D65</t>
  </si>
  <si>
    <t>DVDCARD 1965</t>
  </si>
  <si>
    <t>D66</t>
  </si>
  <si>
    <t>DVDCARD 1966</t>
  </si>
  <si>
    <t>D67</t>
  </si>
  <si>
    <t>DVDCARD 1967</t>
  </si>
  <si>
    <t>D68</t>
  </si>
  <si>
    <t>DVDCARD 1968</t>
  </si>
  <si>
    <t>D69</t>
  </si>
  <si>
    <t>DVDCARD 1969</t>
  </si>
  <si>
    <t>D70</t>
  </si>
  <si>
    <t>DVDCARD 1970</t>
  </si>
  <si>
    <t>D71</t>
  </si>
  <si>
    <t>DVDCARD 1971</t>
  </si>
  <si>
    <t>D72</t>
  </si>
  <si>
    <t>DVDCARD 1972</t>
  </si>
  <si>
    <t>D73</t>
  </si>
  <si>
    <t>DVDCARD 1973</t>
  </si>
  <si>
    <t>D74</t>
  </si>
  <si>
    <t>DVDCARD 1974</t>
  </si>
  <si>
    <t>D75</t>
  </si>
  <si>
    <t>DVDCARD 1975</t>
  </si>
  <si>
    <t>D76</t>
  </si>
  <si>
    <t>DVDCARD 1976</t>
  </si>
  <si>
    <t>D77</t>
  </si>
  <si>
    <t>DVDCARD 1977</t>
  </si>
  <si>
    <t>D78</t>
  </si>
  <si>
    <t>DVDCARD 1978</t>
  </si>
  <si>
    <t>D79</t>
  </si>
  <si>
    <t>DVDCARD 1979</t>
  </si>
  <si>
    <t>D80</t>
  </si>
  <si>
    <t>DVDCARD 1980</t>
  </si>
  <si>
    <t>D81</t>
  </si>
  <si>
    <t>DVDCARD 1981</t>
  </si>
  <si>
    <t>D82</t>
  </si>
  <si>
    <t>DVDCARD 1982</t>
  </si>
  <si>
    <t>D83</t>
  </si>
  <si>
    <t>DVDCARD 1983</t>
  </si>
  <si>
    <t>D84</t>
  </si>
  <si>
    <t>DVDCARD 1984</t>
  </si>
  <si>
    <t>D85</t>
  </si>
  <si>
    <t>DVDCARD 1985</t>
  </si>
  <si>
    <t>D86</t>
  </si>
  <si>
    <t>DVDCARD 1986</t>
  </si>
  <si>
    <t>D87</t>
  </si>
  <si>
    <t>DVDCARD 1987</t>
  </si>
  <si>
    <t>D88</t>
  </si>
  <si>
    <t>DVDCARD 1988</t>
  </si>
  <si>
    <t>D89</t>
  </si>
  <si>
    <t>DVDCARD 1989</t>
  </si>
  <si>
    <t>D90</t>
  </si>
  <si>
    <t>DVDCARD 1990</t>
  </si>
  <si>
    <t>D91</t>
  </si>
  <si>
    <t>DVDCARD 1991</t>
  </si>
  <si>
    <t>D92</t>
  </si>
  <si>
    <t>DVDCARD 1992</t>
  </si>
  <si>
    <t>D93</t>
  </si>
  <si>
    <t>DVDCARD 1993</t>
  </si>
  <si>
    <t>D94</t>
  </si>
  <si>
    <t>DVDCARD 1994</t>
  </si>
  <si>
    <t>D95</t>
  </si>
  <si>
    <t>DVDCARD 1995</t>
  </si>
  <si>
    <t>DM40</t>
  </si>
  <si>
    <t>DVDCARD MILESTONE YEARS - 40TH</t>
  </si>
  <si>
    <t>DM50</t>
  </si>
  <si>
    <t>DVDCARD MILESTONE YEARS - 50TH</t>
  </si>
  <si>
    <t>DM60</t>
  </si>
  <si>
    <t>DVDCARD MILESTONE YEARS - 60TH</t>
  </si>
  <si>
    <t>DM70</t>
  </si>
  <si>
    <t>DVDCARD MILESTONE YEARS - 70TH</t>
  </si>
  <si>
    <t>EYB</t>
  </si>
  <si>
    <t>EARLY YEARS BLUE</t>
  </si>
  <si>
    <t>EYG</t>
  </si>
  <si>
    <t>EARLY YEARS GREY</t>
  </si>
  <si>
    <t>EYP</t>
  </si>
  <si>
    <t>EARLY YEARS PINK</t>
  </si>
  <si>
    <t>WFM015</t>
  </si>
  <si>
    <t>Echidna - Australian Made Wooden Fridge Magnet</t>
  </si>
  <si>
    <t>WK015</t>
  </si>
  <si>
    <t>Echidna - Australian Made Wooden Key Ring</t>
  </si>
  <si>
    <t>WO038</t>
  </si>
  <si>
    <t>Echidna - Australian Made Wooden Ornament</t>
  </si>
  <si>
    <t>SP378</t>
  </si>
  <si>
    <t>ECLECTIONARY BOOKMARKS PENS SET UP</t>
  </si>
  <si>
    <t>37600D</t>
  </si>
  <si>
    <t>ECLECTIONARY JOURNAL TABS  DISPLAY</t>
  </si>
  <si>
    <t>ECLECTIONARY JOURNAL TABS -  BOTANICAL</t>
  </si>
  <si>
    <t>ECLECTIONARY JOURNAL TABS -  FANTASY</t>
  </si>
  <si>
    <t>ECLECTIONARY JOURNAL TABS - GOOD VIBES</t>
  </si>
  <si>
    <t>ECLECTIONARY JOURNAL TABS - VINTAGE</t>
  </si>
  <si>
    <t>SP376</t>
  </si>
  <si>
    <t>ECLECTIONARY JOURNAL TABS STARTER PACK</t>
  </si>
  <si>
    <t>WS101</t>
  </si>
  <si>
    <t>Economy Wooden Spinner</t>
  </si>
  <si>
    <t>SP907</t>
  </si>
  <si>
    <t>ELECTRONIC DICTIONARY 2019 STARTER PACK - 6 of Each</t>
  </si>
  <si>
    <t>ELECTRONIC DICTIONARY B'MK 2019 - GREY</t>
  </si>
  <si>
    <t>ELECTRONIC DICTIONARY B'MK 2019 - PINK</t>
  </si>
  <si>
    <t>ELECTRONIC DICTIONARY B'MK 2019 - WHITE</t>
  </si>
  <si>
    <t>ELECTRONIC DICTIONARY B'MK GREY</t>
  </si>
  <si>
    <t>ELECTRONIC DICTIONARY B'MK WHITE</t>
  </si>
  <si>
    <t>ELECTRONIC DICTIONARY BILINGUAL - ARABIC ENGLISH</t>
  </si>
  <si>
    <t>ELECTRONIC DICTIONARY BILINGUAL - FRENCH - ENGLISH</t>
  </si>
  <si>
    <t>ELECTRONIC DICTIONARY BILINGUAL - GERMAN - ENGLISH</t>
  </si>
  <si>
    <t>ELECTRONIC DICTIONARY BILINGUAL - ITALIAN - ENGLISH</t>
  </si>
  <si>
    <t>ELECTRONIC DICTIONARY BILINGUAL - SPANISH - ENGLISH</t>
  </si>
  <si>
    <t>CDU907</t>
  </si>
  <si>
    <t>ELECTRONIC DICTIONARY BKMK STAND</t>
  </si>
  <si>
    <t>ELECTRONIC DICTIONARYB'MK PINK</t>
  </si>
  <si>
    <t>WFM016</t>
  </si>
  <si>
    <t>Emu - Australian Made Wooden Fridge Magnet</t>
  </si>
  <si>
    <t>WK016</t>
  </si>
  <si>
    <t>Emu - Australian Made Wooden Key Ring</t>
  </si>
  <si>
    <t>WO039</t>
  </si>
  <si>
    <t>Emu - Australian Made Wooden Ornament</t>
  </si>
  <si>
    <t>GR170096</t>
  </si>
  <si>
    <t>ENAMEL MUG - FLEET ST / OLD KENT ROAD</t>
  </si>
  <si>
    <t>T8B</t>
  </si>
  <si>
    <t>Everything is Better Because Of You</t>
  </si>
  <si>
    <t>E0019</t>
  </si>
  <si>
    <t>EXECUTIVE BLACK LEATHER LOOK W/POCKET</t>
  </si>
  <si>
    <t>E0013</t>
  </si>
  <si>
    <t>EXECUTIVE CAMEL LEATHER LOOK W/POCKET</t>
  </si>
  <si>
    <t>E0038</t>
  </si>
  <si>
    <t>EXECUTIVE FLORAL W/POCKET</t>
  </si>
  <si>
    <t>E0040</t>
  </si>
  <si>
    <t>EXECUTIVE LONDON W/ POCKET</t>
  </si>
  <si>
    <t>E0015</t>
  </si>
  <si>
    <t>EXECUTIVE RED LEATHER LOOK W/POCKET</t>
  </si>
  <si>
    <t>E0039</t>
  </si>
  <si>
    <t>EXECUTIVE UNION JACK W/POCKET</t>
  </si>
  <si>
    <t>E0031</t>
  </si>
  <si>
    <t>EXECUTIVE XTRA BROWN CROC</t>
  </si>
  <si>
    <t>HWB05</t>
  </si>
  <si>
    <t>Extra Long Hot Water Bottle - Australian Natives</t>
  </si>
  <si>
    <t>HWB02</t>
  </si>
  <si>
    <t>Extra Long Hot Water Bottle - Fruit</t>
  </si>
  <si>
    <t>HWB06</t>
  </si>
  <si>
    <t>Extra Long Hot Water Bottle - Golden Wattle</t>
  </si>
  <si>
    <t>HWB04</t>
  </si>
  <si>
    <t>Extra Long Hot Water Bottle - Peonie Rose</t>
  </si>
  <si>
    <t>HWB01</t>
  </si>
  <si>
    <t>Extra Long Hot Water Bottle - Strawberry Thief</t>
  </si>
  <si>
    <t>HWB03</t>
  </si>
  <si>
    <t>Extra Long Hot Water Bottle - Sunflowers</t>
  </si>
  <si>
    <t>HWB07</t>
  </si>
  <si>
    <t>Extra Long Hot Water Bottle - Tropical Koala</t>
  </si>
  <si>
    <t>SPEM</t>
  </si>
  <si>
    <t>Eye Mask Set Up</t>
  </si>
  <si>
    <t>CDUEM</t>
  </si>
  <si>
    <t>Eye Masks WDU</t>
  </si>
  <si>
    <t>E004b</t>
  </si>
  <si>
    <t>Eyemask Blue Box Component</t>
  </si>
  <si>
    <t>E004</t>
  </si>
  <si>
    <t>Eyemask Blue Mask Component</t>
  </si>
  <si>
    <t>E012b</t>
  </si>
  <si>
    <t>Eyemask Grey Box Component</t>
  </si>
  <si>
    <t>E012</t>
  </si>
  <si>
    <t>Eyemask Grey Mask Component</t>
  </si>
  <si>
    <t>E011b</t>
  </si>
  <si>
    <t>Eyemask Rose Gold Box Component</t>
  </si>
  <si>
    <t>E011</t>
  </si>
  <si>
    <t>Eyemask Rose Gold Mask Component</t>
  </si>
  <si>
    <t>90400D</t>
  </si>
  <si>
    <t>FAB FLAT PEN DISPLAY</t>
  </si>
  <si>
    <t>FPJSP</t>
  </si>
  <si>
    <t>Fabric Plain Journal Set Up A5</t>
  </si>
  <si>
    <t>FABULOUSLY FLAT PAPER PENS</t>
  </si>
  <si>
    <t>SP341</t>
  </si>
  <si>
    <t>FABULOUSLY FLAT PENS STARTER PACK</t>
  </si>
  <si>
    <t>BAFC207</t>
  </si>
  <si>
    <t>FACE CLOTH COMPRESSED POLAR BEAR</t>
  </si>
  <si>
    <t>BAFC112</t>
  </si>
  <si>
    <t>FACE CLOTH POLAR BEAR</t>
  </si>
  <si>
    <t>CS24</t>
  </si>
  <si>
    <t>Fairy Garden Set Sleeve</t>
  </si>
  <si>
    <t>WFM017</t>
  </si>
  <si>
    <t>Fairy Penguin - Australian Made Wooden Fridge Magnet</t>
  </si>
  <si>
    <t>WK017</t>
  </si>
  <si>
    <t>Fairy Penguin - Australian Made Wooden Key Ring</t>
  </si>
  <si>
    <t>WO040</t>
  </si>
  <si>
    <t>Fairy Penguin - Australian Made Wooden Ornament</t>
  </si>
  <si>
    <t>FDLS Deal 3</t>
  </si>
  <si>
    <t>Father's Day Life Style Deal 3</t>
  </si>
  <si>
    <t>FDMSD1</t>
  </si>
  <si>
    <t>Father's Day Mug Set Deal 1</t>
  </si>
  <si>
    <t>FDMTS Deal 2</t>
  </si>
  <si>
    <t>Father's Day Multi Tool Set Deal 2</t>
  </si>
  <si>
    <t>WBKMSP</t>
  </si>
  <si>
    <t>Floral Set Up Australian Made Wooden Bookmarks  72 Units</t>
  </si>
  <si>
    <t>WKRASP</t>
  </si>
  <si>
    <t>Floral Set Up Australian Made Wooden Keyrings 72 Units</t>
  </si>
  <si>
    <t>WFMGSP</t>
  </si>
  <si>
    <t>Floral Set Up Australian Made Wooden Magnets 72 Units</t>
  </si>
  <si>
    <t>WP008</t>
  </si>
  <si>
    <t>Flowers &amp; Vase - Worlds Best Grandmother</t>
  </si>
  <si>
    <t>WP007</t>
  </si>
  <si>
    <t>Flowers &amp; Vase - Worlds Best Mum</t>
  </si>
  <si>
    <t>WP009</t>
  </si>
  <si>
    <t>Flowers &amp; Vase - Worlds Best Sister</t>
  </si>
  <si>
    <t>SPGCF</t>
  </si>
  <si>
    <t>Flowers Set Up Australian Made Wooden Greeting Cards 36pcs</t>
  </si>
  <si>
    <t>FABH1</t>
  </si>
  <si>
    <t>Fold Away Book Holder - A Room Without A Book</t>
  </si>
  <si>
    <t>FABH3</t>
  </si>
  <si>
    <t>Fold Away Book Holder - It's Not Hoarding</t>
  </si>
  <si>
    <t>FABH2</t>
  </si>
  <si>
    <t>Fold Away Book Holder - You Only Live Once</t>
  </si>
  <si>
    <t>FABHCDU</t>
  </si>
  <si>
    <t>Fold Away Book Holder CDU On Own</t>
  </si>
  <si>
    <t>FABHSP</t>
  </si>
  <si>
    <t>Fold Away Book Holder CDU Set Up</t>
  </si>
  <si>
    <t>FC</t>
  </si>
  <si>
    <t>Food Cart</t>
  </si>
  <si>
    <t>FCSU</t>
  </si>
  <si>
    <t>Food Cart Set Up</t>
  </si>
  <si>
    <t>CS009</t>
  </si>
  <si>
    <t>Food Socks - Burger</t>
  </si>
  <si>
    <t>CS012</t>
  </si>
  <si>
    <t>Food Socks - Dark Chocolate</t>
  </si>
  <si>
    <t>CS015</t>
  </si>
  <si>
    <t>Food Socks - Fries</t>
  </si>
  <si>
    <t>CS014</t>
  </si>
  <si>
    <t>Food Socks - Pink Donut</t>
  </si>
  <si>
    <t>CS010</t>
  </si>
  <si>
    <t>Food Socks - Pizza Square</t>
  </si>
  <si>
    <t>CS011</t>
  </si>
  <si>
    <t>Food Socks - Pizza Triangle</t>
  </si>
  <si>
    <t>CS007</t>
  </si>
  <si>
    <t>Food Socks - Sushi Avo</t>
  </si>
  <si>
    <t>CS008</t>
  </si>
  <si>
    <t>Food Socks - Sushi Salmon</t>
  </si>
  <si>
    <t>CS013</t>
  </si>
  <si>
    <t>Food Socks - White Chocolate</t>
  </si>
  <si>
    <t>CROO4</t>
  </si>
  <si>
    <t>Foot Care Set</t>
  </si>
  <si>
    <t>CR004</t>
  </si>
  <si>
    <t>Foot Care Set - Fruit William Morris</t>
  </si>
  <si>
    <t>CR003</t>
  </si>
  <si>
    <t>Foot Care Set - Strawberry Thief William Morris</t>
  </si>
  <si>
    <t>HERAU</t>
  </si>
  <si>
    <t>FOR HER GIFT SET UP AUSTRALIAN NATIVES</t>
  </si>
  <si>
    <t>HERGW</t>
  </si>
  <si>
    <t>FOR HER GIFT SET UP GOLDEN WATTLE</t>
  </si>
  <si>
    <t>HERST</t>
  </si>
  <si>
    <t>FOR HER GIFT SET UP STRAWBERRY THIEF</t>
  </si>
  <si>
    <t>HERSF</t>
  </si>
  <si>
    <t>FOR HER GIFT SET UP SUNFLOWERS</t>
  </si>
  <si>
    <t>HERWL</t>
  </si>
  <si>
    <t>FOR HER GIFT SET UP WATER LILLIES</t>
  </si>
  <si>
    <t>MUMAU</t>
  </si>
  <si>
    <t>FOR MUM GIFT SET UP AUSTRALIAN NATIVES</t>
  </si>
  <si>
    <t>MUMGW</t>
  </si>
  <si>
    <t>FOR MUM GIFT SET UP GOLDEN WATTLE</t>
  </si>
  <si>
    <t>MUMST</t>
  </si>
  <si>
    <t>FOR MUM GIFT SET UP STRAWBERRY THIEF</t>
  </si>
  <si>
    <t>MUMSF</t>
  </si>
  <si>
    <t>FOR MUM GIFT SET UP SUNFLOWERS</t>
  </si>
  <si>
    <t>MUMWL</t>
  </si>
  <si>
    <t>FOR MUM GIFT SET UP WATER LILLIES</t>
  </si>
  <si>
    <t>CS47</t>
  </si>
  <si>
    <t>Fridge Magnet Painting Kit - Australian Animals Sleeve</t>
  </si>
  <si>
    <t>CS48</t>
  </si>
  <si>
    <t>Fridge Magnet Painting Kit - Dinosaur Sleeve</t>
  </si>
  <si>
    <t>CS46</t>
  </si>
  <si>
    <t>Fridge Magnet Painting Kit - Trucks and Rockets Sleeve</t>
  </si>
  <si>
    <t>CS45</t>
  </si>
  <si>
    <t>Fridge Magnet Painting Kit - Unicorn and Mermaid Sleeve</t>
  </si>
  <si>
    <t>CDUFYTML</t>
  </si>
  <si>
    <t>FROM YOU TO ME BABY JOURNAL DISPLAY</t>
  </si>
  <si>
    <t>CDUFYTMS</t>
  </si>
  <si>
    <t>FROM YOU TO ME CONTEMPORARY JOURNAL DISPLAY</t>
  </si>
  <si>
    <t>FRZCDU</t>
  </si>
  <si>
    <t>FROZEN 3D EMBOSSED STICKERS - 300CDU ASSORTED</t>
  </si>
  <si>
    <t>Kit5</t>
  </si>
  <si>
    <t>Fruit Kit 1</t>
  </si>
  <si>
    <t>WT3</t>
  </si>
  <si>
    <t>Fumigation</t>
  </si>
  <si>
    <t>CTPOS</t>
  </si>
  <si>
    <t>FYTM COUNTER TOP POS</t>
  </si>
  <si>
    <t>WFM018</t>
  </si>
  <si>
    <t>Galah - Australian Made Wooden Fridge Magnet</t>
  </si>
  <si>
    <t>WK018</t>
  </si>
  <si>
    <t>Galah - Australian Made Wooden Key Ring</t>
  </si>
  <si>
    <t>WO041</t>
  </si>
  <si>
    <t>Galah - Australian Made Wooden Ornament</t>
  </si>
  <si>
    <t>RFS11735</t>
  </si>
  <si>
    <t>GARDEN TOOLS SET - MIDNIGHT GROVE</t>
  </si>
  <si>
    <t>RFS11962</t>
  </si>
  <si>
    <t>Gentlemen's 5 Piece Grooming Kit in a Flat Brushed Tin</t>
  </si>
  <si>
    <t>RFS11629</t>
  </si>
  <si>
    <t>Giant Pick Up Sticks</t>
  </si>
  <si>
    <t>GIFT WRAP FOR BOOKS - BOOK BADGES</t>
  </si>
  <si>
    <t>GIFT WRAP FOR BOOKS - BROWN PAPER PARCEL</t>
  </si>
  <si>
    <t>GIFT WRAP FOR BOOKS - DECO CLASSIC</t>
  </si>
  <si>
    <t>GIFT WRAP FOR BOOKS - LEATHER SATCHEL</t>
  </si>
  <si>
    <t>GIFT WRAP FOR BOOKS - MARBLED PAPER</t>
  </si>
  <si>
    <t>GIFT WRAP FOR BOOKS - NOT TO BE MISSED</t>
  </si>
  <si>
    <t>GIFT WRAP FOR BOOKS - NOVEL SIGNPOSTS</t>
  </si>
  <si>
    <t>GIFT WRAP FOR BOOKS - READING REST</t>
  </si>
  <si>
    <t>GIFT WRAP FOR BOOKS - TOP SECRET</t>
  </si>
  <si>
    <t>GIFT WRAP FOR BOOKS - VICTORIANA</t>
  </si>
  <si>
    <t>GIFT WRAP FOR BOOKS - VINTAGE BOOKS</t>
  </si>
  <si>
    <t>GIFT WRAP FOR BOOKS - WHO SAID THAT?</t>
  </si>
  <si>
    <t>CDU92400P</t>
  </si>
  <si>
    <t>GIFT WRAP FOR BOOKS DISPLAY</t>
  </si>
  <si>
    <t>BOOKBC03</t>
  </si>
  <si>
    <t>Giftbook Mini 48pp: Beryl Cook (Little Book of Appreciation)</t>
  </si>
  <si>
    <t>BOOKRF03</t>
  </si>
  <si>
    <t>Giftbook Mini 48pp: Off the Leash (Doodle Your Doggy)</t>
  </si>
  <si>
    <t>BOOKPC02</t>
  </si>
  <si>
    <t>Giftbook Mini 48pp: Planet Cat (Cat Wisdom)</t>
  </si>
  <si>
    <t>BOOKSP02</t>
  </si>
  <si>
    <t>Giftbook Portrait 64pp: MAMIL (How to Look Pro)</t>
  </si>
  <si>
    <t>BOOKAA04</t>
  </si>
  <si>
    <t>Giftbook Small Portrait 64pp: Wallace &amp; Gromit (A Grand )</t>
  </si>
  <si>
    <t>BOOKAA05</t>
  </si>
  <si>
    <t>Giftbook Small Portrait 64pp: Wallace &amp; Gromit (The Wrong)</t>
  </si>
  <si>
    <t>BOOKIH09</t>
  </si>
  <si>
    <t>Giftbook Square 40pp: IHB (Classic Moment Pride &amp; Prejudice</t>
  </si>
  <si>
    <t>BOOKIH10</t>
  </si>
  <si>
    <t>Giftbook Square 40pp: IHB (Classic Moments Alice Wonderland</t>
  </si>
  <si>
    <t>BOOKIH12</t>
  </si>
  <si>
    <t>Giftbook Square 40pp: IHB (Classic Moments Little Women)</t>
  </si>
  <si>
    <t>BOOKIH11</t>
  </si>
  <si>
    <t>Giftbook Square 40pp: IHB (Classic Moments Romeo &amp; Juliet)</t>
  </si>
  <si>
    <t>BOOKAA02</t>
  </si>
  <si>
    <t>Giftbook Square 40pp: Shaun Sheep (Save the Tree)</t>
  </si>
  <si>
    <t>BOOKIH01</t>
  </si>
  <si>
    <t>Giftbook Square 64pp IHB (Potent Potions)</t>
  </si>
  <si>
    <t>BOOKIH02</t>
  </si>
  <si>
    <t>Giftbook Square 64pp IHB (Spell: icious)</t>
  </si>
  <si>
    <t>BOOKTB02</t>
  </si>
  <si>
    <t>Giftbook Square 64pp Thunderbirds (Classic Hero Handbook)</t>
  </si>
  <si>
    <t>BOOKBC01</t>
  </si>
  <si>
    <t>Giftbook Square 64pp: Beryl Cook (30 Ways to Grow Old)</t>
  </si>
  <si>
    <t>BOOKIH08</t>
  </si>
  <si>
    <t>Giftbook Square 64pp: IHB (Self: Help For Superheroes)</t>
  </si>
  <si>
    <t>BOOKIH18</t>
  </si>
  <si>
    <t>Giftbook Square 64pp: IHB (So You Want to Heal The Planet )</t>
  </si>
  <si>
    <t>BOOKIH05</t>
  </si>
  <si>
    <t>Giftbook Square 64pp: IHB (Survival Guide: Aliens)</t>
  </si>
  <si>
    <t>BOOKIH04</t>
  </si>
  <si>
    <t>Giftbook Square 64pp: IHB (Survival Guide: Vampires)</t>
  </si>
  <si>
    <t>BOOKIH03</t>
  </si>
  <si>
    <t>Giftbook Square 64pp: IHB (Survival Guide: Zombies)</t>
  </si>
  <si>
    <t>BOOKIH17</t>
  </si>
  <si>
    <t>Giftbook Square 64pp: IHB(So You Want to Heal Your Hangover</t>
  </si>
  <si>
    <t>BOOKJA02</t>
  </si>
  <si>
    <t>Giftbook Square 64pp: Jolly Awesome (Let the Fun Be Gin)</t>
  </si>
  <si>
    <t>BOOKJA01</t>
  </si>
  <si>
    <t>Giftbook Square 64pp: Jolly Awesome (Tastes Like Magic)</t>
  </si>
  <si>
    <t>BOOKPC01</t>
  </si>
  <si>
    <t>Giftbook Square 64pp: Planet Cat (Cat Wisdom)</t>
  </si>
  <si>
    <t>BOOKTB01</t>
  </si>
  <si>
    <t>Giftbook Square 64pp: Thunderbirds (Boss Lady Handbook)</t>
  </si>
  <si>
    <t>BOOKAA01</t>
  </si>
  <si>
    <t>Giftbook Square 64pp: W&amp;G (Lovely Cheese Gromit)</t>
  </si>
  <si>
    <t>CDUCT</t>
  </si>
  <si>
    <t>GIFTING TREE WDU</t>
  </si>
  <si>
    <t>MBMGBC03</t>
  </si>
  <si>
    <t>Giftset Mini Book &amp; Espresso Cup: Beryl Cook</t>
  </si>
  <si>
    <t>MBMGRF03</t>
  </si>
  <si>
    <t>Giftset Mini Book &amp; Espresso Cup: Off The Leash</t>
  </si>
  <si>
    <t>MBMGPC02</t>
  </si>
  <si>
    <t>Giftset Mini Book &amp; Espresso Cup: Planet Cat</t>
  </si>
  <si>
    <t>MBMGAA03</t>
  </si>
  <si>
    <t>Giftset Mini Book &amp; Espresso Cup: Wallace &amp; Gromit</t>
  </si>
  <si>
    <t>BKMGTB01</t>
  </si>
  <si>
    <t>Giftset Mug &amp; Book : Thunderbirds (Boss Lady Book &amp; Mug Set)</t>
  </si>
  <si>
    <t>BKMGIH09</t>
  </si>
  <si>
    <t>Giftset Mug &amp; Book IHB (Classic Moments Pride &amp; Prejudice)</t>
  </si>
  <si>
    <t>BKMGTB02</t>
  </si>
  <si>
    <t>Giftset Mug &amp; Book Thunderbirds (Classic Hero)</t>
  </si>
  <si>
    <t>BKMGAA05</t>
  </si>
  <si>
    <t>Giftset Mug &amp; Book Wallace &amp; Gromit (The Wrong Trousers)</t>
  </si>
  <si>
    <t>BKMGBC01</t>
  </si>
  <si>
    <t>Giftset Mug &amp; Book: Beryl Cook (30 Ways to Grow Old)</t>
  </si>
  <si>
    <t>BKMGIH10</t>
  </si>
  <si>
    <t>Giftset Mug &amp; Book: IHB (Classic Moments Alice Wonderland)</t>
  </si>
  <si>
    <t>BKMGAA04</t>
  </si>
  <si>
    <t>Giftset Mug &amp; Book: Wallace &amp; Gromit (A Grand Day Out)</t>
  </si>
  <si>
    <t>GIMBLE - BLUE</t>
  </si>
  <si>
    <t>GIMBLE - FOREST GREEN</t>
  </si>
  <si>
    <t>GIMBLE - GREY</t>
  </si>
  <si>
    <t>GIMBLE - MINT</t>
  </si>
  <si>
    <t>GIMBLE - PINK</t>
  </si>
  <si>
    <t>GIMBLE - PURPLE</t>
  </si>
  <si>
    <t>CDU368</t>
  </si>
  <si>
    <t>GIMBLE DISPLAY STAND</t>
  </si>
  <si>
    <t>SP368</t>
  </si>
  <si>
    <t>GIMBLE STARTER PACK</t>
  </si>
  <si>
    <t>GIMBLE TRAVELLER PINK</t>
  </si>
  <si>
    <t>Gin Stones - S/9, 9cm</t>
  </si>
  <si>
    <t>GC014</t>
  </si>
  <si>
    <t>Glasses Case - Australian Natives</t>
  </si>
  <si>
    <t>GC018</t>
  </si>
  <si>
    <t>Glasses Case - Falling Free</t>
  </si>
  <si>
    <t>GC002</t>
  </si>
  <si>
    <t>Glasses Case - Fruit William Morris</t>
  </si>
  <si>
    <t>GC008</t>
  </si>
  <si>
    <t>Glasses Case - Gingham Blue Bluhen</t>
  </si>
  <si>
    <t>GC015</t>
  </si>
  <si>
    <t>Glasses Case - Golden Wattle</t>
  </si>
  <si>
    <t>GC010</t>
  </si>
  <si>
    <t>Glasses Case - Hampton Stripe</t>
  </si>
  <si>
    <t>GC006</t>
  </si>
  <si>
    <t>Glasses Case - Houndtooth Bluhen</t>
  </si>
  <si>
    <t>GC009</t>
  </si>
  <si>
    <t>Glasses Case - Kilburn Bluhen</t>
  </si>
  <si>
    <t>GC004</t>
  </si>
  <si>
    <t>Glasses Case - Larkspur William Morris</t>
  </si>
  <si>
    <t>GC007</t>
  </si>
  <si>
    <t>Glasses Case - Leopard Print Bluhen</t>
  </si>
  <si>
    <t>GC013</t>
  </si>
  <si>
    <t>Glasses Case - Monet Water Lilies</t>
  </si>
  <si>
    <t>GC005</t>
  </si>
  <si>
    <t>Glasses Case - Peonie Rose Bluhen</t>
  </si>
  <si>
    <t>GLSCSPC01</t>
  </si>
  <si>
    <t>Glasses Case - Planet Cat (Smallest Feline)</t>
  </si>
  <si>
    <t>GC017</t>
  </si>
  <si>
    <t>Glasses Case - Quiet Blossom</t>
  </si>
  <si>
    <t>GC011</t>
  </si>
  <si>
    <t>Glasses Case - Strawberry Thief Red</t>
  </si>
  <si>
    <t>GC003</t>
  </si>
  <si>
    <t>Glasses Case - Strawberry Thief William Morris</t>
  </si>
  <si>
    <t>GC016</t>
  </si>
  <si>
    <t>Glasses Case - Tropical Koala</t>
  </si>
  <si>
    <t>GC012</t>
  </si>
  <si>
    <t>Glasses Case - Van Gogh Sunflowers</t>
  </si>
  <si>
    <t>GC001</t>
  </si>
  <si>
    <t>Glasses Case - Wild Tulip William Morris</t>
  </si>
  <si>
    <t>GLSCSWM01</t>
  </si>
  <si>
    <t>Glasses Case - William Morris (Willow Blue)</t>
  </si>
  <si>
    <t>GLSCSWM02</t>
  </si>
  <si>
    <t>Glasses Case - William Morris (Willow Ochre)</t>
  </si>
  <si>
    <t>GCSP</t>
  </si>
  <si>
    <t>GLASSES CASES STARTER PACK</t>
  </si>
  <si>
    <t>CDUGC</t>
  </si>
  <si>
    <t>Glasses Cases WDU</t>
  </si>
  <si>
    <t>GW013</t>
  </si>
  <si>
    <t>GlassWear Black &amp; White Striped Crystal - Silver Alloy</t>
  </si>
  <si>
    <t>GW003</t>
  </si>
  <si>
    <t>GlassWear Black Rubber - Stainless</t>
  </si>
  <si>
    <t>GW002</t>
  </si>
  <si>
    <t>GlassWear Black Spinal - Stainless Steel</t>
  </si>
  <si>
    <t>GW005</t>
  </si>
  <si>
    <t>GlassWear Black Stretch Silk - Silver Alloy</t>
  </si>
  <si>
    <t>GW008</t>
  </si>
  <si>
    <t>GlassWear Black Twisted Leather - Stainless</t>
  </si>
  <si>
    <t>GW006</t>
  </si>
  <si>
    <t>GlassWear Burgandy Leather - Rose Gold</t>
  </si>
  <si>
    <t>GW012</t>
  </si>
  <si>
    <t>GlassWear Faceted Spaced Beads - Silver Alloy</t>
  </si>
  <si>
    <t>CDUGW</t>
  </si>
  <si>
    <t>GLASSWEAR MDF STAND</t>
  </si>
  <si>
    <t>GW014</t>
  </si>
  <si>
    <t>GlassWear Roma Red Acrylic Seed - Silver Alloy</t>
  </si>
  <si>
    <t>GW004</t>
  </si>
  <si>
    <t>GlassWear Silver Chain - Stainless Steel</t>
  </si>
  <si>
    <t>SPGW</t>
  </si>
  <si>
    <t>GlassWear Starter Pack 24 units</t>
  </si>
  <si>
    <t>GW009</t>
  </si>
  <si>
    <t>GlassWear Striped Pyrite - Silver Alloy</t>
  </si>
  <si>
    <t>GW001</t>
  </si>
  <si>
    <t>GlassWear Tortoise - Stainless Steel</t>
  </si>
  <si>
    <t>GW010</t>
  </si>
  <si>
    <t>GlassWear Turquoise Acrylic Seed - Silver Alloy</t>
  </si>
  <si>
    <t>GW007</t>
  </si>
  <si>
    <t>GlassWear White Twisted Leather - Rose Gold</t>
  </si>
  <si>
    <t>GW011</t>
  </si>
  <si>
    <t>GlassWear Wood Bead - Silver Alloy</t>
  </si>
  <si>
    <t>RFS11737</t>
  </si>
  <si>
    <t>GLOVES &amp; SECATEURS SET - MIDNIGHT GROVE</t>
  </si>
  <si>
    <t>RFS11736</t>
  </si>
  <si>
    <t>GLOVES &amp; TROWEL SET - MIDNIGHT GROVE</t>
  </si>
  <si>
    <t>GT</t>
  </si>
  <si>
    <t>Gold Tassel</t>
  </si>
  <si>
    <t>WFM010</t>
  </si>
  <si>
    <t>Golden Wattle - Australian Made Wooden Fridge Magnet</t>
  </si>
  <si>
    <t>WK010</t>
  </si>
  <si>
    <t>Golden Wattle - Australian Made Wooden Key Ring</t>
  </si>
  <si>
    <t>GDMJ</t>
  </si>
  <si>
    <t>GRANDAD &amp; ME JOURNAL</t>
  </si>
  <si>
    <t>GMMJ</t>
  </si>
  <si>
    <t>GRANDMA &amp; ME JOURNAL</t>
  </si>
  <si>
    <t>HS005</t>
  </si>
  <si>
    <t>Green Fluorite - Inner Peace</t>
  </si>
  <si>
    <t>GCFS</t>
  </si>
  <si>
    <t>Greeting Cards Floor Stand</t>
  </si>
  <si>
    <t>GCTD</t>
  </si>
  <si>
    <t>Greeting Cards Table Top Display</t>
  </si>
  <si>
    <t>WBG018</t>
  </si>
  <si>
    <t>Grooved Wooden Bookmark - Galah</t>
  </si>
  <si>
    <t>WBG005</t>
  </si>
  <si>
    <t>Grooved Wooden Bookmark - Hydangea</t>
  </si>
  <si>
    <t>WBG020</t>
  </si>
  <si>
    <t>Grooved Wooden Bookmark - Koala</t>
  </si>
  <si>
    <t>WBG023</t>
  </si>
  <si>
    <t>Grooved Wooden Bookmark - Rainbow Lorikeet</t>
  </si>
  <si>
    <t>WBG003</t>
  </si>
  <si>
    <t>Grooved Wooden Bookmark - Sunflower</t>
  </si>
  <si>
    <t>WBG002</t>
  </si>
  <si>
    <t>Grooved Wooden Bookmark - Tulip</t>
  </si>
  <si>
    <t>SWC007</t>
  </si>
  <si>
    <t>Grumpy Cat Calendar</t>
  </si>
  <si>
    <t>GR170112</t>
  </si>
  <si>
    <t>GUESS WHO - A5 NOTEBOOK</t>
  </si>
  <si>
    <t>GR170111</t>
  </si>
  <si>
    <t>GUESS WHO - PORCELAIN MUG</t>
  </si>
  <si>
    <t>GR170110</t>
  </si>
  <si>
    <t>GUESS WHO - TEA TOWEL</t>
  </si>
  <si>
    <t>GUINNESS WORLD RECORD CARDS</t>
  </si>
  <si>
    <t>GUINNESS WORLD RECORD CARDS EDITION</t>
  </si>
  <si>
    <t>HW09</t>
  </si>
  <si>
    <t>Hair Wrap - Black</t>
  </si>
  <si>
    <t>HW08</t>
  </si>
  <si>
    <t>Hair Wrap - Blush</t>
  </si>
  <si>
    <t>HW07</t>
  </si>
  <si>
    <t>Hair Wrap - Monet's Water Lilies</t>
  </si>
  <si>
    <t>HW06</t>
  </si>
  <si>
    <t>Hair Wrap - Van Gogh's Sunflowers</t>
  </si>
  <si>
    <t>HW01</t>
  </si>
  <si>
    <t>Hair Wrap - William Morris Blue Larkspur</t>
  </si>
  <si>
    <t>HW02</t>
  </si>
  <si>
    <t>Hair Wrap - William Morris Fruit</t>
  </si>
  <si>
    <t>HW03</t>
  </si>
  <si>
    <t>Hair Wrap - William Morris Strawberry Thief</t>
  </si>
  <si>
    <t>HW05</t>
  </si>
  <si>
    <t>Hair Wrap - William Morris Strawberry Thief Red</t>
  </si>
  <si>
    <t>HW04</t>
  </si>
  <si>
    <t>Hair Wrap - William Morris Wild Tulip</t>
  </si>
  <si>
    <t>HWSU Deleted</t>
  </si>
  <si>
    <t>Hair Wrap Set Up</t>
  </si>
  <si>
    <t>CDUHW</t>
  </si>
  <si>
    <t>Hair Wraps WDU</t>
  </si>
  <si>
    <t>CR035</t>
  </si>
  <si>
    <t>Hand Cream - Australian Natives</t>
  </si>
  <si>
    <t>CR051</t>
  </si>
  <si>
    <t>Hand Cream - Falling Free</t>
  </si>
  <si>
    <t>CR002</t>
  </si>
  <si>
    <t>Hand Cream - Fruit William Morris</t>
  </si>
  <si>
    <t>CR036</t>
  </si>
  <si>
    <t>Hand Cream - Golden Wattle</t>
  </si>
  <si>
    <t>CR010</t>
  </si>
  <si>
    <t>Hand Cream - Kilburn</t>
  </si>
  <si>
    <t>CR008</t>
  </si>
  <si>
    <t>Hand Cream - Monet's Water Lilies</t>
  </si>
  <si>
    <t>CR009</t>
  </si>
  <si>
    <t>Hand Cream - Peonie Rose</t>
  </si>
  <si>
    <t>CR050</t>
  </si>
  <si>
    <t>Hand Cream - Quiet Blossom</t>
  </si>
  <si>
    <t>CR001</t>
  </si>
  <si>
    <t>Hand Cream - Strawberry Thief William Morris</t>
  </si>
  <si>
    <t>CR049</t>
  </si>
  <si>
    <t>Hand Cream - Tropical Koala</t>
  </si>
  <si>
    <t>CR007</t>
  </si>
  <si>
    <t>Hand Cream - Van Gogh Sunflower</t>
  </si>
  <si>
    <t>CRT05</t>
  </si>
  <si>
    <t>Hand Cream Tester - Australian Natives</t>
  </si>
  <si>
    <t>CRT09</t>
  </si>
  <si>
    <t>Hand Cream Tester - Falling Free</t>
  </si>
  <si>
    <t>CRT04</t>
  </si>
  <si>
    <t>Hand Cream Tester - Fruit</t>
  </si>
  <si>
    <t>CRT06</t>
  </si>
  <si>
    <t>Hand Cream Tester - Golden Wattle</t>
  </si>
  <si>
    <t>CRT03</t>
  </si>
  <si>
    <t>Hand Cream Tester - Monet Water Lilies</t>
  </si>
  <si>
    <t>CRT08</t>
  </si>
  <si>
    <t>Hand Cream Tester - Quiet Blossom</t>
  </si>
  <si>
    <t>CRT01</t>
  </si>
  <si>
    <t>Hand Cream Tester - Strawberry Thief</t>
  </si>
  <si>
    <t>CRT07</t>
  </si>
  <si>
    <t>Hand Cream Tester - Tropical Koala</t>
  </si>
  <si>
    <t>CRT02</t>
  </si>
  <si>
    <t>Hand Cream Tester - Van Gogh Sunflowers</t>
  </si>
  <si>
    <t>HBA001</t>
  </si>
  <si>
    <t>Handbag Organiser Large</t>
  </si>
  <si>
    <t>HBA002</t>
  </si>
  <si>
    <t>Handbag Organiser Medium</t>
  </si>
  <si>
    <t>HBA003</t>
  </si>
  <si>
    <t>Handbag Organiser Small</t>
  </si>
  <si>
    <t>GR170048</t>
  </si>
  <si>
    <t>HARDBACK NOTEBOOK - BRIGHT IDEAS</t>
  </si>
  <si>
    <t>GR170047</t>
  </si>
  <si>
    <t>HARDBACK NOTEBOOK - SHOPPING LIST</t>
  </si>
  <si>
    <t>HGSLO</t>
  </si>
  <si>
    <t>HARLEQUIN GAMES - SEPT LAUNCH OFFER MINOR</t>
  </si>
  <si>
    <t>HQ017</t>
  </si>
  <si>
    <t>Harlequin Games Airplane</t>
  </si>
  <si>
    <t>HQ009</t>
  </si>
  <si>
    <t>HARLEQUIN GAMES Bag Toss</t>
  </si>
  <si>
    <t>HQ021</t>
  </si>
  <si>
    <t>Harlequin Games Balloon Modelling Kit</t>
  </si>
  <si>
    <t>HQ002</t>
  </si>
  <si>
    <t>Harlequin Games Chess Checkers &amp; Backgammon</t>
  </si>
  <si>
    <t>HQ006</t>
  </si>
  <si>
    <t>Harlequin Games Croquet Set</t>
  </si>
  <si>
    <t>HQ027</t>
  </si>
  <si>
    <t>Harlequin Games Dice &amp; Playing Cards</t>
  </si>
  <si>
    <t>HQ003</t>
  </si>
  <si>
    <t>Harlequin Games Dominoes</t>
  </si>
  <si>
    <t>HQ022</t>
  </si>
  <si>
    <t>Harlequin Games Jacks</t>
  </si>
  <si>
    <t>HQ025</t>
  </si>
  <si>
    <t>Harlequin Games Juggling Set</t>
  </si>
  <si>
    <t>HQ015</t>
  </si>
  <si>
    <t>Harlequin Games Kite</t>
  </si>
  <si>
    <t>HQ020</t>
  </si>
  <si>
    <t>Harlequin Games Magic Floating Ball</t>
  </si>
  <si>
    <t>HQ018</t>
  </si>
  <si>
    <t>Harlequin Games Magic Spring</t>
  </si>
  <si>
    <t>HQ012</t>
  </si>
  <si>
    <t>Harlequin Games Magnetic Dart Board</t>
  </si>
  <si>
    <t>HQ014</t>
  </si>
  <si>
    <t>Harlequin Games Marbles</t>
  </si>
  <si>
    <t>HQ010</t>
  </si>
  <si>
    <t>Harlequin Games Mini Bowling</t>
  </si>
  <si>
    <t>HQ005</t>
  </si>
  <si>
    <t>Harlequin Games Noughts &amp; Crosses</t>
  </si>
  <si>
    <t>HQ004</t>
  </si>
  <si>
    <t>Harlequin Games Pick Up Sticks</t>
  </si>
  <si>
    <t>HQ007</t>
  </si>
  <si>
    <t>Harlequin Games Ring Toss</t>
  </si>
  <si>
    <t>HQRS</t>
  </si>
  <si>
    <t>Harlequin Games Rocket Ship Set Up</t>
  </si>
  <si>
    <t>HQ028</t>
  </si>
  <si>
    <t>Harlequin Games Self Inflating Whoopee Cushion</t>
  </si>
  <si>
    <t>HQMAJ</t>
  </si>
  <si>
    <t>HARLEQUIN GAMES SEP LAUNCH OFFER - MAJOR</t>
  </si>
  <si>
    <t>HQMIN</t>
  </si>
  <si>
    <t>HARLEQUIN GAMES SEP LAUNCH OFFER - MINOR</t>
  </si>
  <si>
    <t>HQSU</t>
  </si>
  <si>
    <t>Harlequin Games Set Up</t>
  </si>
  <si>
    <t>HQ023</t>
  </si>
  <si>
    <t>Harlequin Games Tumble Tower</t>
  </si>
  <si>
    <t>HQ016</t>
  </si>
  <si>
    <t>Harlequin Games Yoyo</t>
  </si>
  <si>
    <t>SPHB</t>
  </si>
  <si>
    <t>Head Band Set Up</t>
  </si>
  <si>
    <t>SPHBFS</t>
  </si>
  <si>
    <t>Head Band Set Up and free scrunchies</t>
  </si>
  <si>
    <t>CDUHB</t>
  </si>
  <si>
    <t>Head Bands WDU</t>
  </si>
  <si>
    <t>HSDISP</t>
  </si>
  <si>
    <t>Heart Stones Display Box</t>
  </si>
  <si>
    <t>HB</t>
  </si>
  <si>
    <t>Heat Belt</t>
  </si>
  <si>
    <t>HSCDU</t>
  </si>
  <si>
    <t>Heatstones Set Up</t>
  </si>
  <si>
    <t>00HB</t>
  </si>
  <si>
    <t>Helvetica Clip On Bookmark Set Up</t>
  </si>
  <si>
    <t>HELVETICA CLIP-ON BOOKMARK A</t>
  </si>
  <si>
    <t>HELVETICA CLIP-ON BOOKMARK B</t>
  </si>
  <si>
    <t>HELVETICA CLIP-ON BOOKMARK C</t>
  </si>
  <si>
    <t>HELVETICA CLIP-ON BOOKMARK D</t>
  </si>
  <si>
    <t>HELVETICA CLIP-ON BOOKMARK E</t>
  </si>
  <si>
    <t>HELVETICA CLIP-ON BOOKMARK F</t>
  </si>
  <si>
    <t>HELVETICA CLIP-ON BOOKMARK G</t>
  </si>
  <si>
    <t>HELVETICA CLIP-ON BOOKMARK H</t>
  </si>
  <si>
    <t>HELVETICA CLIP-ON BOOKMARK I</t>
  </si>
  <si>
    <t>HELVETICA CLIP-ON BOOKMARK J</t>
  </si>
  <si>
    <t>HELVETICA CLIP-ON BOOKMARK K</t>
  </si>
  <si>
    <t>HELVETICA CLIP-ON BOOKMARK L</t>
  </si>
  <si>
    <t>HELVETICA CLIP-ON BOOKMARK M</t>
  </si>
  <si>
    <t>HELVETICA CLIP-ON BOOKMARK N</t>
  </si>
  <si>
    <t>HELVETICA CLIP-ON BOOKMARK O</t>
  </si>
  <si>
    <t>HELVETICA CLIP-ON BOOKMARK P</t>
  </si>
  <si>
    <t>HELVETICA CLIP-ON BOOKMARK R</t>
  </si>
  <si>
    <t>HELVETICA CLIP-ON BOOKMARK S</t>
  </si>
  <si>
    <t>CDU929</t>
  </si>
  <si>
    <t>HELVETICA CLIP-ON BOOKMARK STAND</t>
  </si>
  <si>
    <t>HELVETICA CLIP-ON BOOKMARK T</t>
  </si>
  <si>
    <t>HELVETICA CLIP-ON BOOKMARK U</t>
  </si>
  <si>
    <t>HELVETICA CLIP-ON BOOKMARK V</t>
  </si>
  <si>
    <t>HELVETICA CLIP-ON BOOKMARK W</t>
  </si>
  <si>
    <t>HELVETICA CLIP-ON BOOKMARK Y</t>
  </si>
  <si>
    <t>HELVETICA CLIP-ON BOOKMARK Z</t>
  </si>
  <si>
    <t>HER BOOKMARK</t>
  </si>
  <si>
    <t>RSHV</t>
  </si>
  <si>
    <t>HI VIX STICKER 1200 SET UP: 25 EACH OF DESIGNS PLUS STAND</t>
  </si>
  <si>
    <t>SGAL</t>
  </si>
  <si>
    <t>HI VIZ- GREEN ALIEN</t>
  </si>
  <si>
    <t>SGBA</t>
  </si>
  <si>
    <t>HI VIZ- GREEN BATS</t>
  </si>
  <si>
    <t>SGBU</t>
  </si>
  <si>
    <t>HI VIZ- GREEN BUTTERFLIY</t>
  </si>
  <si>
    <t>SGCA</t>
  </si>
  <si>
    <t>HI VIZ- GREEN CATS</t>
  </si>
  <si>
    <t>SGEL</t>
  </si>
  <si>
    <t>HI VIZ- GREEN ELEPHANT</t>
  </si>
  <si>
    <t>SGFE</t>
  </si>
  <si>
    <t>HI VIZ- GREEN FEET</t>
  </si>
  <si>
    <t>SGHE</t>
  </si>
  <si>
    <t>HI VIZ- GREEN HEARTS</t>
  </si>
  <si>
    <t>SGLI</t>
  </si>
  <si>
    <t>HI VIZ- GREEN LIPS</t>
  </si>
  <si>
    <t>SGLO</t>
  </si>
  <si>
    <t>HI VIZ- GREEN LOVE</t>
  </si>
  <si>
    <t>SGPE</t>
  </si>
  <si>
    <t>HI VIZ- GREEN PENGUIN</t>
  </si>
  <si>
    <t>SGRA</t>
  </si>
  <si>
    <t>HI VIZ- GREEN RABBITS</t>
  </si>
  <si>
    <t>SGSM</t>
  </si>
  <si>
    <t>HI VIZ- GREEN SMILEY</t>
  </si>
  <si>
    <t>SOAL</t>
  </si>
  <si>
    <t>HI VIZ- ORANGE ALIEN</t>
  </si>
  <si>
    <t>SOBA</t>
  </si>
  <si>
    <t>HI VIZ- ORANGE BATS</t>
  </si>
  <si>
    <t>SOBU</t>
  </si>
  <si>
    <t>HI VIZ- ORANGE BUTTERFLY</t>
  </si>
  <si>
    <t>SOCA</t>
  </si>
  <si>
    <t>HI VIZ- ORANGE CATS</t>
  </si>
  <si>
    <t>SOEL</t>
  </si>
  <si>
    <t>HI VIZ- ORANGE ELEPHANT</t>
  </si>
  <si>
    <t>SOFE</t>
  </si>
  <si>
    <t>HI VIZ- ORANGE FEET</t>
  </si>
  <si>
    <t>SOHE</t>
  </si>
  <si>
    <t>HI VIZ- ORANGE HEARTS</t>
  </si>
  <si>
    <t>SOLI</t>
  </si>
  <si>
    <t>HI VIZ- ORANGE LIPS</t>
  </si>
  <si>
    <t>SOLO</t>
  </si>
  <si>
    <t>HI VIZ- ORANGE LOVE</t>
  </si>
  <si>
    <t>SOPE</t>
  </si>
  <si>
    <t>HI VIZ- ORANGE PENGUIN</t>
  </si>
  <si>
    <t>SORA</t>
  </si>
  <si>
    <t>HI VIZ- ORANGE RABBITS</t>
  </si>
  <si>
    <t>SOSM</t>
  </si>
  <si>
    <t>HI VIZ- ORANGE SMILEY</t>
  </si>
  <si>
    <t>SRAL</t>
  </si>
  <si>
    <t>HI VIZ- RED ALIEN</t>
  </si>
  <si>
    <t>SRBA</t>
  </si>
  <si>
    <t>HI VIZ- RED BATS</t>
  </si>
  <si>
    <t>SRBU</t>
  </si>
  <si>
    <t>HI VIZ- RED BUTTERFLY</t>
  </si>
  <si>
    <t>SRCA</t>
  </si>
  <si>
    <t>HI VIZ- RED CATS</t>
  </si>
  <si>
    <t>SREL</t>
  </si>
  <si>
    <t>HI VIZ- RED ELEPHANT</t>
  </si>
  <si>
    <t>SRFE</t>
  </si>
  <si>
    <t>HI VIZ- RED FEET</t>
  </si>
  <si>
    <t>SRHE</t>
  </si>
  <si>
    <t>HI VIZ- RED HEARTS</t>
  </si>
  <si>
    <t>SRLI</t>
  </si>
  <si>
    <t>HI VIZ- RED LIPS</t>
  </si>
  <si>
    <t>SRLO</t>
  </si>
  <si>
    <t>HI VIZ- RED LOVE</t>
  </si>
  <si>
    <t>SRPE</t>
  </si>
  <si>
    <t>HI VIZ- RED PENGUIN</t>
  </si>
  <si>
    <t>SRRA</t>
  </si>
  <si>
    <t>HI VIZ- RED RABBITS</t>
  </si>
  <si>
    <t>SRSM</t>
  </si>
  <si>
    <t>HI VIZ- RED SMILEY</t>
  </si>
  <si>
    <t>SYAL</t>
  </si>
  <si>
    <t>HI VIZ- YELLOW ALIEN</t>
  </si>
  <si>
    <t>SYBA</t>
  </si>
  <si>
    <t>HI VIZ- YELLOW BATS</t>
  </si>
  <si>
    <t>SYBU</t>
  </si>
  <si>
    <t>HI VIZ- YELLOW BUTTERFLY</t>
  </si>
  <si>
    <t>SYCA</t>
  </si>
  <si>
    <t>HI VIZ- YELLOW CATS</t>
  </si>
  <si>
    <t>SYEL</t>
  </si>
  <si>
    <t>HI VIZ- YELLOW ELEPHANT</t>
  </si>
  <si>
    <t>SYFE</t>
  </si>
  <si>
    <t>HI VIZ- YELLOW FEET</t>
  </si>
  <si>
    <t>SYHE</t>
  </si>
  <si>
    <t>HI VIZ- YELLOW HEARTS</t>
  </si>
  <si>
    <t>SYLI</t>
  </si>
  <si>
    <t>HI VIZ- YELLOW LIPS</t>
  </si>
  <si>
    <t>SYLO</t>
  </si>
  <si>
    <t>HI VIZ- YELLOW LOVE</t>
  </si>
  <si>
    <t>SYPE</t>
  </si>
  <si>
    <t>HI VIZ- YELLOW PENGUIN</t>
  </si>
  <si>
    <t>SYRA</t>
  </si>
  <si>
    <t>HI VIZ- YELLOW RABBITS</t>
  </si>
  <si>
    <t>SYSM</t>
  </si>
  <si>
    <t>HI VIZ- YELLOW SMILEY</t>
  </si>
  <si>
    <t>TINZ7518</t>
  </si>
  <si>
    <t>HINGED COFFEE TIN - I COOK WITH WINE</t>
  </si>
  <si>
    <t>HIP11</t>
  </si>
  <si>
    <t>Hip Flask</t>
  </si>
  <si>
    <t>HIP04</t>
  </si>
  <si>
    <t>HIP FLASK - VINTAGE MAP</t>
  </si>
  <si>
    <t>00hm</t>
  </si>
  <si>
    <t>Historic Map Bookmark Set Up</t>
  </si>
  <si>
    <t>HMC002</t>
  </si>
  <si>
    <t>Historic Maps Slim Calendar</t>
  </si>
  <si>
    <t>HMC001</t>
  </si>
  <si>
    <t>Historic Maps Square Calendar</t>
  </si>
  <si>
    <t>HMC003</t>
  </si>
  <si>
    <t>Historic Maps Year Planner</t>
  </si>
  <si>
    <t>HSD</t>
  </si>
  <si>
    <t>Historical Sales Data</t>
  </si>
  <si>
    <t>HH03</t>
  </si>
  <si>
    <t>Hobby House - Baby Closet Dividers</t>
  </si>
  <si>
    <t>HH01</t>
  </si>
  <si>
    <t>Hobby House - Baby Milestones Set 1</t>
  </si>
  <si>
    <t>HH02</t>
  </si>
  <si>
    <t>Hobby House - Baby Milestones Set 2</t>
  </si>
  <si>
    <t>T4B</t>
  </si>
  <si>
    <t>HOPES AND WISHES FOR YOU</t>
  </si>
  <si>
    <t>CS30</t>
  </si>
  <si>
    <t>Horses &amp; Stable Sleeve</t>
  </si>
  <si>
    <t>WFM005</t>
  </si>
  <si>
    <t>Hydrangea - Australian Made Wooden Fridge Magnet</t>
  </si>
  <si>
    <t>WK005</t>
  </si>
  <si>
    <t>Hydrangea - Australian Made Wooden Key Ring</t>
  </si>
  <si>
    <t>HBB05</t>
  </si>
  <si>
    <t>Hydrate, Bath &amp; Beauty Set Up Australian Natives &amp; Golden Wattle</t>
  </si>
  <si>
    <t>HBB02</t>
  </si>
  <si>
    <t>Hydrate, Bath &amp; Beauty Set Up Fruit</t>
  </si>
  <si>
    <t>HBB04</t>
  </si>
  <si>
    <t>Hydrate, Bath &amp; Beauty Set Up Fruit &amp; Strawberry Thief</t>
  </si>
  <si>
    <t>HBB01</t>
  </si>
  <si>
    <t>Hydrate, Bath &amp; Beauty Set Up Strawberry Thief</t>
  </si>
  <si>
    <t>HBB03</t>
  </si>
  <si>
    <t>Hydrate, Bath &amp; Beauty Set Up Water Lilies &amp; Sunflower</t>
  </si>
  <si>
    <t>CDUHBB</t>
  </si>
  <si>
    <t>Hydrate, Bath &amp; Beauty WDU</t>
  </si>
  <si>
    <t>T1A</t>
  </si>
  <si>
    <t>I Made a Book About You</t>
  </si>
  <si>
    <t>ISW04</t>
  </si>
  <si>
    <t>Ice Silk Wrap - Australian Natives</t>
  </si>
  <si>
    <t>ISW08</t>
  </si>
  <si>
    <t>Ice Silk Wrap - Falling Free</t>
  </si>
  <si>
    <t>ISW05</t>
  </si>
  <si>
    <t>Ice Silk Wrap - Golden Wattle</t>
  </si>
  <si>
    <t>ISW03</t>
  </si>
  <si>
    <t>Ice Silk Wrap - Monet's Water Lilies</t>
  </si>
  <si>
    <t>ISW07</t>
  </si>
  <si>
    <t>Ice Silk Wrap - Quiet Blossom</t>
  </si>
  <si>
    <t>ISW01</t>
  </si>
  <si>
    <t>Ice Silk Wrap - Strawberry Thief</t>
  </si>
  <si>
    <t>ISW02</t>
  </si>
  <si>
    <t>Ice Silk Wrap - Sunflowers</t>
  </si>
  <si>
    <t>ISW06</t>
  </si>
  <si>
    <t>Ice Silk Wrap - Tropical Koala</t>
  </si>
  <si>
    <t>PUZZ6725</t>
  </si>
  <si>
    <t>IN TIN(150 PCS) - DIFFICULT CHILDHOODS</t>
  </si>
  <si>
    <t>PUZZ7157</t>
  </si>
  <si>
    <t>IN TIN(150 PCS) - IF I AGREED WITH YOU</t>
  </si>
  <si>
    <t>Incorrect Old SKU1</t>
  </si>
  <si>
    <t>Del2</t>
  </si>
  <si>
    <t>Incorrect Old SKU2</t>
  </si>
  <si>
    <t>Inspectors Blue</t>
  </si>
  <si>
    <t>Inspectors Green</t>
  </si>
  <si>
    <t>Inspectors Red</t>
  </si>
  <si>
    <t>RFS11630</t>
  </si>
  <si>
    <t>JACKS SET IN A BOX - HARLEQUIN</t>
  </si>
  <si>
    <t>C0038</t>
  </si>
  <si>
    <t>JACQUELINE WILSON BAGABOOK</t>
  </si>
  <si>
    <t>DICS07</t>
  </si>
  <si>
    <t>JIGSAW COUNTER SPINNER</t>
  </si>
  <si>
    <t>PUZZ6758</t>
  </si>
  <si>
    <t>JIGSAW IN TIN(150 PCS) - GUYS HAVE FEELINGS TOO!</t>
  </si>
  <si>
    <t>PUZZ6867</t>
  </si>
  <si>
    <t>JIGSAW IN TIN(150 PCS) - I PICK SHOES</t>
  </si>
  <si>
    <t>PUZZ6665</t>
  </si>
  <si>
    <t>JIGSAW IN TIN(150 PCS) - MY PROBLEM</t>
  </si>
  <si>
    <t>PUZZ6709</t>
  </si>
  <si>
    <t>JIGSAW IN TIN(150 PCS) - TOO MUCH CAFFEINE</t>
  </si>
  <si>
    <t>NBA6PC01</t>
  </si>
  <si>
    <t>Journal (Lockable) - Planet Cat (Great Thoughts)</t>
  </si>
  <si>
    <t>J20</t>
  </si>
  <si>
    <t>Journal - A5 Australian Natives Lined</t>
  </si>
  <si>
    <t>J16</t>
  </si>
  <si>
    <t>Journal - A5 Black Lined</t>
  </si>
  <si>
    <t>J18</t>
  </si>
  <si>
    <t>Journal - A5 Blush Lined</t>
  </si>
  <si>
    <t>J27</t>
  </si>
  <si>
    <t>Journal - A5 Cats, Coffee and Books Lined</t>
  </si>
  <si>
    <t>J28</t>
  </si>
  <si>
    <t>Journal - A5 Dogs and Books Lined</t>
  </si>
  <si>
    <t>J19</t>
  </si>
  <si>
    <t>Journal - A5 Emerald Lined</t>
  </si>
  <si>
    <t>J12</t>
  </si>
  <si>
    <t>Journal - A5 Fruit Blank</t>
  </si>
  <si>
    <t>J03</t>
  </si>
  <si>
    <t>Journal - A5 Fruit Lined</t>
  </si>
  <si>
    <t>J21</t>
  </si>
  <si>
    <t>Journal - A5 Golden Wattle Lined</t>
  </si>
  <si>
    <t>J08</t>
  </si>
  <si>
    <t>Journal - A5 Hampton Stripe Lined</t>
  </si>
  <si>
    <t>J25</t>
  </si>
  <si>
    <t>Journal - A5 It's Not Hoarding If It's Books Lined</t>
  </si>
  <si>
    <t>J24</t>
  </si>
  <si>
    <t>Journal - A5 Just One More Chapter Lined</t>
  </si>
  <si>
    <t>J10</t>
  </si>
  <si>
    <t>Journal - A5 Kilburn Blank</t>
  </si>
  <si>
    <t>J06</t>
  </si>
  <si>
    <t>Journal - A5 Kilburn Lined</t>
  </si>
  <si>
    <t>J02</t>
  </si>
  <si>
    <t>Journal - A5 Larkspur Lined</t>
  </si>
  <si>
    <t>J07</t>
  </si>
  <si>
    <t>Journal - A5 Leopard Print Lined</t>
  </si>
  <si>
    <t>J17</t>
  </si>
  <si>
    <t>Journal - A5 Navy Lined</t>
  </si>
  <si>
    <t>J29</t>
  </si>
  <si>
    <t>Journal - A5 No Such Thing As Too Many Books Lined</t>
  </si>
  <si>
    <t>J09</t>
  </si>
  <si>
    <t>Journal - A5 Peonie Rose Blank</t>
  </si>
  <si>
    <t>J05</t>
  </si>
  <si>
    <t>Journal - A5 Peonie Rose Lined</t>
  </si>
  <si>
    <t>J26</t>
  </si>
  <si>
    <t>Journal - A5 Read Books Drink Tea Be Happy Lined</t>
  </si>
  <si>
    <t>J23</t>
  </si>
  <si>
    <t>Journal - A5 Reading is Dreaming With Your Eyes Open Lined</t>
  </si>
  <si>
    <t>J11</t>
  </si>
  <si>
    <t>Journal - A5 Strawberry Thief Blank</t>
  </si>
  <si>
    <t>J01</t>
  </si>
  <si>
    <t>Journal - A5 Strawberry Thief Lined</t>
  </si>
  <si>
    <t>J13</t>
  </si>
  <si>
    <t>Journal - A5 Strawberry Thief Red Lined</t>
  </si>
  <si>
    <t>J14</t>
  </si>
  <si>
    <t>Journal - A5 Sunflower Lined</t>
  </si>
  <si>
    <t>J22</t>
  </si>
  <si>
    <t>Journal - A5 Tropical Koala Lined</t>
  </si>
  <si>
    <t>J15</t>
  </si>
  <si>
    <t>Journal - A5 Water Lilies Lined</t>
  </si>
  <si>
    <t>J04</t>
  </si>
  <si>
    <t>Journal - A5 Wild Tulip Lined</t>
  </si>
  <si>
    <t>JA608</t>
  </si>
  <si>
    <t>Journal - A6 Australian Natives</t>
  </si>
  <si>
    <t>JA602</t>
  </si>
  <si>
    <t>Journal - A6 Fruit</t>
  </si>
  <si>
    <t>JA609</t>
  </si>
  <si>
    <t>Journal - A6 Golden Wattle</t>
  </si>
  <si>
    <t>JA604</t>
  </si>
  <si>
    <t>Journal - A6 Kilburn</t>
  </si>
  <si>
    <t>JA603</t>
  </si>
  <si>
    <t>Journal - A6 Peonie Rose</t>
  </si>
  <si>
    <t>JA601</t>
  </si>
  <si>
    <t>Journal - A6 Strawberry Thief</t>
  </si>
  <si>
    <t>JA607</t>
  </si>
  <si>
    <t>Journal - A6 Strawberry Thief Red</t>
  </si>
  <si>
    <t>JA605</t>
  </si>
  <si>
    <t>Journal - A6 Sunflowers</t>
  </si>
  <si>
    <t>JA610</t>
  </si>
  <si>
    <t>Journal - A6 Tropical Koala</t>
  </si>
  <si>
    <t>JA606</t>
  </si>
  <si>
    <t>Journal - A6 Water Lilies</t>
  </si>
  <si>
    <t>JA704</t>
  </si>
  <si>
    <t>Journal - A7 Australian Natives w/ Pen</t>
  </si>
  <si>
    <t>JA705</t>
  </si>
  <si>
    <t>Journal - A7 Golden Wattle w/ Pen</t>
  </si>
  <si>
    <t>JA701</t>
  </si>
  <si>
    <t>Journal - A7 Strawberry Thief w/ Pen</t>
  </si>
  <si>
    <t>JA703</t>
  </si>
  <si>
    <t>Journal - A7 Sunflowers w/ Pen</t>
  </si>
  <si>
    <t>JA706</t>
  </si>
  <si>
    <t>Journal - A7 Tropical Koala  w/ Pen</t>
  </si>
  <si>
    <t>JA702</t>
  </si>
  <si>
    <t>Journal - A7 Water Lilies w/ Pen</t>
  </si>
  <si>
    <t>J33</t>
  </si>
  <si>
    <t>Journal A5 - Enemies To Lovers</t>
  </si>
  <si>
    <t>J37</t>
  </si>
  <si>
    <t>Journal A5 - Falling Free</t>
  </si>
  <si>
    <t>J31</t>
  </si>
  <si>
    <t>Journal A5 - Fly Or Die</t>
  </si>
  <si>
    <t>J34</t>
  </si>
  <si>
    <t>Journal A5 - I Can Fix Him Or Join Him</t>
  </si>
  <si>
    <t>J32</t>
  </si>
  <si>
    <t>Journal A5 - I don't Kneel To Fae Kings</t>
  </si>
  <si>
    <t>J30</t>
  </si>
  <si>
    <t>Journal A5 - In My Romantasy Era</t>
  </si>
  <si>
    <t>J36</t>
  </si>
  <si>
    <t>Journal A5 - Quiet Blossom</t>
  </si>
  <si>
    <t>J35</t>
  </si>
  <si>
    <t>Journal A5 - To The Stars Who Listen</t>
  </si>
  <si>
    <t>JA612</t>
  </si>
  <si>
    <t>Journal A6 - Falling Free</t>
  </si>
  <si>
    <t>JA611</t>
  </si>
  <si>
    <t>Journal A6 - Quiet Blossom</t>
  </si>
  <si>
    <t>JA708</t>
  </si>
  <si>
    <t>Journal A7 w/ Pen - Falling Free</t>
  </si>
  <si>
    <t>JA707</t>
  </si>
  <si>
    <t>Journal A7 w/ Pen - Quiet Blossom</t>
  </si>
  <si>
    <t>NJCDU</t>
  </si>
  <si>
    <t>Journal CDU</t>
  </si>
  <si>
    <t>BOOKBC02</t>
  </si>
  <si>
    <t>Journal Flexibound 128pp: Beryl Cook (Naked Truth Journal)</t>
  </si>
  <si>
    <t>BOOKSP01</t>
  </si>
  <si>
    <t>Journal Flexibound 128pp: Spencer Wilson (Jog On Journal)</t>
  </si>
  <si>
    <t>JOURNALS FOR LIFE - Everlasting Address Book</t>
  </si>
  <si>
    <t>JOURNALS FOR LIFE - Junk Drawer Folder</t>
  </si>
  <si>
    <t>JOURNALS FOR LIFE - Lists for Life</t>
  </si>
  <si>
    <t>JOURNALS FOR LIFE - My Life Through Books</t>
  </si>
  <si>
    <t>JOURNALS FOR LIFE - Night Notes</t>
  </si>
  <si>
    <t>CDU7100D</t>
  </si>
  <si>
    <t>JOURNALS FOR LIFE CDU</t>
  </si>
  <si>
    <t>SP7100</t>
  </si>
  <si>
    <t>JOURNALS FOR LIFE Set Up</t>
  </si>
  <si>
    <t>WFM019</t>
  </si>
  <si>
    <t>Kangaroo - Australian Made Wooden Fridge Magnet</t>
  </si>
  <si>
    <t>WK019</t>
  </si>
  <si>
    <t>Kangaroo - Australian Made Wooden Key Ring</t>
  </si>
  <si>
    <t>WO042</t>
  </si>
  <si>
    <t>Kangaroo - Australian Made Wooden Ornament</t>
  </si>
  <si>
    <t>WO055</t>
  </si>
  <si>
    <t>Kangaroo Boxing - Australian Made Wooden Ornament</t>
  </si>
  <si>
    <t>WFM011</t>
  </si>
  <si>
    <t>Kangaroo Paw - Australian Made Wooden Fridge Magnet</t>
  </si>
  <si>
    <t>WK011</t>
  </si>
  <si>
    <t>Kangaroo Paw - Australian Made Wooden Key Ring</t>
  </si>
  <si>
    <t>WO051</t>
  </si>
  <si>
    <t>Kangaroo Surf - Australian Made Wooden Ornament</t>
  </si>
  <si>
    <t>KRWDU</t>
  </si>
  <si>
    <t>Key Ring Display</t>
  </si>
  <si>
    <t>KEYRING</t>
  </si>
  <si>
    <t>Key Ring with Clip</t>
  </si>
  <si>
    <t>KRDC</t>
  </si>
  <si>
    <t>Keyring Display Card</t>
  </si>
  <si>
    <t>KRCDU</t>
  </si>
  <si>
    <t>Keyring Rotating Display</t>
  </si>
  <si>
    <t>SM004</t>
  </si>
  <si>
    <t>Kids Animal Scratch Map</t>
  </si>
  <si>
    <t>C0070</t>
  </si>
  <si>
    <t>KINDLE CASE BAGABOOK RED WITH POCKET</t>
  </si>
  <si>
    <t>KSC002</t>
  </si>
  <si>
    <t>Kittens Sleeping Slim Calendar</t>
  </si>
  <si>
    <t>SWC002</t>
  </si>
  <si>
    <t>Kittens Sleeping Square Calendar</t>
  </si>
  <si>
    <t>KSC003</t>
  </si>
  <si>
    <t>Kittens Sleeping Year Planner</t>
  </si>
  <si>
    <t>WO065</t>
  </si>
  <si>
    <t>Kiwi - Australian Made Wooden Ornament</t>
  </si>
  <si>
    <t>WFM020</t>
  </si>
  <si>
    <t>Koala - Australian Made Wooden Fridge Magnet</t>
  </si>
  <si>
    <t>WK020</t>
  </si>
  <si>
    <t>Koala - Australian Made Wooden Key Ring</t>
  </si>
  <si>
    <t>WO043</t>
  </si>
  <si>
    <t>Koala - Australian Made Wooden Ornament</t>
  </si>
  <si>
    <t>WO053</t>
  </si>
  <si>
    <t>Koala Jet Ski  - Australian Made Wooden Ornament</t>
  </si>
  <si>
    <t>WO052</t>
  </si>
  <si>
    <t>Koala Surf - Australian Made Wooden Ornament</t>
  </si>
  <si>
    <t>WFM021</t>
  </si>
  <si>
    <t>Kookaburra - Australian Made Wooden Fridge Magnet</t>
  </si>
  <si>
    <t>xxWK021</t>
  </si>
  <si>
    <t>Kookaburra - Australian Made Wooden Key Ring</t>
  </si>
  <si>
    <t>WO044</t>
  </si>
  <si>
    <t>Kookaburra - Australian Made Wooden Ornament</t>
  </si>
  <si>
    <t>WK021</t>
  </si>
  <si>
    <t>Koookaburra - Australian Made Wooden Key Ring</t>
  </si>
  <si>
    <t>MT09</t>
  </si>
  <si>
    <t>Krafftman - 6-in-1 Pen</t>
  </si>
  <si>
    <t>MT06</t>
  </si>
  <si>
    <t>Krafftman - BBQ Multi Tool 5 in 1</t>
  </si>
  <si>
    <t>MT01</t>
  </si>
  <si>
    <t>Krafftman - Camping Utensils Multi Tool 7 in 1</t>
  </si>
  <si>
    <t>MT13</t>
  </si>
  <si>
    <t>Krafftman - Carabiner Mug - Escape The Ordinary</t>
  </si>
  <si>
    <t>MT14</t>
  </si>
  <si>
    <t>Krafftman - Carabiner Mug - Not All Who Wander</t>
  </si>
  <si>
    <t>MT15</t>
  </si>
  <si>
    <t>Krafftman - Carabiner Mug - The Adventure Awaits</t>
  </si>
  <si>
    <t>MT07</t>
  </si>
  <si>
    <t>Krafftman - Card Multi Tool 10 in 1</t>
  </si>
  <si>
    <t>MT05</t>
  </si>
  <si>
    <t>Krafftman - Compact Pliers Multi Tool 12 in 1</t>
  </si>
  <si>
    <t>MT10</t>
  </si>
  <si>
    <t>Krafftman - Enamel Mug - Adventure Fills The Soul</t>
  </si>
  <si>
    <t>MT11</t>
  </si>
  <si>
    <t>Krafftman - Enamel Mug - The Journeyman</t>
  </si>
  <si>
    <t>MT12</t>
  </si>
  <si>
    <t>Krafftman - Enamel Mug - Trip Stumble Fall</t>
  </si>
  <si>
    <t>TC005</t>
  </si>
  <si>
    <t>Krafftman - Grooming Set</t>
  </si>
  <si>
    <t>TC009</t>
  </si>
  <si>
    <t>Krafftman - Hammer Multi Tool 14 in 1</t>
  </si>
  <si>
    <t>MT04</t>
  </si>
  <si>
    <t>Krafftman - Pliers Multi Tool 12 in 1</t>
  </si>
  <si>
    <t>MT03</t>
  </si>
  <si>
    <t>Krafftman - Swiss Pocket Knife 28 in 1</t>
  </si>
  <si>
    <t>Kit1</t>
  </si>
  <si>
    <t>Krafftman Kit 1</t>
  </si>
  <si>
    <t>TC010</t>
  </si>
  <si>
    <t>Krafftman- Swiss Pocket Knife 15 in 1</t>
  </si>
  <si>
    <t>KPBAG</t>
  </si>
  <si>
    <t>Kraft Paper Bag 16x25cm</t>
  </si>
  <si>
    <t>KS02</t>
  </si>
  <si>
    <t>Kraft Shredded 1kg</t>
  </si>
  <si>
    <t>KS01</t>
  </si>
  <si>
    <t>Kraft Shredded Blue 1kg</t>
  </si>
  <si>
    <t>LSD</t>
  </si>
  <si>
    <t>Ladder Stand Display 30cmD x 50cmW x 165cmH</t>
  </si>
  <si>
    <t>WBLMSP</t>
  </si>
  <si>
    <t>Landmark Australian Made Wooden Bookmarks  72 Units</t>
  </si>
  <si>
    <t>LP001</t>
  </si>
  <si>
    <t>Laptop Pouch - Australian Natives</t>
  </si>
  <si>
    <t>LP002</t>
  </si>
  <si>
    <t>Laptop Pouch - Golden Wattle</t>
  </si>
  <si>
    <t>LP004</t>
  </si>
  <si>
    <t>Laptop Pouch - Monet Water Lilies</t>
  </si>
  <si>
    <t>LP003</t>
  </si>
  <si>
    <t>Laptop Pouch - Strawberry Thief Blue</t>
  </si>
  <si>
    <t>LP005</t>
  </si>
  <si>
    <t>Laptop Pouch - Van Gogh's Sunflowers</t>
  </si>
  <si>
    <t>CR037</t>
  </si>
  <si>
    <t>Large Hand Cream - Australian Natives</t>
  </si>
  <si>
    <t>CR053</t>
  </si>
  <si>
    <t>Large Hand Cream - Falling Free</t>
  </si>
  <si>
    <t>CR020</t>
  </si>
  <si>
    <t>Large Hand Cream - Fruit</t>
  </si>
  <si>
    <t>CR038</t>
  </si>
  <si>
    <t>Large Hand Cream - Golden Wattle</t>
  </si>
  <si>
    <t>CR022</t>
  </si>
  <si>
    <t>Large Hand Cream - Monet Water Lilies</t>
  </si>
  <si>
    <t>CR052</t>
  </si>
  <si>
    <t>Large Hand Cream - Quiet Blossom</t>
  </si>
  <si>
    <t>CR019</t>
  </si>
  <si>
    <t>Large Hand Cream - Strawberry Thief</t>
  </si>
  <si>
    <t>CR048</t>
  </si>
  <si>
    <t>Large Hand Cream - Tropical Koala</t>
  </si>
  <si>
    <t>CR021</t>
  </si>
  <si>
    <t>Large Hand Cream - Van Gogh Sunflowers</t>
  </si>
  <si>
    <t>WDULHC</t>
  </si>
  <si>
    <t>Large Hand Cream Display</t>
  </si>
  <si>
    <t>LHCSU</t>
  </si>
  <si>
    <t>Large Hand Cream Set Up</t>
  </si>
  <si>
    <t>LP02</t>
  </si>
  <si>
    <t>Large Pouch - Fruit</t>
  </si>
  <si>
    <t>LP04</t>
  </si>
  <si>
    <t>Large Pouch - Kilburn</t>
  </si>
  <si>
    <t>LP03</t>
  </si>
  <si>
    <t>Large Pouch - Peonie Rose</t>
  </si>
  <si>
    <t>LP01</t>
  </si>
  <si>
    <t>Large Pouch - Strawberry Thief</t>
  </si>
  <si>
    <t>LP05</t>
  </si>
  <si>
    <t>Large Pouch - Sunflowers</t>
  </si>
  <si>
    <t>LP06</t>
  </si>
  <si>
    <t>Large Pouch - Water Lilies</t>
  </si>
  <si>
    <t>RFS11907</t>
  </si>
  <si>
    <t>LARGE PU JOURNAL - BLACK</t>
  </si>
  <si>
    <t>RFS11908</t>
  </si>
  <si>
    <t>LARGE PU JOURNAL - BOWLING GREEN</t>
  </si>
  <si>
    <t>RFS11911</t>
  </si>
  <si>
    <t>LARGE PU JOURNAL - DEEP PURPLE</t>
  </si>
  <si>
    <t>RFS11913</t>
  </si>
  <si>
    <t>LARGE PU JOURNAL - JADE GREEN</t>
  </si>
  <si>
    <t>RFS11915</t>
  </si>
  <si>
    <t>LARGE PU JOURNAL - MIDNIGHT BLUE</t>
  </si>
  <si>
    <t>RFS12105</t>
  </si>
  <si>
    <t>LARGE PU JOURNAL - NICE PINK</t>
  </si>
  <si>
    <t>BGJLSP</t>
  </si>
  <si>
    <t>Large PU Journal Large Set Up 12 units</t>
  </si>
  <si>
    <t>WBL04</t>
  </si>
  <si>
    <t>Large Water Bottle - Australian Natives</t>
  </si>
  <si>
    <t>WBL08</t>
  </si>
  <si>
    <t>Large Water Bottle - Falling Free</t>
  </si>
  <si>
    <t>WBL05</t>
  </si>
  <si>
    <t>Large Water Bottle - Golden Wattle</t>
  </si>
  <si>
    <t>WBL02</t>
  </si>
  <si>
    <t>Large Water Bottle - Monet Water Lilies</t>
  </si>
  <si>
    <t>WBL07</t>
  </si>
  <si>
    <t>Large Water Bottle - Quiet Blossom</t>
  </si>
  <si>
    <t>WBL01</t>
  </si>
  <si>
    <t>Large Water Bottle - Strawberry Thief</t>
  </si>
  <si>
    <t>WBL06</t>
  </si>
  <si>
    <t>Large Water Bottle - Tropical Koala</t>
  </si>
  <si>
    <t>WBL03</t>
  </si>
  <si>
    <t>Large Water Bottle - Van Gogh Sunflowers</t>
  </si>
  <si>
    <t>EM09</t>
  </si>
  <si>
    <t>Lavender Scented Eyemask - Black</t>
  </si>
  <si>
    <t>BH060</t>
  </si>
  <si>
    <t>Lavender Scented Eyemask - Bluhen Hampton Stripe</t>
  </si>
  <si>
    <t>BH061</t>
  </si>
  <si>
    <t>Lavender Scented Eyemask - Bluhen Kilburn</t>
  </si>
  <si>
    <t>EM08</t>
  </si>
  <si>
    <t>Lavender Scented Eyemask - Blush</t>
  </si>
  <si>
    <t>EM07</t>
  </si>
  <si>
    <t>Lavender Scented Eyemask - Monet's Water Lilies</t>
  </si>
  <si>
    <t>EM06</t>
  </si>
  <si>
    <t>Lavender Scented Eyemask - Van Gogh's Sunflowers</t>
  </si>
  <si>
    <t>EM01</t>
  </si>
  <si>
    <t>Lavender Scented Eyemask - William Morris Blue Larkspur</t>
  </si>
  <si>
    <t>EM02</t>
  </si>
  <si>
    <t>Lavender Scented Eyemask - William Morris Fruit</t>
  </si>
  <si>
    <t>EM03</t>
  </si>
  <si>
    <t>Lavender Scented Eyemask - William Morris Strawberry Thief</t>
  </si>
  <si>
    <t>EM05</t>
  </si>
  <si>
    <t>Lavender Scented Eyemask - William Morris Wild Tulip</t>
  </si>
  <si>
    <t>EM04</t>
  </si>
  <si>
    <t>Lavender Scented Eyemask William Morris Strawberry Thief Red</t>
  </si>
  <si>
    <t>Kit7</t>
  </si>
  <si>
    <t>Leopard Kit 1</t>
  </si>
  <si>
    <t>LETTER BOOK PLATES - A</t>
  </si>
  <si>
    <t>LETTER BOOK PLATES - B</t>
  </si>
  <si>
    <t>LETTER BOOK PLATES - C</t>
  </si>
  <si>
    <t>LETTER BOOK PLATES - D</t>
  </si>
  <si>
    <t>LETTER BOOK PLATES - E</t>
  </si>
  <si>
    <t>LETTER BOOK PLATES - H</t>
  </si>
  <si>
    <t>LETTER BOOK PLATES - J</t>
  </si>
  <si>
    <t>LETTER BOOK PLATES - K</t>
  </si>
  <si>
    <t>LETTER BOOK PLATES - L</t>
  </si>
  <si>
    <t>LETTER BOOK PLATES - M</t>
  </si>
  <si>
    <t>LETTER BOOK PLATES - R</t>
  </si>
  <si>
    <t>LETTER BOOK PLATES - S</t>
  </si>
  <si>
    <t>CDU415</t>
  </si>
  <si>
    <t>LETTER BOOKPLATES CDU</t>
  </si>
  <si>
    <t>SP415</t>
  </si>
  <si>
    <t>LETTER BOOKPLATES SET UP 36 PIECES</t>
  </si>
  <si>
    <t>LITTLE BOOK HOLDER - BLACK</t>
  </si>
  <si>
    <t>LITTLE BOOK HOLDER - BLUE</t>
  </si>
  <si>
    <t>LITTLE BOOK HOLDER - GREY</t>
  </si>
  <si>
    <t>LITTLE BOOK HOLDER - LILAC</t>
  </si>
  <si>
    <t>LITTLE BOOK HOLDER - MINT</t>
  </si>
  <si>
    <t>LITTLE BOOK HOLDER - PINK</t>
  </si>
  <si>
    <t>LITTLE BOOK HOLDER - WHITE</t>
  </si>
  <si>
    <t>SP70</t>
  </si>
  <si>
    <t>LITTLE BOOK HOLDER SET UP</t>
  </si>
  <si>
    <t>CDU7000C</t>
  </si>
  <si>
    <t>LITTLE BOOKHOLDER CDU</t>
  </si>
  <si>
    <t>SWC006</t>
  </si>
  <si>
    <t>Llama Love Calendar</t>
  </si>
  <si>
    <t>LM038</t>
  </si>
  <si>
    <t>Loudmouth - Barbie</t>
  </si>
  <si>
    <t>LM031</t>
  </si>
  <si>
    <t>Loudmouth - Batman</t>
  </si>
  <si>
    <t>LM024</t>
  </si>
  <si>
    <t>Loudmouth - Beyonce</t>
  </si>
  <si>
    <t>LM028</t>
  </si>
  <si>
    <t>Loudmouth - Boris</t>
  </si>
  <si>
    <t>LM026</t>
  </si>
  <si>
    <t>Loudmouth - Cher</t>
  </si>
  <si>
    <t>LM002</t>
  </si>
  <si>
    <t>Loudmouth - Christopher Walken</t>
  </si>
  <si>
    <t>LM003</t>
  </si>
  <si>
    <t>Loudmouth - Dame Edna</t>
  </si>
  <si>
    <t>LM022</t>
  </si>
  <si>
    <t>Loudmouth - Darth Vadar</t>
  </si>
  <si>
    <t>LM004</t>
  </si>
  <si>
    <t>Loudmouth - David Attenborough</t>
  </si>
  <si>
    <t>LM005</t>
  </si>
  <si>
    <t>Loudmouth - Donald Trump</t>
  </si>
  <si>
    <t>LM042</t>
  </si>
  <si>
    <t>Loudmouth - Donald Trump 18th</t>
  </si>
  <si>
    <t>LM043</t>
  </si>
  <si>
    <t>Loudmouth - Donald Trump 21st</t>
  </si>
  <si>
    <t>LM044</t>
  </si>
  <si>
    <t>Loudmouth - Donald Trump 30th</t>
  </si>
  <si>
    <t>LM045</t>
  </si>
  <si>
    <t>Loudmouth - Donald Trump 40th</t>
  </si>
  <si>
    <t>LM046</t>
  </si>
  <si>
    <t>Loudmouth - Donald Trump 50th</t>
  </si>
  <si>
    <t>LM047</t>
  </si>
  <si>
    <t>Loudmouth - Donald Trump 60th</t>
  </si>
  <si>
    <t>LM048</t>
  </si>
  <si>
    <t>Loudmouth - Donald Trump 70th</t>
  </si>
  <si>
    <t>LM049</t>
  </si>
  <si>
    <t>Loudmouth - Donald Trump 80th</t>
  </si>
  <si>
    <t>LM039</t>
  </si>
  <si>
    <t>Loudmouth - Dwayne Johnson</t>
  </si>
  <si>
    <t>LM006</t>
  </si>
  <si>
    <t>Loudmouth - Ed Sheeran</t>
  </si>
  <si>
    <t>LM041</t>
  </si>
  <si>
    <t>Loudmouth - Elon Musk</t>
  </si>
  <si>
    <t>LM027</t>
  </si>
  <si>
    <t>Loudmouth - Elvis</t>
  </si>
  <si>
    <t>LM007</t>
  </si>
  <si>
    <t>Loudmouth - Emma Stone</t>
  </si>
  <si>
    <t>LM034</t>
  </si>
  <si>
    <t>Loudmouth - Gandalf</t>
  </si>
  <si>
    <t>LM017</t>
  </si>
  <si>
    <t>Loudmouth - Harrison Ford</t>
  </si>
  <si>
    <t>LM029</t>
  </si>
  <si>
    <t>Loudmouth - Harry Potter</t>
  </si>
  <si>
    <t>LM009</t>
  </si>
  <si>
    <t>Loudmouth - Jack Nicholson</t>
  </si>
  <si>
    <t>LM025</t>
  </si>
  <si>
    <t>Loudmouth - Jack Sparrow</t>
  </si>
  <si>
    <t>LM010</t>
  </si>
  <si>
    <t>Loudmouth - Jon Snow</t>
  </si>
  <si>
    <t>LM037</t>
  </si>
  <si>
    <t>Loudmouth - Justin Bieber</t>
  </si>
  <si>
    <t>LM035</t>
  </si>
  <si>
    <t>Loudmouth - Kim Kardashian</t>
  </si>
  <si>
    <t>LM036</t>
  </si>
  <si>
    <t>Loudmouth - King Charles</t>
  </si>
  <si>
    <t>LM011</t>
  </si>
  <si>
    <t>Loudmouth - Liam Neeson</t>
  </si>
  <si>
    <t>LM012</t>
  </si>
  <si>
    <t>Loudmouth - Marilyn Monroe</t>
  </si>
  <si>
    <t>LM013</t>
  </si>
  <si>
    <t>Loudmouth - Matthew McConaughey</t>
  </si>
  <si>
    <t>LM014</t>
  </si>
  <si>
    <t>Loudmouth - Morgan Freeman</t>
  </si>
  <si>
    <t>LM001</t>
  </si>
  <si>
    <t>Loudmouth - Muhammad Ali</t>
  </si>
  <si>
    <t>LM015</t>
  </si>
  <si>
    <t>Loudmouth - Pink</t>
  </si>
  <si>
    <t>LM018</t>
  </si>
  <si>
    <t>Loudmouth - Professor Snape</t>
  </si>
  <si>
    <t>LM040</t>
  </si>
  <si>
    <t>Loudmouth - Ryan Gosling</t>
  </si>
  <si>
    <t>LM016</t>
  </si>
  <si>
    <t>Loudmouth - Sean Connery</t>
  </si>
  <si>
    <t>LM032</t>
  </si>
  <si>
    <t>Loudmouth - Spiderman</t>
  </si>
  <si>
    <t>LM019</t>
  </si>
  <si>
    <t>Loudmouth - Taylor Swift</t>
  </si>
  <si>
    <t>LM008</t>
  </si>
  <si>
    <t>Loudmouth - The Godfather</t>
  </si>
  <si>
    <t>LM021</t>
  </si>
  <si>
    <t>Loudmouth - The Queen</t>
  </si>
  <si>
    <t>LM023</t>
  </si>
  <si>
    <t>Loudmouth - The Terminator</t>
  </si>
  <si>
    <t>LM020</t>
  </si>
  <si>
    <t>Loudmouth - Thor</t>
  </si>
  <si>
    <t>LM030</t>
  </si>
  <si>
    <t>Loudmouth - Voldemort</t>
  </si>
  <si>
    <t>LM033</t>
  </si>
  <si>
    <t>Loudmouth - Yoda</t>
  </si>
  <si>
    <t>LMSU</t>
  </si>
  <si>
    <t>Loudmouth Sounds Cards Set Up</t>
  </si>
  <si>
    <t>LMWS</t>
  </si>
  <si>
    <t>Loudmouth Wire Spinner</t>
  </si>
  <si>
    <t>LS</t>
  </si>
  <si>
    <t>LOVE STORIES</t>
  </si>
  <si>
    <t>SWS004</t>
  </si>
  <si>
    <t>LOVE YOU</t>
  </si>
  <si>
    <t>LYB001</t>
  </si>
  <si>
    <t>Love You Dad</t>
  </si>
  <si>
    <t>LYB004</t>
  </si>
  <si>
    <t>Love You Grandma</t>
  </si>
  <si>
    <t>LYB003</t>
  </si>
  <si>
    <t>Love You Grandpa</t>
  </si>
  <si>
    <t>LYB002</t>
  </si>
  <si>
    <t>Love You Mum</t>
  </si>
  <si>
    <t>CDU70</t>
  </si>
  <si>
    <t>LTTLE BOOK HOLDER CDU</t>
  </si>
  <si>
    <t>LB07</t>
  </si>
  <si>
    <t>Lunch Bag - Australian Natives</t>
  </si>
  <si>
    <t>LB03</t>
  </si>
  <si>
    <t>Lunch Bag - Fruit</t>
  </si>
  <si>
    <t>LB08</t>
  </si>
  <si>
    <t>Lunch Bag - Golden Wattle</t>
  </si>
  <si>
    <t>LB01</t>
  </si>
  <si>
    <t>Lunch Bag - Larkspur</t>
  </si>
  <si>
    <t>LB06</t>
  </si>
  <si>
    <t>Lunch Bag - Leopard Print</t>
  </si>
  <si>
    <t>LB10</t>
  </si>
  <si>
    <t>Lunch Bag - Monet Water Lilies</t>
  </si>
  <si>
    <t>LB05</t>
  </si>
  <si>
    <t>Lunch Bag - Peonie Rose</t>
  </si>
  <si>
    <t>LB02</t>
  </si>
  <si>
    <t>Lunch Bag - Strawberry Thief</t>
  </si>
  <si>
    <t>LB09</t>
  </si>
  <si>
    <t>Lunch Bag - Strawberry Thief Blue</t>
  </si>
  <si>
    <t>LB12</t>
  </si>
  <si>
    <t>Lunch Bag - Tropical Koala</t>
  </si>
  <si>
    <t>LB11</t>
  </si>
  <si>
    <t>Lunch Bag - Van Gogh's Sunflowers</t>
  </si>
  <si>
    <t>LB04</t>
  </si>
  <si>
    <t>Lunch Bag - Wild Tulip</t>
  </si>
  <si>
    <t>WM014</t>
  </si>
  <si>
    <t>Lunch Bag - William Morris (Grey Larkspur)</t>
  </si>
  <si>
    <t>WM005</t>
  </si>
  <si>
    <t>Lunch bag - William Morris (Mint Larkspur)</t>
  </si>
  <si>
    <t>WM013</t>
  </si>
  <si>
    <t>Lunch Bag - William Morris (Peach Larkspur)</t>
  </si>
  <si>
    <t>WM031</t>
  </si>
  <si>
    <t>Lunch Bag - William Morris Lavender Strawberry Thief</t>
  </si>
  <si>
    <t>WM032</t>
  </si>
  <si>
    <t>Lunch Bag - William Morris Sweet Briar</t>
  </si>
  <si>
    <t>CR012</t>
  </si>
  <si>
    <t>Luxury Bath Salts - Fruit</t>
  </si>
  <si>
    <t>CR014</t>
  </si>
  <si>
    <t>Luxury Bath Salts - Monet Water Lilies</t>
  </si>
  <si>
    <t>CR011</t>
  </si>
  <si>
    <t>Luxury Bath Salts - Strawberry Thief</t>
  </si>
  <si>
    <t>CR013</t>
  </si>
  <si>
    <t>Luxury Bath Salts - Van Gogh Sunflowers</t>
  </si>
  <si>
    <t>MMEM6829</t>
  </si>
  <si>
    <t>MAG PAD - DRINKING CAN CAUSE</t>
  </si>
  <si>
    <t>MMEM7661</t>
  </si>
  <si>
    <t>MAG PAD - I CAN ONLY PLEASE</t>
  </si>
  <si>
    <t>MMEM7537</t>
  </si>
  <si>
    <t>MAG PAD - MAKE CHOCOLATE CAKE</t>
  </si>
  <si>
    <t>MMEM6737</t>
  </si>
  <si>
    <t>MAG PAD - THE HOURS BETWEEN</t>
  </si>
  <si>
    <t>MPOT8545</t>
  </si>
  <si>
    <t>MAG PEN POT - OF COURSE I LOVE YOU</t>
  </si>
  <si>
    <t>MAG SONGWRITERS KIT - BLUES</t>
  </si>
  <si>
    <t>MAG SONGWRITERS KIT - COUNTRY</t>
  </si>
  <si>
    <t>MAG SONGWRITERS KIT - GIRL GROUP</t>
  </si>
  <si>
    <t>MAG SONGWRITERS KIT - HEAVY METAL</t>
  </si>
  <si>
    <t>MAG SONGWRITERS KIT - HIP HOP</t>
  </si>
  <si>
    <t>MAG SONGWRITERS KIT - POWER BALLADS</t>
  </si>
  <si>
    <t>RFS10908</t>
  </si>
  <si>
    <t>MAGIC BALL &amp; VASE SET IN A BOX</t>
  </si>
  <si>
    <t>RFS10909</t>
  </si>
  <si>
    <t>MAGIC COIN CASE SET IN A BOX</t>
  </si>
  <si>
    <t>RFS10911</t>
  </si>
  <si>
    <t>MAGIC CUP &amp; BALL SET IN A BOX</t>
  </si>
  <si>
    <t>RFS11046</t>
  </si>
  <si>
    <t>MAGIC ROPE TRICK</t>
  </si>
  <si>
    <t>RFS10912</t>
  </si>
  <si>
    <t>MAGIC SPIKED COIN SET IN A BOX</t>
  </si>
  <si>
    <t>MG7020</t>
  </si>
  <si>
    <t>MAGNET - CHILDREN:THE GIFT THAT KEEPS ON TAKING</t>
  </si>
  <si>
    <t>MG6725</t>
  </si>
  <si>
    <t>MAGNET - DIFFICULT CHILDHOODS</t>
  </si>
  <si>
    <t>EPH9250</t>
  </si>
  <si>
    <t>MAGNET - DRINK COFFEE , DO STUPID THINGS</t>
  </si>
  <si>
    <t>MG6758</t>
  </si>
  <si>
    <t>MAGNET - GUYS HAVE FEELINGS TOO!</t>
  </si>
  <si>
    <t>MG7004</t>
  </si>
  <si>
    <t>MAGNET - HIDING EVERYTHING IS SO MUCH</t>
  </si>
  <si>
    <t>MG6661</t>
  </si>
  <si>
    <t>MAGNET - HIPSTERS ARE WHAT</t>
  </si>
  <si>
    <t>MG6017</t>
  </si>
  <si>
    <t>MAGNET - HOORAY !</t>
  </si>
  <si>
    <t>MG7661</t>
  </si>
  <si>
    <t>MAGNET - I CAN ONLY PLEASE ONE PERSON PER</t>
  </si>
  <si>
    <t>MG6709</t>
  </si>
  <si>
    <t>MAGNET - I CAN TELL I'VE HAD TOO MUCH</t>
  </si>
  <si>
    <t>MG7518</t>
  </si>
  <si>
    <t>MAGNET - I COOK WITH WINE</t>
  </si>
  <si>
    <t>MG7073</t>
  </si>
  <si>
    <t>MAGNET - I DRINK COFFEE BECAUSE I NEED IT</t>
  </si>
  <si>
    <t>EPH8077</t>
  </si>
  <si>
    <t>MAGNET - I HAD A MIND ONCE</t>
  </si>
  <si>
    <t>MG6917</t>
  </si>
  <si>
    <t>MAGNET - I JUST WANT PEOPLE</t>
  </si>
  <si>
    <t>MG6728</t>
  </si>
  <si>
    <t>MAGNET - I LIKETO THINK COFFEE</t>
  </si>
  <si>
    <t>MG6727</t>
  </si>
  <si>
    <t>MAGNET - I LOOKED UP</t>
  </si>
  <si>
    <t>MG6663</t>
  </si>
  <si>
    <t>MAGNET - I MAKE BAD DECISIONS</t>
  </si>
  <si>
    <t>MG6614</t>
  </si>
  <si>
    <t>MAGNET - I TRIED BEING NICE</t>
  </si>
  <si>
    <t>MG6963</t>
  </si>
  <si>
    <t>MAGNET - I'M NOT OLD. I'M RETRO</t>
  </si>
  <si>
    <t>MG7402</t>
  </si>
  <si>
    <t>MAGNET - IF YOU WANT TO CHANGE MAN</t>
  </si>
  <si>
    <t>MG05</t>
  </si>
  <si>
    <t>MAGNET - IT'S NOT REALLY HOARDING</t>
  </si>
  <si>
    <t>EPH9366</t>
  </si>
  <si>
    <t>MAGNET - ITS BETTER TO HAVE LOVED</t>
  </si>
  <si>
    <t>MG6984</t>
  </si>
  <si>
    <t>MAGNET - LET ME GET THIS STRAIGHT</t>
  </si>
  <si>
    <t>MG7537</t>
  </si>
  <si>
    <t>MAGNET - MAKE CHOCOLATE CAKE</t>
  </si>
  <si>
    <t>MG6869</t>
  </si>
  <si>
    <t>MAGNET - MY FANTASY</t>
  </si>
  <si>
    <t>EPH7978</t>
  </si>
  <si>
    <t>MAGNET - MY KIDS DRIVE ME CRAZY</t>
  </si>
  <si>
    <t>MG6665</t>
  </si>
  <si>
    <t>MAGNET - MY PROBLEM IS</t>
  </si>
  <si>
    <t>MG6824</t>
  </si>
  <si>
    <t>MAGNET - NEVER LAUGH</t>
  </si>
  <si>
    <t>MG7998</t>
  </si>
  <si>
    <t>MAGNET - OH. I 'M SORRY YOU MUST BE</t>
  </si>
  <si>
    <t>MG6858</t>
  </si>
  <si>
    <t>MAGNET - PEOPLE WHO GO</t>
  </si>
  <si>
    <t>EPH8528</t>
  </si>
  <si>
    <t>MAGNET - QUEEN OF EVERYTHING</t>
  </si>
  <si>
    <t>MG7023</t>
  </si>
  <si>
    <t>MAGNET - SMILE AND THE WORLD THINKS</t>
  </si>
  <si>
    <t>MG6919</t>
  </si>
  <si>
    <t>MAGNET - SOMETIMES I WRESTLE WITH MY DEMONS</t>
  </si>
  <si>
    <t>MG7539</t>
  </si>
  <si>
    <t>MAGNET - TEQUILA!</t>
  </si>
  <si>
    <t>MG6737</t>
  </si>
  <si>
    <t>MAGNET - THE HOURS BETWEEN</t>
  </si>
  <si>
    <t>MG02</t>
  </si>
  <si>
    <t>MAGNET - THE OLDER I GET</t>
  </si>
  <si>
    <t>MG7492</t>
  </si>
  <si>
    <t>MAGNET - TO SAVE TIME</t>
  </si>
  <si>
    <t>MG7528</t>
  </si>
  <si>
    <t>MAGNET - TRY ORGANIC FOOD</t>
  </si>
  <si>
    <t>MG7517</t>
  </si>
  <si>
    <t>MAGNET - WINE!</t>
  </si>
  <si>
    <t>MG11</t>
  </si>
  <si>
    <t>MAGNET - YEAH, I'M INTO FITNESS</t>
  </si>
  <si>
    <t>MG8298</t>
  </si>
  <si>
    <t>MAGNET - YOU'RE NEVER TOO OLD TO LAUGH AT</t>
  </si>
  <si>
    <t>mg7154</t>
  </si>
  <si>
    <t>MAGNET -START THE DAY WITH A SMILE</t>
  </si>
  <si>
    <t>MG30</t>
  </si>
  <si>
    <t>Magnet 30x30mm</t>
  </si>
  <si>
    <t>FMWDU</t>
  </si>
  <si>
    <t>Magnet Display</t>
  </si>
  <si>
    <t>DICD35B</t>
  </si>
  <si>
    <t>MAGNET DISPLAY 16 HOOK</t>
  </si>
  <si>
    <t>FMWDU2</t>
  </si>
  <si>
    <t>Magnet Display 2</t>
  </si>
  <si>
    <t>MGDC</t>
  </si>
  <si>
    <t>Magnet Display Card</t>
  </si>
  <si>
    <t>DICD35BS</t>
  </si>
  <si>
    <t>Magnet Display Stand Set UP 96 units</t>
  </si>
  <si>
    <t>DISDO3</t>
  </si>
  <si>
    <t>MAGNET SPINNER COUNTER</t>
  </si>
  <si>
    <t>MG6582</t>
  </si>
  <si>
    <t>MAGNET-A RECENT STUDY</t>
  </si>
  <si>
    <t>MG6013</t>
  </si>
  <si>
    <t>MAGNET-BOTH OF US</t>
  </si>
  <si>
    <t>MG6643</t>
  </si>
  <si>
    <t>MAGNET-I INVENTED A NEW YOGA</t>
  </si>
  <si>
    <t>MG6587</t>
  </si>
  <si>
    <t>MAGNET-I'VE BEEN ON A DIET</t>
  </si>
  <si>
    <t>MG6714</t>
  </si>
  <si>
    <t>MAGNET-NO-ONE LOOKS BACK ON A LIFE</t>
  </si>
  <si>
    <t>RFS11634</t>
  </si>
  <si>
    <t>Magnetic Dart Board</t>
  </si>
  <si>
    <t>MCB</t>
  </si>
  <si>
    <t>Magnetic Roll Up Chess &amp; Backgammon</t>
  </si>
  <si>
    <t>MLS</t>
  </si>
  <si>
    <t>Magnetic Roll Up Ludo + Snakes &amp; Ladders</t>
  </si>
  <si>
    <t>RFS9568</t>
  </si>
  <si>
    <t>MAGNETIC SHOPPING PLANNER - VINTAGE MAP</t>
  </si>
  <si>
    <t>MAGNIFYING BOOKMARK</t>
  </si>
  <si>
    <t>MBAVR21</t>
  </si>
  <si>
    <t>MAKE UP BAG - FACIAL FIRST</t>
  </si>
  <si>
    <t>MBAVR5</t>
  </si>
  <si>
    <t>MAKE UP BAG - GIRLS LIKE US</t>
  </si>
  <si>
    <t>MBA36062</t>
  </si>
  <si>
    <t>MAKE UP BAG - SO BLOODY BLONDE NEW</t>
  </si>
  <si>
    <t>MBA6025</t>
  </si>
  <si>
    <t>MAKE UP BAG ABSOLUTELY GORGEOUS</t>
  </si>
  <si>
    <t>MCDU</t>
  </si>
  <si>
    <t>Manicure CDU</t>
  </si>
  <si>
    <t>MCS012</t>
  </si>
  <si>
    <t>Manicure Set - Australian Natives</t>
  </si>
  <si>
    <t>MCS010</t>
  </si>
  <si>
    <t>Manicure Set - Black</t>
  </si>
  <si>
    <t>MCS011</t>
  </si>
  <si>
    <t>Manicure Set - Blush</t>
  </si>
  <si>
    <t>MCS005</t>
  </si>
  <si>
    <t>Manicure Set - Fruit William Morris</t>
  </si>
  <si>
    <t>MCS013</t>
  </si>
  <si>
    <t>Manicure Set - Golden Wattle</t>
  </si>
  <si>
    <t>MCS001</t>
  </si>
  <si>
    <t>Manicure Set - Leopard</t>
  </si>
  <si>
    <t>MCS002</t>
  </si>
  <si>
    <t>Manicure Set - Pink Polka Dots</t>
  </si>
  <si>
    <t>MCS007</t>
  </si>
  <si>
    <t>Manicure Set - Strawberry Thief Red</t>
  </si>
  <si>
    <t>MCS004</t>
  </si>
  <si>
    <t>Manicure Set - Strawberry Thief William Morris</t>
  </si>
  <si>
    <t>MCS008</t>
  </si>
  <si>
    <t>Manicure Set - Sunflowers</t>
  </si>
  <si>
    <t>MCS009</t>
  </si>
  <si>
    <t>Manicure Set - Water Lilies</t>
  </si>
  <si>
    <t>MCS003</t>
  </si>
  <si>
    <t>Manicure Set - Wild Tulip William Morris</t>
  </si>
  <si>
    <t>WM025</t>
  </si>
  <si>
    <t>Manicure Set - William Morris Lavender Strawberry Thief</t>
  </si>
  <si>
    <t>MCS006</t>
  </si>
  <si>
    <t>Manicure Set - William Morris Mint Larkspur</t>
  </si>
  <si>
    <t>WM010</t>
  </si>
  <si>
    <t>Manicure Set - William Morris Rose Gold Larkspur</t>
  </si>
  <si>
    <t>WM026</t>
  </si>
  <si>
    <t>Manicure Set - William Morris Sweet Briar</t>
  </si>
  <si>
    <t>MSU1</t>
  </si>
  <si>
    <t>Manicure Set Up Bluhen</t>
  </si>
  <si>
    <t>CDUMS</t>
  </si>
  <si>
    <t>Manicure Sets WDU</t>
  </si>
  <si>
    <t>MA027</t>
  </si>
  <si>
    <t>Manitools - 2 in 1 Cleaner and Pusher</t>
  </si>
  <si>
    <t>MA001</t>
  </si>
  <si>
    <t>Manitools - 2 in 1 Cuticle Pusher and File</t>
  </si>
  <si>
    <t>MA012</t>
  </si>
  <si>
    <t>Manitools - Baby Emery Boards - Fine/ Extra Fine - 3pk</t>
  </si>
  <si>
    <t>MA032</t>
  </si>
  <si>
    <t>Manitools - Baby Nail Clippers with Nail File</t>
  </si>
  <si>
    <t>MA008</t>
  </si>
  <si>
    <t>Manitools - Baby Safety Scissors</t>
  </si>
  <si>
    <t>MA030</t>
  </si>
  <si>
    <t>Manitools - Chiropody Pliers 100mm</t>
  </si>
  <si>
    <t>MA017</t>
  </si>
  <si>
    <t>Manitools - Crystal Nail File</t>
  </si>
  <si>
    <t>MA031</t>
  </si>
  <si>
    <t>Manitools - Cuticle Clippers</t>
  </si>
  <si>
    <t>MA037</t>
  </si>
  <si>
    <t>Manitools - Cuticle Scissors Curved</t>
  </si>
  <si>
    <t>MA039</t>
  </si>
  <si>
    <t>Manitools - Cuticle Scissors Curved Extra Large Grip</t>
  </si>
  <si>
    <t>MA038</t>
  </si>
  <si>
    <t>Manitools - Cuticle Scissors Straight</t>
  </si>
  <si>
    <t>MA029</t>
  </si>
  <si>
    <t>Manitools - Cuticle Sticks 10pk</t>
  </si>
  <si>
    <t>MA028</t>
  </si>
  <si>
    <t>Manitools - Cuticle Trimmer and Pusher</t>
  </si>
  <si>
    <t>MA019</t>
  </si>
  <si>
    <t>Manitools - Emery Boards 120mm - Coarse/Fine - 8pk</t>
  </si>
  <si>
    <t>MA018</t>
  </si>
  <si>
    <t>Manitools - Emery Boards 170mm - Coarse/Fine - 8pk</t>
  </si>
  <si>
    <t>MA046</t>
  </si>
  <si>
    <t>Manitools - Eyebrow Tweezer - Scissor Style</t>
  </si>
  <si>
    <t>MA045</t>
  </si>
  <si>
    <t>Manitools - Eyelash Curler</t>
  </si>
  <si>
    <t>MA048</t>
  </si>
  <si>
    <t>Manitools - Eyelash Curler with Comb</t>
  </si>
  <si>
    <t>MA042</t>
  </si>
  <si>
    <t>Manitools - Flat Tweezers</t>
  </si>
  <si>
    <t>MA041</t>
  </si>
  <si>
    <t>Manitools - Flat Tweezers - Gold Tipped</t>
  </si>
  <si>
    <t>MA023</t>
  </si>
  <si>
    <t>Manitools - Grooming Set 4pcs</t>
  </si>
  <si>
    <t>MA050</t>
  </si>
  <si>
    <t>Manitools - Hairdressing Thinning Scissors Gold Plated Handle</t>
  </si>
  <si>
    <t>MA021</t>
  </si>
  <si>
    <t>Manitools - Maxi Buffer</t>
  </si>
  <si>
    <t>MA022</t>
  </si>
  <si>
    <t>Manitools - Miracle Shiner 2pk</t>
  </si>
  <si>
    <t>MA036</t>
  </si>
  <si>
    <t>Manitools - Nail Clippers with Nail File 6cm</t>
  </si>
  <si>
    <t>MA006</t>
  </si>
  <si>
    <t>Manitools - Nail Scissors Curved</t>
  </si>
  <si>
    <t>MA007</t>
  </si>
  <si>
    <t>Manitools - Nail Scissors Curved Extra Large</t>
  </si>
  <si>
    <t>MA005</t>
  </si>
  <si>
    <t>Manitools - Nail Scissors Straight</t>
  </si>
  <si>
    <t>MA016</t>
  </si>
  <si>
    <t>Manitools - Nail Shaper - 2pk</t>
  </si>
  <si>
    <t>MA014</t>
  </si>
  <si>
    <t>Manitools - Nail Shaper - Coarse Medium - 2pk</t>
  </si>
  <si>
    <t>MA015</t>
  </si>
  <si>
    <t>Manitools - Nail Shaper - Extra Fine/Fine - 2pk</t>
  </si>
  <si>
    <t>MA013</t>
  </si>
  <si>
    <t>Manitools - Nail Shaper - Medium/Fine - 2pk</t>
  </si>
  <si>
    <t>MA020</t>
  </si>
  <si>
    <t>Manitools - Nail Shapers 140mm - Medium/Fine 2pk</t>
  </si>
  <si>
    <t>MA047</t>
  </si>
  <si>
    <t>Manitools - Nasal Safety Scissors</t>
  </si>
  <si>
    <t>MA009</t>
  </si>
  <si>
    <t>Manitools - Nurse's Scissors</t>
  </si>
  <si>
    <t>MA040</t>
  </si>
  <si>
    <t>Manitools - Pimple and Blackhead Remover</t>
  </si>
  <si>
    <t>MA011</t>
  </si>
  <si>
    <t>Manitools - Point Tweezers</t>
  </si>
  <si>
    <t>MA043</t>
  </si>
  <si>
    <t>Manitools - Precise Grip Tweezers</t>
  </si>
  <si>
    <t>MA010</t>
  </si>
  <si>
    <t>Manitools - Precision Tweezers</t>
  </si>
  <si>
    <t>MA024</t>
  </si>
  <si>
    <t>Manitools - Sapphire Nail File No.1 9cm</t>
  </si>
  <si>
    <t>MA025</t>
  </si>
  <si>
    <t>Manitools - Sapphire Nail File No.2 13cm</t>
  </si>
  <si>
    <t>MA026</t>
  </si>
  <si>
    <t>Manitools - Sapphire Nail File No.5 18cm</t>
  </si>
  <si>
    <t>MA003</t>
  </si>
  <si>
    <t>Manitools - Soft Touch Baby Nail Clipper</t>
  </si>
  <si>
    <t>MA044</t>
  </si>
  <si>
    <t>Manitools - Soft Touch Tweezer Slant Tips</t>
  </si>
  <si>
    <t>MA002</t>
  </si>
  <si>
    <t>Manitools - Stainless Steel Pedicure File</t>
  </si>
  <si>
    <t>MA033</t>
  </si>
  <si>
    <t>Manitools - Toe Nail Clippers with Nail File</t>
  </si>
  <si>
    <t>MA034</t>
  </si>
  <si>
    <t>Manitools - Toe Nail Clippers with Nail File and Catcher</t>
  </si>
  <si>
    <t>MA035</t>
  </si>
  <si>
    <t>Manitools - Toe Nail Clippers with Nail File and Key Chain</t>
  </si>
  <si>
    <t>MA004</t>
  </si>
  <si>
    <t>Manitools - Toenail Scissors</t>
  </si>
  <si>
    <t>MA049</t>
  </si>
  <si>
    <t>Manitools -Hairdressing Scissors Gold Plated Handle</t>
  </si>
  <si>
    <t>MBM008</t>
  </si>
  <si>
    <t>Map Bkmk - Alexander the Great</t>
  </si>
  <si>
    <t>MBM004</t>
  </si>
  <si>
    <t>Map Bkmk - Australia</t>
  </si>
  <si>
    <t>MBM006</t>
  </si>
  <si>
    <t>Map Bkmk - British Empire</t>
  </si>
  <si>
    <t>MBM002</t>
  </si>
  <si>
    <t>Map Bkmk - Cantino</t>
  </si>
  <si>
    <t>MBM005</t>
  </si>
  <si>
    <t>Map Bkmk - Chinese World</t>
  </si>
  <si>
    <t>MBM003</t>
  </si>
  <si>
    <t>Map Bkmk - Dutch World</t>
  </si>
  <si>
    <t>MBM001</t>
  </si>
  <si>
    <t>Map Bkmk - Frau Mauro</t>
  </si>
  <si>
    <t>MBM009</t>
  </si>
  <si>
    <t>Map Bkmk - New Zealand</t>
  </si>
  <si>
    <t>MBM007</t>
  </si>
  <si>
    <t>Map Bkmk - Roman Empire</t>
  </si>
  <si>
    <t>MBM010</t>
  </si>
  <si>
    <t>Map Bkmk - USA Original 13 States</t>
  </si>
  <si>
    <t>MBMSP</t>
  </si>
  <si>
    <t>Map Bookmark Set Up 60 units</t>
  </si>
  <si>
    <t>CDUMBM</t>
  </si>
  <si>
    <t>MAP BOOKMARKS DISPLAY</t>
  </si>
  <si>
    <t>CDUMN</t>
  </si>
  <si>
    <t>MARANDA NOTEBOOK DISPLAY</t>
  </si>
  <si>
    <t>MPUCM24</t>
  </si>
  <si>
    <t>Maranda Pu Compact Mirrors</t>
  </si>
  <si>
    <t>MPUPB24</t>
  </si>
  <si>
    <t>Maranda Pu Pill Boxes</t>
  </si>
  <si>
    <t>CDUMT</t>
  </si>
  <si>
    <t>MARANDA TORCHES DISPLAY</t>
  </si>
  <si>
    <t>T2J</t>
  </si>
  <si>
    <t>MERRY CHRISTMAS - THIS IS YOUR ELF</t>
  </si>
  <si>
    <t>MYSD</t>
  </si>
  <si>
    <t>MESSAGES - ON YOUR SPECIAL DAY</t>
  </si>
  <si>
    <t>MWYG</t>
  </si>
  <si>
    <t>MESSAGES - WHILE YOU GROW</t>
  </si>
  <si>
    <t>MWYA</t>
  </si>
  <si>
    <t>MESSAGES - WHILE YOU'RE AWAY</t>
  </si>
  <si>
    <t>MIN006</t>
  </si>
  <si>
    <t>Mi Note Amelia</t>
  </si>
  <si>
    <t>MINBLUE</t>
  </si>
  <si>
    <t>Mi Note BLUE</t>
  </si>
  <si>
    <t>MIN009</t>
  </si>
  <si>
    <t>Mi Note Noir</t>
  </si>
  <si>
    <t>MIN008</t>
  </si>
  <si>
    <t>Mi Note Piano</t>
  </si>
  <si>
    <t>MIN007</t>
  </si>
  <si>
    <t>Mi Note Sophia</t>
  </si>
  <si>
    <t>MT151</t>
  </si>
  <si>
    <t>MI Torch - Poetry</t>
  </si>
  <si>
    <t>MTK48</t>
  </si>
  <si>
    <t>Mi Torch 8 Designs Kimono Setup 48 units</t>
  </si>
  <si>
    <t>MTF48</t>
  </si>
  <si>
    <t>Mi Torch 8 Francois Setup 48 units</t>
  </si>
  <si>
    <t>MTG48</t>
  </si>
  <si>
    <t>Mi Torch 8 Glamour Setup 48 units</t>
  </si>
  <si>
    <t>MT115</t>
  </si>
  <si>
    <t>Mi Torch Amelia</t>
  </si>
  <si>
    <t>MT242</t>
  </si>
  <si>
    <t>Mi Torch Arc de Triomphe</t>
  </si>
  <si>
    <t>MT247</t>
  </si>
  <si>
    <t>Mi Torch Boulevard Cafe</t>
  </si>
  <si>
    <t>MT255</t>
  </si>
  <si>
    <t>Mi Torch Butterfly Silk</t>
  </si>
  <si>
    <t>MT250</t>
  </si>
  <si>
    <t>Mi Torch China Blue</t>
  </si>
  <si>
    <t>MT244</t>
  </si>
  <si>
    <t>Mi Torch Eiffel Tower Cafe</t>
  </si>
  <si>
    <t>MT253</t>
  </si>
  <si>
    <t>Mi Torch Grace</t>
  </si>
  <si>
    <t>MT119</t>
  </si>
  <si>
    <t>Mi Torch Le Jardin</t>
  </si>
  <si>
    <t>MT150</t>
  </si>
  <si>
    <t>Mi Torch Magnolia</t>
  </si>
  <si>
    <t>MT221</t>
  </si>
  <si>
    <t>Mi Torch Mystique</t>
  </si>
  <si>
    <t>MT112</t>
  </si>
  <si>
    <t>Mi Torch Noir</t>
  </si>
  <si>
    <t>MT223</t>
  </si>
  <si>
    <t>Mi Torch Oriental Rose</t>
  </si>
  <si>
    <t>MT251</t>
  </si>
  <si>
    <t>Mi Torch Painted Silk</t>
  </si>
  <si>
    <t>MT254</t>
  </si>
  <si>
    <t>Mi Torch Paper Lanterns</t>
  </si>
  <si>
    <t>MT252</t>
  </si>
  <si>
    <t>Mi Torch Peacock Blue</t>
  </si>
  <si>
    <t>MT152</t>
  </si>
  <si>
    <t>Mi Torch Piano</t>
  </si>
  <si>
    <t>MT222</t>
  </si>
  <si>
    <t>Mi Torch Pimlico with flowers</t>
  </si>
  <si>
    <t>MT240</t>
  </si>
  <si>
    <t>Mi Torch Pinot Noir</t>
  </si>
  <si>
    <t>MT114</t>
  </si>
  <si>
    <t>Mi Torch Sophia</t>
  </si>
  <si>
    <t>MT243</t>
  </si>
  <si>
    <t>Mi Torch Tour de Eiffel</t>
  </si>
  <si>
    <t>MT241</t>
  </si>
  <si>
    <t>Mi Torch Travel to Paris</t>
  </si>
  <si>
    <t>MT245</t>
  </si>
  <si>
    <t>Mi Torch Vintage Love</t>
  </si>
  <si>
    <t>MT246</t>
  </si>
  <si>
    <t>Mi Torch Wine Store Errand</t>
  </si>
  <si>
    <t>HWSU</t>
  </si>
  <si>
    <t>Microfibre Hair Wraps Set Up</t>
  </si>
  <si>
    <t>RFS11645</t>
  </si>
  <si>
    <t>MIND READING MAGIC TRICKS</t>
  </si>
  <si>
    <t>SWC004</t>
  </si>
  <si>
    <t>Mindful Sloth Calendar</t>
  </si>
  <si>
    <t>CDU250</t>
  </si>
  <si>
    <t>MINI MARKS DISPLAY</t>
  </si>
  <si>
    <t>MINI-MARK - THE BEETLE</t>
  </si>
  <si>
    <t>MINI-MARK - THE FLINTSTONES</t>
  </si>
  <si>
    <t>MINI-MARK COOKERY</t>
  </si>
  <si>
    <t>MINI-MARK GARDENING</t>
  </si>
  <si>
    <t>MINI-MARK HORROR</t>
  </si>
  <si>
    <t>MINI-MARK MIND BODY SPIRIT</t>
  </si>
  <si>
    <t>MINI-MARK MUSIC</t>
  </si>
  <si>
    <t>MINI-MARK ROMANCE</t>
  </si>
  <si>
    <t>MINI-MARK SCI FI</t>
  </si>
  <si>
    <t>MINI-MARK TRAVEL</t>
  </si>
  <si>
    <t>MINI-MARK WILDLIFE</t>
  </si>
  <si>
    <t>RFS11636</t>
  </si>
  <si>
    <t>MODEL PLANE - HARLEQUIN</t>
  </si>
  <si>
    <t>MBOX6858</t>
  </si>
  <si>
    <t>MONEY BOX - CAR FUND</t>
  </si>
  <si>
    <t>MT7426</t>
  </si>
  <si>
    <t>MONEY BOX - EARLY RETIREMENT FUND</t>
  </si>
  <si>
    <t>MTVR24</t>
  </si>
  <si>
    <t>MONEY BOX - IF I HAD LOTS OF MONEY</t>
  </si>
  <si>
    <t>MBOX7788</t>
  </si>
  <si>
    <t>MONEY BOX - SAVING UP FOR A DEPOSIT</t>
  </si>
  <si>
    <t>MT7422</t>
  </si>
  <si>
    <t>MONEY BOX - SAVING UP TO BUY SHOES</t>
  </si>
  <si>
    <t>MBOXEP07</t>
  </si>
  <si>
    <t>MONEY BOX - SWEAR BOX</t>
  </si>
  <si>
    <t>MBOX7020</t>
  </si>
  <si>
    <t>MONEY BOX - THE GIFT THAT KEEPS ON TAKING</t>
  </si>
  <si>
    <t>WM008</t>
  </si>
  <si>
    <t>Money Box - William Morris (Mint Larkspur)</t>
  </si>
  <si>
    <t>GR170102</t>
  </si>
  <si>
    <t>MONOPOLY COIN PURSE 10</t>
  </si>
  <si>
    <t>HS006</t>
  </si>
  <si>
    <t>Moon Stone - Protection</t>
  </si>
  <si>
    <t>RFS11985</t>
  </si>
  <si>
    <t>MOTIF JOURNAL - BEE - DARK BLUE</t>
  </si>
  <si>
    <t>RFS11986</t>
  </si>
  <si>
    <t>MOTIF JOURNAL - BIKE - FAWN</t>
  </si>
  <si>
    <t>RFS11982</t>
  </si>
  <si>
    <t>MOTIF JOURNAL - BRIGHT SPARK -RED</t>
  </si>
  <si>
    <t>RFS11974</t>
  </si>
  <si>
    <t>MOTIF JOURNAL - CAT - DEEP PURPLE</t>
  </si>
  <si>
    <t>RFS11971</t>
  </si>
  <si>
    <t>MOTIF JOURNAL - HAWK - DARK BLUE</t>
  </si>
  <si>
    <t>RFS11970</t>
  </si>
  <si>
    <t>MOTIF JOURNAL - TURD - BLACK</t>
  </si>
  <si>
    <t>RFS11981</t>
  </si>
  <si>
    <t>MOTIF JOURNAL -BIRD -TEAL</t>
  </si>
  <si>
    <t>RFS11983</t>
  </si>
  <si>
    <t>MOTIF JOURNAL -DOG - DARK GREEN</t>
  </si>
  <si>
    <t>RFS11973</t>
  </si>
  <si>
    <t>MOTIF JOURNAL -LIPS - LIGHT PINK</t>
  </si>
  <si>
    <t>SPMOTIF</t>
  </si>
  <si>
    <t>Motif Notebook 24 units</t>
  </si>
  <si>
    <t>MS005</t>
  </si>
  <si>
    <t>Movie Socks - Cable Knot Women</t>
  </si>
  <si>
    <t>MS004</t>
  </si>
  <si>
    <t>Movie Socks - Grey and White Top</t>
  </si>
  <si>
    <t>MS002</t>
  </si>
  <si>
    <t>Movie Socks - Grey Plait Knot Womens</t>
  </si>
  <si>
    <t>MS001</t>
  </si>
  <si>
    <t>Movie Socks - Pink Cable Knot Women</t>
  </si>
  <si>
    <t>MS003</t>
  </si>
  <si>
    <t>Movie Socks - Pink Llama Women</t>
  </si>
  <si>
    <t>MS006</t>
  </si>
  <si>
    <t>Movie Socks - Silver Fox</t>
  </si>
  <si>
    <t>MR BUMP MINI MAG BOOKMARKS</t>
  </si>
  <si>
    <t>MR STRONG MINI MAG BOOKMARKS</t>
  </si>
  <si>
    <t>MUGLTA1</t>
  </si>
  <si>
    <t>MUG - LATTE AFTER SCHOOL RUN</t>
  </si>
  <si>
    <t>MUGBWM01</t>
  </si>
  <si>
    <t>Mug Boxed (350ml) - William Morris (Have Nothing)</t>
  </si>
  <si>
    <t>MUGBWM02</t>
  </si>
  <si>
    <t>Mug Boxed (350ml) - William Morris (True Secret)</t>
  </si>
  <si>
    <t>BH050</t>
  </si>
  <si>
    <t>Mug Boxed - Bluhen (Black Floral)</t>
  </si>
  <si>
    <t>BH051</t>
  </si>
  <si>
    <t>Mug Boxed - Bluhen (Peonie Rose)</t>
  </si>
  <si>
    <t>MUGBPC01</t>
  </si>
  <si>
    <t>Mug Boxed - Planet Cat (Time Spent With A Cat)</t>
  </si>
  <si>
    <t>MUGBPC02</t>
  </si>
  <si>
    <t>Mug Boxed - Planet Cat (What Greater Love)</t>
  </si>
  <si>
    <t>WM037</t>
  </si>
  <si>
    <t>Mug Boxed - William Morris (Lavender Strawberry Thief)</t>
  </si>
  <si>
    <t>WM036</t>
  </si>
  <si>
    <t>Mug Boxed - William Morris (Mint Larkspur)</t>
  </si>
  <si>
    <t>WM038</t>
  </si>
  <si>
    <t>Mug Boxed - William Morris (Sweet Briar)</t>
  </si>
  <si>
    <t>MMJ</t>
  </si>
  <si>
    <t>MUM &amp; ME JOURNAL</t>
  </si>
  <si>
    <t>MTM</t>
  </si>
  <si>
    <t>MUM TO MUM</t>
  </si>
  <si>
    <t>T4D</t>
  </si>
  <si>
    <t>MUM TO MUM Pass it on</t>
  </si>
  <si>
    <t>RFS11796</t>
  </si>
  <si>
    <t>MUSICAL GIFT SET IN A PRINTED BOX - HARLEQUIN</t>
  </si>
  <si>
    <t>NS001</t>
  </si>
  <si>
    <t>NAME A STAR</t>
  </si>
  <si>
    <t>NASCE</t>
  </si>
  <si>
    <t>Name A Star Certificate Envelope</t>
  </si>
  <si>
    <t>NLWD</t>
  </si>
  <si>
    <t>Nano Lights Wooden Display</t>
  </si>
  <si>
    <t>Napkins - 9 to Wine, Pk20, 25cm</t>
  </si>
  <si>
    <t>Napkins - Lemons, Pk20, 25cm</t>
  </si>
  <si>
    <t>Napkins - Prosecco, Pk20, 25cm</t>
  </si>
  <si>
    <t>NAT GEO 52 AMAZING ANIMALS</t>
  </si>
  <si>
    <t>NAT GEO 52 BRILLIANT BIRDS</t>
  </si>
  <si>
    <t>NAT GEO 52 EXTRAORDINARY EARTH</t>
  </si>
  <si>
    <t>NAT GEO 52 MAGNIFICENT MANKIND</t>
  </si>
  <si>
    <t>NAT GEO 52 SPECTACULAR SEA LIFE</t>
  </si>
  <si>
    <t>NAT GEO 52 WEIRD BUT TRUE</t>
  </si>
  <si>
    <t>NAT GEO AFRICAN LIONS</t>
  </si>
  <si>
    <t>NAT GEO BARN OWL</t>
  </si>
  <si>
    <t>NAT GEO BOTTLENOSE DOLPHIN</t>
  </si>
  <si>
    <t>NAT GEO CLOWN ANEMONEFISH</t>
  </si>
  <si>
    <t>NAT GEO EMPEROR PENGUIN</t>
  </si>
  <si>
    <t>NAT GEO GIRAFFES</t>
  </si>
  <si>
    <t>NAT GEO MOON JELLY FISH</t>
  </si>
  <si>
    <t>NAT GEO SPACE SHUTTLE DISCOVERY</t>
  </si>
  <si>
    <t>HQSEP22</t>
  </si>
  <si>
    <t>NEW HARLEQUIN SEP OFFER 5 PCT DISCOUNT</t>
  </si>
  <si>
    <t>NZ003</t>
  </si>
  <si>
    <t>NZ Bkmk - Captain Cook</t>
  </si>
  <si>
    <t>NZ011</t>
  </si>
  <si>
    <t>NZ Bkmk - Hooker's Sea Bear</t>
  </si>
  <si>
    <t>NZ009</t>
  </si>
  <si>
    <t>NZ Bkmk - Kakapo</t>
  </si>
  <si>
    <t>NZ010</t>
  </si>
  <si>
    <t>NZ Bkmk - King Fisher</t>
  </si>
  <si>
    <t>NZ007</t>
  </si>
  <si>
    <t>NZ Bkmk - Kiwi</t>
  </si>
  <si>
    <t>NZ005</t>
  </si>
  <si>
    <t>NZ Bkmk - Little Spotted Kiwi</t>
  </si>
  <si>
    <t>NZ002</t>
  </si>
  <si>
    <t>NZ Bkmk - Maori War Canoe</t>
  </si>
  <si>
    <t>NZ012</t>
  </si>
  <si>
    <t>NZ Bkmk - Map NZ</t>
  </si>
  <si>
    <t>NZ004</t>
  </si>
  <si>
    <t>NZ Bkmk - Moa</t>
  </si>
  <si>
    <t>NZ008</t>
  </si>
  <si>
    <t>NZ Bkmk - Moho</t>
  </si>
  <si>
    <t>NZ001</t>
  </si>
  <si>
    <t>NZ Bkmk - New Zealand Man</t>
  </si>
  <si>
    <t>NZ006</t>
  </si>
  <si>
    <t>NZ Bkmk - Penguin</t>
  </si>
  <si>
    <t>NZBMSP</t>
  </si>
  <si>
    <t>NZ Bookmark Set Up 72 units</t>
  </si>
  <si>
    <t>CDUNZBM</t>
  </si>
  <si>
    <t>NZ BOOKMARKS DISPLAY</t>
  </si>
  <si>
    <t>WFM033</t>
  </si>
  <si>
    <t>Ocean Grove Driving Kangaroo - Australian Made Wooden Fridge Magnet</t>
  </si>
  <si>
    <t>WK026</t>
  </si>
  <si>
    <t>Ocean Grove Driving Kangaroo - Australian Made Wooden Key Ring</t>
  </si>
  <si>
    <t>WFM032</t>
  </si>
  <si>
    <t>Ocean Grove Surfing Koala - Australian Made Wooden Fridge Magnet</t>
  </si>
  <si>
    <t>WK025</t>
  </si>
  <si>
    <t>Ocean Grove Surfing Koala - Australian Made Wooden Key Ring</t>
  </si>
  <si>
    <t>Oh! Mag Light Blue</t>
  </si>
  <si>
    <t>Oh! Mag Purple Hue</t>
  </si>
  <si>
    <t>Oh! Mag Radient Red</t>
  </si>
  <si>
    <t>Oh! Mag Vivid Grey</t>
  </si>
  <si>
    <t>CDU918</t>
  </si>
  <si>
    <t>OH! MAGNIFIER DISPLAY</t>
  </si>
  <si>
    <t>GR10004</t>
  </si>
  <si>
    <t>OLD NAME A STAR</t>
  </si>
  <si>
    <t>WO061</t>
  </si>
  <si>
    <t>Opera House - Australian Made Wooden Ornament</t>
  </si>
  <si>
    <t>OTD</t>
  </si>
  <si>
    <t>Ornament Tree Display</t>
  </si>
  <si>
    <t>OSD</t>
  </si>
  <si>
    <t>OUR STORY - FOR MY DAUGHTER</t>
  </si>
  <si>
    <t>OSS</t>
  </si>
  <si>
    <t>OUR STORY - FOR MY SON</t>
  </si>
  <si>
    <t>OG04</t>
  </si>
  <si>
    <t>Oven Glove - Australian Natives</t>
  </si>
  <si>
    <t>OG05</t>
  </si>
  <si>
    <t>Oven Glove - Golden Wattle</t>
  </si>
  <si>
    <t>OG03</t>
  </si>
  <si>
    <t>Oven Glove - Monet's Water Lilies</t>
  </si>
  <si>
    <t>OG01</t>
  </si>
  <si>
    <t>Oven Glove - Strawberry Thief</t>
  </si>
  <si>
    <t>OG02</t>
  </si>
  <si>
    <t>Oven Glove - Sunflowers</t>
  </si>
  <si>
    <t>OG06</t>
  </si>
  <si>
    <t>Oven Glove - Tropical Koala</t>
  </si>
  <si>
    <t>GR900061</t>
  </si>
  <si>
    <t>OVEN GLOVES - FIRST CLASS CHEF</t>
  </si>
  <si>
    <t>GR900065</t>
  </si>
  <si>
    <t>OVEN GLOVES - MULTI COLOUR STAMP</t>
  </si>
  <si>
    <t>OGTA1</t>
  </si>
  <si>
    <t>OVEN MITT SINGLE - THE BARBEQUE</t>
  </si>
  <si>
    <t>BH007B</t>
  </si>
  <si>
    <t>Packaging - Black Floral Hair Wrap</t>
  </si>
  <si>
    <t>BH023B</t>
  </si>
  <si>
    <t>Packaging - Black Floral Satin Eyemask and Scrunchie</t>
  </si>
  <si>
    <t>BH031B</t>
  </si>
  <si>
    <t>Packaging - Black Floral Satin Pillow</t>
  </si>
  <si>
    <t>BH027B</t>
  </si>
  <si>
    <t>Packaging - Black Floral Satin Sleep Bonnet</t>
  </si>
  <si>
    <t>BH003B</t>
  </si>
  <si>
    <t>Packaging - Black Floral Shower Cap</t>
  </si>
  <si>
    <t>BH035B</t>
  </si>
  <si>
    <t>Packaging - Black Floral Slippers</t>
  </si>
  <si>
    <t>BH015B</t>
  </si>
  <si>
    <t>Packaging - Black Floral Spa Head Band</t>
  </si>
  <si>
    <t>BH011B</t>
  </si>
  <si>
    <t>Packaging - Black Floral Towling Scrunchie</t>
  </si>
  <si>
    <t>BH017B</t>
  </si>
  <si>
    <t>Packaging - Ice Roller</t>
  </si>
  <si>
    <t>BH019B</t>
  </si>
  <si>
    <t>Packaging - Jade Roller</t>
  </si>
  <si>
    <t>BH005B</t>
  </si>
  <si>
    <t>Packaging - Leopard Print Hair Wrap</t>
  </si>
  <si>
    <t>BH021B</t>
  </si>
  <si>
    <t>Packaging - Leopard Print Satin Eyemask and Scrunchie</t>
  </si>
  <si>
    <t>BH029B</t>
  </si>
  <si>
    <t>Packaging - Leopard Print Satin Pillow</t>
  </si>
  <si>
    <t>BH025B</t>
  </si>
  <si>
    <t>Packaging - Leopard Print Satin Sleep Bonnet</t>
  </si>
  <si>
    <t>BH001B</t>
  </si>
  <si>
    <t>Packaging - Leopard Print Shower Cap</t>
  </si>
  <si>
    <t>BH033B</t>
  </si>
  <si>
    <t>Packaging - Leopard Print Slippers</t>
  </si>
  <si>
    <t>BH013B</t>
  </si>
  <si>
    <t>Packaging - Leopard Print Spa Head Band</t>
  </si>
  <si>
    <t>BH009B</t>
  </si>
  <si>
    <t>Packaging - Leopard Print Towling Scrunchie</t>
  </si>
  <si>
    <t>BH018B</t>
  </si>
  <si>
    <t>Packaging - Micro Derma Roller</t>
  </si>
  <si>
    <t>BH008B</t>
  </si>
  <si>
    <t>Packaging - Peonie Rose Hair Wrap</t>
  </si>
  <si>
    <t>BH024B</t>
  </si>
  <si>
    <t>Packaging - Peonie Rose Satin Eyemask and Scrunchie</t>
  </si>
  <si>
    <t>BH032B</t>
  </si>
  <si>
    <t>Packaging - Peonie Rose Satin Pillow</t>
  </si>
  <si>
    <t>BH028B</t>
  </si>
  <si>
    <t>Packaging - Peonie Rose Satin Sleep Bonnet</t>
  </si>
  <si>
    <t>BH004B</t>
  </si>
  <si>
    <t>Packaging - Peonie Rose Shower Cap</t>
  </si>
  <si>
    <t>BH036B</t>
  </si>
  <si>
    <t>Packaging - Peonie Rose Slippers</t>
  </si>
  <si>
    <t>BH016B</t>
  </si>
  <si>
    <t>Packaging - Peonie Rose Spa Head Band</t>
  </si>
  <si>
    <t>BH012B</t>
  </si>
  <si>
    <t>Packaging - Peonie Rose Towling Scrunchie</t>
  </si>
  <si>
    <t>BH006B</t>
  </si>
  <si>
    <t>Packaging - Pink Polka Dot Hair Wrap</t>
  </si>
  <si>
    <t>BH022B</t>
  </si>
  <si>
    <t>Packaging - Pink Polka Dot Satin Eyemask and Scrunchie</t>
  </si>
  <si>
    <t>BH030B</t>
  </si>
  <si>
    <t>Packaging - Pink Polka Dot Satin Pillow</t>
  </si>
  <si>
    <t>BH026B</t>
  </si>
  <si>
    <t>Packaging - Pink Polka Dot Satin Sleep Bonnet</t>
  </si>
  <si>
    <t>BH002B</t>
  </si>
  <si>
    <t>Packaging - Pink Polka Dot Shower Cap</t>
  </si>
  <si>
    <t>BH034B</t>
  </si>
  <si>
    <t>Packaging - Pink Polka Dot Slippers</t>
  </si>
  <si>
    <t>BH014B</t>
  </si>
  <si>
    <t>Packaging - Pink Polka Dot Spa Head Band</t>
  </si>
  <si>
    <t>BH010B</t>
  </si>
  <si>
    <t>Packaging - Pink Polka Dot Towling Scrunchie</t>
  </si>
  <si>
    <t>BH020B</t>
  </si>
  <si>
    <t>Packaging - Rose Quartz Roller</t>
  </si>
  <si>
    <t>PABL001</t>
  </si>
  <si>
    <t>Packaging for Amber Rechargeable Black</t>
  </si>
  <si>
    <t>PABL009</t>
  </si>
  <si>
    <t>Packaging for Amber Rechargeable White</t>
  </si>
  <si>
    <t>PSL007</t>
  </si>
  <si>
    <t>Packaging for Amber Smart Light - Black</t>
  </si>
  <si>
    <t>PSL011</t>
  </si>
  <si>
    <t>Packaging for Amber Smart Light - Blue</t>
  </si>
  <si>
    <t>PSL009</t>
  </si>
  <si>
    <t>Packaging for Amber Smart Light - Green</t>
  </si>
  <si>
    <t>PSL012</t>
  </si>
  <si>
    <t>Packaging for Amber Smart Light - Red</t>
  </si>
  <si>
    <t>PSL008</t>
  </si>
  <si>
    <t>Packaging for Amber Smart Light - White</t>
  </si>
  <si>
    <t>PSL010</t>
  </si>
  <si>
    <t>Packaging for Amber Smart Light -Pink</t>
  </si>
  <si>
    <t>PFB001</t>
  </si>
  <si>
    <t>Packaging for Flexi Booklight Battery - Black</t>
  </si>
  <si>
    <t>PFB003</t>
  </si>
  <si>
    <t>Packaging for Flexi Booklight Battery - Blue</t>
  </si>
  <si>
    <t>PFB004</t>
  </si>
  <si>
    <t>Packaging for Flexi Booklight Battery - Pink</t>
  </si>
  <si>
    <t>PFB002</t>
  </si>
  <si>
    <t>Packaging for Flexi Booklight Battery - White</t>
  </si>
  <si>
    <t>PRCBL001</t>
  </si>
  <si>
    <t>Packaging for Flexi Rechargeable - Blank</t>
  </si>
  <si>
    <t>PRCBL003</t>
  </si>
  <si>
    <t>Packaging for Flexi Rechargeable - Blue</t>
  </si>
  <si>
    <t>PRCBL002</t>
  </si>
  <si>
    <t>Packaging for Flexi Rechargeable - Pink</t>
  </si>
  <si>
    <t>PRCBL004</t>
  </si>
  <si>
    <t>Packaging for Flexi Rechargeable - White</t>
  </si>
  <si>
    <t>PUBL01</t>
  </si>
  <si>
    <t>Packaging for Ultra Rechargeable Black</t>
  </si>
  <si>
    <t>PWL002</t>
  </si>
  <si>
    <t>Packaging for Wrap Light Rechargeable Black</t>
  </si>
  <si>
    <t>PWL003</t>
  </si>
  <si>
    <t>Packaging for Wrap Light Rechargeable White</t>
  </si>
  <si>
    <t>HH03P</t>
  </si>
  <si>
    <t>Packaging Hobby House - Baby Closet Dividers</t>
  </si>
  <si>
    <t>HH01P</t>
  </si>
  <si>
    <t>Packaging Hobby House - Baby Milestones Set 1</t>
  </si>
  <si>
    <t>HH02P</t>
  </si>
  <si>
    <t>Packaging Hobby House - Baby Milestones Set 2</t>
  </si>
  <si>
    <t>PC02P</t>
  </si>
  <si>
    <t>Packaging Paint &amp; Create - African Safari</t>
  </si>
  <si>
    <t>PC01P</t>
  </si>
  <si>
    <t>Packaging Paint &amp; Create - Australian Animals</t>
  </si>
  <si>
    <t>PC12P</t>
  </si>
  <si>
    <t>Packaging Paint &amp; Create - Christmas House 1</t>
  </si>
  <si>
    <t>PC13P</t>
  </si>
  <si>
    <t>Packaging Paint &amp; Create - Christmas House 2</t>
  </si>
  <si>
    <t>PC08P</t>
  </si>
  <si>
    <t>Packaging Paint &amp; Create - Christmas Ornaments 1</t>
  </si>
  <si>
    <t>PC09P</t>
  </si>
  <si>
    <t>Packaging Paint &amp; Create - Christmas Ornaments 2</t>
  </si>
  <si>
    <t>PC14P</t>
  </si>
  <si>
    <t>Packaging Paint &amp; Create - Christmas Wreath</t>
  </si>
  <si>
    <t>PC03P</t>
  </si>
  <si>
    <t>Packaging Paint &amp; Create - Dinosaurs</t>
  </si>
  <si>
    <t>PC04P</t>
  </si>
  <si>
    <t>Packaging Paint &amp; Create - Mermaids</t>
  </si>
  <si>
    <t>PC15P</t>
  </si>
  <si>
    <t>Packaging Paint &amp; Create - Merry Christmas</t>
  </si>
  <si>
    <t>PC10P</t>
  </si>
  <si>
    <t>Packaging Paint &amp; Create - Nativity Set</t>
  </si>
  <si>
    <t>PC06P</t>
  </si>
  <si>
    <t>Packaging Paint &amp; Create - Rockets &amp; Space</t>
  </si>
  <si>
    <t>PC11P</t>
  </si>
  <si>
    <t>Packaging Paint &amp; Create - Santa's Letter Box</t>
  </si>
  <si>
    <t>PC07P</t>
  </si>
  <si>
    <t>Packaging Paint &amp; Create - Trucks</t>
  </si>
  <si>
    <t>PC05P</t>
  </si>
  <si>
    <t>Packaging Paint &amp; Create - Unicorns</t>
  </si>
  <si>
    <t>PC19P</t>
  </si>
  <si>
    <t>Packaging Paint &amp; Create - World's Best Auntie</t>
  </si>
  <si>
    <t>PC16P</t>
  </si>
  <si>
    <t>Packaging Paint &amp; Create - World's Best Dad</t>
  </si>
  <si>
    <t>PC20P</t>
  </si>
  <si>
    <t>Packaging Paint &amp; Create - World's Best Grandad</t>
  </si>
  <si>
    <t>PC21P</t>
  </si>
  <si>
    <t>Packaging Paint &amp; Create - World's Best Grandma</t>
  </si>
  <si>
    <t>PC17P</t>
  </si>
  <si>
    <t>Packaging Paint &amp; Create - World's Best Mum</t>
  </si>
  <si>
    <t>PC22P</t>
  </si>
  <si>
    <t>Packaging Paint &amp; Create - World's Best Nanna</t>
  </si>
  <si>
    <t>PC23P</t>
  </si>
  <si>
    <t>Packaging Paint &amp; Create - World's Best Pop</t>
  </si>
  <si>
    <t>PC18P</t>
  </si>
  <si>
    <t>Packaging Paint &amp; Create - World's Best Uncle</t>
  </si>
  <si>
    <t>Page Corner Green</t>
  </si>
  <si>
    <t>Page Corner Purple</t>
  </si>
  <si>
    <t>Page Corners Orange</t>
  </si>
  <si>
    <t>PAGE POINTERS - BLUE</t>
  </si>
  <si>
    <t>PAGE POINTERS - GREEN</t>
  </si>
  <si>
    <t>PAGE POINTERS - GREY</t>
  </si>
  <si>
    <t>PAGE POINTERS - ORANGE</t>
  </si>
  <si>
    <t>PAGE POINTERS - PINK</t>
  </si>
  <si>
    <t>PAGE POINTERS - PURPLE</t>
  </si>
  <si>
    <t>PC02</t>
  </si>
  <si>
    <t>Paint &amp; Create - African Safari</t>
  </si>
  <si>
    <t>PC01</t>
  </si>
  <si>
    <t>Paint &amp; Create - Australian Animals</t>
  </si>
  <si>
    <t>PC29</t>
  </si>
  <si>
    <t>Paint &amp; Create - Barn &amp; Farm Animals Painting Kit</t>
  </si>
  <si>
    <t>PC27</t>
  </si>
  <si>
    <t>Paint &amp; Create - Bunny Painting Kit</t>
  </si>
  <si>
    <t>PC12</t>
  </si>
  <si>
    <t>Paint &amp; Create - Christmas Gingerbread House</t>
  </si>
  <si>
    <t>PC08</t>
  </si>
  <si>
    <t>Paint &amp; Create - Christmas Ornaments 1</t>
  </si>
  <si>
    <t>PC09</t>
  </si>
  <si>
    <t>Paint &amp; Create - Christmas Ornaments 2</t>
  </si>
  <si>
    <t>PC13</t>
  </si>
  <si>
    <t>Paint &amp; Create - Christmas Snowman House</t>
  </si>
  <si>
    <t>PC14</t>
  </si>
  <si>
    <t>Paint &amp; Create - Christmas Wreath</t>
  </si>
  <si>
    <t>PC32</t>
  </si>
  <si>
    <t>Paint &amp; Create - Dinosaur Range Painting Kit</t>
  </si>
  <si>
    <t>PC03</t>
  </si>
  <si>
    <t>Paint &amp; Create - Dinosaurs</t>
  </si>
  <si>
    <t>PC25</t>
  </si>
  <si>
    <t>Paint &amp; Create - Easter Eggs</t>
  </si>
  <si>
    <t>PC26</t>
  </si>
  <si>
    <t>Paint &amp; Create - Easter Eggs Hunting Kit</t>
  </si>
  <si>
    <t>PC28</t>
  </si>
  <si>
    <t>Paint &amp; Create - Egg Carrier Painting Kit</t>
  </si>
  <si>
    <t>PC24</t>
  </si>
  <si>
    <t>Paint &amp; Create - Fairy Garden Set</t>
  </si>
  <si>
    <t>PC30</t>
  </si>
  <si>
    <t>Paint &amp; Create - Horses &amp; Stable Painting Kit</t>
  </si>
  <si>
    <t>PC04</t>
  </si>
  <si>
    <t>Paint &amp; Create - Mermaids</t>
  </si>
  <si>
    <t>PC15</t>
  </si>
  <si>
    <t>Paint &amp; Create - Merry Christmas</t>
  </si>
  <si>
    <t>PC10</t>
  </si>
  <si>
    <t>Paint &amp; Create - Nativity Set</t>
  </si>
  <si>
    <t>PC06</t>
  </si>
  <si>
    <t>Paint &amp; Create - Rockets &amp; Space</t>
  </si>
  <si>
    <t>PC11</t>
  </si>
  <si>
    <t>Paint &amp; Create - Santa's Letter Box</t>
  </si>
  <si>
    <t>PC34</t>
  </si>
  <si>
    <t>Paint &amp; Create - Sew &amp; Create Tote Bag - Brown AUS Animals</t>
  </si>
  <si>
    <t>PC33</t>
  </si>
  <si>
    <t>Paint &amp; Create - Sew &amp; Create Tote Bag - Pink Unicorn</t>
  </si>
  <si>
    <t>PC07</t>
  </si>
  <si>
    <t>Paint &amp; Create - Trucks</t>
  </si>
  <si>
    <t>PC05</t>
  </si>
  <si>
    <t>Paint &amp; Create - Unicorns</t>
  </si>
  <si>
    <t>PC31</t>
  </si>
  <si>
    <t>Paint &amp; Create - Unicorns &amp; Rainbow Painting Kit</t>
  </si>
  <si>
    <t>PC19</t>
  </si>
  <si>
    <t>Paint &amp; Create - World's Best Auntie</t>
  </si>
  <si>
    <t>PC16</t>
  </si>
  <si>
    <t>Paint &amp; Create - World's Best Dad</t>
  </si>
  <si>
    <t>PC20</t>
  </si>
  <si>
    <t>Paint &amp; Create - World's Best Grandad</t>
  </si>
  <si>
    <t>PC21</t>
  </si>
  <si>
    <t>Paint &amp; Create - World's Best Grandma</t>
  </si>
  <si>
    <t>PC17</t>
  </si>
  <si>
    <t>Paint &amp; Create - World's Best Mum</t>
  </si>
  <si>
    <t>PC22</t>
  </si>
  <si>
    <t>Paint &amp; Create - World's Best Nanna</t>
  </si>
  <si>
    <t>PC23</t>
  </si>
  <si>
    <t>Paint &amp; Create - World's Best Pop</t>
  </si>
  <si>
    <t>PC18</t>
  </si>
  <si>
    <t>Paint &amp; Create - World's Best Uncle</t>
  </si>
  <si>
    <t>PCCSU</t>
  </si>
  <si>
    <t>Paint &amp; Create Christmas Set Up</t>
  </si>
  <si>
    <t>PC47</t>
  </si>
  <si>
    <t>Paint &amp; Create Fridge Magnet Painting Kit - Australian Animals</t>
  </si>
  <si>
    <t>PC48</t>
  </si>
  <si>
    <t>Paint &amp; Create Fridge Magnet Painting Kit - Dinosaur</t>
  </si>
  <si>
    <t>PC46</t>
  </si>
  <si>
    <t>Paint &amp; Create Fridge Magnet Painting Kit - Trucks and Rockets</t>
  </si>
  <si>
    <t>PC45</t>
  </si>
  <si>
    <t>Paint &amp; Create Fridge Magnet Painting Kit - Unicorn and Mermaid</t>
  </si>
  <si>
    <t>PC42</t>
  </si>
  <si>
    <t>Paint &amp; Create- Bird House Painting Kit</t>
  </si>
  <si>
    <t>PC44</t>
  </si>
  <si>
    <t>Paint &amp; Create- Bookmarks Painting Kit</t>
  </si>
  <si>
    <t>PC43</t>
  </si>
  <si>
    <t>Paint &amp; Create- Butterfly House Painting Kit</t>
  </si>
  <si>
    <t>PC38</t>
  </si>
  <si>
    <t>Paint &amp; Create- Sew &amp; Create Coin Purse - Blue Dinosaur</t>
  </si>
  <si>
    <t>PC37</t>
  </si>
  <si>
    <t>Paint &amp; Create- Sew &amp; Create Coin Purse - Brown AUS Animals</t>
  </si>
  <si>
    <t>PC36</t>
  </si>
  <si>
    <t>Paint &amp; Create- Sew &amp; Create Coin Purse - Pink Unicorn</t>
  </si>
  <si>
    <t>PC35</t>
  </si>
  <si>
    <t>Paint &amp; Create- Sew &amp; Create Hand Bag - Pink Unicorn</t>
  </si>
  <si>
    <t>PC41</t>
  </si>
  <si>
    <t>Paint &amp; Create- Sew &amp; Create Pencil Case - Blue Dinosaur</t>
  </si>
  <si>
    <t>PC40</t>
  </si>
  <si>
    <t>Paint &amp; Create- Sew &amp; Create Pencil Case - Brown AUS Animals</t>
  </si>
  <si>
    <t>PC39</t>
  </si>
  <si>
    <t>Paint &amp; Create- Sew &amp; Create Pencil Case - Pink Unicorn</t>
  </si>
  <si>
    <t>DIY1</t>
  </si>
  <si>
    <t>Paint Set 8/2</t>
  </si>
  <si>
    <t>Pallet</t>
  </si>
  <si>
    <t>PFHS20</t>
  </si>
  <si>
    <t>Paper Film Heat Seal 20cm</t>
  </si>
  <si>
    <t>PFHS35</t>
  </si>
  <si>
    <t>Paper Film Heat Seal 35cm</t>
  </si>
  <si>
    <t>Party Stones - Warming</t>
  </si>
  <si>
    <t>Party Stones - Whisky S/9 Natural 9cm</t>
  </si>
  <si>
    <t>WFM022</t>
  </si>
  <si>
    <t>Patypus - Australian Made Wooden Fridge Magnet</t>
  </si>
  <si>
    <t>PP04</t>
  </si>
  <si>
    <t>Pen Pouch - Australian Natives</t>
  </si>
  <si>
    <t>PP08</t>
  </si>
  <si>
    <t>Pen Pouch - Falling Free</t>
  </si>
  <si>
    <t>PP05</t>
  </si>
  <si>
    <t>Pen Pouch - Golden Wattle</t>
  </si>
  <si>
    <t>PP03</t>
  </si>
  <si>
    <t>Pen Pouch - Monet's Water Lilies</t>
  </si>
  <si>
    <t>PP07</t>
  </si>
  <si>
    <t>Pen Pouch - Quiet Blossom</t>
  </si>
  <si>
    <t>PP01</t>
  </si>
  <si>
    <t>Pen Pouch - Strawberry Thief</t>
  </si>
  <si>
    <t>PP02</t>
  </si>
  <si>
    <t>Pen Pouch - Sunflowers</t>
  </si>
  <si>
    <t>PP06</t>
  </si>
  <si>
    <t>Pen Pouch - Tropical Koala</t>
  </si>
  <si>
    <t>PENCWM01</t>
  </si>
  <si>
    <t>Pencil Case - William Morris (Strawberry Thief Blue)</t>
  </si>
  <si>
    <t>PENCWM02</t>
  </si>
  <si>
    <t>Pencil Case - William Morris (Willow Ochre)</t>
  </si>
  <si>
    <t>STATPC01</t>
  </si>
  <si>
    <t>Pencils Set of 6 - Planet Cat (Great Thoughts)</t>
  </si>
  <si>
    <t>STATRHS01</t>
  </si>
  <si>
    <t>Pencils Set Of 6 - RHS (Irises &amp; Hellebores)</t>
  </si>
  <si>
    <t>Kit6</t>
  </si>
  <si>
    <t>Peonie Rose Kit 1</t>
  </si>
  <si>
    <t>WM018</t>
  </si>
  <si>
    <t>Photo Frame 5 x 7 - William Morris (Grey Larkspur)</t>
  </si>
  <si>
    <t>WM007</t>
  </si>
  <si>
    <t>Photo Frame 5 x 7 - William Morris (Mint Larkspur)</t>
  </si>
  <si>
    <t>WM017</t>
  </si>
  <si>
    <t>Photo Frame 5 x 7 - William Morris (Rose Gold Larkspur)</t>
  </si>
  <si>
    <t>FRAMWM01</t>
  </si>
  <si>
    <t>Photo Frame 5x7 - William Morris (Willow Blue)</t>
  </si>
  <si>
    <t>FRAMWM02</t>
  </si>
  <si>
    <t>Photo Frame 5x7 - William Morris (Willow Ochre)</t>
  </si>
  <si>
    <t>PB11</t>
  </si>
  <si>
    <t>Pill Box - Australian Natives</t>
  </si>
  <si>
    <t>PB12</t>
  </si>
  <si>
    <t>Pill Box - Golden Wattle</t>
  </si>
  <si>
    <t>PB05</t>
  </si>
  <si>
    <t>Pill Box - Strawberry Thief</t>
  </si>
  <si>
    <t>PB09</t>
  </si>
  <si>
    <t>Pill Box - Sunflowers</t>
  </si>
  <si>
    <t>PB13</t>
  </si>
  <si>
    <t>Pill Box - Tropical Koala</t>
  </si>
  <si>
    <t>PB10</t>
  </si>
  <si>
    <t>Pill Box - Water Lilies</t>
  </si>
  <si>
    <t>PBCDU</t>
  </si>
  <si>
    <t>Pill Box CDU</t>
  </si>
  <si>
    <t>PB06</t>
  </si>
  <si>
    <t>Pill Box Fruit</t>
  </si>
  <si>
    <t>PB08</t>
  </si>
  <si>
    <t>Pill Box Kilburn</t>
  </si>
  <si>
    <t>PB07</t>
  </si>
  <si>
    <t>Pill Box Peonie Rose</t>
  </si>
  <si>
    <t>PBASS24</t>
  </si>
  <si>
    <t>Pill Boxes - Assorted 24 Units</t>
  </si>
  <si>
    <t>PB01</t>
  </si>
  <si>
    <t>Pill Boxes - William Morris 24 Units</t>
  </si>
  <si>
    <t>WFM006</t>
  </si>
  <si>
    <t>Pink Rock Lily - Australian Made Wooden Fridge Magnet</t>
  </si>
  <si>
    <t>WK006</t>
  </si>
  <si>
    <t>Pink Rock Lily - Australian Made Wooden Key Ring</t>
  </si>
  <si>
    <t>PISU</t>
  </si>
  <si>
    <t>PISU - Politically Incorrect Set Up</t>
  </si>
  <si>
    <t>CDUPCC</t>
  </si>
  <si>
    <t>PLANET CAT COASTERS DISPLAY</t>
  </si>
  <si>
    <t>PACBPC02</t>
  </si>
  <si>
    <t>Planet Cat Coasters Set Up 36 Units</t>
  </si>
  <si>
    <t>PH</t>
  </si>
  <si>
    <t>Plastic Hooks for Display</t>
  </si>
  <si>
    <t>WK022</t>
  </si>
  <si>
    <t>Platypus - Australian Made Wooden Key Ring</t>
  </si>
  <si>
    <t>WO045</t>
  </si>
  <si>
    <t>Platypus - Australian Made Wooden Ornament</t>
  </si>
  <si>
    <t>RFS11559</t>
  </si>
  <si>
    <t>Playing Card &amp; Dice Set in a Flat Brushed Tin</t>
  </si>
  <si>
    <t>PS06</t>
  </si>
  <si>
    <t>Plush Slippers 6-8 Size - Fruit</t>
  </si>
  <si>
    <t>PS02</t>
  </si>
  <si>
    <t>Plush Slippers 6-8 Size - Kilburn</t>
  </si>
  <si>
    <t>PS10</t>
  </si>
  <si>
    <t>Plush Slippers 6-8 Size - Monet Water Lilies</t>
  </si>
  <si>
    <t>BH052</t>
  </si>
  <si>
    <t>Plush Slippers 6-8 Size - Peonie Rose</t>
  </si>
  <si>
    <t>PS04</t>
  </si>
  <si>
    <t>Plush Slippers 6-8 Size - Strawberry Thief</t>
  </si>
  <si>
    <t>PS08</t>
  </si>
  <si>
    <t>Plush Slippers 6-8 Size - Van Gogh Sunflowers</t>
  </si>
  <si>
    <t>BH036</t>
  </si>
  <si>
    <t>Plush slippers 8-10  Size- Peonie Rose</t>
  </si>
  <si>
    <t>PS05</t>
  </si>
  <si>
    <t>Plush Slippers 8-10 Size - Fruit</t>
  </si>
  <si>
    <t>PS01</t>
  </si>
  <si>
    <t>Plush Slippers 8-10 Size - Kilburn</t>
  </si>
  <si>
    <t>PS09</t>
  </si>
  <si>
    <t>Plush Slippers 8-10 Size - Monet Water Lilies</t>
  </si>
  <si>
    <t>PS03</t>
  </si>
  <si>
    <t>Plush Slippers 8-10 Size - Strawberry Thief</t>
  </si>
  <si>
    <t>PS07</t>
  </si>
  <si>
    <t>Plush Slippers 8-10 Size - Van Gogh Sunflowers</t>
  </si>
  <si>
    <t>SPPS</t>
  </si>
  <si>
    <t>Plush Slippers Set Up</t>
  </si>
  <si>
    <t>CDUPS</t>
  </si>
  <si>
    <t>Plush Slippers WDU</t>
  </si>
  <si>
    <t>PB005</t>
  </si>
  <si>
    <t>Pocket Bag - Bee</t>
  </si>
  <si>
    <t>PB003</t>
  </si>
  <si>
    <t>Pocket Bag - Duck</t>
  </si>
  <si>
    <t>PB002</t>
  </si>
  <si>
    <t>Pocket Bag - Fish</t>
  </si>
  <si>
    <t>PB008</t>
  </si>
  <si>
    <t>Pocket Bag - Grape</t>
  </si>
  <si>
    <t>PB004</t>
  </si>
  <si>
    <t>Pocket Bag - Monkey</t>
  </si>
  <si>
    <t>PB009</t>
  </si>
  <si>
    <t>Pocket Bag - Pineapple</t>
  </si>
  <si>
    <t>PB007</t>
  </si>
  <si>
    <t>Pocket Bag - Rose Purple</t>
  </si>
  <si>
    <t>PB006</t>
  </si>
  <si>
    <t>Pocket Bag - Rose Red</t>
  </si>
  <si>
    <t>PB010</t>
  </si>
  <si>
    <t>Pocket Bag - Strawberry</t>
  </si>
  <si>
    <t>PB001</t>
  </si>
  <si>
    <t>Pocket Bag -Dog</t>
  </si>
  <si>
    <t>RFS12035</t>
  </si>
  <si>
    <t>POCKET PU JOURNAL - BLACK</t>
  </si>
  <si>
    <t>RFS12036</t>
  </si>
  <si>
    <t>POCKET PU JOURNAL - BOWLING GREEN</t>
  </si>
  <si>
    <t>RFS12038</t>
  </si>
  <si>
    <t>POCKET PU JOURNAL - DEEP PURPLE</t>
  </si>
  <si>
    <t>RFS12039</t>
  </si>
  <si>
    <t>POCKET PU JOURNAL - JADE GREEN</t>
  </si>
  <si>
    <t>RFS12040</t>
  </si>
  <si>
    <t>POCKET PU JOURNAL - MIDNIGHT BLUE</t>
  </si>
  <si>
    <t>RFS12041</t>
  </si>
  <si>
    <t>POCKET PU JOURNAL - RASPBERRY PINK</t>
  </si>
  <si>
    <t>PI3506</t>
  </si>
  <si>
    <t>Politically Incorrect - David Attenborough</t>
  </si>
  <si>
    <t>PI3500</t>
  </si>
  <si>
    <t>Politically Incorrect - Donald Trump</t>
  </si>
  <si>
    <t>PI3503</t>
  </si>
  <si>
    <t>Politically Incorrect - Gordon Ramsey</t>
  </si>
  <si>
    <t>PI3511</t>
  </si>
  <si>
    <t>Politically Incorrect - Jeremy Clarkson</t>
  </si>
  <si>
    <t>PI3502</t>
  </si>
  <si>
    <t>Politically Incorrect - Simon Cowell</t>
  </si>
  <si>
    <t>PI4001</t>
  </si>
  <si>
    <t>Politically Incorrect - Trump 40th</t>
  </si>
  <si>
    <t>PI4002</t>
  </si>
  <si>
    <t>Politically Incorrect - Trump 50th</t>
  </si>
  <si>
    <t>PI4003</t>
  </si>
  <si>
    <t>Politically Incorrect - Trump 60th</t>
  </si>
  <si>
    <t>SCD</t>
  </si>
  <si>
    <t>POLITICALLY INCORRECT DISPLAY</t>
  </si>
  <si>
    <t>PYFABAN</t>
  </si>
  <si>
    <t>Polyester Fabric - Australian Natives</t>
  </si>
  <si>
    <t>Yards</t>
  </si>
  <si>
    <t>PYFABGW</t>
  </si>
  <si>
    <t>Polyester Fabric - Golden Wattle</t>
  </si>
  <si>
    <t>PYFABST</t>
  </si>
  <si>
    <t>Polyester Fabric - Strawberry Thief</t>
  </si>
  <si>
    <t>PYFABSF</t>
  </si>
  <si>
    <t>Polyester Fabric - Sunflowers</t>
  </si>
  <si>
    <t>PYFABWL</t>
  </si>
  <si>
    <t>Polyester Fabric - Water Lilies</t>
  </si>
  <si>
    <t>VAWM01</t>
  </si>
  <si>
    <t>Porcelain Bud Vase - (Strawberry Thief Blue)</t>
  </si>
  <si>
    <t>VOWM01</t>
  </si>
  <si>
    <t>Porcelain Votive - William Morris (Strawberry Thief Blue)</t>
  </si>
  <si>
    <t>01WH06</t>
  </si>
  <si>
    <t>Postcards WORTH SAVING</t>
  </si>
  <si>
    <t>01FAD02</t>
  </si>
  <si>
    <t>Postcards WORTHINGTON</t>
  </si>
  <si>
    <t>01CAD13</t>
  </si>
  <si>
    <t>Postcards WRAPPERS</t>
  </si>
  <si>
    <t>01BA04</t>
  </si>
  <si>
    <t>Postcards WRIGHTS SOAP</t>
  </si>
  <si>
    <t>RFS11499</t>
  </si>
  <si>
    <t>POSTER ART SET SQUARE - PETER RABBIT ADVENTURES</t>
  </si>
  <si>
    <t>RFS10042</t>
  </si>
  <si>
    <t>POSTER ART SET SQUARE - PETER RABBIT BLUE</t>
  </si>
  <si>
    <t>RFS10112</t>
  </si>
  <si>
    <t>POSTER ART SET SQUARE - PETER RABBIT BLUE PETER</t>
  </si>
  <si>
    <t>PLCORD</t>
  </si>
  <si>
    <t>Pre-tied Leather Cord</t>
  </si>
  <si>
    <t>T2I</t>
  </si>
  <si>
    <t>PROMISES FOR YOU</t>
  </si>
  <si>
    <t>PUFABAN</t>
  </si>
  <si>
    <t>PU Fabric - Australian Natives</t>
  </si>
  <si>
    <t>PUFABGW</t>
  </si>
  <si>
    <t>PU Fabric - Golden Wattle</t>
  </si>
  <si>
    <t>PUFABST</t>
  </si>
  <si>
    <t>PU Fabric - Strawberry Thief</t>
  </si>
  <si>
    <t>PUFABSF</t>
  </si>
  <si>
    <t>PU Fabric - Sunflowers</t>
  </si>
  <si>
    <t>PUFABWL</t>
  </si>
  <si>
    <t>PU Fabric - Water Lilies</t>
  </si>
  <si>
    <t>BGJPSP</t>
  </si>
  <si>
    <t>PU Journal Pocket Set Up 12 units</t>
  </si>
  <si>
    <t>Y1570Blue</t>
  </si>
  <si>
    <t>Pu Leather Y1570 Blue</t>
  </si>
  <si>
    <t>Y1570Pink</t>
  </si>
  <si>
    <t>Pu Leather Y1570 Pink</t>
  </si>
  <si>
    <t>Y569Brown</t>
  </si>
  <si>
    <t>Pu Leather Y569 Brown</t>
  </si>
  <si>
    <t>RFS11788</t>
  </si>
  <si>
    <t>Puncture Repair Kit</t>
  </si>
  <si>
    <t>PRC002</t>
  </si>
  <si>
    <t>Puppies Running Slim Calendar</t>
  </si>
  <si>
    <t>PRC001</t>
  </si>
  <si>
    <t>Puppies Running Square Calendar</t>
  </si>
  <si>
    <t>PRC003</t>
  </si>
  <si>
    <t>Puppies Running Year Planner</t>
  </si>
  <si>
    <t>HS004</t>
  </si>
  <si>
    <t>Purple Apatite - Strength</t>
  </si>
  <si>
    <t>BOOKTB03</t>
  </si>
  <si>
    <t>Puzzle Book 128pp: Thunderbirds (Games for Brains)</t>
  </si>
  <si>
    <t>QBDDSTD</t>
  </si>
  <si>
    <t>QBD Double Sided Table Top Display (Christmas Ornaments)</t>
  </si>
  <si>
    <t>WFM023</t>
  </si>
  <si>
    <t>Rainbow Lorikeet - Australian Made Wooden Fridge Magnet</t>
  </si>
  <si>
    <t>WK023</t>
  </si>
  <si>
    <t>Rainbow Lorikeet - Australian Made Wooden Key Ring</t>
  </si>
  <si>
    <t>WO046</t>
  </si>
  <si>
    <t>Rainbow Lorikeet - Australian Made Wooden Ornament</t>
  </si>
  <si>
    <t>RTFD</t>
  </si>
  <si>
    <t>Rattle Display</t>
  </si>
  <si>
    <t>RTF06</t>
  </si>
  <si>
    <t>Rattling Friends - Dinosaur</t>
  </si>
  <si>
    <t>RTF03</t>
  </si>
  <si>
    <t>Rattling Friends - Dog</t>
  </si>
  <si>
    <t>RTF05</t>
  </si>
  <si>
    <t>Rattling Friends - Fox</t>
  </si>
  <si>
    <t>RTF02</t>
  </si>
  <si>
    <t>Rattling Friends - Koala</t>
  </si>
  <si>
    <t>RTF04</t>
  </si>
  <si>
    <t>Rattling Friends - Rabbit</t>
  </si>
  <si>
    <t>RTF01</t>
  </si>
  <si>
    <t>Rattling Friends - Unicorn</t>
  </si>
  <si>
    <t>CDURTF</t>
  </si>
  <si>
    <t>Rattling Friends Display WDU</t>
  </si>
  <si>
    <t>RTFSU</t>
  </si>
  <si>
    <t>Rattling Friends Set Up</t>
  </si>
  <si>
    <t>RTFSP</t>
  </si>
  <si>
    <t>Rattling Friends Starter Pack</t>
  </si>
  <si>
    <t>RCBLRL</t>
  </si>
  <si>
    <t>RCBL Replacement Lead</t>
  </si>
  <si>
    <t>CDURC</t>
  </si>
  <si>
    <t>READERS CLASSICS CDU</t>
  </si>
  <si>
    <t>RF018</t>
  </si>
  <si>
    <t>Reading Friend - Owl</t>
  </si>
  <si>
    <t>RF019</t>
  </si>
  <si>
    <t>Reading Friend 3 Pack - Unicorn, Koala, Dog</t>
  </si>
  <si>
    <t>RFWD</t>
  </si>
  <si>
    <t>Reading Friends Wooden Display</t>
  </si>
  <si>
    <t>RFS11547+1</t>
  </si>
  <si>
    <t>READING GLASSES - DAVID COPPERFIELD - Strength +1</t>
  </si>
  <si>
    <t>RFS11547+3</t>
  </si>
  <si>
    <t>READING GLASSES - DAVID COPPERFIELD - Strength +3</t>
  </si>
  <si>
    <t>RFS11549+1</t>
  </si>
  <si>
    <t>READING GLASSES - GREAT EXPECTATIONS - Strength +1</t>
  </si>
  <si>
    <t>RFS11549+2.5</t>
  </si>
  <si>
    <t>READING GLASSES - GREAT EXPECTATIONS - Strength +2.5</t>
  </si>
  <si>
    <t>RFS11549+3</t>
  </si>
  <si>
    <t>READING GLASSES - GREAT EXPECTATIONS - Strength +3</t>
  </si>
  <si>
    <t>RFS11551+1</t>
  </si>
  <si>
    <t>READING GLASSES - GREAT GATSBY - Strength +1</t>
  </si>
  <si>
    <t>RFS11551+3</t>
  </si>
  <si>
    <t>READING GLASSES - GREAT GATSBY - Strength +3</t>
  </si>
  <si>
    <t>RFS11546+1</t>
  </si>
  <si>
    <t>READING GLASSES - JANE EYRE - Strength +1</t>
  </si>
  <si>
    <t>RFS11546+3</t>
  </si>
  <si>
    <t>READING GLASSES - JANE EYRE - Strength +3</t>
  </si>
  <si>
    <t>READING GLASSES - SPARE PAIR - Strength +2.5</t>
  </si>
  <si>
    <t>RFS11550+3</t>
  </si>
  <si>
    <t>READING GLASSES - WAR &amp; PEACE - Strengths +3</t>
  </si>
  <si>
    <t>RS006</t>
  </si>
  <si>
    <t>Reading Socks - Black Cable Knot Men</t>
  </si>
  <si>
    <t>RS001</t>
  </si>
  <si>
    <t>Reading Socks - Black Llama Kids</t>
  </si>
  <si>
    <t>RS002</t>
  </si>
  <si>
    <t>Reading Socks - Black Llama Women</t>
  </si>
  <si>
    <t>RS021</t>
  </si>
  <si>
    <t>Reading Socks - Blush Cable Knots Medium</t>
  </si>
  <si>
    <t>RS019</t>
  </si>
  <si>
    <t>Reading Socks - Bunny Medium</t>
  </si>
  <si>
    <t>RS046</t>
  </si>
  <si>
    <t>Reading Socks - Bunny Small</t>
  </si>
  <si>
    <t>RS047</t>
  </si>
  <si>
    <t>Reading Socks - Cats, Coffee and Books</t>
  </si>
  <si>
    <t>RS051</t>
  </si>
  <si>
    <t>Reading Socks - Enemies To Lovers</t>
  </si>
  <si>
    <t>RS052</t>
  </si>
  <si>
    <t>Reading Socks - Fly or Die</t>
  </si>
  <si>
    <t>RS030</t>
  </si>
  <si>
    <t>Reading Socks - Forest Green Knot Large</t>
  </si>
  <si>
    <t>RS032</t>
  </si>
  <si>
    <t>Reading Socks - Forest Green Knot Medium</t>
  </si>
  <si>
    <t>RS025</t>
  </si>
  <si>
    <t>Reading Socks - Ginger Cat Medium</t>
  </si>
  <si>
    <t>RS004</t>
  </si>
  <si>
    <t>Reading Socks - Glitter Women</t>
  </si>
  <si>
    <t>RS005</t>
  </si>
  <si>
    <t>Reading Socks - Grey Cable Knot Women</t>
  </si>
  <si>
    <t>RS010</t>
  </si>
  <si>
    <t>Reading Socks - Grey Cat Medium</t>
  </si>
  <si>
    <t>RS041</t>
  </si>
  <si>
    <t>Reading Socks - Grey Cat Small</t>
  </si>
  <si>
    <t>RS012</t>
  </si>
  <si>
    <t>Reading Socks - Grey Mix Cable Knot Large</t>
  </si>
  <si>
    <t>RS011</t>
  </si>
  <si>
    <t>Reading Socks - Grey Plait Knot Womens</t>
  </si>
  <si>
    <t>RS028</t>
  </si>
  <si>
    <t>Reading Socks - Horse</t>
  </si>
  <si>
    <t>RS050</t>
  </si>
  <si>
    <t>Reading Socks - In My Romantasy Era</t>
  </si>
  <si>
    <t>RS049</t>
  </si>
  <si>
    <t>Reading Socks - It's Not Hoarding If It's Books</t>
  </si>
  <si>
    <t>RS048</t>
  </si>
  <si>
    <t>Reading Socks - Just One More Chapter</t>
  </si>
  <si>
    <t>RS027</t>
  </si>
  <si>
    <t>Reading Socks - Kangaroo</t>
  </si>
  <si>
    <t>RS053</t>
  </si>
  <si>
    <t>Reading Socks - Kangaroo New</t>
  </si>
  <si>
    <t>RS018</t>
  </si>
  <si>
    <t>Reading Socks - Koala Medium</t>
  </si>
  <si>
    <t>RS054</t>
  </si>
  <si>
    <t>Reading Socks - Koala New</t>
  </si>
  <si>
    <t>RS029</t>
  </si>
  <si>
    <t>Reading Socks - Labrador Medium</t>
  </si>
  <si>
    <t>RS044</t>
  </si>
  <si>
    <t>Reading Socks - Labrador Small</t>
  </si>
  <si>
    <t>RS016</t>
  </si>
  <si>
    <t>Reading Socks - Mottled Dog Medium</t>
  </si>
  <si>
    <t>RS040</t>
  </si>
  <si>
    <t>Reading Socks - Mottled Dog Small</t>
  </si>
  <si>
    <t>RS013</t>
  </si>
  <si>
    <t>Reading Socks - Navy Cable Knot Large</t>
  </si>
  <si>
    <t>RS008</t>
  </si>
  <si>
    <t>Reading Socks - Navy Cable Knot Medium</t>
  </si>
  <si>
    <t>RS042</t>
  </si>
  <si>
    <t>Reading Socks - Navy Cable Knot Small</t>
  </si>
  <si>
    <t>00rd</t>
  </si>
  <si>
    <t>Reading Socks - Navy Cable Knot Womens</t>
  </si>
  <si>
    <t>RS024</t>
  </si>
  <si>
    <t>Reading Socks - Nordic Blue Medium</t>
  </si>
  <si>
    <t>RS022</t>
  </si>
  <si>
    <t>Reading Socks - Nordic Heart Large</t>
  </si>
  <si>
    <t>RS023</t>
  </si>
  <si>
    <t>Reading Socks - Nordic Star Medium</t>
  </si>
  <si>
    <t>RS020</t>
  </si>
  <si>
    <t>Reading Socks - Pig Medium</t>
  </si>
  <si>
    <t>RS007</t>
  </si>
  <si>
    <t>Reading Socks - Pink Cable Knot Women</t>
  </si>
  <si>
    <t>RS003</t>
  </si>
  <si>
    <t>Reading Socks - Pink Llama Women</t>
  </si>
  <si>
    <t>RS026</t>
  </si>
  <si>
    <t>Reading Socks - Rainbow Unicorn Medium</t>
  </si>
  <si>
    <t>RS043</t>
  </si>
  <si>
    <t>Reading Socks - Rainbow Unicorn Small</t>
  </si>
  <si>
    <t>RS031</t>
  </si>
  <si>
    <t>Reading Socks - Red Fox Medium</t>
  </si>
  <si>
    <t>RS045</t>
  </si>
  <si>
    <t>Reading Socks - Red Fox Small</t>
  </si>
  <si>
    <t>RS014</t>
  </si>
  <si>
    <t>Reading Socks - Silver Wolf Medium</t>
  </si>
  <si>
    <t>RS017</t>
  </si>
  <si>
    <t>Reading Socks - Unicorn</t>
  </si>
  <si>
    <t>RS015</t>
  </si>
  <si>
    <t>Reading Socks - White and Grey Top</t>
  </si>
  <si>
    <t>RSD</t>
  </si>
  <si>
    <t>Reading Socks Display</t>
  </si>
  <si>
    <t>RSSUD50</t>
  </si>
  <si>
    <t>Reading Socks Half Set Up 2022 Presale</t>
  </si>
  <si>
    <t>RSSUD1</t>
  </si>
  <si>
    <t>Reading Socks Option 1 2023</t>
  </si>
  <si>
    <t>RSSUD124</t>
  </si>
  <si>
    <t>Reading Socks Option 1 2024</t>
  </si>
  <si>
    <t>RSSUD125</t>
  </si>
  <si>
    <t>Reading Socks Option 1 2025</t>
  </si>
  <si>
    <t>RSSUD2</t>
  </si>
  <si>
    <t>Reading Socks Option 2 2023</t>
  </si>
  <si>
    <t>RSSUD224</t>
  </si>
  <si>
    <t>Reading Socks Option 2 2024</t>
  </si>
  <si>
    <t>RSSUD225</t>
  </si>
  <si>
    <t>Reading Socks Option 2 2025</t>
  </si>
  <si>
    <t>RSSUD3</t>
  </si>
  <si>
    <t>Reading Socks Option 3 2023</t>
  </si>
  <si>
    <t>RSSUD324</t>
  </si>
  <si>
    <t>Reading Socks Option 3 2024</t>
  </si>
  <si>
    <t>RSSUD325</t>
  </si>
  <si>
    <t>Reading Socks Option 3 2025</t>
  </si>
  <si>
    <t>RSSUD425</t>
  </si>
  <si>
    <t>Reading Socks Option 4 2025</t>
  </si>
  <si>
    <t>RSPG</t>
  </si>
  <si>
    <t>Reading Socks Packaging</t>
  </si>
  <si>
    <t>RSSUD</t>
  </si>
  <si>
    <t>Reading Socks Set Up</t>
  </si>
  <si>
    <t>RSNS</t>
  </si>
  <si>
    <t>Reading Socks Set Up NO STAND</t>
  </si>
  <si>
    <t>RSSUD126</t>
  </si>
  <si>
    <t>Reading Socks Set Up Option 1 2026</t>
  </si>
  <si>
    <t>RSSUD226</t>
  </si>
  <si>
    <t>Reading Socks Set Up Option 2 2026</t>
  </si>
  <si>
    <t>RSSUD326</t>
  </si>
  <si>
    <t>Reading Socks Set Up Option 3 2026</t>
  </si>
  <si>
    <t>REALLY TINY B'KLIGHT BLACK</t>
  </si>
  <si>
    <t>REALLY TINY B'KLIGHT BLUE</t>
  </si>
  <si>
    <t>REALLY TINY B'KLIGHT MINT GREEN</t>
  </si>
  <si>
    <t>REALLY TINY B'KLIGHT PINK</t>
  </si>
  <si>
    <t>REALLY TINY B'KLIGHT PURPLE</t>
  </si>
  <si>
    <t>REALLY TINY B'KLIGHT RED</t>
  </si>
  <si>
    <t>REALLY TINY B'KLIGHT SKY BLUE</t>
  </si>
  <si>
    <t>REALLY TINY B'KLIGHT YELLOW</t>
  </si>
  <si>
    <t>REALLY TINY BOOK LIGHT WHITE</t>
  </si>
  <si>
    <t>SP51</t>
  </si>
  <si>
    <t>Really Tiny Booklight Starter Pack 36 units</t>
  </si>
  <si>
    <t>CDURBL</t>
  </si>
  <si>
    <t>RECHARGEABLE BOOKLIGHT DISPLAY</t>
  </si>
  <si>
    <t>WP006</t>
  </si>
  <si>
    <t>Recipe for a Perfect Brother</t>
  </si>
  <si>
    <t>WP004</t>
  </si>
  <si>
    <t>Recipe for a Perfect Dad</t>
  </si>
  <si>
    <t>WP005</t>
  </si>
  <si>
    <t>Recipe for a Perfect Grandad</t>
  </si>
  <si>
    <t>WP002</t>
  </si>
  <si>
    <t>Recipe for a Perfect Grandmother</t>
  </si>
  <si>
    <t>WP001</t>
  </si>
  <si>
    <t>Recipe for a Perfect Mum</t>
  </si>
  <si>
    <t>WP003</t>
  </si>
  <si>
    <t>Recipe for a Perfect Sister</t>
  </si>
  <si>
    <t>RFS10940</t>
  </si>
  <si>
    <t>RECORDER IN A BOX IN CDU - HARLEQUIN</t>
  </si>
  <si>
    <t>RCD</t>
  </si>
  <si>
    <t>Rocket Ship Display WDU</t>
  </si>
  <si>
    <t>PEN08</t>
  </si>
  <si>
    <t>Rollerball Pen - Australian Natives</t>
  </si>
  <si>
    <t>PEN12</t>
  </si>
  <si>
    <t>Rollerball Pen - Falling Free</t>
  </si>
  <si>
    <t>PEN02</t>
  </si>
  <si>
    <t>Rollerball Pen - Fruit</t>
  </si>
  <si>
    <t>PEN09</t>
  </si>
  <si>
    <t>Rollerball Pen - Golden Wattle</t>
  </si>
  <si>
    <t>PEN04</t>
  </si>
  <si>
    <t>Rollerball Pen - Kilburn</t>
  </si>
  <si>
    <t>PEN03</t>
  </si>
  <si>
    <t>Rollerball Pen - Peonie Rose</t>
  </si>
  <si>
    <t>PEN11</t>
  </si>
  <si>
    <t>Rollerball Pen - Quiet Blossom</t>
  </si>
  <si>
    <t>PEN01</t>
  </si>
  <si>
    <t>Rollerball Pen - Strawberry Thief</t>
  </si>
  <si>
    <t>PEN07</t>
  </si>
  <si>
    <t>Rollerball Pen - Strawberry Thief Red</t>
  </si>
  <si>
    <t>PEN05</t>
  </si>
  <si>
    <t>Rollerball Pen - Sunflowers</t>
  </si>
  <si>
    <t>PEN10</t>
  </si>
  <si>
    <t>Rollerball Pen - Tropical Koala</t>
  </si>
  <si>
    <t>PEN06</t>
  </si>
  <si>
    <t>Rollerball Pen - Water Lilies</t>
  </si>
  <si>
    <t>SPRB</t>
  </si>
  <si>
    <t>Rollerball Pens Setup</t>
  </si>
  <si>
    <t>CDURB</t>
  </si>
  <si>
    <t>Rollerball Pens WDU</t>
  </si>
  <si>
    <t>SPR</t>
  </si>
  <si>
    <t>Rollers Set Up</t>
  </si>
  <si>
    <t>CDUR</t>
  </si>
  <si>
    <t>Rollers WDU</t>
  </si>
  <si>
    <t>BKTBSP</t>
  </si>
  <si>
    <t>Romantasy Set Up - Bookmarks and Tote Bags</t>
  </si>
  <si>
    <t>TB035</t>
  </si>
  <si>
    <t>Romantasy Tote Bag - Enemies To Lovers</t>
  </si>
  <si>
    <t>TB033</t>
  </si>
  <si>
    <t>Romantasy Tote Bag - Fly Or Die</t>
  </si>
  <si>
    <t>TB036</t>
  </si>
  <si>
    <t>Romantasy Tote Bag - I Can Fix Him Or Join Him</t>
  </si>
  <si>
    <t>TB034</t>
  </si>
  <si>
    <t>Romantasy Tote Bag - I don't Kneel To Fae Kings</t>
  </si>
  <si>
    <t>TB032</t>
  </si>
  <si>
    <t>Romantasy Tote Bag - In My Romantasy Era</t>
  </si>
  <si>
    <t>TB037</t>
  </si>
  <si>
    <t>Romantasy Tote Bag - To The Stars Who Listen</t>
  </si>
  <si>
    <t>WFM001</t>
  </si>
  <si>
    <t>Rose - Australian Made Wooden Fridge Magnet</t>
  </si>
  <si>
    <t>WK001</t>
  </si>
  <si>
    <t>Rose - Australian Made Wooden Key Ring</t>
  </si>
  <si>
    <t>HS002</t>
  </si>
  <si>
    <t>Rose Quartz - Love</t>
  </si>
  <si>
    <t>RSSU</t>
  </si>
  <si>
    <t>RSSU Reading Socks Set Up</t>
  </si>
  <si>
    <t>FC007</t>
  </si>
  <si>
    <t>Rude Card - Congratulations</t>
  </si>
  <si>
    <t>FC005</t>
  </si>
  <si>
    <t>Rude Card - Happy Anniversary</t>
  </si>
  <si>
    <t>FC001</t>
  </si>
  <si>
    <t>Rude Card - Happy Birthday</t>
  </si>
  <si>
    <t>FC003</t>
  </si>
  <si>
    <t>Rude Card - I Love You</t>
  </si>
  <si>
    <t>FC008</t>
  </si>
  <si>
    <t>Rude Card - Legend</t>
  </si>
  <si>
    <t>FC004</t>
  </si>
  <si>
    <t>Rude Card - Queen of Everything</t>
  </si>
  <si>
    <t>FC006</t>
  </si>
  <si>
    <t>Rude Card - You Magnificent</t>
  </si>
  <si>
    <t>FC002</t>
  </si>
  <si>
    <t>Rude Card - You're How Old</t>
  </si>
  <si>
    <t>SPGCR</t>
  </si>
  <si>
    <t>Rude Set Up Australian Made Wooden Greeting Cards 36pcs</t>
  </si>
  <si>
    <t>WO054</t>
  </si>
  <si>
    <t>Santa Dirt Bike  - Australian Made Wooden Ornament</t>
  </si>
  <si>
    <t>WO050</t>
  </si>
  <si>
    <t>Santa Surf - Australian Made Wooden Ornament</t>
  </si>
  <si>
    <t>SSC006</t>
  </si>
  <si>
    <t>Sassy Scent Candle - Adulting</t>
  </si>
  <si>
    <t>SSC004</t>
  </si>
  <si>
    <t>Sassy Scent Candle - Best Bitches</t>
  </si>
  <si>
    <t>SSC002</t>
  </si>
  <si>
    <t>Sassy Scent Candle - Boss Lady</t>
  </si>
  <si>
    <t>SSC001</t>
  </si>
  <si>
    <t>Sassy Scent Candle - Happy Birthday</t>
  </si>
  <si>
    <t>SSC003</t>
  </si>
  <si>
    <t>Sassy Scent Candle - Keep Going</t>
  </si>
  <si>
    <t>SSC005</t>
  </si>
  <si>
    <t>Sassy Scent Candle - Queen of</t>
  </si>
  <si>
    <t>WM004</t>
  </si>
  <si>
    <t>Satin Eyemask - William Morris (Blue Larkspur)</t>
  </si>
  <si>
    <t>WM012</t>
  </si>
  <si>
    <t>Satin Eyemask - William Morris (Grey Larkspur)</t>
  </si>
  <si>
    <t>WM011</t>
  </si>
  <si>
    <t>Satin Eyemask - William Morris (Rose Gold Larkspur)</t>
  </si>
  <si>
    <t>SPC04</t>
  </si>
  <si>
    <t>Satin Pillow Case - Blue Larkspur</t>
  </si>
  <si>
    <t>SPC05</t>
  </si>
  <si>
    <t>Satin Pillow Case - Fruit</t>
  </si>
  <si>
    <t>SPC03</t>
  </si>
  <si>
    <t>Satin Pillow Case - Strawberry Thief</t>
  </si>
  <si>
    <t>SPC07</t>
  </si>
  <si>
    <t>Satin Pillow Case - Strawberry Thief Red</t>
  </si>
  <si>
    <t>SPC06</t>
  </si>
  <si>
    <t>Satin Pillow Case - Wild Tulip</t>
  </si>
  <si>
    <t>SPSP</t>
  </si>
  <si>
    <t>Satin Pillowcases Set Up</t>
  </si>
  <si>
    <t>CDUSP</t>
  </si>
  <si>
    <t>Satin Pillowcases WDU</t>
  </si>
  <si>
    <t>SPSSB</t>
  </si>
  <si>
    <t>Satin Sleep Bonnets Set Up</t>
  </si>
  <si>
    <t>CDUSSB</t>
  </si>
  <si>
    <t>Satin Sleep Bonnets WDU</t>
  </si>
  <si>
    <t>SA001</t>
  </si>
  <si>
    <t>Save A Koala</t>
  </si>
  <si>
    <t>SA002</t>
  </si>
  <si>
    <t>Save The Reef</t>
  </si>
  <si>
    <t>SWS001</t>
  </si>
  <si>
    <t>SAY IT WITH SOCKS - BEST DAD</t>
  </si>
  <si>
    <t>SWS002</t>
  </si>
  <si>
    <t>SAY IT WITH SOCKS - BEST GRANDPA</t>
  </si>
  <si>
    <t>SWS005</t>
  </si>
  <si>
    <t>SAY IT WITH SOCKS - CONGRATS!</t>
  </si>
  <si>
    <t>SWS008</t>
  </si>
  <si>
    <t>SAY IT WITH SOCKS - HAPPY BIRTHDAY</t>
  </si>
  <si>
    <t>SWS003</t>
  </si>
  <si>
    <t>SAY IT WITH SOCKS - LEGEND</t>
  </si>
  <si>
    <t>SWS007</t>
  </si>
  <si>
    <t>SAY IT WITH SOCKS - SO PROUD</t>
  </si>
  <si>
    <t>SWS009S</t>
  </si>
  <si>
    <t>SAY IT WITH SOCKS - SOCK IT TO ME SANTA</t>
  </si>
  <si>
    <t>SWS006</t>
  </si>
  <si>
    <t>SAY IT WITH SOCKS - THANK YOU</t>
  </si>
  <si>
    <t>SWS009T</t>
  </si>
  <si>
    <t>SAY IT WITH SOCKS - XMAS SANTA FACE</t>
  </si>
  <si>
    <t>SCA013</t>
  </si>
  <si>
    <t>Scarf - Australian Natives</t>
  </si>
  <si>
    <t>SCA011</t>
  </si>
  <si>
    <t>Scarf - Black</t>
  </si>
  <si>
    <t>WM042</t>
  </si>
  <si>
    <t>Scarf - Blue Larkspur</t>
  </si>
  <si>
    <t>SCA010</t>
  </si>
  <si>
    <t>Scarf - Blush</t>
  </si>
  <si>
    <t>SCA016</t>
  </si>
  <si>
    <t>Scarf - Falling Free</t>
  </si>
  <si>
    <t>SCA001</t>
  </si>
  <si>
    <t>Scarf - Fruit</t>
  </si>
  <si>
    <t>SCA012</t>
  </si>
  <si>
    <t>Scarf - Golden Wattle</t>
  </si>
  <si>
    <t>SCA006</t>
  </si>
  <si>
    <t>Scarf - Hampton Stripe</t>
  </si>
  <si>
    <t>SCA005</t>
  </si>
  <si>
    <t>Scarf - Kilburn</t>
  </si>
  <si>
    <t>WM040</t>
  </si>
  <si>
    <t>Scarf - Lavender Strawberry Thief</t>
  </si>
  <si>
    <t>SCA002</t>
  </si>
  <si>
    <t>Scarf - Leopard</t>
  </si>
  <si>
    <t>SCA009</t>
  </si>
  <si>
    <t>Scarf - Monet Water Lilies</t>
  </si>
  <si>
    <t>BH54</t>
  </si>
  <si>
    <t>Scarf - Peonie Rose</t>
  </si>
  <si>
    <t>SCA015</t>
  </si>
  <si>
    <t>Scarf - Quiet Blossom</t>
  </si>
  <si>
    <t>SCARHS01</t>
  </si>
  <si>
    <t>Scarf - RHS (Geo Coral)</t>
  </si>
  <si>
    <t>SCARHS02</t>
  </si>
  <si>
    <t>Scarf - RHS (Geo Mint)</t>
  </si>
  <si>
    <t>SCARHS04</t>
  </si>
  <si>
    <t>Scarf - RHS (Irises &amp; Hellebores)</t>
  </si>
  <si>
    <t>SCA004</t>
  </si>
  <si>
    <t>Scarf - Strawberry Thief Original</t>
  </si>
  <si>
    <t>SCA007</t>
  </si>
  <si>
    <t>Scarf - Strawberry Thief Red</t>
  </si>
  <si>
    <t>SCA014</t>
  </si>
  <si>
    <t>Scarf - Tropical Koala</t>
  </si>
  <si>
    <t>SCA008</t>
  </si>
  <si>
    <t>Scarf - Van Gogh Sunflowers</t>
  </si>
  <si>
    <t>SCA003</t>
  </si>
  <si>
    <t>Scarf - Wild Tulip</t>
  </si>
  <si>
    <t>SCAWM01</t>
  </si>
  <si>
    <t>Scarf - William Morris (Strawberry Thief Blue)</t>
  </si>
  <si>
    <t>SCAWM02</t>
  </si>
  <si>
    <t>Scarf - William Morris (Willow Grey)</t>
  </si>
  <si>
    <t>SCASU</t>
  </si>
  <si>
    <t>Scarf Set Up 30cmD x 50cmW x 165cmH</t>
  </si>
  <si>
    <t>CR032</t>
  </si>
  <si>
    <t>Scented Sachets - Fruit</t>
  </si>
  <si>
    <t>CR034</t>
  </si>
  <si>
    <t>Scented Sachets - Monet Water Lilies</t>
  </si>
  <si>
    <t>CR031</t>
  </si>
  <si>
    <t>Scented Sachets - Strawberry Thief</t>
  </si>
  <si>
    <t>CR033</t>
  </si>
  <si>
    <t>Scented Sachets - Van Gogh Sunflowers</t>
  </si>
  <si>
    <t>SPS</t>
  </si>
  <si>
    <t>Scrunchies Set Up</t>
  </si>
  <si>
    <t>CDUS</t>
  </si>
  <si>
    <t>Scrunchies WDU</t>
  </si>
  <si>
    <t>CS37</t>
  </si>
  <si>
    <t>Sew &amp; Create AUS Animals Coin Purse Sleeve</t>
  </si>
  <si>
    <t>CS40</t>
  </si>
  <si>
    <t>Sew &amp; Create AUS Animals Pencil Case Sleeve</t>
  </si>
  <si>
    <t>CS34</t>
  </si>
  <si>
    <t>Sew &amp; Create AUS Animals Tote Bag Sleeve</t>
  </si>
  <si>
    <t>CS38</t>
  </si>
  <si>
    <t>Sew &amp; Create Dinosaur Coin Purse Sleeve</t>
  </si>
  <si>
    <t>CS41</t>
  </si>
  <si>
    <t>Sew &amp; Create Dinosaur Pencil Case Sleeve</t>
  </si>
  <si>
    <t>CS36</t>
  </si>
  <si>
    <t>Sew &amp; Create Unicorn Coin Purse Sleeve</t>
  </si>
  <si>
    <t>CS35</t>
  </si>
  <si>
    <t>Sew &amp; Create Unicorn Hand Bag Sleeve</t>
  </si>
  <si>
    <t>CS39</t>
  </si>
  <si>
    <t>Sew &amp; Create Unicorn Pencil Case Sleeve</t>
  </si>
  <si>
    <t>CS33</t>
  </si>
  <si>
    <t>Sew &amp; Create Unicorn Tote Bag Sleeve</t>
  </si>
  <si>
    <t>SHELF HOOK</t>
  </si>
  <si>
    <t>RFS11965</t>
  </si>
  <si>
    <t>Shoe Polish Set in a Flat Brushed Tin</t>
  </si>
  <si>
    <t>SB6020</t>
  </si>
  <si>
    <t>SHOPPER BAG - DOMESTIC GODDESS</t>
  </si>
  <si>
    <t>CDU327</t>
  </si>
  <si>
    <t>SHOW OFF KEY RINGS DISPLAY STAND</t>
  </si>
  <si>
    <t>SHOW OFF KEYS - ADRENALINE JUNKIE</t>
  </si>
  <si>
    <t>SHOW OFF KEYS - BANK VAULT</t>
  </si>
  <si>
    <t>SHOW OFF KEYS - BIKE</t>
  </si>
  <si>
    <t>SHOW OFF KEYS - BILLIONAIRE</t>
  </si>
  <si>
    <t>SHOW OFF KEYS - BROOMSTICK</t>
  </si>
  <si>
    <t>SHOW OFF KEYS - CHASTITY BELT</t>
  </si>
  <si>
    <t>SHOW OFF KEYS - GENIUS</t>
  </si>
  <si>
    <t>SHOW OFF KEYS - GETAWAY CAR</t>
  </si>
  <si>
    <t>SHOW OFF KEYS - GYM GOD</t>
  </si>
  <si>
    <t>SHOW OFF KEYS - HQ</t>
  </si>
  <si>
    <t>SHOW OFF KEYS - INTERNET SENSATION</t>
  </si>
  <si>
    <t>SHOW OFF KEYS - MAN CAVE</t>
  </si>
  <si>
    <t>SHOW OFF KEYS - MIDLIFE CRISIS</t>
  </si>
  <si>
    <t>SHOW OFF KEYS - OCD</t>
  </si>
  <si>
    <t>SHOW OFF KEYS - PENTHOUSE</t>
  </si>
  <si>
    <t>SHOW OFF KEYS - PRIVATE JET</t>
  </si>
  <si>
    <t>SHOW OFF KEYS - REALITY TV STAR</t>
  </si>
  <si>
    <t>SHOW OFF KEYS - SERVANTS</t>
  </si>
  <si>
    <t>00sok</t>
  </si>
  <si>
    <t>SHOW OFF KEYS - Set Up</t>
  </si>
  <si>
    <t>SHOW OFF KEYS - SHOW OFF</t>
  </si>
  <si>
    <t>SHOW OFF KEYS - STOLEN</t>
  </si>
  <si>
    <t>SHOW OFF KEYS - TAXI</t>
  </si>
  <si>
    <t>SHOW OFF KEYS - THE BOSS</t>
  </si>
  <si>
    <t>SHOW OFF KEYS - THE YACHT</t>
  </si>
  <si>
    <t>SHOW OFF KEYS - WHATEVER</t>
  </si>
  <si>
    <t>SHOW OFF KEYS - WHITE VAN</t>
  </si>
  <si>
    <t>SHOW OFF KEYS - WINE TASTER</t>
  </si>
  <si>
    <t>SP327</t>
  </si>
  <si>
    <t>SHOW OFF KEYS STARTER PACK 54 units</t>
  </si>
  <si>
    <t>BASC131</t>
  </si>
  <si>
    <t>SHOWER CAP TOWELLING POLAR BEAR</t>
  </si>
  <si>
    <t>SPSC</t>
  </si>
  <si>
    <t>Shower Caps Set Up</t>
  </si>
  <si>
    <t>CDUSC</t>
  </si>
  <si>
    <t>Shower Caps WDU</t>
  </si>
  <si>
    <t>ABL115</t>
  </si>
  <si>
    <t>Silicone Bear and Box</t>
  </si>
  <si>
    <t>ABL117</t>
  </si>
  <si>
    <t>Silicone Cat and Box</t>
  </si>
  <si>
    <t>ABL118</t>
  </si>
  <si>
    <t>Silicone Cat and Box (New)</t>
  </si>
  <si>
    <t>ABL119</t>
  </si>
  <si>
    <t>Silicone Dinosaur and Box (New)</t>
  </si>
  <si>
    <t>ABL114</t>
  </si>
  <si>
    <t>Silicone Dog and Box</t>
  </si>
  <si>
    <t>ABL120</t>
  </si>
  <si>
    <t>Silicone Dog and Box (New)</t>
  </si>
  <si>
    <t>HP05</t>
  </si>
  <si>
    <t>Silicone Heat Bag - Australian Natives</t>
  </si>
  <si>
    <t>HP02</t>
  </si>
  <si>
    <t>Silicone Heat Bag - Fruit</t>
  </si>
  <si>
    <t>HP06</t>
  </si>
  <si>
    <t>Silicone Heat Bag - Golden Wattle</t>
  </si>
  <si>
    <t>HP04</t>
  </si>
  <si>
    <t>Silicone Heat Bag - Peonie Rose</t>
  </si>
  <si>
    <t>HP01</t>
  </si>
  <si>
    <t>Silicone Heat Bag - Strawberry Thief</t>
  </si>
  <si>
    <t>HP03</t>
  </si>
  <si>
    <t>Silicone Heat Bag - Sunflowers</t>
  </si>
  <si>
    <t>HP07</t>
  </si>
  <si>
    <t>Silicone Heat Bag - Tropical Koala</t>
  </si>
  <si>
    <t>ABL121</t>
  </si>
  <si>
    <t>Silicone Rabbit and Box (New)</t>
  </si>
  <si>
    <t>ABL112</t>
  </si>
  <si>
    <t>Silicone T-Rex and Box</t>
  </si>
  <si>
    <t>ABL113</t>
  </si>
  <si>
    <t>Silicone Unicorn and Box</t>
  </si>
  <si>
    <t>ABL122</t>
  </si>
  <si>
    <t>ABL123</t>
  </si>
  <si>
    <t>Silicone Unicorn and Box (New)</t>
  </si>
  <si>
    <t>WO066</t>
  </si>
  <si>
    <t>Silver - Australian Made Wooden Ornament</t>
  </si>
  <si>
    <t>32CAN04</t>
  </si>
  <si>
    <t>SINGLE CANISTER - CADBURY</t>
  </si>
  <si>
    <t>32NC03</t>
  </si>
  <si>
    <t>SINGLE CANISTER - TYPHOO TEA</t>
  </si>
  <si>
    <t>RFS11878</t>
  </si>
  <si>
    <t>SINGLE PLAYING CARD TIN IN CDU - BOLD STRIPE &amp; GEO SPOT</t>
  </si>
  <si>
    <t>RFS11879</t>
  </si>
  <si>
    <t>SINGLE PLAYING CARD TIN IN CDU - PIZAZZ CACTUS PRINT</t>
  </si>
  <si>
    <t>RFS10996</t>
  </si>
  <si>
    <t>SINGLE PLAYING CARD TIN IN CDU - VINTAGE MAP</t>
  </si>
  <si>
    <t>CR039</t>
  </si>
  <si>
    <t>Sleep Spray - Australian Natives</t>
  </si>
  <si>
    <t>CR028</t>
  </si>
  <si>
    <t>Sleep Spray - Fruit</t>
  </si>
  <si>
    <t>CR040</t>
  </si>
  <si>
    <t>Sleep Spray - Golden Wattle</t>
  </si>
  <si>
    <t>CR030</t>
  </si>
  <si>
    <t>Sleep Spray - Monet Water Lilies</t>
  </si>
  <si>
    <t>CR027</t>
  </si>
  <si>
    <t>Sleep Spray - Strawberry Thief</t>
  </si>
  <si>
    <t>CR046</t>
  </si>
  <si>
    <t>Sleep Spray - Tropical Koala</t>
  </si>
  <si>
    <t>CR029</t>
  </si>
  <si>
    <t>Sleep Spray - Van Gogh Sunflowers</t>
  </si>
  <si>
    <t>SF06</t>
  </si>
  <si>
    <t>Sleepy Friends - Dinosaur</t>
  </si>
  <si>
    <t>SF03</t>
  </si>
  <si>
    <t>Sleepy Friends - Dog</t>
  </si>
  <si>
    <t>SF05</t>
  </si>
  <si>
    <t>Sleepy Friends - Fox</t>
  </si>
  <si>
    <t>SF02</t>
  </si>
  <si>
    <t>Sleepy Friends - Koala</t>
  </si>
  <si>
    <t>SF04</t>
  </si>
  <si>
    <t>Sleepy Friends - Rabbit</t>
  </si>
  <si>
    <t>SF01</t>
  </si>
  <si>
    <t>Sleepy Friends - Unicorn</t>
  </si>
  <si>
    <t>SFSP</t>
  </si>
  <si>
    <t>Sleepy Friends Starter Pack</t>
  </si>
  <si>
    <t>SMS</t>
  </si>
  <si>
    <t>SLIM MESH SPINNER</t>
  </si>
  <si>
    <t>SWD</t>
  </si>
  <si>
    <t>SLIM WOODEN DISPLAY</t>
  </si>
  <si>
    <t>SP07</t>
  </si>
  <si>
    <t>Small Pouch - Australian Natives</t>
  </si>
  <si>
    <t>SP011</t>
  </si>
  <si>
    <t>Small Pouch - Falling Free</t>
  </si>
  <si>
    <t>SP02</t>
  </si>
  <si>
    <t>Small Pouch - Fruit</t>
  </si>
  <si>
    <t>SP08</t>
  </si>
  <si>
    <t>Small Pouch - Golden Wattle</t>
  </si>
  <si>
    <t>SP04</t>
  </si>
  <si>
    <t>Small Pouch - Kilburn</t>
  </si>
  <si>
    <t>SP03</t>
  </si>
  <si>
    <t>Small Pouch - Peonie Rose</t>
  </si>
  <si>
    <t>SP010</t>
  </si>
  <si>
    <t>Small Pouch - Quiet Blossom</t>
  </si>
  <si>
    <t>SP01</t>
  </si>
  <si>
    <t>Small Pouch - Strawberry Thief</t>
  </si>
  <si>
    <t>SP05</t>
  </si>
  <si>
    <t>Small Pouch - Sunflowers</t>
  </si>
  <si>
    <t>SP09</t>
  </si>
  <si>
    <t>Small Pouch - Tropical Koala</t>
  </si>
  <si>
    <t>SP06</t>
  </si>
  <si>
    <t>Small Pouch - Water Lilies</t>
  </si>
  <si>
    <t>SK001</t>
  </si>
  <si>
    <t>Snow Kiln Keep Cup - Angel Falls</t>
  </si>
  <si>
    <t>SK002</t>
  </si>
  <si>
    <t>Snow Kiln Keep Cup - Cherry Blossom</t>
  </si>
  <si>
    <t>SK006</t>
  </si>
  <si>
    <t>Snow Kiln Keep Cup - Midnight Grove</t>
  </si>
  <si>
    <t>SK005</t>
  </si>
  <si>
    <t>Snow Kiln Keep Cup - Peacock</t>
  </si>
  <si>
    <t>SK004</t>
  </si>
  <si>
    <t>Snow Kiln Keep Cup - Raspberry Field</t>
  </si>
  <si>
    <t>SKSU</t>
  </si>
  <si>
    <t>Snow Kiln Keep Cup Set Up</t>
  </si>
  <si>
    <t>SK003</t>
  </si>
  <si>
    <t>Snow Kiln Keep Cup- Snow White</t>
  </si>
  <si>
    <t>SS002</t>
  </si>
  <si>
    <t>Sofa Socks - Beer</t>
  </si>
  <si>
    <t>SS007</t>
  </si>
  <si>
    <t>Sofa Socks - Chocolate</t>
  </si>
  <si>
    <t>SS003</t>
  </si>
  <si>
    <t>Sofa Socks - Coffee</t>
  </si>
  <si>
    <t>SS005</t>
  </si>
  <si>
    <t>Sofa Socks - Gaming</t>
  </si>
  <si>
    <t>SS006</t>
  </si>
  <si>
    <t>Sofa Socks - Pizza</t>
  </si>
  <si>
    <t>SS004</t>
  </si>
  <si>
    <t>Sofa Socks - Reading</t>
  </si>
  <si>
    <t>SS008</t>
  </si>
  <si>
    <t>Sofa Socks - Tea</t>
  </si>
  <si>
    <t>SS001</t>
  </si>
  <si>
    <t>Sofa Socks - Wine</t>
  </si>
  <si>
    <t>SSCDU</t>
  </si>
  <si>
    <t>Sofa Socks CDU</t>
  </si>
  <si>
    <t>SSSP</t>
  </si>
  <si>
    <t>SOFA SOCKS SET UP</t>
  </si>
  <si>
    <t>SSSP2</t>
  </si>
  <si>
    <t>SOFA SOCKS SET UP TWO</t>
  </si>
  <si>
    <t>SWC001</t>
  </si>
  <si>
    <t>Space Calendar</t>
  </si>
  <si>
    <t>SC002</t>
  </si>
  <si>
    <t>Space Slim Calendar</t>
  </si>
  <si>
    <t>SC001</t>
  </si>
  <si>
    <t>Space Square Calendar</t>
  </si>
  <si>
    <t>SC003</t>
  </si>
  <si>
    <t>Space Year Planner</t>
  </si>
  <si>
    <t>SB001</t>
  </si>
  <si>
    <t>Spare Boxes for Tea For One</t>
  </si>
  <si>
    <t>pieces</t>
  </si>
  <si>
    <t>SPARE PAIR (BRIGHTS)- READING GLASSES +1.5</t>
  </si>
  <si>
    <t>SPARE PAIR (BRIGHTS)- READING GLASSES +2.0</t>
  </si>
  <si>
    <t>SPARE PAIR (BRIGHTS)- READING GLASSES +2.5</t>
  </si>
  <si>
    <t>SPARE PAIR - READING GLASSES +1.5</t>
  </si>
  <si>
    <t>SPARE PAIR - READING GLASSES +2.0</t>
  </si>
  <si>
    <t>SPARE PAIR - READING GLASSES +2.5</t>
  </si>
  <si>
    <t>SO</t>
  </si>
  <si>
    <t>SPECIAL ORDER</t>
  </si>
  <si>
    <t>RFS9795</t>
  </si>
  <si>
    <t>Square Memo Block</t>
  </si>
  <si>
    <t>SM005</t>
  </si>
  <si>
    <t>Star Scratch Map</t>
  </si>
  <si>
    <t>CDU330</t>
  </si>
  <si>
    <t>STAR TREK B/M DISPLAY</t>
  </si>
  <si>
    <t>Star Trek Bookmark Bones</t>
  </si>
  <si>
    <t>Star Trek Bookmark James T Kirk</t>
  </si>
  <si>
    <t>Star Trek Bookmark Scotty</t>
  </si>
  <si>
    <t>Star Trek Bookmark Uhura</t>
  </si>
  <si>
    <t>Star Trek Clip-on Metal Bookmark</t>
  </si>
  <si>
    <t>CDU331</t>
  </si>
  <si>
    <t>STAR TREK METAL B/M DISPLAY</t>
  </si>
  <si>
    <t>92400P</t>
  </si>
  <si>
    <t>STARTER PACK</t>
  </si>
  <si>
    <t>RFS12068</t>
  </si>
  <si>
    <t>Steam Punk Ukulele</t>
  </si>
  <si>
    <t>RSSGR</t>
  </si>
  <si>
    <t>STICKA GLITTER</t>
  </si>
  <si>
    <t>RSSG</t>
  </si>
  <si>
    <t>STICKA GLITTER 1300 SET UP: 25 EACH OF 52 PLUS STAND</t>
  </si>
  <si>
    <t>STG120</t>
  </si>
  <si>
    <t>STICKER GLITTER 120 PACK</t>
  </si>
  <si>
    <t>ST4F</t>
  </si>
  <si>
    <t>STICKERS 4 FUN 120 PACK</t>
  </si>
  <si>
    <t>RSS4M</t>
  </si>
  <si>
    <t>STICKERS 4 FUN 1300 SET UP: 25 EACH OF DESIGNS PLUS STAND</t>
  </si>
  <si>
    <t>RSS4M R</t>
  </si>
  <si>
    <t>STICKERS 4 FUN REFILL</t>
  </si>
  <si>
    <t>STNTPC01</t>
  </si>
  <si>
    <t>Sticky Notes (Folio) - Planet Cat (Time Spent)</t>
  </si>
  <si>
    <t>HS001</t>
  </si>
  <si>
    <t>Strawberry Quartz - Friendship</t>
  </si>
  <si>
    <t>Kit8</t>
  </si>
  <si>
    <t>Strawberry Thief Blue Kit 1</t>
  </si>
  <si>
    <t>SDB02</t>
  </si>
  <si>
    <t>Strip Display Box - Flexible Booklight</t>
  </si>
  <si>
    <t>SDB01</t>
  </si>
  <si>
    <t>Strip Display Box - Smart Light</t>
  </si>
  <si>
    <t>SBM005</t>
  </si>
  <si>
    <t>Success Albert Einstein</t>
  </si>
  <si>
    <t>SBMSP</t>
  </si>
  <si>
    <t>Success Bookmark Set Up 72 units</t>
  </si>
  <si>
    <t>CDUSBM</t>
  </si>
  <si>
    <t>SUCCESS BOOKMARKS DISPLAY</t>
  </si>
  <si>
    <t>001SM</t>
  </si>
  <si>
    <t>Success Bookmarks False Item</t>
  </si>
  <si>
    <t>SBM006</t>
  </si>
  <si>
    <t>Success Charlie Chaplin</t>
  </si>
  <si>
    <t>SBM001</t>
  </si>
  <si>
    <t>Success Eleanor Roosevelt</t>
  </si>
  <si>
    <t>SBM011</t>
  </si>
  <si>
    <t>Success Ernest Hemingway</t>
  </si>
  <si>
    <t>SBM012</t>
  </si>
  <si>
    <t>Success Mao's Last Dancer</t>
  </si>
  <si>
    <t>SBM008</t>
  </si>
  <si>
    <t>Success Marilyn Monroe</t>
  </si>
  <si>
    <t>SBM010</t>
  </si>
  <si>
    <t>Success Mark Twain</t>
  </si>
  <si>
    <t>SBM003</t>
  </si>
  <si>
    <t>Success Muhammad Ali</t>
  </si>
  <si>
    <t>SBM007</t>
  </si>
  <si>
    <t>Success Nelson Mandela</t>
  </si>
  <si>
    <t>SBM002</t>
  </si>
  <si>
    <t>Success Oscar Wilde</t>
  </si>
  <si>
    <t>SBM009</t>
  </si>
  <si>
    <t>Success Thomas Edison</t>
  </si>
  <si>
    <t>SBM004</t>
  </si>
  <si>
    <t>Success Winston Churchill</t>
  </si>
  <si>
    <t>CR043</t>
  </si>
  <si>
    <t>Sugar Scrub Set - Australian Natives</t>
  </si>
  <si>
    <t>CR016</t>
  </si>
  <si>
    <t>Sugar Scrub Set - Fruit</t>
  </si>
  <si>
    <t>CR044</t>
  </si>
  <si>
    <t>Sugar Scrub Set - Golden Wattle</t>
  </si>
  <si>
    <t>CR018</t>
  </si>
  <si>
    <t>Sugar Scrub Set - Monet Water Lilies</t>
  </si>
  <si>
    <t>CR015</t>
  </si>
  <si>
    <t>Sugar Scrub Set - Strawberry Thief</t>
  </si>
  <si>
    <t>CR045</t>
  </si>
  <si>
    <t>Sugar Scrub Set - Tropical Koala</t>
  </si>
  <si>
    <t>CR017</t>
  </si>
  <si>
    <t>Sugar Scrub Set - Van Gogh Sunflowers</t>
  </si>
  <si>
    <t>POSTOP01</t>
  </si>
  <si>
    <t>Summer Cruises</t>
  </si>
  <si>
    <t>WFM003</t>
  </si>
  <si>
    <t>Sunflower - Australian Made Wooden Fridge Magnet</t>
  </si>
  <si>
    <t>WK003</t>
  </si>
  <si>
    <t>Sunflower - Australian Made Wooden Key Ring</t>
  </si>
  <si>
    <t>SA003</t>
  </si>
  <si>
    <t>Support A Farmer</t>
  </si>
  <si>
    <t>WO058</t>
  </si>
  <si>
    <t>Surfboard - Australian Made Wooden Ornament</t>
  </si>
  <si>
    <t>RFS10233</t>
  </si>
  <si>
    <t>Table Tennis Set</t>
  </si>
  <si>
    <t>RFS11650</t>
  </si>
  <si>
    <t>TAMBOURINE IN A PRINTED BOX - HARLEQUIN</t>
  </si>
  <si>
    <t>WFM024</t>
  </si>
  <si>
    <t>Tasmanian Devil - Australian Made Wooden Fridge Magnet</t>
  </si>
  <si>
    <t>WK024</t>
  </si>
  <si>
    <t>Tasmanian Devil - Australian Made Wooden Key Ring</t>
  </si>
  <si>
    <t>WO047</t>
  </si>
  <si>
    <t>Tasmanian Devil - Australian Made Wooden Ornament</t>
  </si>
  <si>
    <t>TFO02</t>
  </si>
  <si>
    <t>Tea For One - Fruit</t>
  </si>
  <si>
    <t>TFO04</t>
  </si>
  <si>
    <t>Tea For One - Monet's Water Lilies</t>
  </si>
  <si>
    <t>TFO01</t>
  </si>
  <si>
    <t>Tea For One - Strawberry Thief</t>
  </si>
  <si>
    <t>TFO03</t>
  </si>
  <si>
    <t>Tea For One - Van Gogh's Sunflowers</t>
  </si>
  <si>
    <t>BM11</t>
  </si>
  <si>
    <t>Tea Infuser Mug - Australian Natives</t>
  </si>
  <si>
    <t>BM07</t>
  </si>
  <si>
    <t>Tea Infuser Mug - Blue Larkspur William Morris</t>
  </si>
  <si>
    <t>BM19</t>
  </si>
  <si>
    <t>Tea Infuser Mug - Cats, Coffee, and Books</t>
  </si>
  <si>
    <t>BM18</t>
  </si>
  <si>
    <t>Tea Infuser Mug - Dogs and Books</t>
  </si>
  <si>
    <t>BM23</t>
  </si>
  <si>
    <t>Tea Infuser Mug - Falling Free</t>
  </si>
  <si>
    <t>BM04</t>
  </si>
  <si>
    <t>Tea Infuser Mug - Fruit William Morris</t>
  </si>
  <si>
    <t>BM12</t>
  </si>
  <si>
    <t>Tea Infuser Mug - Golden Wattle</t>
  </si>
  <si>
    <t>BM05</t>
  </si>
  <si>
    <t>Tea Infuser Mug - Hampton Stripe Bluhen</t>
  </si>
  <si>
    <t>BM14</t>
  </si>
  <si>
    <t>Tea Infuser Mug - It's Not Hoarding If It's Books</t>
  </si>
  <si>
    <t>BM06</t>
  </si>
  <si>
    <t>Tea Infuser Mug - Kilburn Bluhen</t>
  </si>
  <si>
    <t>BM02</t>
  </si>
  <si>
    <t>Tea Infuser Mug - Leopard Bluhen</t>
  </si>
  <si>
    <t>BM09</t>
  </si>
  <si>
    <t>Tea Infuser Mug - Monet's Water Lilies</t>
  </si>
  <si>
    <t>BM15</t>
  </si>
  <si>
    <t>Tea Infuser Mug - No Such Thing As Too Many Books</t>
  </si>
  <si>
    <t>BM20</t>
  </si>
  <si>
    <t>Tea Infuser Mug - One More Chapter</t>
  </si>
  <si>
    <t>BM01</t>
  </si>
  <si>
    <t>Tea Infuser Mug - Peonie Rose Bluhen</t>
  </si>
  <si>
    <t>BM22</t>
  </si>
  <si>
    <t>Tea Infuser Mug - Quiet Blossom</t>
  </si>
  <si>
    <t>BM13</t>
  </si>
  <si>
    <t>Tea Infuser Mug - Read Books Drink Tea</t>
  </si>
  <si>
    <t>BM17</t>
  </si>
  <si>
    <t>Tea Infuser Mug - Reading is Dreaming</t>
  </si>
  <si>
    <t>BM08</t>
  </si>
  <si>
    <t>Tea Infuser Mug - Strawberry Thief Red William Morris</t>
  </si>
  <si>
    <t>BM03</t>
  </si>
  <si>
    <t>Tea Infuser Mug - Strawberry Thief William Morris</t>
  </si>
  <si>
    <t>BM16</t>
  </si>
  <si>
    <t>Tea Infuser Mug - Tropical Koala</t>
  </si>
  <si>
    <t>BM10</t>
  </si>
  <si>
    <t>Tea Infuser Mug - Van Gogh's Sunflowers</t>
  </si>
  <si>
    <t>TIMSU</t>
  </si>
  <si>
    <t>Tea Infuser Mug Set Up</t>
  </si>
  <si>
    <t>TT07</t>
  </si>
  <si>
    <t>Tea Towel - Australian Natives</t>
  </si>
  <si>
    <t>TEA6013</t>
  </si>
  <si>
    <t>TEA TOWEL - BOTH OF US CAN'T LOOK</t>
  </si>
  <si>
    <t>GR170002</t>
  </si>
  <si>
    <t>TEA TOWEL - DRYING UP IS MURDER</t>
  </si>
  <si>
    <t>GR900060</t>
  </si>
  <si>
    <t>TEA TOWEL - FIRST CLASS CHEF</t>
  </si>
  <si>
    <t>TT02</t>
  </si>
  <si>
    <t>Tea Towel - Fruit</t>
  </si>
  <si>
    <t>TT08</t>
  </si>
  <si>
    <t>Tea Towel - Golden Wattle</t>
  </si>
  <si>
    <t>TEAVR3</t>
  </si>
  <si>
    <t>TEA TOWEL - HAS EVERYONE GONE</t>
  </si>
  <si>
    <t>TEA6017</t>
  </si>
  <si>
    <t>TEA TOWEL - HOORAY</t>
  </si>
  <si>
    <t>TEA3030</t>
  </si>
  <si>
    <t>TEA TOWEL - I DON'T DO HOUSEWORK</t>
  </si>
  <si>
    <t>TEA6016</t>
  </si>
  <si>
    <t>TEA TOWEL - I ONLY HAVE A KITCHEN</t>
  </si>
  <si>
    <t>TT03</t>
  </si>
  <si>
    <t>Tea Towel - Kilburn</t>
  </si>
  <si>
    <t>TEAVR15</t>
  </si>
  <si>
    <t>TEA TOWEL - LIFE IS A STRUGGLE</t>
  </si>
  <si>
    <t>TT06</t>
  </si>
  <si>
    <t>Tea Towel - Monet Water Lilies</t>
  </si>
  <si>
    <t>GR170041</t>
  </si>
  <si>
    <t>TEA TOWEL - MONOPOLY BOARD</t>
  </si>
  <si>
    <t>GR900064</t>
  </si>
  <si>
    <t>TEA TOWEL - MULTICOLOUR STAMP</t>
  </si>
  <si>
    <t>TT04</t>
  </si>
  <si>
    <t>Tea Towel - Peonie Rose</t>
  </si>
  <si>
    <t>TWTLPC01</t>
  </si>
  <si>
    <t>Tea Towel - Planet Cat (Life Is Simple)</t>
  </si>
  <si>
    <t>TT01</t>
  </si>
  <si>
    <t>Tea Towel - Strawberry Thief</t>
  </si>
  <si>
    <t>TT09</t>
  </si>
  <si>
    <t>Tea Towel - Tropical Koala</t>
  </si>
  <si>
    <t>TT05</t>
  </si>
  <si>
    <t>Tea Towel - Van Gogh Sunflowers</t>
  </si>
  <si>
    <t>TEA36062</t>
  </si>
  <si>
    <t>TEA TOWEL SO BLOODY BLONDE NEW</t>
  </si>
  <si>
    <t>SPTT</t>
  </si>
  <si>
    <t>Tea Towels Set Up</t>
  </si>
  <si>
    <t>each</t>
  </si>
  <si>
    <t>Teeth Marks - Bat</t>
  </si>
  <si>
    <t>00tm</t>
  </si>
  <si>
    <t>Teeth Marks Set Up</t>
  </si>
  <si>
    <t>SP369</t>
  </si>
  <si>
    <t>Teeth Marks Starter Pack 36 units</t>
  </si>
  <si>
    <t>Teeth Marks-Bear</t>
  </si>
  <si>
    <t>Teeth Marks-Hippo</t>
  </si>
  <si>
    <t>Teeth Marks-Shark</t>
  </si>
  <si>
    <t>Teeth Marks-T-Rex</t>
  </si>
  <si>
    <t>Teeth Marks-Wolf</t>
  </si>
  <si>
    <t>CDU369</t>
  </si>
  <si>
    <t>TEETHMARKS DISPLAY</t>
  </si>
  <si>
    <t>TELEPHONE NUMBERS</t>
  </si>
  <si>
    <t>TP03</t>
  </si>
  <si>
    <t>Telescopic Pouch - Fruit</t>
  </si>
  <si>
    <t>TP01</t>
  </si>
  <si>
    <t>Telescopic Pouch - Larkspur</t>
  </si>
  <si>
    <t>TP06</t>
  </si>
  <si>
    <t>Telescopic Pouch - Leopard Print</t>
  </si>
  <si>
    <t>TP05</t>
  </si>
  <si>
    <t>Telescopic Pouch - Peonie Rose</t>
  </si>
  <si>
    <t>TP02</t>
  </si>
  <si>
    <t>Telescopic Pouch - Strawberry Thief</t>
  </si>
  <si>
    <t>TP04</t>
  </si>
  <si>
    <t>Telescopic Pouch - Wild Tulip</t>
  </si>
  <si>
    <t>TA006</t>
  </si>
  <si>
    <t>Terra Aus Bkmk - Echidna</t>
  </si>
  <si>
    <t>TA003</t>
  </si>
  <si>
    <t>Terra Aus Bkmk - Emu of Port Jackson</t>
  </si>
  <si>
    <t>TA004</t>
  </si>
  <si>
    <t>Terra Aus Bkmk - King Island Wombat</t>
  </si>
  <si>
    <t>TA009</t>
  </si>
  <si>
    <t>Terra Aus Bkmk - Koalas</t>
  </si>
  <si>
    <t>TA010</t>
  </si>
  <si>
    <t>Terra Aus Bkmk - Kongouro</t>
  </si>
  <si>
    <t>TA011</t>
  </si>
  <si>
    <t>Terra Aus Bkmk - Kookaburra</t>
  </si>
  <si>
    <t>TA008</t>
  </si>
  <si>
    <t>Terra Aus Bkmk - Leafy Sea Dragon</t>
  </si>
  <si>
    <t>TA001</t>
  </si>
  <si>
    <t>Terra Aus Bkmk - Parakeet</t>
  </si>
  <si>
    <t>TA012</t>
  </si>
  <si>
    <t>Terra Aus Bkmk - Platypus</t>
  </si>
  <si>
    <t>TA002</t>
  </si>
  <si>
    <t>Terra Aus Bkmk - Salvadori's Cassowary</t>
  </si>
  <si>
    <t>TA005</t>
  </si>
  <si>
    <t>Terra Aus Bkmk - Tasmanian Devil</t>
  </si>
  <si>
    <t>TA007</t>
  </si>
  <si>
    <t>Terra Aus Bkmk - Tasmanian Tiger</t>
  </si>
  <si>
    <t>TASP</t>
  </si>
  <si>
    <t>Terra Australis Bookmarks 72 units</t>
  </si>
  <si>
    <t>CDUTA</t>
  </si>
  <si>
    <t>TERRA AUSTRALIS BOOKMARKS DISPLAY</t>
  </si>
  <si>
    <t>91716a</t>
  </si>
  <si>
    <t>Test FF Beta</t>
  </si>
  <si>
    <t>TTT01</t>
  </si>
  <si>
    <t>Test Wooden Product</t>
  </si>
  <si>
    <t>The BFG Bookmark Refill</t>
  </si>
  <si>
    <t>THE BFG DREAM JAR READING LIGHT</t>
  </si>
  <si>
    <t>SP348</t>
  </si>
  <si>
    <t>THE BOOK FAN SET UP 24 units</t>
  </si>
  <si>
    <t>THE BOOK LAMP - CLASSIC CREAM</t>
  </si>
  <si>
    <t>THE BOOK LAMP - RETRO RED</t>
  </si>
  <si>
    <t>THE HANDS STAND - AUBERGINE</t>
  </si>
  <si>
    <t>THE HANDS STAND - CORAL</t>
  </si>
  <si>
    <t>THE HANDS STAND - SCARLET</t>
  </si>
  <si>
    <t>T8A</t>
  </si>
  <si>
    <t>THE ONLY BEAR FOR ME</t>
  </si>
  <si>
    <t>THE POP UP BOOK END PINK</t>
  </si>
  <si>
    <t>THE POP UP BOOKEND - GREY MATTER</t>
  </si>
  <si>
    <t>THE POP UP BOOKEND - RED ALERT</t>
  </si>
  <si>
    <t>THE POP UP BOOKEND BLACK</t>
  </si>
  <si>
    <t>THE POP UP BOOKEND BLUE</t>
  </si>
  <si>
    <t>THE POP UP BOOKEND GREEN</t>
  </si>
  <si>
    <t>THE POP UP BOOKEND WHITE</t>
  </si>
  <si>
    <t>J4</t>
  </si>
  <si>
    <t>THE READING LOG</t>
  </si>
  <si>
    <t>00RB</t>
  </si>
  <si>
    <t>The Rechargeable Book Light Set Up False Item</t>
  </si>
  <si>
    <t>SL001</t>
  </si>
  <si>
    <t>The Smart Light - Black</t>
  </si>
  <si>
    <t>SL005</t>
  </si>
  <si>
    <t>The Smart Light - Midnight Blue</t>
  </si>
  <si>
    <t>SL004</t>
  </si>
  <si>
    <t>The Smart Light - Pink</t>
  </si>
  <si>
    <t>SL002</t>
  </si>
  <si>
    <t>The Smart Light - Purple</t>
  </si>
  <si>
    <t>SL006</t>
  </si>
  <si>
    <t>The Smart Light - Red</t>
  </si>
  <si>
    <t>SL003</t>
  </si>
  <si>
    <t>The Smart Light - Turquoise</t>
  </si>
  <si>
    <t>F3B</t>
  </si>
  <si>
    <t>THE STORY OF US</t>
  </si>
  <si>
    <t>THE TABLET HOLDER - GREY</t>
  </si>
  <si>
    <t>THE TABLET HOLDER - RED</t>
  </si>
  <si>
    <t>ULB001</t>
  </si>
  <si>
    <t>The Ultimate Book Light BATTERY - Black</t>
  </si>
  <si>
    <t>ULB002</t>
  </si>
  <si>
    <t>The Ultimate Book Light BATTERY - White</t>
  </si>
  <si>
    <t>UBR001</t>
  </si>
  <si>
    <t>The Ultimate Book Light Rechargeable - Black</t>
  </si>
  <si>
    <t>UBR002</t>
  </si>
  <si>
    <t>The Ultimate Book Light Rechargeable - White</t>
  </si>
  <si>
    <t>T2W</t>
  </si>
  <si>
    <t>THE WORLD WAITED FOR YOU</t>
  </si>
  <si>
    <t>JTWTD</t>
  </si>
  <si>
    <t>THESE WERE THE DAYS, FROM YOU TO ME</t>
  </si>
  <si>
    <t>WO057</t>
  </si>
  <si>
    <t>Thong - Australian Made Wooden Ornament</t>
  </si>
  <si>
    <t>POSTTC02</t>
  </si>
  <si>
    <t>THOS. CRAPPER</t>
  </si>
  <si>
    <t>FSNC3</t>
  </si>
  <si>
    <t>THREE SIDED SPINNER</t>
  </si>
  <si>
    <t>AT2</t>
  </si>
  <si>
    <t>TIMELESS COLLECTION - DEAR DAD</t>
  </si>
  <si>
    <t>AT4</t>
  </si>
  <si>
    <t>TIMELESS COLLECTION - DEAR GRANDAD</t>
  </si>
  <si>
    <t>AT3</t>
  </si>
  <si>
    <t>TIMELESS COLLECTION - DEAR GRANDMA</t>
  </si>
  <si>
    <t>AT1</t>
  </si>
  <si>
    <t>TIMELESS COLLECTION - DEAR MUM</t>
  </si>
  <si>
    <t>CDUNJ</t>
  </si>
  <si>
    <t>TIMELESS COLLECTION CDU</t>
  </si>
  <si>
    <t>CDU51</t>
  </si>
  <si>
    <t>TINY BOOK LIGHT STAND</t>
  </si>
  <si>
    <t>TINY BOOKLIGHT WITH E READER ADAPTER - GREY</t>
  </si>
  <si>
    <t>TINY BOOKLIGHT WITH E READER ADAPTER - WHITE</t>
  </si>
  <si>
    <t>SPGCTES</t>
  </si>
  <si>
    <t>Tiny Emotional Support Set Up Australian Made Wooden Greeting Cards 36pcs</t>
  </si>
  <si>
    <t>TO USE FOR OTHER SKU</t>
  </si>
  <si>
    <t>TO USE FOR OTHER ITEM</t>
  </si>
  <si>
    <t>TST004</t>
  </si>
  <si>
    <t>Toasties Bodacious - Large</t>
  </si>
  <si>
    <t>TST009</t>
  </si>
  <si>
    <t>Toasties Bodacious - Small</t>
  </si>
  <si>
    <t>TSTDISP</t>
  </si>
  <si>
    <t>Toasties Display</t>
  </si>
  <si>
    <t>TST005</t>
  </si>
  <si>
    <t>Toasties Dusty Cedar - Large</t>
  </si>
  <si>
    <t>TST010</t>
  </si>
  <si>
    <t>Toasties Dusty Cedar - Small</t>
  </si>
  <si>
    <t>TST001</t>
  </si>
  <si>
    <t>Toasties Jet Black - Large</t>
  </si>
  <si>
    <t>TST006</t>
  </si>
  <si>
    <t>Toasties Jet Black - Small</t>
  </si>
  <si>
    <t>TST003</t>
  </si>
  <si>
    <t>Toasties Riverside - Large</t>
  </si>
  <si>
    <t>TST008</t>
  </si>
  <si>
    <t>Toasties Riverside - Small</t>
  </si>
  <si>
    <t>TST002</t>
  </si>
  <si>
    <t>Toasties Sharkskin - Large</t>
  </si>
  <si>
    <t>TST007</t>
  </si>
  <si>
    <t>Toasties Sharkskin - Small</t>
  </si>
  <si>
    <t>WM023</t>
  </si>
  <si>
    <t>Toiletry Bag - William Morris Lavender Strawberry Thief</t>
  </si>
  <si>
    <t>WM022</t>
  </si>
  <si>
    <t>Toiletry Bag - William Morris Mint Larkspur</t>
  </si>
  <si>
    <t>WM024</t>
  </si>
  <si>
    <t>Toiletry Bag - William Morris Sweet Briar</t>
  </si>
  <si>
    <t>WP012</t>
  </si>
  <si>
    <t>Tool Box - Worlds Best Brother</t>
  </si>
  <si>
    <t>WP010</t>
  </si>
  <si>
    <t>Tool Box - Worlds Best Dad</t>
  </si>
  <si>
    <t>WP011</t>
  </si>
  <si>
    <t>Tool Box - Worlds Best Grandad</t>
  </si>
  <si>
    <t>TB027</t>
  </si>
  <si>
    <t>Tote Bag - Australian Natives</t>
  </si>
  <si>
    <t>TB005</t>
  </si>
  <si>
    <t>Tote Bag - be here now</t>
  </si>
  <si>
    <t>TB040</t>
  </si>
  <si>
    <t>Tote Bag - Black Canvas</t>
  </si>
  <si>
    <t>TB020</t>
  </si>
  <si>
    <t>Tote Bag - Bluhen Hampton Stripe</t>
  </si>
  <si>
    <t>TB019</t>
  </si>
  <si>
    <t>Tote Bag - Bluhen Kilburn</t>
  </si>
  <si>
    <t>TB018</t>
  </si>
  <si>
    <t>Tote Bag - Bluhen Leopard Print</t>
  </si>
  <si>
    <t>TB023</t>
  </si>
  <si>
    <t>Tote Bag - Bluhen Monet's Water Lilies</t>
  </si>
  <si>
    <t>TB017</t>
  </si>
  <si>
    <t>Tote Bag - Bluhen Peonie Rose</t>
  </si>
  <si>
    <t>TB022</t>
  </si>
  <si>
    <t>Tote Bag - Bluhen Van Gogh Sunflowers</t>
  </si>
  <si>
    <t>TB001</t>
  </si>
  <si>
    <t>Tote Bag - Book Hangover</t>
  </si>
  <si>
    <t>TB012</t>
  </si>
  <si>
    <t>Tote Bag - Books Need Me Too</t>
  </si>
  <si>
    <t>TB024</t>
  </si>
  <si>
    <t>Tote Bag - Cats, Coffee &amp; Books</t>
  </si>
  <si>
    <t>TB025</t>
  </si>
  <si>
    <t>Tote Bag - Dogs &amp; Books</t>
  </si>
  <si>
    <t>TB039</t>
  </si>
  <si>
    <t>Tote Bag - Falling Free</t>
  </si>
  <si>
    <t>TB028</t>
  </si>
  <si>
    <t>Tote Bag - Golden Wattle</t>
  </si>
  <si>
    <t>TB007</t>
  </si>
  <si>
    <t>Tote Bag - I Like To Party</t>
  </si>
  <si>
    <t>TB002</t>
  </si>
  <si>
    <t>Tote Bag - I Love Books</t>
  </si>
  <si>
    <t>TB003</t>
  </si>
  <si>
    <t>Tote Bag - Its Not Hoarding</t>
  </si>
  <si>
    <t>TB031</t>
  </si>
  <si>
    <t>Tote Bag - Just One More Chapter</t>
  </si>
  <si>
    <t>TB011</t>
  </si>
  <si>
    <t>Tote Bag - Man of My Dreams</t>
  </si>
  <si>
    <t>TB004</t>
  </si>
  <si>
    <t>Tote Bag - No Drama Llama</t>
  </si>
  <si>
    <t>TB026</t>
  </si>
  <si>
    <t>Tote Bag - No such thing</t>
  </si>
  <si>
    <t>TB008</t>
  </si>
  <si>
    <t>Tote Bag - One More Chapter</t>
  </si>
  <si>
    <t>TB038</t>
  </si>
  <si>
    <t>Tote Bag - Quiet Blossom</t>
  </si>
  <si>
    <t>TB010</t>
  </si>
  <si>
    <t>Tote Bag - Read Books Drink Tea</t>
  </si>
  <si>
    <t>TB029</t>
  </si>
  <si>
    <t>Tote Bag - Reading is Dreaming With Your Eyes Open</t>
  </si>
  <si>
    <t>TB006</t>
  </si>
  <si>
    <t>Tote Bag - Smile</t>
  </si>
  <si>
    <t>TB009</t>
  </si>
  <si>
    <t>Tote Bag - Too Many Books</t>
  </si>
  <si>
    <t>TB030</t>
  </si>
  <si>
    <t>Tote Bag - Tropical Koala</t>
  </si>
  <si>
    <t>TB013</t>
  </si>
  <si>
    <t>Tote Bag - William Morris Blue Larkspur</t>
  </si>
  <si>
    <t>TB015</t>
  </si>
  <si>
    <t>Tote Bag - William Morris Fruit</t>
  </si>
  <si>
    <t>TB014</t>
  </si>
  <si>
    <t>Tote Bag - William Morris Strawberry Thief</t>
  </si>
  <si>
    <t>TB021</t>
  </si>
  <si>
    <t>Tote Bag - William Morris Strawberry Thief Red</t>
  </si>
  <si>
    <t>TB016</t>
  </si>
  <si>
    <t>Tote Bag - William Morris Wild Tulip</t>
  </si>
  <si>
    <t>WO064</t>
  </si>
  <si>
    <t>Tram Green - Australian Made Wooden Ornament</t>
  </si>
  <si>
    <t>WO063</t>
  </si>
  <si>
    <t>Tram Red - Australian Made Wooden Ornament</t>
  </si>
  <si>
    <t>TRAVEL BOOK REST - BLUE</t>
  </si>
  <si>
    <t>TRAVEL BOOK REST - GREY</t>
  </si>
  <si>
    <t>TRAVEL BOOK REST - MINT</t>
  </si>
  <si>
    <t>SP358</t>
  </si>
  <si>
    <t>Travel Book Rest Starter Pack</t>
  </si>
  <si>
    <t>CDU358</t>
  </si>
  <si>
    <t>TRAVEL BOOK RESTS CDU</t>
  </si>
  <si>
    <t>TC030</t>
  </si>
  <si>
    <t>Travel Case - Australian Natives</t>
  </si>
  <si>
    <t>TC034</t>
  </si>
  <si>
    <t>Travel Case - Falling Free</t>
  </si>
  <si>
    <t>TC023</t>
  </si>
  <si>
    <t>Travel Case - Fruit</t>
  </si>
  <si>
    <t>TC031</t>
  </si>
  <si>
    <t>Travel Case - Golden Wattle</t>
  </si>
  <si>
    <t>TC029</t>
  </si>
  <si>
    <t>Travel Case - Hampton Stripe</t>
  </si>
  <si>
    <t>TC027</t>
  </si>
  <si>
    <t>Travel Case - Kilburn</t>
  </si>
  <si>
    <t>TC026</t>
  </si>
  <si>
    <t>Travel Case - Larkspur</t>
  </si>
  <si>
    <t>TC028</t>
  </si>
  <si>
    <t>Travel Case - Leopard Print</t>
  </si>
  <si>
    <t>TC024</t>
  </si>
  <si>
    <t>Travel Case - Monet Water Lilies</t>
  </si>
  <si>
    <t>TC022</t>
  </si>
  <si>
    <t>Travel Case - Peonie Rose</t>
  </si>
  <si>
    <t>TC033</t>
  </si>
  <si>
    <t>Travel Case - Quiet Blossom</t>
  </si>
  <si>
    <t>TC020</t>
  </si>
  <si>
    <t>Travel Case - Strawberry Thief Blue</t>
  </si>
  <si>
    <t>TC032</t>
  </si>
  <si>
    <t>Travel Case - Tropical Koala</t>
  </si>
  <si>
    <t>TC021</t>
  </si>
  <si>
    <t>Travel Case - Van Gogh Sunflowers</t>
  </si>
  <si>
    <t>TC025</t>
  </si>
  <si>
    <t>Travel Case - Wild Tulip</t>
  </si>
  <si>
    <t>TCD</t>
  </si>
  <si>
    <t>Travel Case Display WDU</t>
  </si>
  <si>
    <t>SPTC</t>
  </si>
  <si>
    <t>Travel Cases Setup</t>
  </si>
  <si>
    <t>CDUTJ</t>
  </si>
  <si>
    <t>TRAVEL JOURNAL DISPLAY</t>
  </si>
  <si>
    <t>MUGTPC01</t>
  </si>
  <si>
    <t>Travel Mug (Bamboo) - Planet Cat (Slow Down)</t>
  </si>
  <si>
    <t>TRAVEL READING REST - SCARLET</t>
  </si>
  <si>
    <t>TRAVEL READING REST - TAN</t>
  </si>
  <si>
    <t>TKE</t>
  </si>
  <si>
    <t>Triangle Kraft Envelope</t>
  </si>
  <si>
    <t>WFM002</t>
  </si>
  <si>
    <t>Tulip - Australian Made Wooden Fridge Magnet</t>
  </si>
  <si>
    <t>WK002</t>
  </si>
  <si>
    <t>Tulip - Australian Made Wooden Key Ring</t>
  </si>
  <si>
    <t>BH058</t>
  </si>
  <si>
    <t>Turban Shower Cap - Bluhen Hampton Stripe</t>
  </si>
  <si>
    <t>BH059</t>
  </si>
  <si>
    <t>Turban Shower Cap - Bluhen Kilburn</t>
  </si>
  <si>
    <t>SC01</t>
  </si>
  <si>
    <t>Turban Shower Cap - William Morris Blue Larkspur</t>
  </si>
  <si>
    <t>SC02</t>
  </si>
  <si>
    <t>Turban Shower Cap - William Morris Fruit</t>
  </si>
  <si>
    <t>SC03</t>
  </si>
  <si>
    <t>Turban Shower Cap - William Morris Strawberry Thief</t>
  </si>
  <si>
    <t>SC04</t>
  </si>
  <si>
    <t>Turban Shower Cap - William Morris Strawberry Thief Red</t>
  </si>
  <si>
    <t>SC05</t>
  </si>
  <si>
    <t>Turban Shower Cap - William Morris Wild Tulip</t>
  </si>
  <si>
    <t>TF04</t>
  </si>
  <si>
    <t>Twist Fan - Australian Natives</t>
  </si>
  <si>
    <t>TF05</t>
  </si>
  <si>
    <t>Twist Fan - Golden Wattle</t>
  </si>
  <si>
    <t>TF03</t>
  </si>
  <si>
    <t>Twist Fan - Monet's Water Lilies</t>
  </si>
  <si>
    <t>TF01</t>
  </si>
  <si>
    <t>Twist Fan - Strawberry Thief</t>
  </si>
  <si>
    <t>TF02</t>
  </si>
  <si>
    <t>Twist Fan - Sunflowers</t>
  </si>
  <si>
    <t>TF06</t>
  </si>
  <si>
    <t>Twist Fan - Tropical Koala</t>
  </si>
  <si>
    <t>TFCDU</t>
  </si>
  <si>
    <t>Twist Fan CDU</t>
  </si>
  <si>
    <t>TFSU</t>
  </si>
  <si>
    <t>Twist Fan Set Up</t>
  </si>
  <si>
    <t>BH58</t>
  </si>
  <si>
    <t>Umbrella - Australian Natives</t>
  </si>
  <si>
    <t>UMB001</t>
  </si>
  <si>
    <t>Umbrella - Black</t>
  </si>
  <si>
    <t>BH57</t>
  </si>
  <si>
    <t>Umbrella - Bluhen (Monet's Water Lilies)</t>
  </si>
  <si>
    <t>BH56</t>
  </si>
  <si>
    <t>Umbrella - Bluhen (Van Gogh Sunflowers)</t>
  </si>
  <si>
    <t>BH49</t>
  </si>
  <si>
    <t>Umbrella - BluHen - Black Floral</t>
  </si>
  <si>
    <t>BH52</t>
  </si>
  <si>
    <t>Umbrella - Bluhen - Leopard</t>
  </si>
  <si>
    <t>BH46</t>
  </si>
  <si>
    <t>Umbrella - BluHen - Peonie Rose</t>
  </si>
  <si>
    <t>BH53</t>
  </si>
  <si>
    <t>Umbrella - BluHen - Pink Polka Dot</t>
  </si>
  <si>
    <t>BH59</t>
  </si>
  <si>
    <t>Umbrella - Golden Wattle</t>
  </si>
  <si>
    <t>UMB003</t>
  </si>
  <si>
    <t>Umbrella - Green</t>
  </si>
  <si>
    <t>UMB002</t>
  </si>
  <si>
    <t>Umbrella - Navy</t>
  </si>
  <si>
    <t>UMB004</t>
  </si>
  <si>
    <t>Umbrella - Red</t>
  </si>
  <si>
    <t>UMBRRHS01</t>
  </si>
  <si>
    <t>Umbrella - RHS (Irises &amp; Hellebores)</t>
  </si>
  <si>
    <t>BH60</t>
  </si>
  <si>
    <t>Umbrella - Tropical Koala</t>
  </si>
  <si>
    <t>WM034</t>
  </si>
  <si>
    <t>Umbrella - William Morris (Blue Larkspur)</t>
  </si>
  <si>
    <t>WM043</t>
  </si>
  <si>
    <t>Umbrella - William Morris (Fruit)</t>
  </si>
  <si>
    <t>WM033</t>
  </si>
  <si>
    <t>Umbrella - William Morris (Lavender Strawberry Thief)</t>
  </si>
  <si>
    <t>WM044</t>
  </si>
  <si>
    <t>Umbrella - William Morris (Strawberry Thief Original)</t>
  </si>
  <si>
    <t>WM045</t>
  </si>
  <si>
    <t>Umbrella - William Morris (Strawberry Thief Red)</t>
  </si>
  <si>
    <t>UMBRWM01</t>
  </si>
  <si>
    <t>Umbrella - William Morris (Strawberry Thief)</t>
  </si>
  <si>
    <t>WM035</t>
  </si>
  <si>
    <t>Umbrella - William Morris (Sweet Briar)</t>
  </si>
  <si>
    <t>WM039</t>
  </si>
  <si>
    <t>Umbrella - William Morris (Wild Tulip)</t>
  </si>
  <si>
    <t>WM033A</t>
  </si>
  <si>
    <t>Umbrella - William Morris Lavender Strawberry Thief ( Original)</t>
  </si>
  <si>
    <t>WM035A</t>
  </si>
  <si>
    <t>Umbrella - William Morris Sweet Briar (Auto)</t>
  </si>
  <si>
    <t>UBFSU</t>
  </si>
  <si>
    <t>Umbrella Full Set Up 30cmD x 50cmW x 165cmH</t>
  </si>
  <si>
    <t>UMS1</t>
  </si>
  <si>
    <t>Umbrella Metal Stand</t>
  </si>
  <si>
    <t>UBSUBH</t>
  </si>
  <si>
    <t>Umbrella Set Up - BluHen 30cmD x 50cmW x 165cmH</t>
  </si>
  <si>
    <t>UBSU</t>
  </si>
  <si>
    <t>Umbrella Set Up - Mixed</t>
  </si>
  <si>
    <t>UBSUWM</t>
  </si>
  <si>
    <t>Umbrella Set Up - William Morris 30cmD x 50cmW x 165cmH</t>
  </si>
  <si>
    <t>UMBSU</t>
  </si>
  <si>
    <t>Umbrella Set Up- Colored 30cmD x 50cmW x 165cmH</t>
  </si>
  <si>
    <t>UMB012</t>
  </si>
  <si>
    <t>Umbrella Small - Australian Natives</t>
  </si>
  <si>
    <t>UMB015</t>
  </si>
  <si>
    <t>Umbrella Small - Falling Free</t>
  </si>
  <si>
    <t>UMB013</t>
  </si>
  <si>
    <t>Umbrella Small - Golden Wattle</t>
  </si>
  <si>
    <t>UMB014</t>
  </si>
  <si>
    <t>Umbrella Small - Quiet Blossom</t>
  </si>
  <si>
    <t>UMB011</t>
  </si>
  <si>
    <t>Umbrella Small - Tropical Koala</t>
  </si>
  <si>
    <t>UMB005</t>
  </si>
  <si>
    <t>Umbrella Small-Fruit</t>
  </si>
  <si>
    <t>UMB006</t>
  </si>
  <si>
    <t>Umbrella Small-Kilburn</t>
  </si>
  <si>
    <t>UMB010</t>
  </si>
  <si>
    <t>Umbrella Small-Monet's Water Lilies</t>
  </si>
  <si>
    <t>UMB007</t>
  </si>
  <si>
    <t>Umbrella Small-Strawberry Thief Blue</t>
  </si>
  <si>
    <t>UMB008</t>
  </si>
  <si>
    <t>Umbrella Small-Strawberry Thief Red</t>
  </si>
  <si>
    <t>UMB009</t>
  </si>
  <si>
    <t>Umbrella Small-Van Gogh Sunflowers</t>
  </si>
  <si>
    <t>00uaz</t>
  </si>
  <si>
    <t>Unicorn Calendar Amz</t>
  </si>
  <si>
    <t>UC002</t>
  </si>
  <si>
    <t>Unicorn Slim Calendar</t>
  </si>
  <si>
    <t>SWC003</t>
  </si>
  <si>
    <t>Unicorn Square Calendar</t>
  </si>
  <si>
    <t>UC003</t>
  </si>
  <si>
    <t>Unicorn Year Planner</t>
  </si>
  <si>
    <t>CS31</t>
  </si>
  <si>
    <t>Unicorns &amp; Rainbows Sleeve</t>
  </si>
  <si>
    <t>USWLBRF009</t>
  </si>
  <si>
    <t>US WLB Reading Friend - Wolf</t>
  </si>
  <si>
    <t>USFBASM006</t>
  </si>
  <si>
    <t>USFBA 101 Movies Scratch Poster</t>
  </si>
  <si>
    <t>USFBAABL002</t>
  </si>
  <si>
    <t>USFBA Animal Book Light Rechargeable - Unicorn</t>
  </si>
  <si>
    <t>USFBABTB6PK</t>
  </si>
  <si>
    <t>USFBA Baby Talk Bibs Gift Pack of 6</t>
  </si>
  <si>
    <t>USFBASWC015</t>
  </si>
  <si>
    <t>USFBA Beaches Calendar</t>
  </si>
  <si>
    <t>CA2604</t>
  </si>
  <si>
    <t>USFBA Beaches Calendar 2026</t>
  </si>
  <si>
    <t>USFBASWC008</t>
  </si>
  <si>
    <t>USFBA Book Lovers Calendar 2026</t>
  </si>
  <si>
    <t>USFBASWC002</t>
  </si>
  <si>
    <t>USFBA Cat Dreams Square Calendar</t>
  </si>
  <si>
    <t>USFBASWC016</t>
  </si>
  <si>
    <t>USFBA Cats and Flowers</t>
  </si>
  <si>
    <t>CA2607</t>
  </si>
  <si>
    <t>USFBA Cats and Flowers 2026</t>
  </si>
  <si>
    <t>USFBASWC007</t>
  </si>
  <si>
    <t>USFBA Dinosaur Calendar</t>
  </si>
  <si>
    <t>CA2609</t>
  </si>
  <si>
    <t>USFBA Dinosaur Calendar 2026</t>
  </si>
  <si>
    <t>USFBASWC009</t>
  </si>
  <si>
    <t>USFBA Dog Pooping Calendar</t>
  </si>
  <si>
    <t>75-3J8M-MNKY</t>
  </si>
  <si>
    <t>USFBA Dog Pooping Calendar 2026</t>
  </si>
  <si>
    <t>USFBASWC005</t>
  </si>
  <si>
    <t>USFBA Dog Shaming Calendar</t>
  </si>
  <si>
    <t>USFBAFABH1</t>
  </si>
  <si>
    <t>USFBA Fold Away Book Holder - A Room Without A Book</t>
  </si>
  <si>
    <t>USFBAGW005</t>
  </si>
  <si>
    <t>USFBA GlassWear Black Stretch Silk - Silver Alloy</t>
  </si>
  <si>
    <t>USFBASWC013</t>
  </si>
  <si>
    <t>USFBA Horses Calendar</t>
  </si>
  <si>
    <t>CA2602</t>
  </si>
  <si>
    <t>USFBA Horses Calendar 2026</t>
  </si>
  <si>
    <t>CA2611</t>
  </si>
  <si>
    <t>USFBA Kitten Dreams 2026</t>
  </si>
  <si>
    <t>USFBASWC006</t>
  </si>
  <si>
    <t>USFBA Llama Love Calendar</t>
  </si>
  <si>
    <t>USFBALM005</t>
  </si>
  <si>
    <t>USFBA Loudmouth - Donald Trump</t>
  </si>
  <si>
    <t>USFBALM012</t>
  </si>
  <si>
    <t>USFBA Loudmouth - Marilyn Monroe</t>
  </si>
  <si>
    <t>USFBASWC004</t>
  </si>
  <si>
    <t>USFBA Love Sloth Calendar</t>
  </si>
  <si>
    <t>USFBASWC011</t>
  </si>
  <si>
    <t>USFBA National Parks Calendar</t>
  </si>
  <si>
    <t>USFBASWC012</t>
  </si>
  <si>
    <t>USFBA Nature's Dicks Calendar</t>
  </si>
  <si>
    <t>CG-0CZX-IK8G</t>
  </si>
  <si>
    <t>USFBA Nature's Dicks Calendar 2026</t>
  </si>
  <si>
    <t>USFBARF010</t>
  </si>
  <si>
    <t>USFBA Reading Friend - Dinosaur</t>
  </si>
  <si>
    <t>USFBARF005</t>
  </si>
  <si>
    <t>USFBA Reading Friend - Koala</t>
  </si>
  <si>
    <t>USFBARF001</t>
  </si>
  <si>
    <t>USFBA Reading Friend - Unicorn</t>
  </si>
  <si>
    <t>USFBARF009</t>
  </si>
  <si>
    <t>USFBA Reading Friend - Wolf</t>
  </si>
  <si>
    <t>USFBARFUDK</t>
  </si>
  <si>
    <t>USFBA Reading Friend Unicorn Dog Koala</t>
  </si>
  <si>
    <t>CA2610</t>
  </si>
  <si>
    <t>USFBA Sloth Calendar 2026</t>
  </si>
  <si>
    <t>USFBASWC001</t>
  </si>
  <si>
    <t>USFBA Space Calendar</t>
  </si>
  <si>
    <t>CA2608</t>
  </si>
  <si>
    <t>USFBA Space Calendar 2026</t>
  </si>
  <si>
    <t>USFBAUBR001</t>
  </si>
  <si>
    <t>USFBA The Ultimate Book Light Rechargeable - Black</t>
  </si>
  <si>
    <t>USFBAUBL002</t>
  </si>
  <si>
    <t>USFBA The Ultimate Book Light Rechargeable - White</t>
  </si>
  <si>
    <t>CA2605</t>
  </si>
  <si>
    <t>USFBA Unicorn Calendar 2026</t>
  </si>
  <si>
    <t>USFBASWC003</t>
  </si>
  <si>
    <t>USFBA Unicorn Square Calendar</t>
  </si>
  <si>
    <t>USFBASM001</t>
  </si>
  <si>
    <t>USFBA USA World Scratch Map</t>
  </si>
  <si>
    <t>USFBASWC014</t>
  </si>
  <si>
    <t>USFBA Wolves Calendar</t>
  </si>
  <si>
    <t>CA2603</t>
  </si>
  <si>
    <t>USFBA Wolves Calendar 2026</t>
  </si>
  <si>
    <t>USFBASM008</t>
  </si>
  <si>
    <t>USFBAUSA Flag Scratch Map</t>
  </si>
  <si>
    <t>USFBMSWC008</t>
  </si>
  <si>
    <t>USFBM Book Lovers Calendar</t>
  </si>
  <si>
    <t>USFBMSWC002</t>
  </si>
  <si>
    <t>USFBM Cat Dreams Square Calendar</t>
  </si>
  <si>
    <t>USFBMSWC009</t>
  </si>
  <si>
    <t>USFBM Dog Pooping Calendar</t>
  </si>
  <si>
    <t>USFBMSWC005</t>
  </si>
  <si>
    <t>USFBM Dog Shaming Calendar</t>
  </si>
  <si>
    <t>USFBMSWC006</t>
  </si>
  <si>
    <t>USFBM Llama Love Calendar</t>
  </si>
  <si>
    <t>USFBMSWC004</t>
  </si>
  <si>
    <t>USFBM Mindful Sloth Calendar</t>
  </si>
  <si>
    <t>USFBMSWC012</t>
  </si>
  <si>
    <t>USFBM Nature's Dicks Calendar</t>
  </si>
  <si>
    <t>USFBMSWC003</t>
  </si>
  <si>
    <t>USFBM Unicorn Square Calendar</t>
  </si>
  <si>
    <t>USWLBSM007</t>
  </si>
  <si>
    <t>USWLB 101 Books Scratch Poster</t>
  </si>
  <si>
    <t>USWLBRF005</t>
  </si>
  <si>
    <t>USWLB BReading Friend - Koala</t>
  </si>
  <si>
    <t>USWLBSM004</t>
  </si>
  <si>
    <t>USWLB Kids Animal Scratch Map</t>
  </si>
  <si>
    <t>USWLBRF007</t>
  </si>
  <si>
    <t>USWLB Reading Friend - Bear</t>
  </si>
  <si>
    <t>USWLBRF003</t>
  </si>
  <si>
    <t>USWLB Reading Friend - Dog</t>
  </si>
  <si>
    <t>USWLBRF006</t>
  </si>
  <si>
    <t>USWLB Reading Friend - Kangaroo</t>
  </si>
  <si>
    <t>USWLBRF002</t>
  </si>
  <si>
    <t>USWLB Reading Friend - Llama</t>
  </si>
  <si>
    <t>USWLBRF001</t>
  </si>
  <si>
    <t>USWLB Reading Friend - Unicorn</t>
  </si>
  <si>
    <t>USWLBRS006</t>
  </si>
  <si>
    <t>USWLB Reading Socks - Black Cable Knot Men</t>
  </si>
  <si>
    <t>USWLBRS001</t>
  </si>
  <si>
    <t>USWLB Reading Socks - Black Llama Kids</t>
  </si>
  <si>
    <t>USWLBRS002</t>
  </si>
  <si>
    <t>USWLB Reading Socks - Black Llama Women</t>
  </si>
  <si>
    <t>USWLBRS004</t>
  </si>
  <si>
    <t>USWLB Reading Socks - Glitter Women</t>
  </si>
  <si>
    <t>USWLBRS005</t>
  </si>
  <si>
    <t>USWLB Reading Socks - Grey Cable Knot Women</t>
  </si>
  <si>
    <t>USWLBRS003</t>
  </si>
  <si>
    <t>USWLB Reading Socks - Pink Llama Women</t>
  </si>
  <si>
    <t>USWLBSM005</t>
  </si>
  <si>
    <t>USWLB Star Scratch Map</t>
  </si>
  <si>
    <t>USWLBRCBL001</t>
  </si>
  <si>
    <t>USWLB The Flexi Book Light Rechargeable - Black</t>
  </si>
  <si>
    <t>USWLBRCBL003</t>
  </si>
  <si>
    <t>USWLB The Flexi Book Light Rechargeable - Blue</t>
  </si>
  <si>
    <t>USWLBRCBL002</t>
  </si>
  <si>
    <t>USWLB The Flexi Book Light Rechargeable - Pink</t>
  </si>
  <si>
    <t>USWLBRCBL004</t>
  </si>
  <si>
    <t>USWLB The Flexi Book Light Rechargeable - White</t>
  </si>
  <si>
    <t>USWLBSL001</t>
  </si>
  <si>
    <t>USWLB The Smart Light - Black</t>
  </si>
  <si>
    <t>USWLBSL005</t>
  </si>
  <si>
    <t>USWLB The Smart Light - Midnight Blue</t>
  </si>
  <si>
    <t>USWLBSL004</t>
  </si>
  <si>
    <t>USWLB The Smart Light - Pink</t>
  </si>
  <si>
    <t>USWLBSL002</t>
  </si>
  <si>
    <t>USWLB The Smart Light - Purple</t>
  </si>
  <si>
    <t>USWLBSL006</t>
  </si>
  <si>
    <t>USWLB The Smart Light - Red</t>
  </si>
  <si>
    <t>USWLBSL003</t>
  </si>
  <si>
    <t>USWLB The Smart Light - Turquoise</t>
  </si>
  <si>
    <t>V&amp;A BOOK JACKET BORAGE</t>
  </si>
  <si>
    <t>V&amp;A BOOK JACKET MEMPHIS</t>
  </si>
  <si>
    <t>V&amp;A BOOK JACKET ORCHARD</t>
  </si>
  <si>
    <t>V&amp;A BOOK JACKET TEXTILE</t>
  </si>
  <si>
    <t>CDU972</t>
  </si>
  <si>
    <t>V&amp;A BOOK JACKETS DISPLAY STAND</t>
  </si>
  <si>
    <t>V&amp;A BOOKMKS - CRAY</t>
  </si>
  <si>
    <t>V&amp;A BOOKMKS - DESIGN</t>
  </si>
  <si>
    <t>V&amp;A BOOKMKS - DRESS FABRIC</t>
  </si>
  <si>
    <t>V&amp;A BOOKMKS - MICHAELMAS</t>
  </si>
  <si>
    <t>V&amp;A BOOKMKS - POMEGRANITE</t>
  </si>
  <si>
    <t>V&amp;A BOOKMKS - SEAGULLS</t>
  </si>
  <si>
    <t>V&amp;A BOOKMKS - STRAWBERRY THIEF</t>
  </si>
  <si>
    <t>V&amp;A BOOKMKS - THE OWL</t>
  </si>
  <si>
    <t>RFS11647</t>
  </si>
  <si>
    <t>VARIETY OF MAGIC TRICKS</t>
  </si>
  <si>
    <t>RFS11561</t>
  </si>
  <si>
    <t>VINTAGE MAP P/CARD &amp; DICE SET IN A FLAT BRUSHED TIN</t>
  </si>
  <si>
    <t>DA004</t>
  </si>
  <si>
    <t>Vitals - Beer Chillers Pair</t>
  </si>
  <si>
    <t>DA008</t>
  </si>
  <si>
    <t>Vitals - Cocktail Shaker Set</t>
  </si>
  <si>
    <t>DA014</t>
  </si>
  <si>
    <t>Vitals - Double Wall Beer Glass</t>
  </si>
  <si>
    <t>DA018</t>
  </si>
  <si>
    <t>Vitals - Double Wall Coffee Mug</t>
  </si>
  <si>
    <t>DA015</t>
  </si>
  <si>
    <t>Vitals - Double Wall Wine Glass</t>
  </si>
  <si>
    <t>DA001</t>
  </si>
  <si>
    <t>Vitals - Gin Stones</t>
  </si>
  <si>
    <t>DA016</t>
  </si>
  <si>
    <t>Vitals - Glass Tea Cup w Infuser</t>
  </si>
  <si>
    <t>DA013</t>
  </si>
  <si>
    <t>Vitals - Ice Cube Silicon Tray</t>
  </si>
  <si>
    <t>DA012</t>
  </si>
  <si>
    <t>Vitals - Ice Sphere Silicon Tray</t>
  </si>
  <si>
    <t>DA002</t>
  </si>
  <si>
    <t>Vitals - Spritz Stones</t>
  </si>
  <si>
    <t>DA017</t>
  </si>
  <si>
    <t>Vitals - Storage Jar w Cork</t>
  </si>
  <si>
    <t>DA003</t>
  </si>
  <si>
    <t>Vitals - Whiskey Stones</t>
  </si>
  <si>
    <t>DA006</t>
  </si>
  <si>
    <t>Vitals - Wine Aerator</t>
  </si>
  <si>
    <t>DA010</t>
  </si>
  <si>
    <t>Vitals - Wine Bottle Gift Set Large</t>
  </si>
  <si>
    <t>DA011</t>
  </si>
  <si>
    <t>Vitals - Wine Bottle Gift Set Medium</t>
  </si>
  <si>
    <t>DA005</t>
  </si>
  <si>
    <t>Vitals - Wine Chiller</t>
  </si>
  <si>
    <t>DA007</t>
  </si>
  <si>
    <t>Vitals - Wine Pourer Aerator</t>
  </si>
  <si>
    <t>DA009</t>
  </si>
  <si>
    <t>Vitals - Wine Vacuum Pump</t>
  </si>
  <si>
    <t>Vitals Homewares- Double Walled Coffee Mug</t>
  </si>
  <si>
    <t>SPVS</t>
  </si>
  <si>
    <t>Vitals Stones Set Up</t>
  </si>
  <si>
    <t>CDUVS</t>
  </si>
  <si>
    <t>Vitals Stones WDU</t>
  </si>
  <si>
    <t>POSTSG02</t>
  </si>
  <si>
    <t>VOTES FOR WOMEN</t>
  </si>
  <si>
    <t>BOOKAA03</t>
  </si>
  <si>
    <t>Wallace &amp; Gromit: Little Book of Cheese</t>
  </si>
  <si>
    <t>WFM009</t>
  </si>
  <si>
    <t>Waratah - Australian Made Wooden Fridge Magnet</t>
  </si>
  <si>
    <t>WK009</t>
  </si>
  <si>
    <t>Waratah - Australian Made Wooden Key Ring</t>
  </si>
  <si>
    <t>WMC006</t>
  </si>
  <si>
    <t>Warming Coaster Court Date</t>
  </si>
  <si>
    <t>WCD</t>
  </si>
  <si>
    <t>WARMING COASTER DISPLAY</t>
  </si>
  <si>
    <t>WMC004</t>
  </si>
  <si>
    <t>Warming Coaster Drink Coffee</t>
  </si>
  <si>
    <t>WMC001</t>
  </si>
  <si>
    <t>Warming Coaster My Farts</t>
  </si>
  <si>
    <t>WMC002</t>
  </si>
  <si>
    <t>Warming Coaster Queen of</t>
  </si>
  <si>
    <t>WMC003</t>
  </si>
  <si>
    <t>Warming Coaster Stop to think</t>
  </si>
  <si>
    <t>WMC005</t>
  </si>
  <si>
    <t>Warming Coaster Ways to heart</t>
  </si>
  <si>
    <t>WMC010</t>
  </si>
  <si>
    <t>Warming Coasters Hug in a Cup</t>
  </si>
  <si>
    <t>WMC009</t>
  </si>
  <si>
    <t>Warming Coasters I Like To Party</t>
  </si>
  <si>
    <t>WMC012</t>
  </si>
  <si>
    <t>Warming Coasters Liquid Wisdom</t>
  </si>
  <si>
    <t>WMC011</t>
  </si>
  <si>
    <t>Warming Coasters Moon and Back</t>
  </si>
  <si>
    <t>WMC008</t>
  </si>
  <si>
    <t>Warming Coasters No Tea No Work</t>
  </si>
  <si>
    <t>WMCCSP</t>
  </si>
  <si>
    <t>Warming Coasters Set Up Coffee</t>
  </si>
  <si>
    <t>WMCTSP</t>
  </si>
  <si>
    <t>Warming Coasters Set Up Tea</t>
  </si>
  <si>
    <t>WMC007</t>
  </si>
  <si>
    <t>Warming Coasters Whisky Tea</t>
  </si>
  <si>
    <t>BAWB211</t>
  </si>
  <si>
    <t>WASH BAG DRAWSTRING TOWELLING POLAR BEAR</t>
  </si>
  <si>
    <t>BAWB021</t>
  </si>
  <si>
    <t>WASH BAG DRAWSTRING TOWELLING WHALE</t>
  </si>
  <si>
    <t>BAWB210</t>
  </si>
  <si>
    <t>WASH BAG TOWELLING POLAR BEAR</t>
  </si>
  <si>
    <t>BAWB006</t>
  </si>
  <si>
    <t>WASH BAG TOWELLING WHALE</t>
  </si>
  <si>
    <t>WBAGPC01</t>
  </si>
  <si>
    <t>Washbag - Planet Cat (Mysterious Folk)</t>
  </si>
  <si>
    <t>MAKERHS04</t>
  </si>
  <si>
    <t>Washbag - RHS (PVC Coral)</t>
  </si>
  <si>
    <t>WBOTBA01</t>
  </si>
  <si>
    <t>Water Bottle (Metal) - Batman</t>
  </si>
  <si>
    <t>WTRBPC01</t>
  </si>
  <si>
    <t>Water Bottle (Metal) 500ml – Planet Cat (Eat, Drink &amp; Pet)</t>
  </si>
  <si>
    <t>WB11</t>
  </si>
  <si>
    <t>Water Bottle - Australian Natives</t>
  </si>
  <si>
    <t>WB01</t>
  </si>
  <si>
    <t>Water Bottle - Blue Larkspur William Morris</t>
  </si>
  <si>
    <t>WB15</t>
  </si>
  <si>
    <t>Water Bottle - Falling Free</t>
  </si>
  <si>
    <t>WB02</t>
  </si>
  <si>
    <t>Water Bottle - Fruit William Morris</t>
  </si>
  <si>
    <t>WB12</t>
  </si>
  <si>
    <t>Water Bottle - Golden Wattle</t>
  </si>
  <si>
    <t>WB07</t>
  </si>
  <si>
    <t>Water Bottle - Kilburn Blu-hen</t>
  </si>
  <si>
    <t>WB04a</t>
  </si>
  <si>
    <t>Water Bottle - Leopard Print Blu-hen</t>
  </si>
  <si>
    <t>WB10</t>
  </si>
  <si>
    <t>Water Bottle - Monet Water Lilies Blu-hen</t>
  </si>
  <si>
    <t>WB04</t>
  </si>
  <si>
    <t>Water Bottle - Peonie Rose Blu-hen</t>
  </si>
  <si>
    <t>WB14</t>
  </si>
  <si>
    <t>Water Bottle - Quiet Blossom</t>
  </si>
  <si>
    <t>WB06</t>
  </si>
  <si>
    <t>Water Bottle - Strawberry Thief William Morris</t>
  </si>
  <si>
    <t>WB13</t>
  </si>
  <si>
    <t>Water Bottle - Tropical Koala</t>
  </si>
  <si>
    <t>WB09</t>
  </si>
  <si>
    <t>Water Bottle - Van Gogh Sunflowers Blu-hen</t>
  </si>
  <si>
    <t>WB08</t>
  </si>
  <si>
    <t>Water Bottle - Wild Tulip William Morris</t>
  </si>
  <si>
    <t>WBPG</t>
  </si>
  <si>
    <t>Water Bottle Packaging</t>
  </si>
  <si>
    <t>BAWS047</t>
  </si>
  <si>
    <t>WATER SQUIRTERS POLAR REGIONS</t>
  </si>
  <si>
    <t>oo1WTTW</t>
  </si>
  <si>
    <t>Welcome To The World</t>
  </si>
  <si>
    <t>T2A</t>
  </si>
  <si>
    <t>WELCOME TO THE WORLD - Lucy Tapper</t>
  </si>
  <si>
    <t>CSTWAL01</t>
  </si>
  <si>
    <t>WHERE'S WALLY - SET OF 4 COASTERS</t>
  </si>
  <si>
    <t>CSTWAL02</t>
  </si>
  <si>
    <t>WHERE'S WALLY - SINGLE COASTER</t>
  </si>
  <si>
    <t>TTWAL02</t>
  </si>
  <si>
    <t>WHERE'S WALLY - TIN TOTE</t>
  </si>
  <si>
    <t>WWWAL01</t>
  </si>
  <si>
    <t>WHERE'S WALLY - WALLET</t>
  </si>
  <si>
    <t>WBWAL01</t>
  </si>
  <si>
    <t>WHERE'S WALLY - WASH BAG</t>
  </si>
  <si>
    <t>ABL007</t>
  </si>
  <si>
    <t>White Noise Machine Rechargeable</t>
  </si>
  <si>
    <t>WRD</t>
  </si>
  <si>
    <t>White Round 3 Tier display</t>
  </si>
  <si>
    <t>WMB012</t>
  </si>
  <si>
    <t>William Morris Bookmark Bluten</t>
  </si>
  <si>
    <t>WMB010</t>
  </si>
  <si>
    <t>William Morris Bookmark Cherwell</t>
  </si>
  <si>
    <t>WMB003</t>
  </si>
  <si>
    <t>William Morris Bookmark Fruit</t>
  </si>
  <si>
    <t>WMB002</t>
  </si>
  <si>
    <t>William Morris Bookmark Jasmine</t>
  </si>
  <si>
    <t>WMB008</t>
  </si>
  <si>
    <t>William Morris Bookmark Larkspur</t>
  </si>
  <si>
    <t>WMB001</t>
  </si>
  <si>
    <t>William Morris Bookmark Marigold</t>
  </si>
  <si>
    <t>WMB011</t>
  </si>
  <si>
    <t>William Morris Bookmark Muster</t>
  </si>
  <si>
    <t>WMB006</t>
  </si>
  <si>
    <t>William Morris Bookmark Strawberry Thief</t>
  </si>
  <si>
    <t>WMB007</t>
  </si>
  <si>
    <t>William Morris Bookmark Sunflower</t>
  </si>
  <si>
    <t>WMB009</t>
  </si>
  <si>
    <t>William Morris Bookmark Sweet Briar</t>
  </si>
  <si>
    <t>WMB005</t>
  </si>
  <si>
    <t>William Morris Bookmark Wild Tulip</t>
  </si>
  <si>
    <t>WMB004</t>
  </si>
  <si>
    <t>William Morris Bookmark Willow Bough</t>
  </si>
  <si>
    <t>WMBSP</t>
  </si>
  <si>
    <t>William Morris Bookmarks Starter Pack</t>
  </si>
  <si>
    <t>WM041</t>
  </si>
  <si>
    <t>William Morris Scarf - Sweet Briar</t>
  </si>
  <si>
    <t>WMMDO</t>
  </si>
  <si>
    <t>WILLIAM MORRIS STORY Mothers Day Offer</t>
  </si>
  <si>
    <t>WMMDO2023</t>
  </si>
  <si>
    <t>WILLIAM MORRIS STORY Mothers Day Offer 2023</t>
  </si>
  <si>
    <t>Wine Kit - Connosieur 32cm</t>
  </si>
  <si>
    <t>Wine Kit - Friends 32cm</t>
  </si>
  <si>
    <t>Kit4</t>
  </si>
  <si>
    <t>Wine Kit 1</t>
  </si>
  <si>
    <t>Wine Opening Tool - w/Box</t>
  </si>
  <si>
    <t>Wine Pourer - Chill Rod</t>
  </si>
  <si>
    <t>BMWS</t>
  </si>
  <si>
    <t>WIRE BOOKMARK STAND</t>
  </si>
  <si>
    <t>BMWS2</t>
  </si>
  <si>
    <t>WIRE BOOKMARK STAND - New</t>
  </si>
  <si>
    <t>WH1</t>
  </si>
  <si>
    <t>Wire Hooks</t>
  </si>
  <si>
    <t>WO056</t>
  </si>
  <si>
    <t>Wombat - Australian Made Wooden Ornament</t>
  </si>
  <si>
    <t>WOLNMS02A</t>
  </si>
  <si>
    <t>WONDERS OF LEARNING MODEL SET - DINOSAUR</t>
  </si>
  <si>
    <t>00wm2</t>
  </si>
  <si>
    <t>Wonders of Learning Model Set - Dinosaurs False Item</t>
  </si>
  <si>
    <t>WOLNMS04A</t>
  </si>
  <si>
    <t>Wonders of Learning Model Set - Human Body</t>
  </si>
  <si>
    <t>00wol1</t>
  </si>
  <si>
    <t>Wonders of learning Model Set - Mega Structures False Item</t>
  </si>
  <si>
    <t>WOLNMS06A</t>
  </si>
  <si>
    <t>WONDERS OF LEARNING MODEL SET - MEGASTRUCTURES</t>
  </si>
  <si>
    <t>WOLNMSO5A</t>
  </si>
  <si>
    <t>Wonders of Learning Model Set - Space</t>
  </si>
  <si>
    <t>WOLSP</t>
  </si>
  <si>
    <t>Wonders of Learning Set Up 18 units</t>
  </si>
  <si>
    <t>WOLNTS02</t>
  </si>
  <si>
    <t>WONDERS OF LEARNING TIN SET - BUGS</t>
  </si>
  <si>
    <t>WOLNTS03</t>
  </si>
  <si>
    <t>WONDERS OF LEARNING TIN SET - DINOSAURS</t>
  </si>
  <si>
    <t>WOLNTS05</t>
  </si>
  <si>
    <t>WONDERS OF LEARNING TIN SET - EARTH</t>
  </si>
  <si>
    <t>WOLNTS04</t>
  </si>
  <si>
    <t>WONDERS OF LEARNING TIN SET - SPACE</t>
  </si>
  <si>
    <t>WOLNTS01</t>
  </si>
  <si>
    <t>WONDERS OF LEARNING TIN SET - THE HUMAN BODY</t>
  </si>
  <si>
    <t>WOLNTS07</t>
  </si>
  <si>
    <t>WONDERS OF LEARNING TIN SET - VOLCANO</t>
  </si>
  <si>
    <t>FBLD</t>
  </si>
  <si>
    <t>Wood Flexible Booklight Display</t>
  </si>
  <si>
    <t>DIY2</t>
  </si>
  <si>
    <t>Wood Glue</t>
  </si>
  <si>
    <t>WT2</t>
  </si>
  <si>
    <t>Wooden Bench</t>
  </si>
  <si>
    <t>AWBSS</t>
  </si>
  <si>
    <t>Wooden Bookmarks Barcode Sticker Set</t>
  </si>
  <si>
    <t>RFS11639</t>
  </si>
  <si>
    <t>WOODEN NOUGHTS &amp; CROSSES SET - HARLEQUIN</t>
  </si>
  <si>
    <t>WT1</t>
  </si>
  <si>
    <t>Wooden Table</t>
  </si>
  <si>
    <t>CS21</t>
  </si>
  <si>
    <t>World's Best Grandma Sleeve</t>
  </si>
  <si>
    <t>WOWSU</t>
  </si>
  <si>
    <t>WOW Cards Set Up</t>
  </si>
  <si>
    <t>CDUWOW</t>
  </si>
  <si>
    <t>WOW WDU</t>
  </si>
  <si>
    <t>WOW1</t>
  </si>
  <si>
    <t>WOW! YOU'RE 1</t>
  </si>
  <si>
    <t>WOW2</t>
  </si>
  <si>
    <t>WOW! YOU'RE 2</t>
  </si>
  <si>
    <t>WOW3</t>
  </si>
  <si>
    <t>WOW! YOU'RE 3</t>
  </si>
  <si>
    <t>WOW4</t>
  </si>
  <si>
    <t>WOW! YOU'RE 4</t>
  </si>
  <si>
    <t>WOW5</t>
  </si>
  <si>
    <t>WOW! YOU'RE 5</t>
  </si>
  <si>
    <t>WOW6</t>
  </si>
  <si>
    <t>WOW! YOU'RE 6</t>
  </si>
  <si>
    <t>WL001</t>
  </si>
  <si>
    <t>Wrap Light Rechargeable</t>
  </si>
  <si>
    <t>SSETRHS01</t>
  </si>
  <si>
    <t>Writing Set - RHS (Irises &amp; Hellebores)</t>
  </si>
  <si>
    <t>RFS9969</t>
  </si>
  <si>
    <t>WRITING SETS - VINTAGE MAP</t>
  </si>
  <si>
    <t>MBAG6008</t>
  </si>
  <si>
    <t>X - MEDIUM BAG - A GIRLS GOT TO LOOK HER BEST</t>
  </si>
  <si>
    <t>MBAG8528</t>
  </si>
  <si>
    <t>X - MEDIUM BAG - QUEEN OF EFFING</t>
  </si>
  <si>
    <t>SBAG8528</t>
  </si>
  <si>
    <t>X - SMALL BAG - QUEEN OF EFFING</t>
  </si>
  <si>
    <t>aXM1</t>
  </si>
  <si>
    <t>Xmas Header</t>
  </si>
  <si>
    <t>XMS1</t>
  </si>
  <si>
    <t>Xmas Sign</t>
  </si>
  <si>
    <t>xxWB032</t>
  </si>
  <si>
    <t>xSurfing Koala - Australian Made Wooden Bookmark</t>
  </si>
  <si>
    <t>xxCDUA5FJ</t>
  </si>
  <si>
    <t>xxA5 FABRIC JOURNALS WDU</t>
  </si>
  <si>
    <t>xxCDUA6FJ</t>
  </si>
  <si>
    <t>xxA6 FABRIC JOURNALS WDU</t>
  </si>
  <si>
    <t>xxCDU6</t>
  </si>
  <si>
    <t>xxAll Display 6</t>
  </si>
  <si>
    <t>xxCDU8</t>
  </si>
  <si>
    <t>xxAll Display 8</t>
  </si>
  <si>
    <t>xxWB025</t>
  </si>
  <si>
    <t>xxAusie Thongs - Australian Made Wooden Bookmark</t>
  </si>
  <si>
    <t>xxWO035</t>
  </si>
  <si>
    <t>xxAustralia - Australian Made Wooden Ornament</t>
  </si>
  <si>
    <t>xxAMWL</t>
  </si>
  <si>
    <t>xxAustralian Made Wooden LOGO</t>
  </si>
  <si>
    <t>xxWO034</t>
  </si>
  <si>
    <t>xxAustralian Made Wooden Ornament - Best Teacher</t>
  </si>
  <si>
    <t>xxWO016</t>
  </si>
  <si>
    <t>xxAustralian Made Wooden Ornament - Black Cat</t>
  </si>
  <si>
    <t>xxWO006</t>
  </si>
  <si>
    <t>xxAustralian Made Wooden Ornament - Candy Cane</t>
  </si>
  <si>
    <t>xxWO004</t>
  </si>
  <si>
    <t>xxAustralian Made Wooden Ornament - Christmas Tree</t>
  </si>
  <si>
    <t>xxWO022</t>
  </si>
  <si>
    <t>xxAustralian Made Wooden Ornament - Cockatoo</t>
  </si>
  <si>
    <t>xxWO019</t>
  </si>
  <si>
    <t>xxAustralian Made Wooden Ornament - Echidna</t>
  </si>
  <si>
    <t>xxWO015</t>
  </si>
  <si>
    <t>xxAustralian Made Wooden Ornament - French Bulldog</t>
  </si>
  <si>
    <t>xxWO017</t>
  </si>
  <si>
    <t>xxAustralian Made Wooden Ornament - Ginger Cat</t>
  </si>
  <si>
    <t>xxWO005</t>
  </si>
  <si>
    <t>xxAustralian Made Wooden Ornament - Gingerbread Man</t>
  </si>
  <si>
    <t>xxWO029</t>
  </si>
  <si>
    <t>xxAustralian Made Wooden Ornament - Horse</t>
  </si>
  <si>
    <t>xxWO025</t>
  </si>
  <si>
    <t>xxAustralian Made Wooden Ornament - Kangaroo 1</t>
  </si>
  <si>
    <t>xxWO027</t>
  </si>
  <si>
    <t>xxAustralian Made Wooden Ornament - Koala 1</t>
  </si>
  <si>
    <t>xxWO028</t>
  </si>
  <si>
    <t>xxAustralian Made Wooden Ornament - Koala 2</t>
  </si>
  <si>
    <t>xxWO033</t>
  </si>
  <si>
    <t>xxAustralian Made Wooden Ornament - Kookaburra</t>
  </si>
  <si>
    <t>xxWO013</t>
  </si>
  <si>
    <t>xxAustralian Made Wooden Ornament - Labrador</t>
  </si>
  <si>
    <t>xxWO032</t>
  </si>
  <si>
    <t>xxAustralian Made Wooden Ornament - Penguin</t>
  </si>
  <si>
    <t>xxWO023</t>
  </si>
  <si>
    <t>xxAustralian Made Wooden Ornament - Platypus 1</t>
  </si>
  <si>
    <t>xxWO024</t>
  </si>
  <si>
    <t>xxAustralian Made Wooden Ornament - Platypus 2</t>
  </si>
  <si>
    <t>xxWO021</t>
  </si>
  <si>
    <t>xxAustralian Made Wooden Ornament - Rainbow Lorikeet</t>
  </si>
  <si>
    <t>xxWO002</t>
  </si>
  <si>
    <t>xxAustralian Made Wooden Ornament - Reindeer</t>
  </si>
  <si>
    <t>xxWO001</t>
  </si>
  <si>
    <t>xxAustralian Made Wooden Ornament - Santa</t>
  </si>
  <si>
    <t>xxWO014</t>
  </si>
  <si>
    <t>xxAustralian Made Wooden Ornament - Scruffy Dog</t>
  </si>
  <si>
    <t>xxWO008</t>
  </si>
  <si>
    <t>xxAustralian Made Wooden Ornament - Sleigh</t>
  </si>
  <si>
    <t>xxWO007</t>
  </si>
  <si>
    <t>xxAustralian Made Wooden Ornament - Snow Flake</t>
  </si>
  <si>
    <t>xxWO003</t>
  </si>
  <si>
    <t>xxAustralian Made Wooden Ornament - Snowman</t>
  </si>
  <si>
    <t>xxWO010</t>
  </si>
  <si>
    <t>xxAustralian Made Wooden Ornament - Star</t>
  </si>
  <si>
    <t>xxWO009</t>
  </si>
  <si>
    <t>xxAustralian Made Wooden Ornament - Stocking</t>
  </si>
  <si>
    <t>xxWO011</t>
  </si>
  <si>
    <t>xxAustralian Made Wooden Ornament - T Rex</t>
  </si>
  <si>
    <t>xxWO020</t>
  </si>
  <si>
    <t>xxAustralian Made Wooden Ornament - Tasmanian Devil</t>
  </si>
  <si>
    <t>xxWO030</t>
  </si>
  <si>
    <t>xxAustralian Made Wooden Ornament - Unicorn</t>
  </si>
  <si>
    <t>xxWO018</t>
  </si>
  <si>
    <t>xxAustralian Made Wooden Ornament - White Cat</t>
  </si>
  <si>
    <t>xxWO012</t>
  </si>
  <si>
    <t>xxAustralian Made Wooden Ornament -Triceratops</t>
  </si>
  <si>
    <t>xxWO031</t>
  </si>
  <si>
    <t>xxAustralian Made Wooden Ornament -Wolf</t>
  </si>
  <si>
    <t>xxWO059</t>
  </si>
  <si>
    <t>xxAustralian Map - Australian Made Wooden Ornament</t>
  </si>
  <si>
    <t>xxCDUBF</t>
  </si>
  <si>
    <t>xxBamboo Fans WDU</t>
  </si>
  <si>
    <t>xxWB007</t>
  </si>
  <si>
    <t>xxBanksia - Australian Made Wooden Bookmark</t>
  </si>
  <si>
    <t>xxWFM007</t>
  </si>
  <si>
    <t>xxBanksia - Australian Made Wooden Fridge Magnet</t>
  </si>
  <si>
    <t>xxWK007</t>
  </si>
  <si>
    <t>xxBanksia - Australian Made Wooden Key Ring</t>
  </si>
  <si>
    <t>xxWB026</t>
  </si>
  <si>
    <t>xxBeach - Australian Made Wooden Bookmark</t>
  </si>
  <si>
    <t>xxWO049</t>
  </si>
  <si>
    <t>xxBin Chicken - Australian Made Wooden Ornament</t>
  </si>
  <si>
    <t>xxWO048</t>
  </si>
  <si>
    <t>xxBin Cricket Stumps - Australian Made Wooden Ornament</t>
  </si>
  <si>
    <t>xxWB051</t>
  </si>
  <si>
    <t>xxBondi Beach Driving Kangaroo - Australian Made Custom Wooden Bookmark</t>
  </si>
  <si>
    <t>xxWFM031</t>
  </si>
  <si>
    <t>xxBondi Beach Driving Kangaroo - Australian Made Custom Wooden Fridge Magnet</t>
  </si>
  <si>
    <t>xxWB048</t>
  </si>
  <si>
    <t>xxBondi Beach Driving Koala - Australian Made Custom Wooden Bookmark</t>
  </si>
  <si>
    <t>xxWFM028</t>
  </si>
  <si>
    <t>xxBondi Beach Driving Koala - Australian Made Custom Wooden Fridge Magnet</t>
  </si>
  <si>
    <t>xxWB049</t>
  </si>
  <si>
    <t>xxBondi Beach Kangaroo - Australian Made Custom Wooden Bookmark</t>
  </si>
  <si>
    <t>xxWFM029</t>
  </si>
  <si>
    <t>xxBondi Beach Kangaroo - Australian Made Custom Wooden Fridge Magnet</t>
  </si>
  <si>
    <t>xxWB046</t>
  </si>
  <si>
    <t>xxBondi Beach Koala - Australian Made Custom Wooden Bookmark</t>
  </si>
  <si>
    <t>xxWFM026</t>
  </si>
  <si>
    <t>xxBondi Beach Koala - Australian Made Custom Wooden Fridge Magnet</t>
  </si>
  <si>
    <t>xxWB050</t>
  </si>
  <si>
    <t>xxBondi Beach Lifeguard Kangaroo - Australian Made Custom Wooden Bookmark</t>
  </si>
  <si>
    <t>xxWFM030</t>
  </si>
  <si>
    <t>xxBondi Beach Lifeguard Kangaroo - Australian Made Custom Wooden Fridge Magnet</t>
  </si>
  <si>
    <t>xxWB047</t>
  </si>
  <si>
    <t>xxBondi Beach Lifeguard Koala - Australian Made Custom Wooden Bookmark</t>
  </si>
  <si>
    <t>xxWFM027</t>
  </si>
  <si>
    <t>xxBondi Beach Lifeguard Koala - Australian Made Custom Wooden Fridge Magnet</t>
  </si>
  <si>
    <t>xxWB045</t>
  </si>
  <si>
    <t>xxBondi Beach Surf Board - Australian Made Custom Wooden Bookmark</t>
  </si>
  <si>
    <t>xxWFM025</t>
  </si>
  <si>
    <t>xxBondi Beach Surf Board - Australian Made Custom Wooden Fridge Magnet</t>
  </si>
  <si>
    <t>xxWO060</t>
  </si>
  <si>
    <t>xxBoomerang - Australian Made Wooden Ornament</t>
  </si>
  <si>
    <t>xxWB008</t>
  </si>
  <si>
    <t>xxBottle Brush - Australian Made Wooden Bookmark</t>
  </si>
  <si>
    <t>xxWFM008</t>
  </si>
  <si>
    <t>xxBottle Brush - Australian Made Wooden Fridge Magnet</t>
  </si>
  <si>
    <t>xxWK008</t>
  </si>
  <si>
    <t>xxBottle Brush - Australian Made Wooden Key Ring</t>
  </si>
  <si>
    <t>xxWO062</t>
  </si>
  <si>
    <t>xxBridge - Australian Made Wooden Ornament</t>
  </si>
  <si>
    <t>xxWB012</t>
  </si>
  <si>
    <t>xxCanberra Bell - Australian Made Wooden Bookmark</t>
  </si>
  <si>
    <t>xxWFM012</t>
  </si>
  <si>
    <t>xxCanberra Bell - Australian Made Wooden Fridge Magnet</t>
  </si>
  <si>
    <t>xxWK012</t>
  </si>
  <si>
    <t>xxCanberra Bell - Australian Made Wooden Key Ring</t>
  </si>
  <si>
    <t>xxWB004</t>
  </si>
  <si>
    <t>xxCarnation - Australian Made Wooden Bookmark</t>
  </si>
  <si>
    <t>xxWFM004</t>
  </si>
  <si>
    <t>xxCarnation - Australian Made Wooden Fridge Magnet</t>
  </si>
  <si>
    <t>xxWK004</t>
  </si>
  <si>
    <t>xxCarnation - Australian Made Wooden Key Ring</t>
  </si>
  <si>
    <t>xxWB013</t>
  </si>
  <si>
    <t>xxCassowary - Australian Made Wooden Bookmark</t>
  </si>
  <si>
    <t>xxWFM013</t>
  </si>
  <si>
    <t>xxCassowary - Australian Made Wooden Fridge Magnet</t>
  </si>
  <si>
    <t>xxWK013</t>
  </si>
  <si>
    <t>xxCassowary - Australian Made Wooden Key Ring</t>
  </si>
  <si>
    <t>xxWO036</t>
  </si>
  <si>
    <t>xxCassowary - Australian Made Wooden Ornament</t>
  </si>
  <si>
    <t>xxCDUQ1</t>
  </si>
  <si>
    <t>xxCDU BTB and Story of Us</t>
  </si>
  <si>
    <t>xxCDUQ2</t>
  </si>
  <si>
    <t>xxCDU Timeless</t>
  </si>
  <si>
    <t>xxCSWDU</t>
  </si>
  <si>
    <t>xxChapter &amp; Sole Sock Display</t>
  </si>
  <si>
    <t>xxWB014</t>
  </si>
  <si>
    <t>xxCockatoo - Australian Made Wooden Bookmark</t>
  </si>
  <si>
    <t>xxWFM014</t>
  </si>
  <si>
    <t>xxCockatoo - Australian Made Wooden Fridge Magnet</t>
  </si>
  <si>
    <t>xxWK014</t>
  </si>
  <si>
    <t>xxCockatoo - Australian Made Wooden Key Ring</t>
  </si>
  <si>
    <t>xxWO037</t>
  </si>
  <si>
    <t>xxCockatoo - Australian Made Wooden Ornament</t>
  </si>
  <si>
    <t>xxDSTD</t>
  </si>
  <si>
    <t>xxDouble Sided Table Top Display (Christmas Ornaments)</t>
  </si>
  <si>
    <t>xxWB015</t>
  </si>
  <si>
    <t>xxEchidna  - Australian Made Wooden Bookmark</t>
  </si>
  <si>
    <t>xxWFM015</t>
  </si>
  <si>
    <t>xxEchidna - Australian Made Wooden Fridge Magnet</t>
  </si>
  <si>
    <t>xxWK015</t>
  </si>
  <si>
    <t>xxEchidna - Australian Made Wooden Key Ring</t>
  </si>
  <si>
    <t>xxWO038</t>
  </si>
  <si>
    <t>xxEchidna - Australian Made Wooden Ornament</t>
  </si>
  <si>
    <t>xxWB016</t>
  </si>
  <si>
    <t>xxEmu - Australian Made Wooden Bookmark</t>
  </si>
  <si>
    <t>xxWFM016</t>
  </si>
  <si>
    <t>xxEmu - Australian Made Wooden Fridge Magnet</t>
  </si>
  <si>
    <t>xxWK016</t>
  </si>
  <si>
    <t>xxEmu - Australian Made Wooden Key Ring</t>
  </si>
  <si>
    <t>xxWO039</t>
  </si>
  <si>
    <t>xxEmu - Australian Made Wooden Ornament</t>
  </si>
  <si>
    <t>xxWB042</t>
  </si>
  <si>
    <t>xxEnemies To Lovers - Australian Made Wooden Bookmark</t>
  </si>
  <si>
    <t>xxCDUEM</t>
  </si>
  <si>
    <t>xxEye Masks WDU</t>
  </si>
  <si>
    <t>xxWB017</t>
  </si>
  <si>
    <t>xxFairy Penguin - Australian Made Wooden Bookmark</t>
  </si>
  <si>
    <t>xxWFM017</t>
  </si>
  <si>
    <t>xxFairy Penguin - Australian Made Wooden Fridge Magnet</t>
  </si>
  <si>
    <t>xxWK017</t>
  </si>
  <si>
    <t>xxFairy Penguin - Australian Made Wooden Key Ring</t>
  </si>
  <si>
    <t>xxWO040</t>
  </si>
  <si>
    <t>xxFairy Penguin - Australian Made Wooden Ornament</t>
  </si>
  <si>
    <t>xxCDUFB</t>
  </si>
  <si>
    <t>xxFLEXIBLE BOOKLIGHT DISPLAY</t>
  </si>
  <si>
    <t>xxWB027</t>
  </si>
  <si>
    <t>xxFlinders Street Station - Australian Made Wooden Bookmark</t>
  </si>
  <si>
    <t>xxWB040</t>
  </si>
  <si>
    <t>xxFly Or Die - Australian Made Wooden Bookmark</t>
  </si>
  <si>
    <t>xxFC</t>
  </si>
  <si>
    <t>xxFood Cart</t>
  </si>
  <si>
    <t>xxWB018</t>
  </si>
  <si>
    <t>xxGalah - Australian Made Wooden Bookmark</t>
  </si>
  <si>
    <t>xxWFM018</t>
  </si>
  <si>
    <t>xxGalah - Australian Made Wooden Fridge Magnet</t>
  </si>
  <si>
    <t>xxWK018</t>
  </si>
  <si>
    <t>xxGalah - Australian Made Wooden Key Ring</t>
  </si>
  <si>
    <t>xxWO041</t>
  </si>
  <si>
    <t>xxGalah - Australian Made Wooden Ornament</t>
  </si>
  <si>
    <t>xxCDUCT</t>
  </si>
  <si>
    <t>xxGIFTING TREE WDU</t>
  </si>
  <si>
    <t>xxCDUGC</t>
  </si>
  <si>
    <t>xxGlasses Cases WDU</t>
  </si>
  <si>
    <t>xxWB010</t>
  </si>
  <si>
    <t>xxGolden Wattle - Australian Made Wooden Bookmark</t>
  </si>
  <si>
    <t>xxWFM010</t>
  </si>
  <si>
    <t>xxGolden Wattle - Australian Made Wooden Fridge Magnet</t>
  </si>
  <si>
    <t>xxWK010</t>
  </si>
  <si>
    <t>xxGolden Wattle - Australian Made Wooden Key Ring</t>
  </si>
  <si>
    <t>xxWB028</t>
  </si>
  <si>
    <t>xxGreat Barrier Reef - Australian Made Wooden Bookmark</t>
  </si>
  <si>
    <t>xxGCFS</t>
  </si>
  <si>
    <t>xxGreeting Cards Floor Stand</t>
  </si>
  <si>
    <t>xxGCTD</t>
  </si>
  <si>
    <t>xxGreeting Cards Table Top Display</t>
  </si>
  <si>
    <t>xxWBG018</t>
  </si>
  <si>
    <t>xxGrooved Wooden Bookmark - Galah</t>
  </si>
  <si>
    <t>xxWBG005</t>
  </si>
  <si>
    <t>xxGrooved Wooden Bookmark - Hydrangea</t>
  </si>
  <si>
    <t>xxWBG020</t>
  </si>
  <si>
    <t>xxGrooved Wooden Bookmark - Koala</t>
  </si>
  <si>
    <t>xxWBG023</t>
  </si>
  <si>
    <t>xxGrooved Wooden Bookmark - Rainbow Lorikeet</t>
  </si>
  <si>
    <t>xxWBG003</t>
  </si>
  <si>
    <t>xxGrooved Wooden Bookmark - Sunflower</t>
  </si>
  <si>
    <t>xxWBG002</t>
  </si>
  <si>
    <t>xxGrooved Wooden Bookmark - Tulip</t>
  </si>
  <si>
    <t>xxCDUHB</t>
  </si>
  <si>
    <t>xxHead Bands WDU</t>
  </si>
  <si>
    <t>xxWB005</t>
  </si>
  <si>
    <t>xxHydrangea - Australian Made Wooden Bookmark</t>
  </si>
  <si>
    <t>xxWFM005</t>
  </si>
  <si>
    <t>xxHydrangea - Australian Made Wooden Fridge Magnet</t>
  </si>
  <si>
    <t>xxWK005</t>
  </si>
  <si>
    <t>xxHydrangea - Australian Made Wooden Key Ring</t>
  </si>
  <si>
    <t>xxCDUHBB</t>
  </si>
  <si>
    <t>xxHydrate, Bath &amp; Beauty WDU</t>
  </si>
  <si>
    <t>xxWB043</t>
  </si>
  <si>
    <t>xxI Can Fix Him Or Join Him - Australian Made Wooden Bookmark</t>
  </si>
  <si>
    <t>xxWB041</t>
  </si>
  <si>
    <t>xxI Don't Kneel To Fae Kings - Australian Made Wooden Bookmark</t>
  </si>
  <si>
    <t>xxWB039</t>
  </si>
  <si>
    <t>xxIn My Romantasy Era - Australian Made Wooden Bookmark</t>
  </si>
  <si>
    <t>xxWB019</t>
  </si>
  <si>
    <t>xxKangaroo - Australian Made Wooden Bookmark</t>
  </si>
  <si>
    <t>xxWFM019</t>
  </si>
  <si>
    <t>xxKangaroo - Australian Made Wooden Fridge Magnet</t>
  </si>
  <si>
    <t>xxWK019</t>
  </si>
  <si>
    <t>xxKangaroo - Australian Made Wooden Key Ring</t>
  </si>
  <si>
    <t>xxWO042</t>
  </si>
  <si>
    <t>xxKangaroo - Australian Made Wooden Ornament</t>
  </si>
  <si>
    <t>xxWO055</t>
  </si>
  <si>
    <t>xxKangaroo Boxing - Australian Made Wooden Ornament</t>
  </si>
  <si>
    <t>xxWB011</t>
  </si>
  <si>
    <t>xxKangaroo Paw - Australian Made Wooden Bookmark</t>
  </si>
  <si>
    <t>xxWFM011</t>
  </si>
  <si>
    <t>xxKangaroo Paw - Australian Made Wooden Fridge Magnet</t>
  </si>
  <si>
    <t>xxWK011</t>
  </si>
  <si>
    <t>xxKangaroo Paw - Australian Made Wooden Key Ring</t>
  </si>
  <si>
    <t>xxWO051</t>
  </si>
  <si>
    <t>xxKangaroo Surf - Australian Made Wooden Ornament</t>
  </si>
  <si>
    <t>xxKRWDU</t>
  </si>
  <si>
    <t>xxKey Ring Display</t>
  </si>
  <si>
    <t>xxWO065</t>
  </si>
  <si>
    <t>xxKiwi - Australian Made Wooden Ornament</t>
  </si>
  <si>
    <t>xxWB020</t>
  </si>
  <si>
    <t>xxKoala - Australian Made Wooden Bookmark</t>
  </si>
  <si>
    <t>xxWFM020</t>
  </si>
  <si>
    <t>xxKoala - Australian Made Wooden Fridge Magnet</t>
  </si>
  <si>
    <t>xxWK020</t>
  </si>
  <si>
    <t>xxKoala - Australian Made Wooden Key Ring</t>
  </si>
  <si>
    <t>xxWO043</t>
  </si>
  <si>
    <t>xxKoala - Australian Made Wooden Ornament</t>
  </si>
  <si>
    <t>xxWO053</t>
  </si>
  <si>
    <t>xxKoala Jet Ski - Australian Made Wooden Ornament</t>
  </si>
  <si>
    <t>xxWO052</t>
  </si>
  <si>
    <t>xxKoala Surf - Australian Made Wooden Ornament</t>
  </si>
  <si>
    <t>xxWB021</t>
  </si>
  <si>
    <t>xxKookaburra - Australian Made Wooden Bookmark</t>
  </si>
  <si>
    <t>xxWFM021</t>
  </si>
  <si>
    <t>xxKookaburra - Australian Made Wooden Fridge Magnet</t>
  </si>
  <si>
    <t>xxWO044</t>
  </si>
  <si>
    <t>xxKookaburra - Australian Made Wooden Ornament</t>
  </si>
  <si>
    <t>xxWDULHC</t>
  </si>
  <si>
    <t>xxLarge Hand Cream Display</t>
  </si>
  <si>
    <t>xxFMWDU2</t>
  </si>
  <si>
    <t>xxMagnet Display 2</t>
  </si>
  <si>
    <t>xxCDUMS</t>
  </si>
  <si>
    <t>xxManicure Sets WDU</t>
  </si>
  <si>
    <t>xxMWDU</t>
  </si>
  <si>
    <t>xxManicure WDU</t>
  </si>
  <si>
    <t>xxNLWD</t>
  </si>
  <si>
    <t>xxNano Lights Wooden Display</t>
  </si>
  <si>
    <t>xxWFM033</t>
  </si>
  <si>
    <t>xxOcean Grove Driving Kangaroo - Australian Made Custom Wooden Fridge Magnet</t>
  </si>
  <si>
    <t>xxWK026</t>
  </si>
  <si>
    <t>xxOcean Grove Driving Kangaroo - Australian Made Custom Wooden Key Ring</t>
  </si>
  <si>
    <t>xxWFM032</t>
  </si>
  <si>
    <t>xxOcean Grove Surfing Koala - Australian Made Custom Wooden Fridge Magnet</t>
  </si>
  <si>
    <t>xxWK025</t>
  </si>
  <si>
    <t>xxOcean Grove Surfing Koala - Australian Made Custom Wooden Key Ring</t>
  </si>
  <si>
    <t>xxWB029</t>
  </si>
  <si>
    <t>xxOpera House - Australian Made Wooden Bookmark</t>
  </si>
  <si>
    <t>xxWO061</t>
  </si>
  <si>
    <t>xxOpera House - Australian Made Wooden Ornament</t>
  </si>
  <si>
    <t>xxOTD</t>
  </si>
  <si>
    <t>xxOrnament Tree Display</t>
  </si>
  <si>
    <t>xxWB006</t>
  </si>
  <si>
    <t>xxPink Rock Lily - Australian Made Wooden Bookmark</t>
  </si>
  <si>
    <t>xxWFM006</t>
  </si>
  <si>
    <t>xxPink Rock Lily - Australian Made Wooden Fridge Magnet</t>
  </si>
  <si>
    <t>xxWK006</t>
  </si>
  <si>
    <t>xxPink Rock Lily - Australian Made Wooden Key Ring</t>
  </si>
  <si>
    <t>xxWB022</t>
  </si>
  <si>
    <t>xxPlatypus - Australian Made Wooden Bookmark</t>
  </si>
  <si>
    <t>xxWFM022</t>
  </si>
  <si>
    <t>xxPlatypus - Australian Made Wooden Fridge Magnet</t>
  </si>
  <si>
    <t>xxWK022</t>
  </si>
  <si>
    <t>xxPlatypus - Australian Made Wooden Key Ring</t>
  </si>
  <si>
    <t>xxWO045</t>
  </si>
  <si>
    <t>xxPlatypus - Australian Made Wooden Ornament</t>
  </si>
  <si>
    <t>xxCDUPS</t>
  </si>
  <si>
    <t>xxPlush Slippers WDU</t>
  </si>
  <si>
    <t>xxQBDDSTD</t>
  </si>
  <si>
    <t>xxQBD Double Sided Table Top Display (Christmas Ornaments)</t>
  </si>
  <si>
    <t>xxWB023</t>
  </si>
  <si>
    <t>xxRainbow Lorikeet - Australian Made Wooden Bookmark</t>
  </si>
  <si>
    <t>xxWFM023</t>
  </si>
  <si>
    <t>xxRainbow Lorikeet - Australian Made Wooden Fridge Magnet</t>
  </si>
  <si>
    <t>xxWK023</t>
  </si>
  <si>
    <t>xxRainbow Lorikeet - Australian Made Wooden Key Ring</t>
  </si>
  <si>
    <t>xxWO046</t>
  </si>
  <si>
    <t>xxRainbow Lorikeet - Australian Made Wooden Ornament</t>
  </si>
  <si>
    <t>xxRFWD</t>
  </si>
  <si>
    <t>xxReading Friends Wooden Display</t>
  </si>
  <si>
    <t>xxRCD</t>
  </si>
  <si>
    <t>xxRocket Ship Display WDU</t>
  </si>
  <si>
    <t>xxCDURB</t>
  </si>
  <si>
    <t>xxRollerball Pens WDU</t>
  </si>
  <si>
    <t>xxCDUR</t>
  </si>
  <si>
    <t>xxRollers WDU</t>
  </si>
  <si>
    <t>xxWB001</t>
  </si>
  <si>
    <t>xxRose - Australian Made Wooden Bookmark</t>
  </si>
  <si>
    <t>xxWFM001</t>
  </si>
  <si>
    <t>xxRose - Australian Made Wooden Fridge Magnet</t>
  </si>
  <si>
    <t>xxWK001</t>
  </si>
  <si>
    <t>xxRose - Australian Made Wooden Key Ring</t>
  </si>
  <si>
    <t>xxWO054</t>
  </si>
  <si>
    <t>xxSanta Dirt Bike - Australian Made Wooden Ornament</t>
  </si>
  <si>
    <t>xxWO050</t>
  </si>
  <si>
    <t>xxSanta Surf - Australian Made Wooden Ornament</t>
  </si>
  <si>
    <t>xxCDUS</t>
  </si>
  <si>
    <t>xxScrunchies WDU</t>
  </si>
  <si>
    <t>xxWO066</t>
  </si>
  <si>
    <t>xxSilver Fern - Australian Made Wooden Ornament</t>
  </si>
  <si>
    <t>xxWB030</t>
  </si>
  <si>
    <t>xxSouthern Lights - Australian Made Wooden Bookmark</t>
  </si>
  <si>
    <t>xxWB003</t>
  </si>
  <si>
    <t>xxSunflower - Australian Made Wooden Bookmark</t>
  </si>
  <si>
    <t>xxWFM003</t>
  </si>
  <si>
    <t>xxSunflower - Australian Made Wooden Fridge Magnet</t>
  </si>
  <si>
    <t>xxWK003</t>
  </si>
  <si>
    <t>xxSunflower - Australian Made Wooden Key Ring</t>
  </si>
  <si>
    <t>xxWO058</t>
  </si>
  <si>
    <t>xxSurfboard - Australian Made Wooden Ornament</t>
  </si>
  <si>
    <t>xxWB031</t>
  </si>
  <si>
    <t>xxSurfing Kangaroo - Australian Made Wooden Bookmark</t>
  </si>
  <si>
    <t>xxWB034</t>
  </si>
  <si>
    <t>xxSydney Harbour - Australian Made Wooden Bookmark</t>
  </si>
  <si>
    <t>xxWB033</t>
  </si>
  <si>
    <t>xxSydney Harbour Bridge - Australian Made Wooden Bookmark</t>
  </si>
  <si>
    <t>xxWB024</t>
  </si>
  <si>
    <t>xxTasmanian Devil - Australian Made Wooden Bookmark</t>
  </si>
  <si>
    <t>xxWFM024</t>
  </si>
  <si>
    <t>xxTasmanian Devil - Australian Made Wooden Fridge Magnet</t>
  </si>
  <si>
    <t>xxWK024</t>
  </si>
  <si>
    <t>xxTasmanian Devil - Australian Made Wooden Key Ring</t>
  </si>
  <si>
    <t>xxWO047</t>
  </si>
  <si>
    <t>xxTasmanian Devil - Australian Made Wooden Ornament</t>
  </si>
  <si>
    <t>xxWO057</t>
  </si>
  <si>
    <t>xxThong - Australian Made Wooden Ornament</t>
  </si>
  <si>
    <t>xxWB035</t>
  </si>
  <si>
    <t>xxThree Sisters - Australian Made Wooden Bookmark</t>
  </si>
  <si>
    <t>xxWB044</t>
  </si>
  <si>
    <t>xxTo The Stars Who Listen - Australian Made Wooden Bookmark</t>
  </si>
  <si>
    <t>xxWB036</t>
  </si>
  <si>
    <t>xxTram - Australian Made Wooden Bookmark</t>
  </si>
  <si>
    <t>xxWO064</t>
  </si>
  <si>
    <t>xxTram Green - Australian Made Wooden Ornament</t>
  </si>
  <si>
    <t>xxWO063</t>
  </si>
  <si>
    <t>xxTram Red - Australian Made Wooden Ornament</t>
  </si>
  <si>
    <t>xxTCD</t>
  </si>
  <si>
    <t>xxTravel Case Display WDU</t>
  </si>
  <si>
    <t>xxWB002</t>
  </si>
  <si>
    <t>xxTulip - Australian Made Wooden Bookmark</t>
  </si>
  <si>
    <t>xxWFM002</t>
  </si>
  <si>
    <t>xxTulip - Australian Made Wooden Fridge Magnet</t>
  </si>
  <si>
    <t>xxWK002</t>
  </si>
  <si>
    <t>xxTulip - Australian Made Wooden Key Ring</t>
  </si>
  <si>
    <t>xxWB037</t>
  </si>
  <si>
    <t>xxTwelve Apostles - Australian Made Wooden Bookmark</t>
  </si>
  <si>
    <t>xxWB038</t>
  </si>
  <si>
    <t>xxUluru - Australian Made Wooden Bookmark</t>
  </si>
  <si>
    <t>xxWO026</t>
  </si>
  <si>
    <t>xxustralian Made Wooden Ornament - Kangaroo 2</t>
  </si>
  <si>
    <t>xxWB009</t>
  </si>
  <si>
    <t>xxWaratah - Australian Made Wooden Bookmark</t>
  </si>
  <si>
    <t>xxWFM009</t>
  </si>
  <si>
    <t>xxWaratah - Australian Made Wooden Fridge Magnet</t>
  </si>
  <si>
    <t>xxWK009</t>
  </si>
  <si>
    <t>xxWaratah - Australian Made Wooden Key Ring</t>
  </si>
  <si>
    <t>xxWO056</t>
  </si>
  <si>
    <t>xxWombat - Australian Made Wooden Ornament</t>
  </si>
  <si>
    <t>xxFBLD</t>
  </si>
  <si>
    <t>xxWood Flexi Book Light Display</t>
  </si>
  <si>
    <t>xxCDUWOW</t>
  </si>
  <si>
    <t>xxWOW WDU</t>
  </si>
  <si>
    <t>P5716</t>
  </si>
  <si>
    <t>YOU'RE GOING TO BE A BROTHER</t>
  </si>
  <si>
    <t>P5712</t>
  </si>
  <si>
    <t>YOU'RE GOING TO BE A DAD</t>
  </si>
  <si>
    <t>P5718</t>
  </si>
  <si>
    <t>YOU'RE GOING TO BE A GODFATHER</t>
  </si>
  <si>
    <t>P5719</t>
  </si>
  <si>
    <t>YOU'RE GOING TO BE A GODMOTHER</t>
  </si>
  <si>
    <t>P5710</t>
  </si>
  <si>
    <t>YOU'RE GOING TO BE A GRANDFATHER</t>
  </si>
  <si>
    <t>P5711</t>
  </si>
  <si>
    <t>YOU'RE GOING TO BE A GRANDMOTHER</t>
  </si>
  <si>
    <t>P5713</t>
  </si>
  <si>
    <t>YOU'RE GOING TO BE A MUM</t>
  </si>
  <si>
    <t>P5717</t>
  </si>
  <si>
    <t>YOU'RE GOING TO BE A SISTER</t>
  </si>
  <si>
    <t>P5715</t>
  </si>
  <si>
    <t>YOU'RE GOING TO BE AN AUNT</t>
  </si>
  <si>
    <t>P5714</t>
  </si>
  <si>
    <t>YOU'RE GOING TO BE AN UNCLE</t>
  </si>
  <si>
    <t>T2B</t>
  </si>
  <si>
    <t>YOU'RE THE BIGGEST - Lucy Tapper</t>
  </si>
  <si>
    <t>RFS12004</t>
  </si>
  <si>
    <t>Zip Portfolio Black Big Plan</t>
  </si>
  <si>
    <t>RFS12005</t>
  </si>
  <si>
    <t>Zip Portfolio Black Genius at Work</t>
  </si>
  <si>
    <t>RFS12006</t>
  </si>
  <si>
    <t>Zip Portfolio Black Gents Take Note</t>
  </si>
  <si>
    <t>RFS12007</t>
  </si>
  <si>
    <t>Zip Portfolio Black Life's An Adventure</t>
  </si>
  <si>
    <t>RFS12009</t>
  </si>
  <si>
    <t>Zip Portfolio Dark Blue with Light Bulb Icon in gold foil with gold zip</t>
  </si>
  <si>
    <t>RFS12011</t>
  </si>
  <si>
    <t>Zip Portfolio Dark Brown with Bike Icon with brown zip</t>
  </si>
  <si>
    <t>RFS12008</t>
  </si>
  <si>
    <t>Zip Portfolio Purple with Bee Icon in gold foil with gold zip and tassel</t>
  </si>
  <si>
    <t>RFS12010</t>
  </si>
  <si>
    <t>Zip Portfolio Silver with embossed Butterfly Icon white zip with tassel</t>
  </si>
  <si>
    <t>zzBLD</t>
  </si>
  <si>
    <t>zzBOOKLOVERS DISPLAY</t>
  </si>
  <si>
    <t>Item Name</t>
  </si>
  <si>
    <t>CONTINUE /
DISCONTINUE</t>
  </si>
  <si>
    <t>C</t>
  </si>
  <si>
    <t>3D Bookmarks Set Up 72 Units</t>
  </si>
  <si>
    <t>3DBKMSP</t>
  </si>
  <si>
    <t>A5 FABRIC JOURNALS CDU</t>
  </si>
  <si>
    <t>A5 FABRIC JOURNALS STARTER PACK 18 pcs</t>
  </si>
  <si>
    <t>Artico Ceramic Coaster Counter Display</t>
  </si>
  <si>
    <t>Bamboo Fan CDU</t>
  </si>
  <si>
    <t>Bamboo Fans Wooden CDU</t>
  </si>
  <si>
    <t>Bean Bag Book Holder Set Up</t>
  </si>
  <si>
    <t>Bluhen - Black Floral Towelling Scrunchie</t>
  </si>
  <si>
    <t>Bluhen - Leopard Print Towelling Scrunchie</t>
  </si>
  <si>
    <t>Bluhen - Peonie Rose Slippers</t>
  </si>
  <si>
    <t>Bluhen Cosmetics Bag - Black Floral</t>
  </si>
  <si>
    <t>Scarf - Black Floral</t>
  </si>
  <si>
    <t>BOOKAROO A5 NOTEBOOK SET UP 12 units</t>
  </si>
  <si>
    <t>BOOKAROO BOOK &amp; STUFF POUCH SET UP 4 PCS</t>
  </si>
  <si>
    <t>BOOKAROO PEN SET UP 24 PCS</t>
  </si>
  <si>
    <t>BOOKAROO TOOL BELT SET UP 24 PCS</t>
  </si>
  <si>
    <t>Ceramic Coaster - Adulting infused with wine and cake</t>
  </si>
  <si>
    <t>Ceramic Coaster - Boss Lady</t>
  </si>
  <si>
    <t>Ceramic Coaster - Drink wine and judge</t>
  </si>
  <si>
    <t>Ceramic Coaster - I enjoy being used</t>
  </si>
  <si>
    <t>Ceramic Coaster - I think you are really funny - Vodka</t>
  </si>
  <si>
    <t>Ceramic Coaster - I'm here for the wine</t>
  </si>
  <si>
    <t>Ceramic Coaster - Please leave by 9</t>
  </si>
  <si>
    <t>Ceramic Coaster - They are definitely into you - Rum</t>
  </si>
  <si>
    <t>Ceramic Coaster - Trust me you can dance - Gin</t>
  </si>
  <si>
    <t>Ceramic Coasters Funny Quotes Set Up 48 pieces w Display</t>
  </si>
  <si>
    <t>Ceramic Coasters William Morris Set Up 48 pieces w Display</t>
  </si>
  <si>
    <t>Compact Mirrors &amp; Pill Boxes - Fruit &amp; Strawberry Thief 24 Units</t>
  </si>
  <si>
    <t>Compact Mirrors &amp; Pill Boxes - Peonie Rose &amp; Kilburn 24 Units</t>
  </si>
  <si>
    <t>Compact Mirrors &amp; Pill Boxes - Sunflowers and Water Lilies 24 Units</t>
  </si>
  <si>
    <t>Tote Bag  - William Morris Blue Larkspur</t>
  </si>
  <si>
    <t>Tote Bag  - William Morris Fruit</t>
  </si>
  <si>
    <t>Tote Bag  - William Morris Strawberry Thief</t>
  </si>
  <si>
    <t>Tote Bag  - William Morris Wild Tulip</t>
  </si>
  <si>
    <t>Eye Masks CDU</t>
  </si>
  <si>
    <t>FLEXIBLE BOOKLIGHT DISPLAY</t>
  </si>
  <si>
    <t>CDUFB</t>
  </si>
  <si>
    <t>Glasses Cases CDU</t>
  </si>
  <si>
    <t>GLASSES CASES STARTER PACK 20 pcs</t>
  </si>
  <si>
    <t>Hair Wraps CDU</t>
  </si>
  <si>
    <t>Hair Wraps Set Up</t>
  </si>
  <si>
    <t>SPHW</t>
  </si>
  <si>
    <t>Head Bands CDU</t>
  </si>
  <si>
    <t>Manicure Set Up WM</t>
  </si>
  <si>
    <t>MSU2</t>
  </si>
  <si>
    <t>Mark Down Assistance</t>
  </si>
  <si>
    <t>Paint &amp; Create - Christmas House 1</t>
  </si>
  <si>
    <t>Paint &amp; Create - Christmas House 2</t>
  </si>
  <si>
    <t>Rattling Friends - Dinosuar</t>
  </si>
  <si>
    <t>Rattling Friends Display</t>
  </si>
  <si>
    <t>Reading Socks - Ginger Cat mEDIUM</t>
  </si>
  <si>
    <t>Reading Socks - Koala</t>
  </si>
  <si>
    <t>Reading Socks - Labrador</t>
  </si>
  <si>
    <t>Reading Socks - Mottled Dog</t>
  </si>
  <si>
    <t>Reading Socks - Rainbow Unicorn</t>
  </si>
  <si>
    <t>Reading Socks - Red Fox</t>
  </si>
  <si>
    <t>Rollers CDU</t>
  </si>
  <si>
    <t>Satin Pillowcases CDU</t>
  </si>
  <si>
    <t>Satin Sleep Bonnets CDU</t>
  </si>
  <si>
    <t>Scrunchies CDU</t>
  </si>
  <si>
    <t>Shipping Australia</t>
  </si>
  <si>
    <t>Shipping New Zealand</t>
  </si>
  <si>
    <t>Shower Caps CDU</t>
  </si>
  <si>
    <t>The Ultimate Book Light Rechargeable - Black (ULR001)</t>
  </si>
  <si>
    <t>ULR001</t>
  </si>
  <si>
    <t>USFBA Book Lovers Calendar</t>
  </si>
  <si>
    <t>Vitals Stones CDU</t>
  </si>
  <si>
    <t>WB05</t>
  </si>
  <si>
    <t>William Moris Bookmarks Starter Pack</t>
  </si>
  <si>
    <t>Scarf - Sweet Briar</t>
  </si>
  <si>
    <t>WOW CDU</t>
  </si>
  <si>
    <t>Purchase Order Date</t>
  </si>
  <si>
    <t>Purchase Order Number</t>
  </si>
  <si>
    <t>Purchase Order Status</t>
  </si>
  <si>
    <t>Vendor Name</t>
  </si>
  <si>
    <t>Quantity Ordered</t>
  </si>
  <si>
    <t>Item Price</t>
  </si>
  <si>
    <t>SHIPMENT</t>
  </si>
  <si>
    <t>PO-00713</t>
  </si>
  <si>
    <t>Issued</t>
  </si>
  <si>
    <t>ZHEJIANG XINHONGZHOU TRADING CO., LTD.</t>
  </si>
  <si>
    <t>ETA MAR 7</t>
  </si>
  <si>
    <t>NEW ITEM</t>
  </si>
  <si>
    <t>PO-00718</t>
  </si>
  <si>
    <t>Dongguan Zhong Fan Packaging Products Co.,Ltd</t>
  </si>
  <si>
    <t>PO-00719</t>
  </si>
  <si>
    <t>Yiwu Boutique Accessories</t>
  </si>
  <si>
    <t>PO-00720</t>
  </si>
  <si>
    <t>Cangnan County Rhythm Packaging Bag-Manufacturing Co., Ltd.</t>
  </si>
  <si>
    <t>PO-00721</t>
  </si>
  <si>
    <t>Yongkang Fuxin Vacuum Containers Co., Ltd.</t>
  </si>
  <si>
    <t>PO-00722</t>
  </si>
  <si>
    <t>The Source Design Collections Fujian</t>
  </si>
  <si>
    <t>PO-00723</t>
  </si>
  <si>
    <t>Xiamen Green Field Co., Ltd.</t>
  </si>
  <si>
    <t>PO-00724</t>
  </si>
  <si>
    <t>TianTian Xing Pens Manufacturer Co.,Ltd</t>
  </si>
  <si>
    <t>PO-00726</t>
  </si>
  <si>
    <t>SHENZEN RUIMEI DISPLAY INDUSTRY</t>
  </si>
  <si>
    <t>PO-00729</t>
  </si>
  <si>
    <t>PO-00730</t>
  </si>
  <si>
    <t>Hebei Tsibo Textile Import And Export Co., Ltd.</t>
  </si>
  <si>
    <t>PO-00731</t>
  </si>
  <si>
    <t>Huizhou Hesanjiang Umbrella Co., Ltd.</t>
  </si>
  <si>
    <t>PO-00733</t>
  </si>
  <si>
    <t>LIAOCHENG XIANMING LASER CO., LTD.</t>
  </si>
  <si>
    <t>MACHINE PARTS</t>
  </si>
  <si>
    <t>PO-00734</t>
  </si>
  <si>
    <t>LINYI SHUOWO INTERNATIONAL TRADECO., LTD</t>
  </si>
  <si>
    <t>BALANCE / AFTER CNY</t>
  </si>
  <si>
    <t>PO-00735</t>
  </si>
  <si>
    <t>NEW ORDER</t>
  </si>
  <si>
    <t xml:space="preserve">AFTER  CNY </t>
  </si>
  <si>
    <t>PO-00736</t>
  </si>
  <si>
    <t>Draft</t>
  </si>
  <si>
    <t>PO-00727</t>
  </si>
  <si>
    <t>Shenzhen Hua Mei Industry Development Limited</t>
  </si>
  <si>
    <t>Tea Infuser Mug - The Reset</t>
  </si>
  <si>
    <t>PO-00717</t>
  </si>
  <si>
    <t>Wuxi Best Packaging Product Co., Ltd.</t>
  </si>
  <si>
    <t>TO FINISH MID MARCH (NEW SUPPLIER)</t>
  </si>
  <si>
    <t>INVENTORY VALUATION FEB 23 SOH</t>
  </si>
  <si>
    <t>Stock On Hand</t>
  </si>
  <si>
    <t>Inventory Asset Value</t>
  </si>
  <si>
    <t>Stock value</t>
  </si>
  <si>
    <t>inventory_account</t>
  </si>
  <si>
    <t>status</t>
  </si>
  <si>
    <t>item.CF.Planning Group</t>
  </si>
  <si>
    <t>item.CF.Product Category</t>
  </si>
  <si>
    <t>Finished Goods</t>
  </si>
  <si>
    <t>DELETED</t>
  </si>
  <si>
    <t>Reading Glasses</t>
  </si>
  <si>
    <t>Puzzles Jigsaw</t>
  </si>
  <si>
    <t>Jigsaw Puzzles</t>
  </si>
  <si>
    <t>Scratch Off</t>
  </si>
  <si>
    <t>Peter Rabbit</t>
  </si>
  <si>
    <t>3  New Range</t>
  </si>
  <si>
    <t>Pen</t>
  </si>
  <si>
    <t>Inventory Asset</t>
  </si>
  <si>
    <t>Children's Books</t>
  </si>
  <si>
    <t>Notebooks</t>
  </si>
  <si>
    <t>Display</t>
  </si>
  <si>
    <t>Notebooks Clearance</t>
  </si>
  <si>
    <t>Planet Cat</t>
  </si>
  <si>
    <t>William Morris</t>
  </si>
  <si>
    <t>RHS Irises &amp; Hellebores</t>
  </si>
  <si>
    <t>Scratch Maps</t>
  </si>
  <si>
    <t>Greeting Cards</t>
  </si>
  <si>
    <t>Coasters</t>
  </si>
  <si>
    <t>Alpha Books</t>
  </si>
  <si>
    <t>Lights</t>
  </si>
  <si>
    <t>Heart Stones</t>
  </si>
  <si>
    <t>9 Local Manufacture</t>
  </si>
  <si>
    <t>Key Ring</t>
  </si>
  <si>
    <t>Magnets</t>
  </si>
  <si>
    <t>Aprons</t>
  </si>
  <si>
    <t>Monopoly</t>
  </si>
  <si>
    <t>Cluedo</t>
  </si>
  <si>
    <t>Homeware Clearance</t>
  </si>
  <si>
    <t>Work In Progress</t>
  </si>
  <si>
    <t>9D Consumables Pick Packing</t>
  </si>
  <si>
    <t>9C Consumables Manufacturing</t>
  </si>
  <si>
    <t>Flowers</t>
  </si>
  <si>
    <t>Book Lovers</t>
  </si>
  <si>
    <t>Rude</t>
  </si>
  <si>
    <t>Tiny Emotional Support</t>
  </si>
  <si>
    <t>Christmas</t>
  </si>
  <si>
    <t>Baby Bibs</t>
  </si>
  <si>
    <t>Onesie</t>
  </si>
  <si>
    <t>Socks</t>
  </si>
  <si>
    <t>Bamboo Fan</t>
  </si>
  <si>
    <t>Book Holder</t>
  </si>
  <si>
    <t>Key Rings</t>
  </si>
  <si>
    <t>Ice House Books</t>
  </si>
  <si>
    <t>9B Component/Packaging</t>
  </si>
  <si>
    <t>Creams</t>
  </si>
  <si>
    <t>CD Card Classic</t>
  </si>
  <si>
    <t>CD Card Birthday Star</t>
  </si>
  <si>
    <t>Book Related Clearance</t>
  </si>
  <si>
    <t>Hair Wrap</t>
  </si>
  <si>
    <t>Head Band</t>
  </si>
  <si>
    <t>Scrunchie</t>
  </si>
  <si>
    <t>Eyemask</t>
  </si>
  <si>
    <t>Pillow Cases</t>
  </si>
  <si>
    <t>Sleep Bonnet</t>
  </si>
  <si>
    <t>Shower Cap</t>
  </si>
  <si>
    <t>Slippers</t>
  </si>
  <si>
    <t>Face Roller</t>
  </si>
  <si>
    <t>Bluhen Set Up</t>
  </si>
  <si>
    <t>Manicure Set</t>
  </si>
  <si>
    <t>Coin Pouch</t>
  </si>
  <si>
    <t>Small Pouch</t>
  </si>
  <si>
    <t>Cosmetics Bag</t>
  </si>
  <si>
    <t>Lunch Bags</t>
  </si>
  <si>
    <t>Mugs</t>
  </si>
  <si>
    <t>Scarf</t>
  </si>
  <si>
    <t>Toiletry Bag</t>
  </si>
  <si>
    <t>Umbrellas</t>
  </si>
  <si>
    <t>Fans</t>
  </si>
  <si>
    <t>Book Other</t>
  </si>
  <si>
    <t>Calendars &amp; Diaries</t>
  </si>
  <si>
    <t>5 IF by Air</t>
  </si>
  <si>
    <t>Large Pouch</t>
  </si>
  <si>
    <t>Glasses Case</t>
  </si>
  <si>
    <t>Pens and Pencils</t>
  </si>
  <si>
    <t>Handy Specs</t>
  </si>
  <si>
    <t>Notebook Tidy</t>
  </si>
  <si>
    <t>Pen Pouch</t>
  </si>
  <si>
    <t>Phone Holder</t>
  </si>
  <si>
    <t>Phone Pocket</t>
  </si>
  <si>
    <t>Tool Belt</t>
  </si>
  <si>
    <t>Tech Tidy</t>
  </si>
  <si>
    <t>Puzzle Books</t>
  </si>
  <si>
    <t>Shruti</t>
  </si>
  <si>
    <t>Baby Books</t>
  </si>
  <si>
    <t>Baby Journals</t>
  </si>
  <si>
    <t>Candle Matches</t>
  </si>
  <si>
    <t>MTTBWY</t>
  </si>
  <si>
    <t>Cardholder</t>
  </si>
  <si>
    <t>Signage</t>
  </si>
  <si>
    <t>CDCARD</t>
  </si>
  <si>
    <t>8 Reading Socks</t>
  </si>
  <si>
    <t>DVDCARD</t>
  </si>
  <si>
    <t>Coasters Clearance</t>
  </si>
  <si>
    <t>Compact Mirror</t>
  </si>
  <si>
    <t>Compact Mirrors</t>
  </si>
  <si>
    <t>Pill Boxes</t>
  </si>
  <si>
    <t>Bluhen</t>
  </si>
  <si>
    <t>Cosmetic Bag</t>
  </si>
  <si>
    <t>Mugs Clearance</t>
  </si>
  <si>
    <t>Cushion</t>
  </si>
  <si>
    <t>Harlequin Games</t>
  </si>
  <si>
    <t>DVD Card Classic</t>
  </si>
  <si>
    <t>Hot Water Bottle</t>
  </si>
  <si>
    <t>Eye Mask</t>
  </si>
  <si>
    <t>Gift sets</t>
  </si>
  <si>
    <t>Stickers Clearance</t>
  </si>
  <si>
    <t>Garden Tools</t>
  </si>
  <si>
    <t>USA ONLY</t>
  </si>
  <si>
    <t>GlassWear</t>
  </si>
  <si>
    <t>Craft</t>
  </si>
  <si>
    <t>Ice Hair Wrap</t>
  </si>
  <si>
    <t>Water Bottle</t>
  </si>
  <si>
    <t>Sound Cards</t>
  </si>
  <si>
    <t>Magnet</t>
  </si>
  <si>
    <t>Torches</t>
  </si>
  <si>
    <t>Reading Socks</t>
  </si>
  <si>
    <t>Name A Star</t>
  </si>
  <si>
    <t>Oven Gloves</t>
  </si>
  <si>
    <t>Photo Frame</t>
  </si>
  <si>
    <t>Pill Box</t>
  </si>
  <si>
    <t>Shoppers</t>
  </si>
  <si>
    <t>Rattling friends</t>
  </si>
  <si>
    <t>Baby Rattle</t>
  </si>
  <si>
    <t>Drinking Accessories</t>
  </si>
  <si>
    <t>Romantasy</t>
  </si>
  <si>
    <t>Tote Bags</t>
  </si>
  <si>
    <t>Candles</t>
  </si>
  <si>
    <t>Heat Pack</t>
  </si>
  <si>
    <t>Baby Blanket</t>
  </si>
  <si>
    <t>Keep Cup</t>
  </si>
  <si>
    <t>Tea Towel</t>
  </si>
  <si>
    <t>Telescopic Pouch</t>
  </si>
  <si>
    <t>Reading Friends</t>
  </si>
  <si>
    <t>Amazon</t>
  </si>
  <si>
    <t>Calendars and Diaries</t>
  </si>
  <si>
    <t>Where's Wally</t>
  </si>
  <si>
    <t>Wonders of Learning</t>
  </si>
  <si>
    <t>Eye Masks</t>
  </si>
  <si>
    <t>Head Bands</t>
  </si>
  <si>
    <t>Booklights</t>
  </si>
  <si>
    <t>Pens</t>
  </si>
</sst>
</file>

<file path=xl/styles.xml><?xml version="1.0" encoding="utf-8"?>
<styleSheet xmlns="http://schemas.openxmlformats.org/spreadsheetml/2006/main">
  <numFmts count="14">
    <numFmt formatCode="#0" numFmtId="164"/>
    <numFmt formatCode="[&gt;0]_(* #,##0_);[&lt;0]_(* (#,##0);_(* &quot;-&quot;#??_);_(@_)" numFmtId="165"/>
    <numFmt formatCode="#0.00%" numFmtId="166"/>
    <numFmt formatCode="mmm-d" numFmtId="167"/>
    <numFmt formatCode="#0.0" numFmtId="168"/>
    <numFmt formatCode="[&gt;0]_(&quot;$&quot;* #,##0.00_);[&lt;0]_(&quot;$&quot;* (#,##0.00);_(&quot;$&quot;* &quot;-&quot;#??_);_(@_)" numFmtId="169"/>
    <numFmt formatCode="[&gt;0]_(&quot;$&quot;* #,##0.0_);[&lt;0]_(&quot;$&quot;* (#,##0.0);_(&quot;$&quot;* &quot;-&quot;#??_);_(@_)" numFmtId="170"/>
    <numFmt formatCode="#0.0%" numFmtId="171"/>
    <numFmt formatCode="mmmm yyyy" numFmtId="172"/>
    <numFmt formatCode="mmmm d" numFmtId="173"/>
    <numFmt formatCode="yyyy-m-d" numFmtId="174"/>
    <numFmt formatCode="yyyy-m-dd" numFmtId="175"/>
    <numFmt formatCode="yyyy-mm-d" numFmtId="176"/>
    <numFmt formatCode="yyyy-mm-dd" numFmtId="177"/>
  </numFmts>
  <fonts count="62">
    <font>
      <sz val="10"/>
      <color rgb="FF000000"/>
      <name val="Roboto"/>
    </font>
    <font>
      <sz val="10"/>
      <name val="Calibri"/>
    </font>
    <font>
      <b/>
      <sz val="10"/>
      <name val="Calibri"/>
    </font>
    <font>
      <b/>
      <sz val="11.0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b/>
      <sz val="10"/>
      <color rgb="FF0070C0"/>
      <name val="Calibri"/>
    </font>
    <font>
      <b/>
      <sz val="10"/>
      <color rgb="FFE31414"/>
      <name val="Calibri"/>
    </font>
    <font>
      <sz val="11.0"/>
      <name val="Calibri"/>
    </font>
    <font>
      <sz val="10"/>
      <name val="Calibri"/>
    </font>
    <font>
      <b/>
      <sz val="10"/>
      <color rgb="FFE31414"/>
      <name val="Calibri"/>
    </font>
    <font>
      <b/>
      <sz val="11.0"/>
      <color rgb="FF144D73"/>
      <name val="Calibri"/>
    </font>
    <font>
      <b/>
      <sz val="10"/>
      <color rgb="FF144D73"/>
      <name val="Calibri"/>
    </font>
    <font>
      <sz val="10"/>
      <color rgb="FF144D73"/>
      <name val="Calibri"/>
    </font>
    <font>
      <b/>
      <sz val="10"/>
      <color rgb="FF144D73"/>
      <name val="Roboto"/>
    </font>
    <font>
      <b/>
      <sz val="10"/>
      <color rgb="FFFF0000"/>
      <name val="Calibri"/>
    </font>
    <font>
      <b/>
      <sz val="12"/>
      <name val="Calibri"/>
    </font>
    <font>
      <sz val="10"/>
      <name val="Calibri"/>
    </font>
    <font>
      <sz val="11"/>
      <name val="Roboto"/>
    </font>
    <font>
      <b/>
      <sz val="11"/>
      <name val="Roboto"/>
    </font>
    <font>
      <b/>
      <sz val="11"/>
      <color rgb="FF9B59B6"/>
      <name val="Roboto"/>
    </font>
    <font>
      <sz val="11"/>
      <color rgb="FF9B59B6"/>
      <name val="Roboto"/>
    </font>
    <font>
      <b/>
      <sz val="11"/>
      <name val="Roboto"/>
    </font>
    <font>
      <sz val="11"/>
      <color rgb="FF9B59B6"/>
      <name val="Roboto"/>
    </font>
    <font>
      <b/>
      <sz val="11"/>
      <name val="Calibri"/>
    </font>
    <font>
      <b/>
      <sz val="10"/>
      <name val="Roboto"/>
    </font>
    <font>
      <b/>
      <sz val="11"/>
      <color rgb="FF9B59B6"/>
      <name val="Calibri"/>
    </font>
    <font>
      <sz val="11"/>
      <name val="Roboto"/>
    </font>
    <font>
      <sz val="11"/>
      <name val="Roboto"/>
    </font>
    <font>
      <b/>
      <sz val="11"/>
      <name val="Calibri"/>
    </font>
    <font>
      <b/>
      <sz val="11"/>
      <color rgb="FF9B59B6"/>
      <name val="Calibri"/>
    </font>
    <font>
      <b/>
      <sz val="11"/>
      <color rgb="FF9B59B6"/>
      <name val="Roboto"/>
    </font>
    <font>
      <b/>
      <sz val="11"/>
      <color rgb="FF0070C0"/>
      <name val="Calibri"/>
    </font>
    <font>
      <b/>
      <sz val="11"/>
      <color rgb="FFFF0000"/>
      <name val="Calibri"/>
    </font>
    <font>
      <sz val="11"/>
      <name val="Roboto"/>
    </font>
    <font>
      <b/>
      <sz val="11"/>
      <color rgb="FFE31414"/>
      <name val="Roboto"/>
    </font>
    <font>
      <sz val="10"/>
      <name val="Roboto"/>
    </font>
    <font>
      <b/>
      <sz val="11"/>
      <name val="Roboto"/>
    </font>
    <font>
      <b/>
      <sz val="11"/>
      <color rgb="FF0070C0"/>
      <name val="Roboto"/>
    </font>
    <font>
      <b/>
      <sz val="11"/>
      <color rgb="FFFF0000"/>
      <name val="Roboto"/>
    </font>
    <font>
      <sz val="11"/>
      <name val="Roboto"/>
    </font>
    <font>
      <sz val="10"/>
      <name val="Calibri"/>
    </font>
    <font>
      <b/>
      <sz val="10"/>
      <color rgb="FFFF0000"/>
      <name val="Calibri"/>
    </font>
    <font>
      <sz val="10"/>
      <color rgb="FF144D73"/>
      <name val="Calibri"/>
    </font>
    <font>
      <sz val="10"/>
      <color rgb="FF144D73"/>
      <name val="Roboto"/>
    </font>
    <font>
      <b/>
      <sz val="11.0"/>
      <color rgb="FFFF0000"/>
      <name val="Calibri"/>
    </font>
    <font>
      <sz val="10.0"/>
      <name val="Calibri"/>
    </font>
    <font>
      <sz val="12.0"/>
      <name val="Calibri"/>
    </font>
    <font>
      <sz val="10"/>
      <color rgb="FFFF0000"/>
      <name val="Calibri"/>
    </font>
    <font>
      <b/>
      <sz val="11"/>
      <color rgb="FFFF0000"/>
      <name val="Roboto"/>
    </font>
    <font>
      <b/>
      <sz val="11"/>
      <color rgb="FF9B59B6"/>
      <name val="Roboto"/>
    </font>
    <font>
      <b/>
      <sz val="11"/>
      <color rgb="FFFF0000"/>
      <name val="Roboto"/>
    </font>
    <font>
      <sz val="10"/>
      <name val="Roboto"/>
    </font>
    <font>
      <sz val="10"/>
      <color rgb="FF144D73"/>
      <name val="Roboto"/>
    </font>
    <font>
      <sz val="11"/>
      <name val="Calibri"/>
    </font>
    <font>
      <sz val="11"/>
      <name val="Calibri"/>
    </font>
    <font>
      <sz val="10"/>
      <name val="Inter"/>
    </font>
    <font>
      <b/>
      <sz val="10"/>
      <name val="Roboto"/>
    </font>
    <font>
      <sz val="11"/>
      <color rgb="FFFF0000"/>
      <name val="Roboto"/>
    </font>
    <font>
      <sz val="10"/>
      <color rgb="FFE31414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3498DB"/>
        <bgColor rgb="FF3498DB"/>
      </patternFill>
    </fill>
    <fill>
      <patternFill patternType="solid">
        <fgColor rgb="FF2ECC71"/>
        <bgColor rgb="FF2ECC71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E4D3"/>
        <bgColor rgb="FFFAE4D3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CF3CF"/>
        <bgColor rgb="FFFCF3CF"/>
      </patternFill>
    </fill>
    <fill>
      <patternFill patternType="solid">
        <fgColor rgb="FFEBDEF0"/>
        <bgColor rgb="FFEBDEF0"/>
      </patternFill>
    </fill>
    <fill>
      <patternFill patternType="solid">
        <fgColor rgb="FF00B0F0"/>
        <bgColor rgb="FF00B0F0"/>
      </patternFill>
    </fill>
    <fill>
      <patternFill patternType="solid">
        <fgColor rgb="FFFCDAE3"/>
        <bgColor rgb="FFFCDAE3"/>
      </patternFill>
    </fill>
    <fill>
      <patternFill patternType="solid">
        <fgColor rgb="FF00B050"/>
        <bgColor rgb="FF00B050"/>
      </patternFill>
    </fill>
    <fill>
      <patternFill patternType="solid">
        <fgColor rgb="FFAAECC6"/>
        <bgColor rgb="FFAAECC6"/>
      </patternFill>
    </fill>
    <fill>
      <patternFill patternType="solid">
        <fgColor rgb="FFD9D9D9"/>
        <bgColor rgb="FFD9D9D9"/>
      </patternFill>
    </fill>
    <fill>
      <patternFill patternType="solid">
        <fgColor rgb="FFD6EAF8"/>
        <bgColor rgb="FFD6EAF8"/>
      </patternFill>
    </fill>
    <fill>
      <patternFill patternType="solid">
        <fgColor rgb="FFE9F0FE"/>
        <bgColor rgb="FFE9F0FE"/>
      </patternFill>
    </fill>
    <fill>
      <patternFill patternType="solid">
        <fgColor rgb="FFD3DCE5"/>
        <bgColor rgb="FFD3DC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borderId="0" fillId="0" fontId="0" numFmtId="0" xfId="0">
      <alignment vertical="top"/>
    </xf>
  </cellStyleXfs>
  <cellXfs count="254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0" fontId="1" numFmtId="164" xfId="0">
      <alignment vertical="top"/>
    </xf>
    <xf borderId="0" fillId="0" fontId="1" numFmtId="0" xfId="0">
      <alignment horizontal="right" vertical="top"/>
    </xf>
    <xf borderId="0" fillId="0" fontId="2" numFmtId="165" xfId="0">
      <alignment vertical="top"/>
    </xf>
    <xf borderId="0" fillId="0" fontId="1" numFmtId="0" xfId="0">
      <alignment horizontal="center" vertical="top"/>
    </xf>
    <xf borderId="0" fillId="0" fontId="2" numFmtId="9" xfId="0">
      <alignment vertical="top"/>
    </xf>
    <xf borderId="0" fillId="0" fontId="2" numFmtId="166" xfId="0">
      <alignment vertical="top"/>
    </xf>
    <xf borderId="0" fillId="2" fontId="3" numFmtId="167" xfId="0">
      <alignment horizontal="center" vertical="top"/>
    </xf>
    <xf borderId="0" fillId="3" fontId="3" numFmtId="167" xfId="0">
      <alignment horizontal="center" vertical="top"/>
    </xf>
    <xf borderId="0" fillId="4" fontId="3" numFmtId="167" xfId="0">
      <alignment horizontal="center" vertical="top"/>
    </xf>
    <xf borderId="0" fillId="0" fontId="2" numFmtId="165" xfId="0">
      <alignment horizontal="center" vertical="top"/>
    </xf>
    <xf borderId="0" fillId="0" fontId="2" numFmtId="0" xfId="0">
      <alignment horizontal="center" vertical="top"/>
    </xf>
    <xf borderId="0" fillId="0" fontId="2" numFmtId="164" xfId="0">
      <alignment horizontal="center" vertical="top"/>
    </xf>
    <xf borderId="0" fillId="0" fontId="2" numFmtId="0" xfId="0">
      <alignment horizontal="right" vertical="top"/>
    </xf>
    <xf borderId="0" fillId="0" fontId="4" numFmtId="0" xfId="0">
      <alignment horizontal="left" vertical="center" wrapText="1"/>
    </xf>
    <xf borderId="0" fillId="0" fontId="4" numFmtId="0" xfId="0">
      <alignment horizontal="center" vertical="center" wrapText="1"/>
    </xf>
    <xf borderId="0" fillId="0" fontId="5" numFmtId="0" xfId="0">
      <alignment horizontal="center" vertical="center" wrapText="1" textRotation="0"/>
    </xf>
    <xf borderId="0" fillId="0" fontId="5" numFmtId="165" xfId="0">
      <alignment horizontal="center" vertical="center" wrapText="1" textRotation="0"/>
    </xf>
    <xf borderId="0" fillId="0" fontId="6" numFmtId="0" xfId="0">
      <alignment horizontal="center" vertical="center" wrapText="1"/>
    </xf>
    <xf borderId="0" fillId="5" fontId="7" numFmtId="164" xfId="0">
      <alignment horizontal="center" vertical="center" textRotation="0"/>
    </xf>
    <xf borderId="0" fillId="0" fontId="8" numFmtId="0" xfId="0">
      <alignment horizontal="center" vertical="center" wrapText="1" textRotation="0"/>
    </xf>
    <xf borderId="0" fillId="0" fontId="9" numFmtId="164" xfId="0">
      <alignment horizontal="left" vertical="center" wrapText="1"/>
    </xf>
    <xf borderId="0" fillId="0" fontId="5" numFmtId="0" xfId="0">
      <alignment horizontal="right" vertical="center" wrapText="1" textRotation="0"/>
    </xf>
    <xf borderId="0" fillId="0" fontId="5" numFmtId="0" xfId="0">
      <alignment horizontal="center" vertical="center" wrapText="1"/>
    </xf>
    <xf borderId="0" fillId="0" fontId="1" numFmtId="0" xfId="0">
      <alignment vertical="center"/>
    </xf>
    <xf borderId="0" fillId="0" fontId="10" numFmtId="0" xfId="0">
      <alignment vertical="top"/>
    </xf>
    <xf borderId="0" fillId="0" fontId="2" numFmtId="164" xfId="0">
      <alignment vertical="top"/>
    </xf>
    <xf borderId="0" fillId="0" fontId="11" numFmtId="0" xfId="0">
      <alignment vertical="top"/>
    </xf>
    <xf borderId="0" fillId="6" fontId="2" numFmtId="0" xfId="0">
      <alignment horizontal="right" vertical="top"/>
    </xf>
    <xf borderId="0" fillId="6" fontId="1" numFmtId="0" xfId="0">
      <alignment horizontal="right" vertical="top"/>
    </xf>
    <xf borderId="0" fillId="0" fontId="12" numFmtId="164" xfId="0">
      <alignment vertical="top"/>
    </xf>
    <xf borderId="0" fillId="0" fontId="12" numFmtId="0" xfId="0">
      <alignment vertical="top"/>
    </xf>
    <xf borderId="0" fillId="0" fontId="13" numFmtId="0" xfId="0">
      <alignment vertical="top"/>
    </xf>
    <xf borderId="0" fillId="0" fontId="14" numFmtId="164" xfId="0">
      <alignment vertical="top"/>
    </xf>
    <xf borderId="0" fillId="0" fontId="14" numFmtId="0" xfId="0">
      <alignment vertical="top"/>
    </xf>
    <xf borderId="0" fillId="0" fontId="15" numFmtId="0" xfId="0">
      <alignment vertical="top"/>
    </xf>
    <xf borderId="0" fillId="7" fontId="14" numFmtId="0" xfId="0">
      <alignment horizontal="right" vertical="top"/>
    </xf>
    <xf borderId="0" fillId="0" fontId="16" numFmtId="0" xfId="0">
      <alignment vertical="top"/>
    </xf>
    <xf borderId="0" fillId="7" fontId="13" numFmtId="0" xfId="0">
      <alignment vertical="top"/>
    </xf>
    <xf borderId="0" fillId="0" fontId="14" numFmtId="0" xfId="0">
      <alignment horizontal="right" vertical="top"/>
    </xf>
    <xf borderId="0" fillId="0" fontId="17" numFmtId="0" xfId="0">
      <alignment vertical="top"/>
    </xf>
    <xf borderId="0" fillId="8" fontId="1" numFmtId="0" xfId="0">
      <alignment horizontal="right" vertical="top"/>
    </xf>
    <xf borderId="0" fillId="0" fontId="3" numFmtId="9" xfId="0">
      <alignment vertical="top"/>
    </xf>
    <xf borderId="0" fillId="0" fontId="18" numFmtId="0" xfId="0">
      <alignment horizontal="left" vertical="top"/>
    </xf>
    <xf borderId="0" fillId="0" fontId="11" numFmtId="0" xfId="0">
      <alignment horizontal="center" vertical="top"/>
    </xf>
    <xf borderId="0" fillId="0" fontId="19" numFmtId="0" xfId="0">
      <alignment horizontal="center" vertical="center" wrapText="1" textRotation="0"/>
    </xf>
    <xf borderId="0" fillId="0" fontId="1" numFmtId="168" xfId="0">
      <alignment horizontal="right" vertical="top"/>
    </xf>
    <xf borderId="0" fillId="0" fontId="20" numFmtId="0" xfId="0">
      <alignment vertical="top"/>
    </xf>
    <xf borderId="0" fillId="0" fontId="20" numFmtId="0" xfId="0">
      <alignment horizontal="center" vertical="top"/>
    </xf>
    <xf borderId="0" fillId="0" fontId="21" numFmtId="0" xfId="0">
      <alignment vertical="top"/>
    </xf>
    <xf borderId="0" fillId="0" fontId="22" numFmtId="169" xfId="0">
      <alignment vertical="top"/>
    </xf>
    <xf borderId="0" fillId="0" fontId="22" numFmtId="170" xfId="0">
      <alignment horizontal="right" vertical="top"/>
    </xf>
    <xf borderId="0" fillId="0" fontId="22" numFmtId="0" xfId="0">
      <alignment vertical="top"/>
    </xf>
    <xf borderId="0" fillId="0" fontId="23" numFmtId="0" xfId="0">
      <alignment vertical="top"/>
    </xf>
    <xf borderId="0" fillId="0" fontId="24" numFmtId="0" xfId="0">
      <alignment vertical="top"/>
    </xf>
    <xf borderId="0" fillId="0" fontId="24" numFmtId="0" xfId="0">
      <alignment horizontal="center" vertical="top"/>
    </xf>
    <xf borderId="0" fillId="0" fontId="24" numFmtId="167" xfId="0">
      <alignment vertical="top"/>
    </xf>
    <xf borderId="0" fillId="0" fontId="21" numFmtId="0" xfId="0">
      <alignment horizontal="center" vertical="top"/>
    </xf>
    <xf borderId="0" fillId="0" fontId="25" numFmtId="0" xfId="0">
      <alignment vertical="top"/>
    </xf>
    <xf borderId="0" fillId="9" fontId="21" numFmtId="0" xfId="0">
      <alignment vertical="top"/>
    </xf>
    <xf borderId="0" fillId="9" fontId="21" numFmtId="166" xfId="0">
      <alignment vertical="top"/>
    </xf>
    <xf borderId="0" fillId="10" fontId="24" numFmtId="0" xfId="0">
      <alignment vertical="top"/>
    </xf>
    <xf borderId="0" fillId="10" fontId="24" numFmtId="0" xfId="0">
      <alignment horizontal="center" vertical="top"/>
    </xf>
    <xf borderId="0" fillId="10" fontId="24" numFmtId="167" xfId="0">
      <alignment vertical="top"/>
    </xf>
    <xf borderId="0" fillId="10" fontId="26" numFmtId="9" xfId="0">
      <alignment horizontal="right" vertical="top"/>
    </xf>
    <xf borderId="0" fillId="10" fontId="27" numFmtId="171" xfId="0">
      <alignment vertical="top"/>
    </xf>
    <xf borderId="0" fillId="0" fontId="27" numFmtId="171" xfId="0">
      <alignment vertical="top"/>
    </xf>
    <xf borderId="0" fillId="10" fontId="26" numFmtId="171" xfId="0">
      <alignment horizontal="right" vertical="top"/>
    </xf>
    <xf borderId="0" fillId="0" fontId="21" numFmtId="166" xfId="0">
      <alignment vertical="top"/>
    </xf>
    <xf borderId="0" fillId="2" fontId="24" numFmtId="167" xfId="0">
      <alignment vertical="top"/>
    </xf>
    <xf borderId="0" fillId="3" fontId="24" numFmtId="167" xfId="0">
      <alignment vertical="top"/>
    </xf>
    <xf borderId="0" fillId="4" fontId="24" numFmtId="167" xfId="0">
      <alignment vertical="top"/>
    </xf>
    <xf borderId="0" fillId="0" fontId="26" numFmtId="0" xfId="0">
      <alignment horizontal="center" vertical="center"/>
    </xf>
    <xf borderId="0" fillId="0" fontId="28" numFmtId="169" xfId="0">
      <alignment horizontal="center" vertical="center"/>
    </xf>
    <xf borderId="0" fillId="0" fontId="28" numFmtId="170" xfId="0">
      <alignment horizontal="right" vertical="center"/>
    </xf>
    <xf borderId="0" fillId="0" fontId="26" numFmtId="164" xfId="0">
      <alignment horizontal="center" vertical="center"/>
    </xf>
    <xf borderId="0" fillId="0" fontId="26" numFmtId="0" xfId="0">
      <alignment horizontal="right" vertical="center"/>
    </xf>
    <xf borderId="0" fillId="0" fontId="21" numFmtId="172" xfId="0">
      <alignment horizontal="center" vertical="top"/>
    </xf>
    <xf borderId="0" fillId="0" fontId="22" numFmtId="0" xfId="0">
      <alignment horizontal="center" vertical="top"/>
    </xf>
    <xf borderId="0" fillId="0" fontId="24" numFmtId="0" xfId="0">
      <alignment vertical="center"/>
    </xf>
    <xf borderId="0" fillId="0" fontId="24" numFmtId="0" xfId="0">
      <alignment horizontal="center" vertical="center"/>
    </xf>
    <xf borderId="0" fillId="0" fontId="29" numFmtId="167" xfId="0">
      <alignment horizontal="center" vertical="center"/>
    </xf>
    <xf borderId="0" fillId="0" fontId="24" numFmtId="165" xfId="0">
      <alignment horizontal="center" vertical="center" wrapText="1" textRotation="0"/>
    </xf>
    <xf borderId="0" fillId="5" fontId="30" numFmtId="164" xfId="0">
      <alignment horizontal="center" vertical="center" textRotation="0"/>
    </xf>
    <xf borderId="0" fillId="5" fontId="31" numFmtId="164" xfId="0">
      <alignment horizontal="center" vertical="center" textRotation="0"/>
    </xf>
    <xf borderId="0" fillId="0" fontId="4" numFmtId="0" xfId="0">
      <alignment horizontal="center" vertical="center" wrapText="1" textRotation="0"/>
    </xf>
    <xf borderId="0" fillId="0" fontId="32" numFmtId="169" xfId="0">
      <alignment horizontal="center" vertical="center" wrapText="1" textRotation="0"/>
    </xf>
    <xf borderId="0" fillId="0" fontId="33" numFmtId="168" xfId="0">
      <alignment horizontal="right" vertical="center" wrapText="1" textRotation="0"/>
    </xf>
    <xf borderId="0" fillId="0" fontId="34" numFmtId="0" xfId="0">
      <alignment horizontal="center" vertical="center" wrapText="1" textRotation="0"/>
    </xf>
    <xf borderId="0" fillId="0" fontId="35" numFmtId="164" xfId="0">
      <alignment horizontal="left" vertical="center" wrapText="1"/>
    </xf>
    <xf borderId="0" fillId="0" fontId="4" numFmtId="0" xfId="0">
      <alignment horizontal="right" vertical="center" wrapText="1" textRotation="0"/>
    </xf>
    <xf borderId="0" fillId="0" fontId="24" numFmtId="0" xfId="0">
      <alignment horizontal="center" vertical="center" wrapText="1" textRotation="0"/>
    </xf>
    <xf borderId="0" fillId="0" fontId="33" numFmtId="0" xfId="0">
      <alignment horizontal="center" vertical="center" wrapText="1" textRotation="0"/>
    </xf>
    <xf borderId="0" fillId="0" fontId="21" numFmtId="0" xfId="0">
      <alignment vertical="center"/>
    </xf>
    <xf borderId="0" fillId="0" fontId="36" numFmtId="0" xfId="0">
      <alignment vertical="top"/>
    </xf>
    <xf borderId="0" fillId="0" fontId="36" numFmtId="0" xfId="0">
      <alignment horizontal="center" vertical="top"/>
    </xf>
    <xf borderId="0" fillId="0" fontId="21" numFmtId="164" xfId="0">
      <alignment vertical="top"/>
    </xf>
    <xf borderId="0" fillId="0" fontId="22" numFmtId="169" xfId="0">
      <alignment horizontal="right" vertical="top"/>
    </xf>
    <xf borderId="0" fillId="0" fontId="20" numFmtId="164" xfId="0">
      <alignment vertical="top"/>
    </xf>
    <xf borderId="0" fillId="0" fontId="25" numFmtId="0" xfId="0">
      <alignment horizontal="right" vertical="top"/>
    </xf>
    <xf borderId="0" fillId="0" fontId="23" numFmtId="169" xfId="0">
      <alignment vertical="top"/>
    </xf>
    <xf borderId="0" fillId="7" fontId="20" numFmtId="164" xfId="0">
      <alignment vertical="top"/>
    </xf>
    <xf borderId="0" fillId="6" fontId="20" numFmtId="0" xfId="0">
      <alignment vertical="top"/>
    </xf>
    <xf borderId="0" fillId="6" fontId="36" numFmtId="0" xfId="0">
      <alignment vertical="top"/>
    </xf>
    <xf borderId="0" fillId="6" fontId="36" numFmtId="0" xfId="0">
      <alignment horizontal="center" vertical="top"/>
    </xf>
    <xf borderId="0" fillId="0" fontId="22" numFmtId="0" xfId="0">
      <alignment horizontal="right" vertical="top"/>
    </xf>
    <xf borderId="0" fillId="0" fontId="37" numFmtId="164" xfId="0">
      <alignment vertical="top"/>
    </xf>
    <xf borderId="0" fillId="0" fontId="37" numFmtId="0" xfId="0">
      <alignment vertical="top"/>
    </xf>
    <xf borderId="0" fillId="9" fontId="20" numFmtId="0" xfId="0">
      <alignment vertical="top"/>
    </xf>
    <xf borderId="0" fillId="7" fontId="20" numFmtId="0" xfId="0">
      <alignment vertical="top"/>
    </xf>
    <xf borderId="0" fillId="9" fontId="20" numFmtId="164" xfId="0">
      <alignment vertical="top"/>
    </xf>
    <xf borderId="0" fillId="0" fontId="20" numFmtId="0" xfId="0">
      <alignment horizontal="right" vertical="top"/>
    </xf>
    <xf borderId="0" fillId="11" fontId="20" numFmtId="0" xfId="0">
      <alignment horizontal="center" vertical="top"/>
    </xf>
    <xf borderId="0" fillId="0" fontId="20" numFmtId="173" xfId="0">
      <alignment horizontal="center" vertical="top"/>
    </xf>
    <xf borderId="0" fillId="9" fontId="20" numFmtId="0" xfId="0">
      <alignment horizontal="right" vertical="top"/>
    </xf>
    <xf borderId="0" fillId="9" fontId="36" numFmtId="0" xfId="0">
      <alignment vertical="top"/>
    </xf>
    <xf borderId="0" fillId="12" fontId="20" numFmtId="0" xfId="0">
      <alignment horizontal="center" vertical="top"/>
    </xf>
    <xf borderId="0" fillId="11" fontId="36" numFmtId="0" xfId="0">
      <alignment horizontal="center" vertical="top"/>
    </xf>
    <xf borderId="0" fillId="0" fontId="25" numFmtId="169" xfId="0">
      <alignment horizontal="right" vertical="top"/>
    </xf>
    <xf borderId="0" fillId="13" fontId="22" numFmtId="170" xfId="0">
      <alignment horizontal="right" vertical="top"/>
    </xf>
    <xf borderId="0" fillId="0" fontId="26" numFmtId="9" xfId="0">
      <alignment horizontal="right" vertical="top"/>
    </xf>
    <xf borderId="0" fillId="0" fontId="26" numFmtId="0" xfId="0">
      <alignment horizontal="right" vertical="top"/>
    </xf>
    <xf borderId="0" fillId="0" fontId="25" numFmtId="0" xfId="0">
      <alignment horizontal="center" vertical="top"/>
    </xf>
    <xf borderId="0" fillId="6" fontId="20" numFmtId="0" xfId="0">
      <alignment horizontal="center" vertical="top"/>
    </xf>
    <xf borderId="0" fillId="0" fontId="38" numFmtId="0" xfId="0">
      <alignment vertical="top"/>
    </xf>
    <xf borderId="0" fillId="0" fontId="21" numFmtId="164" xfId="0">
      <alignment horizontal="right" vertical="top"/>
    </xf>
    <xf borderId="0" fillId="10" fontId="20" numFmtId="0" xfId="0">
      <alignment vertical="top"/>
    </xf>
    <xf borderId="0" fillId="14" fontId="20" numFmtId="0" xfId="0">
      <alignment vertical="top"/>
    </xf>
    <xf borderId="0" fillId="14" fontId="20" numFmtId="164" xfId="0">
      <alignment vertical="top"/>
    </xf>
    <xf borderId="0" fillId="2" fontId="21" numFmtId="0" xfId="0">
      <alignment horizontal="center" vertical="top"/>
    </xf>
    <xf borderId="0" fillId="3" fontId="21" numFmtId="0" xfId="0">
      <alignment horizontal="center" vertical="top"/>
    </xf>
    <xf borderId="0" fillId="4" fontId="21" numFmtId="0" xfId="0">
      <alignment horizontal="center" vertical="top"/>
    </xf>
    <xf borderId="0" fillId="7" fontId="36" numFmtId="0" xfId="0">
      <alignment vertical="top"/>
    </xf>
    <xf borderId="0" fillId="15" fontId="21" numFmtId="9" xfId="0">
      <alignment vertical="top"/>
    </xf>
    <xf borderId="0" fillId="15" fontId="21" numFmtId="0" xfId="0">
      <alignment vertical="top"/>
    </xf>
    <xf borderId="0" fillId="0" fontId="21" numFmtId="9" xfId="0">
      <alignment horizontal="right" vertical="top"/>
    </xf>
    <xf borderId="0" fillId="0" fontId="21" numFmtId="0" xfId="0">
      <alignment horizontal="right" vertical="top"/>
    </xf>
    <xf borderId="0" fillId="0" fontId="21" numFmtId="0" xfId="0">
      <alignment horizontal="center" vertical="center"/>
    </xf>
    <xf borderId="0" fillId="0" fontId="21" numFmtId="164" xfId="0">
      <alignment horizontal="center" vertical="center"/>
    </xf>
    <xf borderId="0" fillId="0" fontId="21" numFmtId="0" xfId="0">
      <alignment horizontal="right" vertical="center"/>
    </xf>
    <xf borderId="0" fillId="5" fontId="39" numFmtId="164" xfId="0">
      <alignment horizontal="center" vertical="center" textRotation="0"/>
    </xf>
    <xf borderId="0" fillId="0" fontId="40" numFmtId="0" xfId="0">
      <alignment horizontal="center" vertical="center" wrapText="1" textRotation="0"/>
    </xf>
    <xf borderId="0" fillId="0" fontId="41" numFmtId="164" xfId="0">
      <alignment horizontal="left" vertical="center" wrapText="1"/>
    </xf>
    <xf borderId="0" fillId="0" fontId="24" numFmtId="0" xfId="0">
      <alignment horizontal="right" vertical="center" wrapText="1" textRotation="0"/>
    </xf>
    <xf borderId="0" fillId="0" fontId="20" numFmtId="0" xfId="0">
      <alignment vertical="center"/>
    </xf>
    <xf borderId="0" fillId="9" fontId="36" numFmtId="0" xfId="0">
      <alignment horizontal="center" vertical="top"/>
    </xf>
    <xf borderId="0" fillId="7" fontId="20" numFmtId="168" xfId="0">
      <alignment vertical="top"/>
    </xf>
    <xf borderId="0" fillId="6" fontId="21" numFmtId="0" xfId="0">
      <alignment vertical="top"/>
    </xf>
    <xf borderId="0" fillId="0" fontId="24" numFmtId="9" xfId="0">
      <alignment vertical="top"/>
    </xf>
    <xf borderId="0" fillId="9" fontId="42" numFmtId="164" xfId="0">
      <alignment vertical="top"/>
    </xf>
    <xf borderId="0" fillId="0" fontId="2" numFmtId="9" xfId="0">
      <alignment horizontal="right" vertical="top"/>
    </xf>
    <xf borderId="0" fillId="0" fontId="2" numFmtId="0" xfId="0">
      <alignment horizontal="center" vertical="center"/>
    </xf>
    <xf borderId="0" fillId="2" fontId="3" numFmtId="167" xfId="0">
      <alignment horizontal="center" vertical="center"/>
    </xf>
    <xf borderId="0" fillId="3" fontId="3" numFmtId="167" xfId="0">
      <alignment horizontal="center" vertical="center"/>
    </xf>
    <xf borderId="0" fillId="16" fontId="3" numFmtId="167" xfId="0">
      <alignment horizontal="center" vertical="center"/>
    </xf>
    <xf borderId="0" fillId="0" fontId="2" numFmtId="165" xfId="0">
      <alignment horizontal="center" vertical="center"/>
    </xf>
    <xf borderId="0" fillId="4" fontId="3" numFmtId="167" xfId="0">
      <alignment horizontal="center" vertical="center"/>
    </xf>
    <xf borderId="0" fillId="0" fontId="2" numFmtId="164" xfId="0">
      <alignment horizontal="center" vertical="center"/>
    </xf>
    <xf borderId="0" fillId="0" fontId="2" numFmtId="0" xfId="0">
      <alignment horizontal="right" vertical="center"/>
    </xf>
    <xf borderId="0" fillId="0" fontId="11" numFmtId="0" xfId="0">
      <alignment horizontal="right" vertical="center"/>
    </xf>
    <xf borderId="0" fillId="0" fontId="27" numFmtId="0" xfId="0">
      <alignment vertical="center"/>
    </xf>
    <xf borderId="0" fillId="0" fontId="38" numFmtId="0" xfId="0">
      <alignment vertical="center"/>
    </xf>
    <xf borderId="0" fillId="5" fontId="43" numFmtId="164" xfId="0">
      <alignment horizontal="center" vertical="center" textRotation="0"/>
    </xf>
    <xf borderId="0" fillId="0" fontId="44" numFmtId="164" xfId="0">
      <alignment horizontal="left" vertical="center" wrapText="1"/>
    </xf>
    <xf borderId="0" fillId="6" fontId="10" numFmtId="0" xfId="0">
      <alignment vertical="top"/>
    </xf>
    <xf borderId="0" fillId="7" fontId="12" numFmtId="164" xfId="0">
      <alignment vertical="top"/>
    </xf>
    <xf borderId="0" fillId="8" fontId="2" numFmtId="0" xfId="0">
      <alignment horizontal="right" vertical="top"/>
    </xf>
    <xf borderId="0" fillId="0" fontId="2" numFmtId="0" xfId="0">
      <alignment horizontal="left" vertical="center"/>
    </xf>
    <xf borderId="0" fillId="15" fontId="2" numFmtId="0" xfId="0">
      <alignment vertical="top"/>
    </xf>
    <xf borderId="0" fillId="15" fontId="1" numFmtId="0" xfId="0">
      <alignment vertical="top"/>
    </xf>
    <xf borderId="0" fillId="10" fontId="2" numFmtId="0" xfId="0">
      <alignment vertical="top"/>
    </xf>
    <xf borderId="0" fillId="10" fontId="2" numFmtId="9" xfId="0">
      <alignment vertical="top"/>
    </xf>
    <xf borderId="0" fillId="9" fontId="2" numFmtId="0" xfId="0">
      <alignment vertical="top"/>
    </xf>
    <xf borderId="0" fillId="15" fontId="11" numFmtId="0" xfId="0">
      <alignment vertical="top"/>
    </xf>
    <xf borderId="0" fillId="10" fontId="14" numFmtId="0" xfId="0">
      <alignment vertical="top"/>
    </xf>
    <xf borderId="0" fillId="17" fontId="2" numFmtId="0" xfId="0">
      <alignment horizontal="right" vertical="top"/>
    </xf>
    <xf borderId="0" fillId="9" fontId="1" numFmtId="0" xfId="0">
      <alignment vertical="top"/>
    </xf>
    <xf borderId="0" fillId="15" fontId="1" numFmtId="164" xfId="0">
      <alignment vertical="top"/>
    </xf>
    <xf borderId="0" fillId="15" fontId="2" numFmtId="164" xfId="0">
      <alignment vertical="top"/>
    </xf>
    <xf borderId="0" fillId="10" fontId="14" numFmtId="164" xfId="0">
      <alignment vertical="top"/>
    </xf>
    <xf borderId="0" fillId="15" fontId="14" numFmtId="164" xfId="0">
      <alignment vertical="top"/>
    </xf>
    <xf borderId="0" fillId="15" fontId="2" numFmtId="9" xfId="0">
      <alignment vertical="top"/>
    </xf>
    <xf borderId="0" fillId="6" fontId="2" numFmtId="0" xfId="0">
      <alignment vertical="top"/>
    </xf>
    <xf borderId="0" fillId="6" fontId="1" numFmtId="0" xfId="0">
      <alignment horizontal="center" vertical="top"/>
    </xf>
    <xf borderId="0" fillId="0" fontId="10" numFmtId="0" xfId="0">
      <alignment horizontal="right" vertical="top"/>
    </xf>
    <xf borderId="0" fillId="10" fontId="10" numFmtId="0" xfId="0">
      <alignment horizontal="right" vertical="top"/>
    </xf>
    <xf borderId="0" fillId="6" fontId="1" numFmtId="0" xfId="0">
      <alignment vertical="top"/>
    </xf>
    <xf borderId="0" fillId="10" fontId="13" numFmtId="0" xfId="0">
      <alignment vertical="top"/>
    </xf>
    <xf borderId="0" fillId="18" fontId="13" numFmtId="0" xfId="0">
      <alignment vertical="top"/>
    </xf>
    <xf borderId="0" fillId="0" fontId="13" numFmtId="0" xfId="0">
      <alignment horizontal="right" vertical="top"/>
    </xf>
    <xf borderId="0" fillId="0" fontId="45" numFmtId="0" xfId="0">
      <alignment vertical="top"/>
    </xf>
    <xf borderId="0" fillId="0" fontId="45" numFmtId="164" xfId="0">
      <alignment vertical="top"/>
    </xf>
    <xf borderId="0" fillId="0" fontId="46" numFmtId="0" xfId="0">
      <alignment vertical="top"/>
    </xf>
    <xf borderId="0" fillId="0" fontId="47" numFmtId="0" xfId="0">
      <alignment horizontal="right" vertical="top"/>
    </xf>
    <xf borderId="0" fillId="14" fontId="48" numFmtId="0" xfId="0">
      <alignment vertical="top"/>
    </xf>
    <xf borderId="0" fillId="8" fontId="1" numFmtId="0" xfId="0">
      <alignment vertical="top"/>
    </xf>
    <xf borderId="0" fillId="3" fontId="11" numFmtId="164" xfId="0">
      <alignment vertical="top"/>
    </xf>
    <xf borderId="0" fillId="0" fontId="15" numFmtId="164" xfId="0">
      <alignment vertical="top"/>
    </xf>
    <xf borderId="0" fillId="0" fontId="49" numFmtId="0" xfId="0">
      <alignment horizontal="left" vertical="top"/>
    </xf>
    <xf borderId="0" fillId="0" fontId="48" numFmtId="0" xfId="0">
      <alignment vertical="top"/>
    </xf>
    <xf borderId="0" fillId="19" fontId="48" numFmtId="0" xfId="0">
      <alignment vertical="top"/>
    </xf>
    <xf borderId="0" fillId="0" fontId="20" numFmtId="0" xfId="0">
      <alignment horizontal="left" vertical="top" wrapText="1"/>
    </xf>
    <xf borderId="0" fillId="0" fontId="50" numFmtId="0" xfId="0">
      <alignment vertical="top"/>
    </xf>
    <xf borderId="0" fillId="0" fontId="51" numFmtId="0" xfId="0">
      <alignment vertical="center"/>
    </xf>
    <xf borderId="0" fillId="0" fontId="51" numFmtId="0" xfId="0">
      <alignment vertical="top"/>
    </xf>
    <xf borderId="0" fillId="0" fontId="42" numFmtId="0" xfId="0">
      <alignment vertical="top"/>
    </xf>
    <xf borderId="1" fillId="2" fontId="21" numFmtId="0" xfId="0">
      <alignment horizontal="center" vertical="center" wrapText="1"/>
    </xf>
    <xf borderId="1" fillId="2" fontId="39" numFmtId="0" xfId="0">
      <alignment horizontal="center" vertical="center" wrapText="1" textRotation="0"/>
    </xf>
    <xf borderId="1" fillId="2" fontId="52" numFmtId="0" xfId="0">
      <alignment horizontal="center" vertical="center" wrapText="1" textRotation="0"/>
    </xf>
    <xf borderId="1" fillId="2" fontId="24" numFmtId="0" xfId="0">
      <alignment horizontal="center" vertical="center" wrapText="1" textRotation="0"/>
    </xf>
    <xf borderId="1" fillId="2" fontId="53" numFmtId="164" xfId="0">
      <alignment horizontal="center" vertical="center" wrapText="1" textRotation="0"/>
    </xf>
    <xf borderId="1" fillId="2" fontId="30" numFmtId="164" xfId="0">
      <alignment horizontal="center" vertical="center" wrapText="1" textRotation="0"/>
    </xf>
    <xf borderId="1" fillId="2" fontId="39" numFmtId="164" xfId="0">
      <alignment horizontal="center" vertical="center" wrapText="1" textRotation="0"/>
    </xf>
    <xf borderId="0" fillId="0" fontId="22" numFmtId="0" xfId="0">
      <alignment horizontal="center" vertical="center"/>
    </xf>
    <xf borderId="1" fillId="0" fontId="20" numFmtId="0" xfId="0">
      <alignment horizontal="center" vertical="top"/>
    </xf>
    <xf borderId="1" fillId="0" fontId="20" numFmtId="0" xfId="0">
      <alignment vertical="top"/>
    </xf>
    <xf borderId="1" fillId="0" fontId="23" numFmtId="169" xfId="0">
      <alignment vertical="center"/>
    </xf>
    <xf borderId="1" fillId="0" fontId="20" numFmtId="0" xfId="0">
      <alignment vertical="center"/>
    </xf>
    <xf borderId="1" fillId="0" fontId="51" numFmtId="0" xfId="0">
      <alignment vertical="center"/>
    </xf>
    <xf borderId="1" fillId="0" fontId="21" numFmtId="0" xfId="0">
      <alignment vertical="top"/>
    </xf>
    <xf borderId="1" fillId="11" fontId="42" numFmtId="0" xfId="0">
      <alignment vertical="top"/>
    </xf>
    <xf borderId="0" fillId="0" fontId="54" numFmtId="0" xfId="0">
      <alignment vertical="top"/>
    </xf>
    <xf borderId="0" fillId="0" fontId="55" numFmtId="0" xfId="0">
      <alignment vertical="top"/>
    </xf>
    <xf borderId="0" fillId="0" fontId="27" numFmtId="0" xfId="0">
      <alignment horizontal="right" vertical="center" textRotation="0" indent="0"/>
    </xf>
    <xf borderId="0" fillId="0" fontId="31" numFmtId="0" xfId="0">
      <alignment vertical="center"/>
    </xf>
    <xf borderId="0" fillId="0" fontId="26" numFmtId="0" xfId="0">
      <alignment vertical="center"/>
    </xf>
    <xf borderId="0" fillId="0" fontId="56" numFmtId="0" xfId="0">
      <alignment vertical="center"/>
    </xf>
    <xf borderId="0" fillId="0" fontId="21" numFmtId="9" xfId="0">
      <alignment vertical="top"/>
    </xf>
    <xf borderId="0" fillId="0" fontId="57" numFmtId="0" xfId="0">
      <alignment vertical="center"/>
    </xf>
    <xf borderId="0" fillId="0" fontId="27" numFmtId="0" xfId="0">
      <alignment vertical="top"/>
    </xf>
    <xf borderId="0" fillId="0" fontId="38" numFmtId="0" xfId="0">
      <alignment horizontal="center" vertical="top"/>
    </xf>
    <xf borderId="0" fillId="0" fontId="27" numFmtId="0" xfId="0">
      <alignment horizontal="center" vertical="top"/>
    </xf>
    <xf borderId="0" fillId="0" fontId="27" numFmtId="0" xfId="0">
      <alignment horizontal="center" vertical="center"/>
    </xf>
    <xf borderId="0" fillId="0" fontId="27" numFmtId="0" xfId="0">
      <alignment horizontal="center" vertical="center" wrapText="1"/>
    </xf>
    <xf borderId="0" fillId="0" fontId="56" numFmtId="0" xfId="0">
      <alignment vertical="bottom"/>
    </xf>
    <xf borderId="0" fillId="0" fontId="58" numFmtId="0" xfId="0">
      <alignment horizontal="left" vertical="top"/>
    </xf>
    <xf borderId="0" fillId="20" fontId="24" numFmtId="0" xfId="0">
      <alignment horizontal="center" vertical="center" wrapText="1"/>
    </xf>
    <xf borderId="0" fillId="20" fontId="24" numFmtId="0" xfId="0">
      <alignment horizontal="center" vertical="center"/>
    </xf>
    <xf borderId="0" fillId="9" fontId="21" numFmtId="0" xfId="0">
      <alignment horizontal="center" vertical="center"/>
    </xf>
    <xf borderId="0" fillId="0" fontId="36" numFmtId="174" xfId="0">
      <alignment horizontal="center" vertical="top"/>
    </xf>
    <xf borderId="0" fillId="0" fontId="27" numFmtId="0" xfId="0">
      <alignment horizontal="right" vertical="top"/>
    </xf>
    <xf borderId="0" fillId="0" fontId="59" numFmtId="0" xfId="0">
      <alignment horizontal="right" vertical="top"/>
    </xf>
    <xf borderId="0" fillId="0" fontId="36" numFmtId="175" xfId="0">
      <alignment horizontal="center" vertical="top"/>
    </xf>
    <xf borderId="0" fillId="0" fontId="36" numFmtId="176" xfId="0">
      <alignment horizontal="center" vertical="top"/>
    </xf>
    <xf borderId="0" fillId="21" fontId="36" numFmtId="174" xfId="0">
      <alignment horizontal="center" vertical="top"/>
    </xf>
    <xf borderId="0" fillId="21" fontId="36" numFmtId="0" xfId="0">
      <alignment horizontal="center" vertical="top"/>
    </xf>
    <xf borderId="0" fillId="21" fontId="36" numFmtId="0" xfId="0">
      <alignment vertical="top"/>
    </xf>
    <xf borderId="0" fillId="21" fontId="20" numFmtId="0" xfId="0">
      <alignment vertical="top"/>
    </xf>
    <xf borderId="0" fillId="21" fontId="60" numFmtId="0" xfId="0">
      <alignment vertical="top"/>
    </xf>
    <xf borderId="0" fillId="0" fontId="60" numFmtId="0" xfId="0">
      <alignment vertical="top"/>
    </xf>
    <xf borderId="0" fillId="0" fontId="36" numFmtId="177" xfId="0">
      <alignment horizontal="center" vertical="top"/>
    </xf>
    <xf borderId="0" fillId="0" fontId="61" numFmtId="0" xfId="0">
      <alignment vertical="top"/>
    </xf>
  </cellXfs>
  <cellStyles count="1">
    <cellStyle name="Normal" xfId="0" builtinId="0" customBuiltin="1"/>
  </cellStyles>
  <dxfs count="6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CDCF"/>
          <bgColor rgb="FFF8CDCF"/>
        </patternFill>
      </fill>
    </dxf>
    <dxf>
      <font>
        <color rgb="FFE7484D"/>
      </font>
      <fill>
        <patternFill patternType="solid">
          <fgColor rgb="FFF8CDCF"/>
          <bgColor rgb="FFF8CDC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259650"/>
      </font>
      <fill>
        <patternFill patternType="solid">
          <fgColor rgb="FF9BDEB4"/>
          <bgColor rgb="FF9BDEB4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worksheets/sheet13.xml" Id="rId13" Type="http://schemas.openxmlformats.org/officeDocument/2006/relationships/worksheet"/><Relationship Target="worksheets/sheet14.xml" Id="rId14" Type="http://schemas.openxmlformats.org/officeDocument/2006/relationships/worksheet"/><Relationship Target="worksheets/sheet15.xml" Id="rId15" Type="http://schemas.openxmlformats.org/officeDocument/2006/relationships/worksheet"/><Relationship Target="sharedStrings.xml" Id="rId16" Type="http://schemas.openxmlformats.org/officeDocument/2006/relationships/sharedStrings"/><Relationship Target="styles.xml" Id="rId17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Y96"/>
  <sheetViews>
    <sheetView workbookViewId="0">
      <pane xSplit="4" ySplit="6" topLeftCell="E7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style="1" width="8.47" collapsed="1"/>
    <col min="30" max="30" style="1" width="7.28"/>
    <col min="31" max="31" style="1" width="6.49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39" style="1" width="8.21"/>
    <col min="40" max="40" style="1" width="8.21"/>
    <col min="41" max="41" style="2" width="7.68"/>
    <col min="42" max="42" style="2" width="9.8"/>
    <col min="43" max="43" style="2" width="12.45"/>
    <col min="44" max="44" style="1" width="6.49"/>
    <col min="45" max="45" style="1" width="7.81"/>
    <col min="46" max="46" style="1" width="8.47"/>
    <col min="47" max="47" style="1" width="7.28"/>
    <col min="48" max="48" style="1" width="6.49"/>
    <col min="49" max="50" style="1" width="8.21"/>
    <col min="51" max="51" style="2" width="9.67"/>
    <col min="52" max="52" style="2" width="9.67"/>
    <col min="53" max="53" style="1" width="13.24"/>
    <col min="54" max="54" style="1" width="13.24"/>
    <col min="55" max="55" style="3" width="10.06"/>
    <col min="56" max="56" style="1" width="6.62"/>
    <col min="57" max="57" style="4" width="12.05"/>
    <col min="58" max="58" style="1" width="11.52"/>
    <col min="59" max="59" style="1" width="8.87"/>
    <col min="60" max="77" style="1" width="8.87"/>
    <col min="78" max="1020" style="1" width="13.24"/>
    <col min="1021" max="1024" width="13.24"/>
    <col min="1025" max="1025" width="13.24"/>
  </cols>
  <sheetData>
    <row r="1">
      <c r="AO1" s="5"/>
      <c r="AP1" s="5"/>
      <c r="AQ1" s="5"/>
      <c r="BC1" s="3">
        <v>0.0</v>
      </c>
      <c r="BF1" s="6"/>
    </row>
    <row r="2">
      <c r="AO2" s="5"/>
      <c r="AP2" s="5"/>
      <c r="AQ2" s="5"/>
      <c r="BF2" s="6"/>
    </row>
    <row r="3">
      <c r="AO3" s="5"/>
      <c r="AP3" s="5"/>
      <c r="AQ3" s="5"/>
      <c r="BF3" s="6"/>
    </row>
    <row r="4">
      <c r="E4" s="7">
        <v>0.097</v>
      </c>
      <c r="F4" s="7">
        <v>0.046</v>
      </c>
      <c r="G4" s="7">
        <v>0.089</v>
      </c>
      <c r="H4" s="7">
        <v>0.073</v>
      </c>
      <c r="I4" s="7">
        <v>0.057</v>
      </c>
      <c r="J4" s="7">
        <v>0.114</v>
      </c>
      <c r="K4" s="7">
        <v>0.127</v>
      </c>
      <c r="L4" s="7">
        <v>0.115</v>
      </c>
      <c r="M4" s="7">
        <v>0.094</v>
      </c>
      <c r="N4" s="7">
        <v>0.052</v>
      </c>
      <c r="O4" s="7">
        <v>0.065</v>
      </c>
      <c r="P4" s="7">
        <v>0.07</v>
      </c>
      <c r="Q4" s="7">
        <v>0.097</v>
      </c>
      <c r="R4" s="7">
        <v>0.046</v>
      </c>
      <c r="S4" s="7">
        <v>0.089</v>
      </c>
      <c r="T4" s="7">
        <v>0.073</v>
      </c>
      <c r="U4" s="7">
        <v>0.057</v>
      </c>
      <c r="V4" s="7">
        <v>0.114</v>
      </c>
      <c r="W4" s="7">
        <v>0.127</v>
      </c>
      <c r="X4" s="7">
        <v>0.115</v>
      </c>
      <c r="Y4" s="7">
        <v>0.094</v>
      </c>
      <c r="Z4" s="7">
        <v>0.052</v>
      </c>
      <c r="AA4" s="7">
        <v>0.065</v>
      </c>
      <c r="AB4" s="7">
        <v>0.07</v>
      </c>
      <c r="AC4" s="7">
        <v>0.097</v>
      </c>
      <c r="AD4" s="7">
        <v>0.046</v>
      </c>
      <c r="AE4" s="7">
        <v>0.089</v>
      </c>
      <c r="AF4" s="7">
        <v>0.073</v>
      </c>
      <c r="AG4" s="7">
        <v>0.057</v>
      </c>
      <c r="AH4" s="7">
        <v>0.114</v>
      </c>
      <c r="AI4" s="7">
        <v>0.127</v>
      </c>
      <c r="AJ4" s="7">
        <v>0.115</v>
      </c>
      <c r="AK4" s="7">
        <v>0.094</v>
      </c>
      <c r="AL4" s="7">
        <v>0.052</v>
      </c>
      <c r="AM4" s="7">
        <v>0.065</v>
      </c>
      <c r="AN4" s="7" t="s">
        <v>0</v>
      </c>
      <c r="AO4" s="5">
        <f>SUM(AC4:AN4)</f>
        <v>0.929</v>
      </c>
      <c r="AP4" s="8">
        <f>SUM(AI4:AN4)</f>
        <v>0.453</v>
      </c>
      <c r="AQ4" s="8">
        <f>AP4*1.1</f>
        <v>0.4983</v>
      </c>
      <c r="AS4" s="7">
        <v>0.097</v>
      </c>
      <c r="AT4" s="7">
        <v>0.046</v>
      </c>
      <c r="AU4" s="7">
        <v>0.089</v>
      </c>
      <c r="AV4" s="7">
        <v>0.073</v>
      </c>
      <c r="AW4" s="7">
        <v>0.057</v>
      </c>
      <c r="AX4" s="7">
        <v>0.114</v>
      </c>
      <c r="BF4" s="6"/>
    </row>
    <row r="5" ht="14.0">
      <c r="A5" s="6"/>
      <c r="B5" s="6"/>
      <c r="C5" s="6"/>
      <c r="D5" s="6"/>
      <c r="E5" s="9">
        <v>45799</v>
      </c>
      <c r="F5" s="9">
        <v>45830</v>
      </c>
      <c r="G5" s="9">
        <v>45860</v>
      </c>
      <c r="H5" s="9">
        <v>45891</v>
      </c>
      <c r="I5" s="9">
        <v>45922</v>
      </c>
      <c r="J5" s="9">
        <v>45952</v>
      </c>
      <c r="K5" s="9">
        <v>45983</v>
      </c>
      <c r="L5" s="9">
        <v>46013</v>
      </c>
      <c r="M5" s="9">
        <v>45680</v>
      </c>
      <c r="N5" s="9">
        <v>45711</v>
      </c>
      <c r="O5" s="9">
        <v>45739</v>
      </c>
      <c r="P5" s="9">
        <v>45770</v>
      </c>
      <c r="Q5" s="10">
        <v>45800</v>
      </c>
      <c r="R5" s="10">
        <v>45831</v>
      </c>
      <c r="S5" s="10">
        <v>45861</v>
      </c>
      <c r="T5" s="10">
        <v>45892</v>
      </c>
      <c r="U5" s="10">
        <v>45923</v>
      </c>
      <c r="V5" s="10">
        <v>45953</v>
      </c>
      <c r="W5" s="10">
        <v>45984</v>
      </c>
      <c r="X5" s="10">
        <v>46014</v>
      </c>
      <c r="Y5" s="10">
        <v>45681</v>
      </c>
      <c r="Z5" s="10">
        <v>45712</v>
      </c>
      <c r="AA5" s="10">
        <v>45740</v>
      </c>
      <c r="AB5" s="10">
        <v>45771</v>
      </c>
      <c r="AC5" s="11">
        <v>45801</v>
      </c>
      <c r="AD5" s="11">
        <v>45832</v>
      </c>
      <c r="AE5" s="11">
        <v>45862</v>
      </c>
      <c r="AF5" s="11">
        <v>45893</v>
      </c>
      <c r="AG5" s="11">
        <v>45924</v>
      </c>
      <c r="AH5" s="11">
        <v>45954</v>
      </c>
      <c r="AI5" s="11">
        <v>45985</v>
      </c>
      <c r="AJ5" s="11">
        <v>46015</v>
      </c>
      <c r="AK5" s="11">
        <v>45682</v>
      </c>
      <c r="AL5" s="11">
        <v>45713</v>
      </c>
      <c r="AM5" s="11">
        <v>45741</v>
      </c>
      <c r="AN5" s="11">
        <v>45772</v>
      </c>
      <c r="AO5" s="12" t="s">
        <v>1</v>
      </c>
      <c r="AP5" s="12" t="s">
        <v>2</v>
      </c>
      <c r="AQ5" s="12" t="s">
        <v>2</v>
      </c>
      <c r="AR5" s="13"/>
      <c r="AS5" s="11">
        <v>45801</v>
      </c>
      <c r="AT5" s="11">
        <v>45832</v>
      </c>
      <c r="AU5" s="11">
        <v>45862</v>
      </c>
      <c r="AV5" s="11">
        <v>45893</v>
      </c>
      <c r="AW5" s="11">
        <v>45924</v>
      </c>
      <c r="AX5" s="11">
        <v>45955</v>
      </c>
      <c r="AY5" s="13" t="s">
        <v>3</v>
      </c>
      <c r="AZ5" s="13" t="s">
        <v>3</v>
      </c>
      <c r="BA5" s="13" t="s">
        <v>3</v>
      </c>
      <c r="BB5" s="13" t="s">
        <v>3</v>
      </c>
      <c r="BC5" s="14" t="s">
        <v>3</v>
      </c>
      <c r="BD5" s="13" t="s">
        <v>3</v>
      </c>
      <c r="BE5" s="15" t="s">
        <v>3</v>
      </c>
      <c r="BF5" s="13"/>
      <c r="BG5" s="13" t="s">
        <v>4</v>
      </c>
      <c r="BH5" s="13" t="s">
        <v>5</v>
      </c>
      <c r="BI5" s="13"/>
      <c r="BJ5" s="13"/>
      <c r="BK5" s="13" t="s">
        <v>6</v>
      </c>
      <c r="BL5" s="13"/>
      <c r="BM5" s="13"/>
      <c r="BN5" s="13" t="s">
        <v>7</v>
      </c>
      <c r="BO5" s="13"/>
      <c r="BP5" s="13"/>
      <c r="BQ5" s="13" t="s">
        <v>8</v>
      </c>
      <c r="BR5" s="13"/>
      <c r="BS5" s="13"/>
      <c r="BT5" s="13" t="s">
        <v>9</v>
      </c>
      <c r="BU5" s="13"/>
      <c r="BV5" s="13"/>
      <c r="BW5" s="13" t="s">
        <v>10</v>
      </c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</row>
    <row r="6" ht="29.0">
      <c r="A6" s="16" t="s">
        <v>11</v>
      </c>
      <c r="B6" s="16" t="s">
        <v>12</v>
      </c>
      <c r="C6" s="16" t="s">
        <v>13</v>
      </c>
      <c r="D6" s="17" t="s">
        <v>14</v>
      </c>
      <c r="E6" s="18" t="s">
        <v>15</v>
      </c>
      <c r="F6" s="18" t="s">
        <v>15</v>
      </c>
      <c r="G6" s="18" t="s">
        <v>15</v>
      </c>
      <c r="H6" s="18" t="s">
        <v>15</v>
      </c>
      <c r="I6" s="18" t="s">
        <v>15</v>
      </c>
      <c r="J6" s="18" t="s">
        <v>15</v>
      </c>
      <c r="K6" s="18" t="s">
        <v>15</v>
      </c>
      <c r="L6" s="18" t="s">
        <v>15</v>
      </c>
      <c r="M6" s="18" t="s">
        <v>15</v>
      </c>
      <c r="N6" s="18" t="s">
        <v>15</v>
      </c>
      <c r="O6" s="18" t="s">
        <v>15</v>
      </c>
      <c r="P6" s="18" t="s">
        <v>15</v>
      </c>
      <c r="Q6" s="18" t="s">
        <v>15</v>
      </c>
      <c r="R6" s="18" t="s">
        <v>15</v>
      </c>
      <c r="S6" s="18" t="s">
        <v>15</v>
      </c>
      <c r="T6" s="18" t="s">
        <v>15</v>
      </c>
      <c r="U6" s="18" t="s">
        <v>15</v>
      </c>
      <c r="V6" s="18" t="s">
        <v>15</v>
      </c>
      <c r="W6" s="18" t="s">
        <v>15</v>
      </c>
      <c r="X6" s="18" t="s">
        <v>15</v>
      </c>
      <c r="Y6" s="18" t="s">
        <v>15</v>
      </c>
      <c r="Z6" s="18" t="s">
        <v>15</v>
      </c>
      <c r="AA6" s="18" t="s">
        <v>15</v>
      </c>
      <c r="AB6" s="18" t="s">
        <v>15</v>
      </c>
      <c r="AC6" s="18" t="s">
        <v>15</v>
      </c>
      <c r="AD6" s="18" t="s">
        <v>15</v>
      </c>
      <c r="AE6" s="18" t="s">
        <v>15</v>
      </c>
      <c r="AF6" s="18" t="s">
        <v>15</v>
      </c>
      <c r="AG6" s="18" t="s">
        <v>15</v>
      </c>
      <c r="AH6" s="18" t="s">
        <v>15</v>
      </c>
      <c r="AI6" s="18" t="s">
        <v>15</v>
      </c>
      <c r="AJ6" s="18" t="s">
        <v>15</v>
      </c>
      <c r="AK6" s="18" t="s">
        <v>15</v>
      </c>
      <c r="AL6" s="18" t="s">
        <v>15</v>
      </c>
      <c r="AM6" s="18" t="s">
        <v>15</v>
      </c>
      <c r="AN6" s="18" t="s">
        <v>15</v>
      </c>
      <c r="AO6" s="19" t="s">
        <v>3</v>
      </c>
      <c r="AP6" s="19" t="s">
        <v>3</v>
      </c>
      <c r="AQ6" s="19" t="s">
        <v>16</v>
      </c>
      <c r="AR6" s="20"/>
      <c r="AS6" s="21" t="s">
        <v>17</v>
      </c>
      <c r="AT6" s="21" t="s">
        <v>17</v>
      </c>
      <c r="AU6" s="21" t="s">
        <v>17</v>
      </c>
      <c r="AV6" s="21" t="s">
        <v>17</v>
      </c>
      <c r="AW6" s="21" t="s">
        <v>17</v>
      </c>
      <c r="AX6" s="21" t="s">
        <v>17</v>
      </c>
      <c r="AY6" s="21" t="s">
        <v>17</v>
      </c>
      <c r="AZ6" s="18" t="s">
        <v>18</v>
      </c>
      <c r="BA6" s="22" t="s">
        <v>19</v>
      </c>
      <c r="BB6" s="22" t="s">
        <v>20</v>
      </c>
      <c r="BC6" s="23" t="s">
        <v>21</v>
      </c>
      <c r="BD6" s="18" t="s">
        <v>22</v>
      </c>
      <c r="BE6" s="24" t="s">
        <v>23</v>
      </c>
      <c r="BF6" s="25" t="s">
        <v>24</v>
      </c>
      <c r="BG6" s="18" t="s">
        <v>25</v>
      </c>
      <c r="BH6" s="18" t="s">
        <v>17</v>
      </c>
      <c r="BI6" s="18" t="s">
        <v>26</v>
      </c>
      <c r="BJ6" s="18" t="s">
        <v>27</v>
      </c>
      <c r="BK6" s="18" t="s">
        <v>17</v>
      </c>
      <c r="BL6" s="18" t="s">
        <v>26</v>
      </c>
      <c r="BM6" s="18" t="s">
        <v>27</v>
      </c>
      <c r="BN6" s="18" t="s">
        <v>17</v>
      </c>
      <c r="BO6" s="18" t="s">
        <v>26</v>
      </c>
      <c r="BP6" s="18" t="s">
        <v>27</v>
      </c>
      <c r="BQ6" s="18" t="s">
        <v>17</v>
      </c>
      <c r="BR6" s="18" t="s">
        <v>26</v>
      </c>
      <c r="BS6" s="18" t="s">
        <v>27</v>
      </c>
      <c r="BT6" s="18" t="s">
        <v>17</v>
      </c>
      <c r="BU6" s="18" t="s">
        <v>26</v>
      </c>
      <c r="BV6" s="18" t="s">
        <v>27</v>
      </c>
      <c r="BW6" s="18" t="s">
        <v>17</v>
      </c>
      <c r="BX6" s="18" t="s">
        <v>26</v>
      </c>
      <c r="BY6" s="18" t="s">
        <v>27</v>
      </c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</row>
    <row r="7" ht="14.0">
      <c r="A7" s="27" t="s">
        <v>28</v>
      </c>
      <c r="B7" s="27" t="s">
        <v>29</v>
      </c>
      <c r="C7" s="27" t="s">
        <v>30</v>
      </c>
      <c r="D7" s="27" t="s">
        <v>31</v>
      </c>
      <c r="E7" s="27"/>
      <c r="F7" s="27">
        <v>571.0</v>
      </c>
      <c r="G7" s="27">
        <v>495.0</v>
      </c>
      <c r="H7" s="27">
        <v>826.0</v>
      </c>
      <c r="I7" s="27">
        <v>491.0</v>
      </c>
      <c r="J7" s="27">
        <v>372.0</v>
      </c>
      <c r="K7" s="27">
        <v>638.0</v>
      </c>
      <c r="L7" s="27">
        <v>765.0</v>
      </c>
      <c r="M7" s="27">
        <v>626.0</v>
      </c>
      <c r="N7" s="27">
        <v>646.0</v>
      </c>
      <c r="O7" s="27">
        <v>490.0</v>
      </c>
      <c r="P7" s="27">
        <v>880.0</v>
      </c>
      <c r="Q7" s="27">
        <v>456.0</v>
      </c>
      <c r="R7" s="27">
        <v>439.0</v>
      </c>
      <c r="S7" s="27">
        <v>396.0</v>
      </c>
      <c r="T7" s="27">
        <v>330.0</v>
      </c>
      <c r="U7" s="27">
        <v>377.0</v>
      </c>
      <c r="V7" s="27">
        <v>535.0</v>
      </c>
      <c r="W7" s="27">
        <v>489.0</v>
      </c>
      <c r="X7" s="27">
        <v>512.0</v>
      </c>
      <c r="Y7" s="27">
        <v>468.0</v>
      </c>
      <c r="Z7" s="27">
        <v>520.0</v>
      </c>
      <c r="AA7" s="27">
        <v>414.0</v>
      </c>
      <c r="AB7" s="27">
        <v>433.0</v>
      </c>
      <c r="AC7" s="27">
        <v>324.0</v>
      </c>
      <c r="AD7" s="27">
        <v>315.0</v>
      </c>
      <c r="AE7" s="27">
        <v>331.0</v>
      </c>
      <c r="AF7" s="27">
        <v>335.0</v>
      </c>
      <c r="AG7" s="27">
        <v>240.0</v>
      </c>
      <c r="AH7" s="27">
        <v>518.0</v>
      </c>
      <c r="AI7" s="27">
        <v>622.0</v>
      </c>
      <c r="AJ7" s="27">
        <v>496.0</v>
      </c>
      <c r="AK7" s="27">
        <v>325.0</v>
      </c>
      <c r="AL7" s="27">
        <v>355.0</v>
      </c>
      <c r="AM7" s="27">
        <v>415.0</v>
      </c>
      <c r="AN7" s="27">
        <v>240.0</v>
      </c>
      <c r="AO7" s="28">
        <f t="shared" ref="AO7:AO62" si="3">SUM(AA7:AM7)</f>
        <v>5123.0</v>
      </c>
      <c r="AP7" s="28">
        <f t="shared" ref="AP7:AP62" si="4">SUM(AH7:AM7)</f>
        <v>2731.0</v>
      </c>
      <c r="AQ7" s="28">
        <f t="shared" ref="AQ7:AQ62" si="5">AP7*1.1</f>
        <v>3004.1</v>
      </c>
      <c r="AS7" s="1">
        <f t="shared" ref="AS7:AS13" si="6">AQ7*$AS$4/$AQ$4+6*$AS$15</f>
        <v>590.783664459161</v>
      </c>
      <c r="AT7" s="1">
        <f t="shared" ref="AT7:AT13" si="7">AQ7*$AT$4/$AQ$4+6*$AT$15</f>
        <v>283.32008830022</v>
      </c>
      <c r="AU7" s="1">
        <f t="shared" ref="AU7:AU13" si="8">AQ7*$AU$4/$AQ$4+6*$AU$15</f>
        <v>542.55408388521</v>
      </c>
      <c r="AV7" s="1">
        <f t="shared" ref="AV7:AV13" si="9">AQ7*$AV$4/$AQ$4+6*$AV$15</f>
        <v>446.094922737307</v>
      </c>
      <c r="AW7" s="1">
        <f t="shared" ref="AW7:AW13" si="10">AQ7*$AW$4/$AQ$4+6*$AW$15</f>
        <v>349.635761589403</v>
      </c>
      <c r="AX7" s="1">
        <f t="shared" ref="AX7:AX13" si="11">AQ7*$AX$4/$AQ$4+6*$AX$15</f>
        <v>693.271523178808</v>
      </c>
      <c r="AY7" s="2">
        <f t="shared" ref="AY7:AY62" si="12">SUM(AS7:AX7)</f>
        <v>2905.6600441501</v>
      </c>
      <c r="AZ7" s="2" t="e">
        <f t="shared" ref="AZ7:AZ62" si="13">VLOOKUP(D7,MAY1,3,false)</f>
        <v>#REF!</v>
      </c>
      <c r="BA7" s="1" t="e">
        <f>VLOOKUP(C7,CHINAMAY5,3,false)</f>
        <v>#REF!</v>
      </c>
      <c r="BC7" s="28" t="e">
        <f t="shared" ref="BC7:BC14" si="15">AZ7+BA7+BB7-AY7</f>
        <v>#REF!</v>
      </c>
      <c r="BD7" s="29">
        <f>VLOOKUP(C7,MOQ,3,FALSE())</f>
        <v>504.0</v>
      </c>
      <c r="BE7" s="30" t="s">
        <v>32</v>
      </c>
      <c r="BF7" s="1" t="s">
        <v>6</v>
      </c>
      <c r="BG7" s="1" t="e">
        <f t="shared" ref="BG7:BG19" si="17">AZ7</f>
        <v>#REF!</v>
      </c>
      <c r="BH7" s="1">
        <f t="shared" ref="BH7:BH19" si="18">AS7</f>
        <v>590.783664459161</v>
      </c>
      <c r="BI7" s="1" t="e">
        <f t="shared" ref="BI7:BI60" si="19">BA7</f>
        <v>#REF!</v>
      </c>
      <c r="BJ7" s="3" t="e">
        <f t="shared" ref="BJ7:BJ19" si="20">BG7+BI7-BH7</f>
        <v>#REF!</v>
      </c>
      <c r="BK7" s="1">
        <f t="shared" ref="BK7:BK19" si="21">AT7</f>
        <v>283.32008830022</v>
      </c>
      <c r="BL7">
        <f t="shared" ref="BL7:BL60" si="22">BB7</f>
      </c>
      <c r="BM7" s="3" t="e">
        <f t="shared" ref="BM7:BM19" si="23">BJ7+BL7-BK7</f>
        <v>#REF!</v>
      </c>
      <c r="BN7" s="1">
        <f t="shared" ref="BN7:BN19" si="24">AU7</f>
        <v>542.55408388521</v>
      </c>
      <c r="BP7" s="3" t="e">
        <f t="shared" ref="BP7:BP19" si="25">BM7+BO7-BN7</f>
        <v>#REF!</v>
      </c>
      <c r="BQ7" s="1">
        <f t="shared" ref="BQ7:BQ19" si="26">AV7</f>
        <v>446.094922737307</v>
      </c>
      <c r="BS7" s="3" t="e">
        <f t="shared" ref="BS7:BS19" si="27">BP7+BR7-BQ7</f>
        <v>#REF!</v>
      </c>
      <c r="BT7" s="1">
        <f t="shared" ref="BT7:BT19" si="28">AW7</f>
        <v>349.635761589403</v>
      </c>
      <c r="BV7" s="3" t="e">
        <f t="shared" ref="BV7:BV19" si="29">BS7+BU7-BT7</f>
        <v>#REF!</v>
      </c>
      <c r="BW7" s="1">
        <f t="shared" ref="BW7:BW19" si="30">AX7</f>
        <v>693.271523178808</v>
      </c>
      <c r="BY7" s="3" t="e">
        <f t="shared" ref="BY7:BY19" si="31">BV7+BX7-BW7</f>
        <v>#REF!</v>
      </c>
    </row>
    <row r="8" ht="14.0">
      <c r="A8" s="27" t="s">
        <v>28</v>
      </c>
      <c r="B8" s="27" t="s">
        <v>29</v>
      </c>
      <c r="C8" s="27" t="s">
        <v>33</v>
      </c>
      <c r="D8" s="27" t="s">
        <v>34</v>
      </c>
      <c r="E8" s="27"/>
      <c r="F8" s="27">
        <v>143.0</v>
      </c>
      <c r="G8" s="27">
        <v>257.0</v>
      </c>
      <c r="H8" s="27">
        <v>282.0</v>
      </c>
      <c r="I8" s="27">
        <v>353.0</v>
      </c>
      <c r="J8" s="27">
        <v>293.0</v>
      </c>
      <c r="K8" s="27">
        <v>447.0</v>
      </c>
      <c r="L8" s="27">
        <v>473.0</v>
      </c>
      <c r="M8" s="27">
        <v>257.0</v>
      </c>
      <c r="N8" s="27">
        <v>248.0</v>
      </c>
      <c r="O8" s="27">
        <v>237.0</v>
      </c>
      <c r="P8" s="27">
        <v>295.0</v>
      </c>
      <c r="Q8" s="27">
        <v>223.0</v>
      </c>
      <c r="R8" s="27">
        <v>180.0</v>
      </c>
      <c r="S8" s="27">
        <v>247.0</v>
      </c>
      <c r="T8" s="27">
        <v>250.0</v>
      </c>
      <c r="U8" s="27">
        <v>156.0</v>
      </c>
      <c r="V8" s="27">
        <v>155.0</v>
      </c>
      <c r="W8" s="27">
        <v>286.0</v>
      </c>
      <c r="X8" s="27">
        <v>305.0</v>
      </c>
      <c r="Y8" s="27">
        <v>297.0</v>
      </c>
      <c r="Z8" s="27">
        <v>264.0</v>
      </c>
      <c r="AA8" s="27">
        <v>196.0</v>
      </c>
      <c r="AB8" s="27">
        <v>262.0</v>
      </c>
      <c r="AC8" s="27">
        <v>180.0</v>
      </c>
      <c r="AD8" s="27">
        <v>126.0</v>
      </c>
      <c r="AE8" s="27">
        <v>185.0</v>
      </c>
      <c r="AF8" s="27">
        <v>156.0</v>
      </c>
      <c r="AG8" s="27">
        <v>186.0</v>
      </c>
      <c r="AH8" s="27">
        <v>344.0</v>
      </c>
      <c r="AI8" s="27">
        <v>397.0</v>
      </c>
      <c r="AJ8" s="27">
        <v>252.0</v>
      </c>
      <c r="AK8" s="27">
        <v>198.0</v>
      </c>
      <c r="AL8" s="27">
        <v>212.0</v>
      </c>
      <c r="AM8" s="27">
        <v>145.0</v>
      </c>
      <c r="AN8" s="27">
        <v>130.0</v>
      </c>
      <c r="AO8" s="28">
        <f t="shared" si="3"/>
        <v>2839.0</v>
      </c>
      <c r="AP8" s="28">
        <f t="shared" si="4"/>
        <v>1548.0</v>
      </c>
      <c r="AQ8" s="28">
        <f t="shared" si="5"/>
        <v>1702.8</v>
      </c>
      <c r="AS8" s="1">
        <f t="shared" si="6"/>
        <v>337.4701986755</v>
      </c>
      <c r="AT8" s="1">
        <f t="shared" si="7"/>
        <v>163.192052980132</v>
      </c>
      <c r="AU8" s="1">
        <f t="shared" si="8"/>
        <v>310.13245033112</v>
      </c>
      <c r="AV8" s="1">
        <f t="shared" si="9"/>
        <v>255.456953642384</v>
      </c>
      <c r="AW8" s="1">
        <f t="shared" si="10"/>
        <v>200.781456953642</v>
      </c>
      <c r="AX8" s="1">
        <f t="shared" si="11"/>
        <v>395.562913907284</v>
      </c>
      <c r="AY8" s="2">
        <f t="shared" si="12"/>
        <v>1662.59602649006</v>
      </c>
      <c r="AZ8" s="2" t="e">
        <f t="shared" si="13"/>
        <v>#REF!</v>
      </c>
      <c r="BC8" s="28" t="e">
        <f t="shared" si="15"/>
        <v>#REF!</v>
      </c>
      <c r="BD8" s="29">
        <f>VLOOKUP(C8,MOQ,3,FALSE())</f>
        <v>504.0</v>
      </c>
      <c r="BE8" s="30" t="s">
        <v>32</v>
      </c>
      <c r="BG8" s="1" t="e">
        <f t="shared" si="17"/>
        <v>#REF!</v>
      </c>
      <c r="BH8" s="1">
        <f t="shared" si="18"/>
        <v>337.4701986755</v>
      </c>
      <c r="BI8" s="1">
        <f t="shared" si="19"/>
      </c>
      <c r="BJ8" s="3" t="e">
        <f t="shared" si="20"/>
        <v>#REF!</v>
      </c>
      <c r="BK8" s="1">
        <f t="shared" si="21"/>
        <v>163.192052980132</v>
      </c>
      <c r="BL8" s="1">
        <f t="shared" si="22"/>
      </c>
      <c r="BM8" s="3" t="e">
        <f t="shared" si="23"/>
        <v>#REF!</v>
      </c>
      <c r="BN8" s="1">
        <f t="shared" si="24"/>
        <v>310.13245033112</v>
      </c>
      <c r="BP8" s="3" t="e">
        <f t="shared" si="25"/>
        <v>#REF!</v>
      </c>
      <c r="BQ8" s="1">
        <f t="shared" si="26"/>
        <v>255.456953642384</v>
      </c>
      <c r="BS8" s="3" t="e">
        <f t="shared" si="27"/>
        <v>#REF!</v>
      </c>
      <c r="BT8" s="1">
        <f t="shared" si="28"/>
        <v>200.781456953642</v>
      </c>
      <c r="BV8" s="3" t="e">
        <f t="shared" si="29"/>
        <v>#REF!</v>
      </c>
      <c r="BW8" s="1">
        <f t="shared" si="30"/>
        <v>395.562913907284</v>
      </c>
      <c r="BY8" s="3" t="e">
        <f t="shared" si="31"/>
        <v>#REF!</v>
      </c>
    </row>
    <row r="9" ht="14.0">
      <c r="A9" s="27" t="s">
        <v>28</v>
      </c>
      <c r="B9" s="27" t="s">
        <v>29</v>
      </c>
      <c r="C9" s="27" t="s">
        <v>35</v>
      </c>
      <c r="D9" s="27" t="s">
        <v>36</v>
      </c>
      <c r="E9" s="27"/>
      <c r="F9" s="27">
        <v>0.0</v>
      </c>
      <c r="G9" s="27">
        <v>0.0</v>
      </c>
      <c r="H9" s="27">
        <v>0.0</v>
      </c>
      <c r="I9" s="27">
        <v>0.0</v>
      </c>
      <c r="J9" s="27">
        <v>0.0</v>
      </c>
      <c r="K9" s="27">
        <v>0.0</v>
      </c>
      <c r="L9" s="27">
        <v>0.0</v>
      </c>
      <c r="M9" s="27">
        <v>0.0</v>
      </c>
      <c r="N9" s="27">
        <v>0.0</v>
      </c>
      <c r="O9" s="27">
        <v>0.0</v>
      </c>
      <c r="P9" s="27">
        <v>0.0</v>
      </c>
      <c r="Q9" s="27">
        <v>0.0</v>
      </c>
      <c r="R9" s="27">
        <v>0.0</v>
      </c>
      <c r="S9" s="27">
        <v>0.0</v>
      </c>
      <c r="T9" s="27">
        <v>0.0</v>
      </c>
      <c r="U9" s="27">
        <v>0.0</v>
      </c>
      <c r="V9" s="27">
        <v>0.0</v>
      </c>
      <c r="W9" s="27">
        <v>0.0</v>
      </c>
      <c r="X9" s="27">
        <v>0.0</v>
      </c>
      <c r="Y9" s="27">
        <v>0.0</v>
      </c>
      <c r="Z9" s="27">
        <v>0.0</v>
      </c>
      <c r="AA9" s="27">
        <v>168.0</v>
      </c>
      <c r="AB9" s="27">
        <v>78.0</v>
      </c>
      <c r="AC9" s="27">
        <v>58.0</v>
      </c>
      <c r="AD9" s="27">
        <v>53.0</v>
      </c>
      <c r="AE9" s="27">
        <v>38.0</v>
      </c>
      <c r="AF9" s="27">
        <v>35.0</v>
      </c>
      <c r="AG9" s="27">
        <v>27.0</v>
      </c>
      <c r="AH9" s="27">
        <v>28.0</v>
      </c>
      <c r="AI9" s="27">
        <v>42.0</v>
      </c>
      <c r="AJ9" s="27">
        <v>95.0</v>
      </c>
      <c r="AK9" s="27">
        <v>65.0</v>
      </c>
      <c r="AL9" s="27">
        <v>31.0</v>
      </c>
      <c r="AM9" s="27">
        <v>34.0</v>
      </c>
      <c r="AN9" s="27">
        <v>47.0</v>
      </c>
      <c r="AO9" s="28">
        <f t="shared" si="3"/>
        <v>752.0</v>
      </c>
      <c r="AP9" s="28">
        <f t="shared" si="4"/>
        <v>295.0</v>
      </c>
      <c r="AQ9" s="28">
        <f t="shared" si="5"/>
        <v>324.5</v>
      </c>
      <c r="AS9" s="1">
        <f t="shared" si="6"/>
        <v>69.167770419426</v>
      </c>
      <c r="AT9" s="1">
        <f t="shared" si="7"/>
        <v>35.9558498896247</v>
      </c>
      <c r="AU9" s="1">
        <f t="shared" si="8"/>
        <v>63.9580573951434</v>
      </c>
      <c r="AV9" s="1">
        <f t="shared" si="9"/>
        <v>53.5386313465783</v>
      </c>
      <c r="AW9" s="1">
        <f t="shared" si="10"/>
        <v>43.1192052980132</v>
      </c>
      <c r="AX9" s="1">
        <f t="shared" si="11"/>
        <v>80.2384105960265</v>
      </c>
      <c r="AY9" s="2">
        <f t="shared" si="12"/>
        <v>345.977924944812</v>
      </c>
      <c r="AZ9" s="2" t="e">
        <f t="shared" si="13"/>
        <v>#REF!</v>
      </c>
      <c r="BC9" s="3" t="e">
        <f t="shared" si="15"/>
        <v>#REF!</v>
      </c>
      <c r="BD9" s="1">
        <f>VLOOKUP(C9,MOQ,3,FALSE())</f>
        <v>1000.0</v>
      </c>
      <c r="BG9" s="1" t="e">
        <f t="shared" si="17"/>
        <v>#REF!</v>
      </c>
      <c r="BH9" s="1">
        <f t="shared" si="18"/>
        <v>69.167770419426</v>
      </c>
      <c r="BI9" s="1">
        <f t="shared" si="19"/>
      </c>
      <c r="BJ9" s="3" t="e">
        <f t="shared" si="20"/>
        <v>#REF!</v>
      </c>
      <c r="BK9" s="1">
        <f t="shared" si="21"/>
        <v>35.9558498896247</v>
      </c>
      <c r="BL9" s="1">
        <f t="shared" si="22"/>
      </c>
      <c r="BM9" s="3" t="e">
        <f t="shared" si="23"/>
        <v>#REF!</v>
      </c>
      <c r="BN9" s="1">
        <f t="shared" si="24"/>
        <v>63.9580573951434</v>
      </c>
      <c r="BP9" s="3" t="e">
        <f t="shared" si="25"/>
        <v>#REF!</v>
      </c>
      <c r="BQ9" s="1">
        <f t="shared" si="26"/>
        <v>53.5386313465783</v>
      </c>
      <c r="BS9" s="3" t="e">
        <f t="shared" si="27"/>
        <v>#REF!</v>
      </c>
      <c r="BT9" s="1">
        <f t="shared" si="28"/>
        <v>43.1192052980132</v>
      </c>
      <c r="BV9" s="3" t="e">
        <f t="shared" si="29"/>
        <v>#REF!</v>
      </c>
      <c r="BW9" s="1">
        <f t="shared" si="30"/>
        <v>80.2384105960265</v>
      </c>
      <c r="BY9" s="3" t="e">
        <f t="shared" si="31"/>
        <v>#REF!</v>
      </c>
    </row>
    <row r="10" ht="14.0">
      <c r="A10" s="27" t="s">
        <v>28</v>
      </c>
      <c r="B10" s="27" t="s">
        <v>29</v>
      </c>
      <c r="C10" s="27" t="s">
        <v>37</v>
      </c>
      <c r="D10" s="27" t="s">
        <v>38</v>
      </c>
      <c r="E10" s="27"/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288.0</v>
      </c>
      <c r="AB10" s="27">
        <v>150.0</v>
      </c>
      <c r="AC10" s="27">
        <v>104.0</v>
      </c>
      <c r="AD10" s="27">
        <v>130.0</v>
      </c>
      <c r="AE10" s="27">
        <v>90.0</v>
      </c>
      <c r="AF10" s="27">
        <v>23.0</v>
      </c>
      <c r="AG10" s="27">
        <v>51.0</v>
      </c>
      <c r="AH10" s="27">
        <v>91.0</v>
      </c>
      <c r="AI10" s="27">
        <v>130.0</v>
      </c>
      <c r="AJ10" s="27">
        <v>74.0</v>
      </c>
      <c r="AK10" s="27">
        <v>53.0</v>
      </c>
      <c r="AL10" s="27">
        <v>36.0</v>
      </c>
      <c r="AM10" s="27">
        <v>53.0</v>
      </c>
      <c r="AN10" s="27">
        <v>69.0</v>
      </c>
      <c r="AO10" s="28">
        <f t="shared" si="3"/>
        <v>1273.0</v>
      </c>
      <c r="AP10" s="28">
        <f t="shared" si="4"/>
        <v>437.0</v>
      </c>
      <c r="AQ10" s="28">
        <f t="shared" si="5"/>
        <v>480.7</v>
      </c>
      <c r="AS10" s="1">
        <f t="shared" si="6"/>
        <v>99.5739514348786</v>
      </c>
      <c r="AT10" s="1">
        <f t="shared" si="7"/>
        <v>50.3752759381898</v>
      </c>
      <c r="AU10" s="1">
        <f t="shared" si="8"/>
        <v>91.8565121412803</v>
      </c>
      <c r="AV10" s="1">
        <f t="shared" si="9"/>
        <v>76.4216335540839</v>
      </c>
      <c r="AW10" s="1">
        <f t="shared" si="10"/>
        <v>60.9867549668874</v>
      </c>
      <c r="AX10" s="1">
        <f t="shared" si="11"/>
        <v>115.973509933774</v>
      </c>
      <c r="AY10" s="2">
        <f t="shared" si="12"/>
        <v>495.187637969094</v>
      </c>
      <c r="AZ10" s="2" t="e">
        <f t="shared" si="13"/>
        <v>#REF!</v>
      </c>
      <c r="BC10" s="3" t="e">
        <f t="shared" si="15"/>
        <v>#REF!</v>
      </c>
      <c r="BD10" s="1">
        <f>VLOOKUP(C10,MOQ,3,FALSE())</f>
        <v>1000.0</v>
      </c>
      <c r="BG10" s="1" t="e">
        <f t="shared" si="17"/>
        <v>#REF!</v>
      </c>
      <c r="BH10" s="1">
        <f t="shared" si="18"/>
        <v>99.5739514348786</v>
      </c>
      <c r="BI10" s="1">
        <f t="shared" si="19"/>
      </c>
      <c r="BJ10" s="3" t="e">
        <f t="shared" si="20"/>
        <v>#REF!</v>
      </c>
      <c r="BK10" s="1">
        <f t="shared" si="21"/>
        <v>50.3752759381898</v>
      </c>
      <c r="BL10" s="1">
        <f t="shared" si="22"/>
      </c>
      <c r="BM10" s="3" t="e">
        <f t="shared" si="23"/>
        <v>#REF!</v>
      </c>
      <c r="BN10" s="1">
        <f t="shared" si="24"/>
        <v>91.8565121412803</v>
      </c>
      <c r="BP10" s="3" t="e">
        <f t="shared" si="25"/>
        <v>#REF!</v>
      </c>
      <c r="BQ10" s="1">
        <f t="shared" si="26"/>
        <v>76.4216335540839</v>
      </c>
      <c r="BS10" s="3" t="e">
        <f t="shared" si="27"/>
        <v>#REF!</v>
      </c>
      <c r="BT10" s="1">
        <f t="shared" si="28"/>
        <v>60.9867549668874</v>
      </c>
      <c r="BV10" s="3" t="e">
        <f t="shared" si="29"/>
        <v>#REF!</v>
      </c>
      <c r="BW10" s="1">
        <f t="shared" si="30"/>
        <v>115.973509933774</v>
      </c>
      <c r="BY10" s="3" t="e">
        <f t="shared" si="31"/>
        <v>#REF!</v>
      </c>
    </row>
    <row r="11" ht="14.0">
      <c r="A11" s="27" t="s">
        <v>28</v>
      </c>
      <c r="B11" s="27" t="s">
        <v>29</v>
      </c>
      <c r="C11" s="27" t="s">
        <v>39</v>
      </c>
      <c r="D11" s="27" t="s">
        <v>40</v>
      </c>
      <c r="E11" s="27"/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175.0</v>
      </c>
      <c r="AB11" s="27">
        <v>102.0</v>
      </c>
      <c r="AC11" s="27">
        <v>58.0</v>
      </c>
      <c r="AD11" s="27">
        <v>63.0</v>
      </c>
      <c r="AE11" s="27">
        <v>30.0</v>
      </c>
      <c r="AF11" s="27">
        <v>50.0</v>
      </c>
      <c r="AG11" s="27">
        <v>42.0</v>
      </c>
      <c r="AH11" s="27">
        <v>73.0</v>
      </c>
      <c r="AI11" s="27">
        <v>101.0</v>
      </c>
      <c r="AJ11" s="27">
        <v>94.0</v>
      </c>
      <c r="AK11" s="27">
        <v>34.0</v>
      </c>
      <c r="AL11" s="27">
        <v>48.0</v>
      </c>
      <c r="AM11" s="27">
        <v>66.0</v>
      </c>
      <c r="AN11" s="27">
        <v>42.0</v>
      </c>
      <c r="AO11" s="28">
        <f t="shared" si="3"/>
        <v>936.0</v>
      </c>
      <c r="AP11" s="28">
        <f t="shared" si="4"/>
        <v>416.0</v>
      </c>
      <c r="AQ11" s="28">
        <f t="shared" si="5"/>
        <v>457.6</v>
      </c>
      <c r="AS11" s="1">
        <f t="shared" si="6"/>
        <v>95.0772626931567</v>
      </c>
      <c r="AT11" s="1">
        <f t="shared" si="7"/>
        <v>48.242825607064</v>
      </c>
      <c r="AU11" s="1">
        <f t="shared" si="8"/>
        <v>87.7306843267108</v>
      </c>
      <c r="AV11" s="1">
        <f t="shared" si="9"/>
        <v>73.037527593819</v>
      </c>
      <c r="AW11" s="1">
        <f t="shared" si="10"/>
        <v>58.3443708609271</v>
      </c>
      <c r="AX11" s="1">
        <f t="shared" si="11"/>
        <v>110.688741721854</v>
      </c>
      <c r="AY11" s="2">
        <f t="shared" si="12"/>
        <v>473.121412803531</v>
      </c>
      <c r="AZ11" s="2" t="e">
        <f t="shared" si="13"/>
        <v>#REF!</v>
      </c>
      <c r="BC11" s="3" t="e">
        <f t="shared" si="15"/>
        <v>#REF!</v>
      </c>
      <c r="BD11" s="1">
        <f>VLOOKUP(C11,MOQ,3,FALSE())</f>
        <v>1000.0</v>
      </c>
      <c r="BE11" s="4">
        <f>BD11</f>
        <v>1000.0</v>
      </c>
      <c r="BF11" s="1" t="s">
        <v>10</v>
      </c>
      <c r="BG11" s="1" t="e">
        <f t="shared" si="17"/>
        <v>#REF!</v>
      </c>
      <c r="BH11" s="1">
        <f t="shared" si="18"/>
        <v>95.0772626931567</v>
      </c>
      <c r="BI11" s="1">
        <f t="shared" si="19"/>
      </c>
      <c r="BJ11" s="3" t="e">
        <f t="shared" si="20"/>
        <v>#REF!</v>
      </c>
      <c r="BK11" s="1">
        <f t="shared" si="21"/>
        <v>48.242825607064</v>
      </c>
      <c r="BL11" s="1">
        <f t="shared" si="22"/>
      </c>
      <c r="BM11" s="3" t="e">
        <f t="shared" si="23"/>
        <v>#REF!</v>
      </c>
      <c r="BN11" s="1">
        <f t="shared" si="24"/>
        <v>87.7306843267108</v>
      </c>
      <c r="BP11" s="3" t="e">
        <f t="shared" si="25"/>
        <v>#REF!</v>
      </c>
      <c r="BQ11" s="1">
        <f t="shared" si="26"/>
        <v>73.037527593819</v>
      </c>
      <c r="BS11" s="3" t="e">
        <f t="shared" si="27"/>
        <v>#REF!</v>
      </c>
      <c r="BT11" s="1">
        <f t="shared" si="28"/>
        <v>58.3443708609271</v>
      </c>
      <c r="BV11" s="3" t="e">
        <f t="shared" si="29"/>
        <v>#REF!</v>
      </c>
      <c r="BW11" s="1">
        <f t="shared" si="30"/>
        <v>110.688741721854</v>
      </c>
      <c r="BY11" s="3" t="e">
        <f t="shared" si="31"/>
        <v>#REF!</v>
      </c>
    </row>
    <row r="12" ht="14.0">
      <c r="A12" s="27" t="s">
        <v>28</v>
      </c>
      <c r="B12" s="27" t="s">
        <v>29</v>
      </c>
      <c r="C12" s="27" t="s">
        <v>41</v>
      </c>
      <c r="D12" s="27" t="s">
        <v>42</v>
      </c>
      <c r="E12" s="27"/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168.0</v>
      </c>
      <c r="AB12" s="27">
        <v>69.0</v>
      </c>
      <c r="AC12" s="27">
        <v>43.0</v>
      </c>
      <c r="AD12" s="27">
        <v>30.0</v>
      </c>
      <c r="AE12" s="27">
        <v>19.0</v>
      </c>
      <c r="AF12" s="27">
        <v>19.0</v>
      </c>
      <c r="AG12" s="27">
        <v>12.0</v>
      </c>
      <c r="AH12" s="27">
        <v>27.0</v>
      </c>
      <c r="AI12" s="27">
        <v>30.0</v>
      </c>
      <c r="AJ12" s="27">
        <v>33.0</v>
      </c>
      <c r="AK12" s="27">
        <v>34.0</v>
      </c>
      <c r="AL12" s="27">
        <v>38.0</v>
      </c>
      <c r="AM12" s="27">
        <v>47.0</v>
      </c>
      <c r="AN12" s="27">
        <v>35.0</v>
      </c>
      <c r="AO12" s="28">
        <f t="shared" si="3"/>
        <v>569.0</v>
      </c>
      <c r="AP12" s="28">
        <f t="shared" si="4"/>
        <v>209.0</v>
      </c>
      <c r="AQ12" s="28">
        <f t="shared" si="5"/>
        <v>229.9</v>
      </c>
      <c r="AS12" s="1">
        <f t="shared" si="6"/>
        <v>50.7527593818984</v>
      </c>
      <c r="AT12" s="1">
        <f t="shared" si="7"/>
        <v>27.2229580573951</v>
      </c>
      <c r="AU12" s="1">
        <f t="shared" si="8"/>
        <v>47.0618101545253</v>
      </c>
      <c r="AV12" s="1">
        <f t="shared" si="9"/>
        <v>39.6799116997792</v>
      </c>
      <c r="AW12" s="1">
        <f t="shared" si="10"/>
        <v>32.2980132450331</v>
      </c>
      <c r="AX12" s="1">
        <f t="shared" si="11"/>
        <v>58.5960264900662</v>
      </c>
      <c r="AY12" s="2">
        <f t="shared" si="12"/>
        <v>255.611479028697</v>
      </c>
      <c r="AZ12" s="2" t="e">
        <f t="shared" si="13"/>
        <v>#REF!</v>
      </c>
      <c r="BC12" s="3" t="e">
        <f t="shared" si="15"/>
        <v>#REF!</v>
      </c>
      <c r="BD12" s="1">
        <f>VLOOKUP(C12,MOQ,3,FALSE())</f>
        <v>1000.0</v>
      </c>
      <c r="BG12" s="1" t="e">
        <f t="shared" si="17"/>
        <v>#REF!</v>
      </c>
      <c r="BH12" s="1">
        <f t="shared" si="18"/>
        <v>50.7527593818984</v>
      </c>
      <c r="BI12" s="1">
        <f t="shared" si="19"/>
      </c>
      <c r="BJ12" s="3" t="e">
        <f t="shared" si="20"/>
        <v>#REF!</v>
      </c>
      <c r="BK12" s="1">
        <f t="shared" si="21"/>
        <v>27.2229580573951</v>
      </c>
      <c r="BL12" s="1">
        <f t="shared" si="22"/>
      </c>
      <c r="BM12" s="3" t="e">
        <f t="shared" si="23"/>
        <v>#REF!</v>
      </c>
      <c r="BN12" s="1">
        <f t="shared" si="24"/>
        <v>47.0618101545253</v>
      </c>
      <c r="BP12" s="3" t="e">
        <f t="shared" si="25"/>
        <v>#REF!</v>
      </c>
      <c r="BQ12" s="1">
        <f t="shared" si="26"/>
        <v>39.6799116997792</v>
      </c>
      <c r="BS12" s="3" t="e">
        <f t="shared" si="27"/>
        <v>#REF!</v>
      </c>
      <c r="BT12" s="1">
        <f t="shared" si="28"/>
        <v>32.2980132450331</v>
      </c>
      <c r="BV12" s="3" t="e">
        <f t="shared" si="29"/>
        <v>#REF!</v>
      </c>
      <c r="BW12" s="1">
        <f t="shared" si="30"/>
        <v>58.5960264900662</v>
      </c>
      <c r="BY12" s="3" t="e">
        <f t="shared" si="31"/>
        <v>#REF!</v>
      </c>
    </row>
    <row r="13" ht="14.0">
      <c r="A13" s="27" t="s">
        <v>28</v>
      </c>
      <c r="B13" s="27" t="s">
        <v>29</v>
      </c>
      <c r="C13" s="27" t="s">
        <v>43</v>
      </c>
      <c r="D13" s="27" t="s">
        <v>44</v>
      </c>
      <c r="E13" s="27"/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234.0</v>
      </c>
      <c r="AB13" s="27">
        <v>144.0</v>
      </c>
      <c r="AC13" s="27">
        <v>112.0</v>
      </c>
      <c r="AD13" s="27">
        <v>89.0</v>
      </c>
      <c r="AE13" s="27">
        <v>72.0</v>
      </c>
      <c r="AF13" s="27">
        <v>39.0</v>
      </c>
      <c r="AG13" s="27">
        <v>61.0</v>
      </c>
      <c r="AH13" s="27">
        <v>103.0</v>
      </c>
      <c r="AI13" s="27">
        <v>114.0</v>
      </c>
      <c r="AJ13" s="27">
        <v>146.0</v>
      </c>
      <c r="AK13" s="27">
        <v>74.0</v>
      </c>
      <c r="AL13" s="27">
        <v>45.0</v>
      </c>
      <c r="AM13" s="27">
        <v>82.0</v>
      </c>
      <c r="AN13" s="27">
        <v>59.0</v>
      </c>
      <c r="AO13" s="28">
        <f t="shared" si="3"/>
        <v>1315.0</v>
      </c>
      <c r="AP13" s="28">
        <f t="shared" si="4"/>
        <v>564.0</v>
      </c>
      <c r="AQ13" s="28">
        <f t="shared" si="5"/>
        <v>620.4</v>
      </c>
      <c r="AS13" s="1">
        <f t="shared" si="6"/>
        <v>126.76821192052</v>
      </c>
      <c r="AT13" s="1">
        <f t="shared" si="7"/>
        <v>63.2715231788079</v>
      </c>
      <c r="AU13" s="1">
        <f t="shared" si="8"/>
        <v>116.807947019868</v>
      </c>
      <c r="AV13" s="1">
        <f t="shared" si="9"/>
        <v>96.887417218543</v>
      </c>
      <c r="AW13" s="1">
        <f t="shared" si="10"/>
        <v>76.9668874172185</v>
      </c>
      <c r="AX13" s="1">
        <f t="shared" si="11"/>
        <v>147.933774834437</v>
      </c>
      <c r="AY13" s="2">
        <f t="shared" si="12"/>
        <v>628.635761589394</v>
      </c>
      <c r="AZ13" s="2" t="e">
        <f t="shared" si="13"/>
        <v>#REF!</v>
      </c>
      <c r="BC13" s="3" t="e">
        <f t="shared" si="15"/>
        <v>#REF!</v>
      </c>
      <c r="BD13" s="1">
        <f>VLOOKUP(C13,MOQ,3,FALSE())</f>
        <v>1000.0</v>
      </c>
      <c r="BG13" s="1" t="e">
        <f t="shared" si="17"/>
        <v>#REF!</v>
      </c>
      <c r="BH13" s="1">
        <f t="shared" si="18"/>
        <v>126.76821192052</v>
      </c>
      <c r="BI13" s="1">
        <f t="shared" si="19"/>
      </c>
      <c r="BJ13" s="3" t="e">
        <f t="shared" si="20"/>
        <v>#REF!</v>
      </c>
      <c r="BK13" s="1">
        <f t="shared" si="21"/>
        <v>63.2715231788079</v>
      </c>
      <c r="BL13" s="1">
        <f t="shared" si="22"/>
      </c>
      <c r="BM13" s="3" t="e">
        <f t="shared" si="23"/>
        <v>#REF!</v>
      </c>
      <c r="BN13" s="1">
        <f t="shared" si="24"/>
        <v>116.807947019868</v>
      </c>
      <c r="BP13" s="3" t="e">
        <f t="shared" si="25"/>
        <v>#REF!</v>
      </c>
      <c r="BQ13" s="1">
        <f t="shared" si="26"/>
        <v>96.887417218543</v>
      </c>
      <c r="BS13" s="3" t="e">
        <f t="shared" si="27"/>
        <v>#REF!</v>
      </c>
      <c r="BT13" s="1">
        <f t="shared" si="28"/>
        <v>76.9668874172185</v>
      </c>
      <c r="BV13" s="3" t="e">
        <f t="shared" si="29"/>
        <v>#REF!</v>
      </c>
      <c r="BW13" s="1">
        <f t="shared" si="30"/>
        <v>147.933774834437</v>
      </c>
      <c r="BY13" s="3" t="e">
        <f t="shared" si="31"/>
        <v>#REF!</v>
      </c>
    </row>
    <row r="14" ht="14.0">
      <c r="A14" s="27" t="s">
        <v>45</v>
      </c>
      <c r="B14" s="27" t="s">
        <v>29</v>
      </c>
      <c r="C14" s="27" t="s">
        <v>46</v>
      </c>
      <c r="D14" s="27" t="s">
        <v>47</v>
      </c>
      <c r="E14" s="27"/>
      <c r="F14" s="27">
        <v>0.0</v>
      </c>
      <c r="G14" s="27">
        <v>1.0</v>
      </c>
      <c r="H14" s="27">
        <v>0.0</v>
      </c>
      <c r="I14" s="27">
        <v>2.0</v>
      </c>
      <c r="J14" s="27">
        <v>0.0</v>
      </c>
      <c r="K14" s="27">
        <v>2.0</v>
      </c>
      <c r="L14" s="27">
        <v>1.0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1.0</v>
      </c>
      <c r="AB14" s="27">
        <v>0.0</v>
      </c>
      <c r="AC14" s="27">
        <v>0.0</v>
      </c>
      <c r="AD14" s="27">
        <v>0.0</v>
      </c>
      <c r="AE14" s="27">
        <v>0.0</v>
      </c>
      <c r="AF14" s="27">
        <v>0.0</v>
      </c>
      <c r="AG14" s="27">
        <v>0.0</v>
      </c>
      <c r="AH14" s="27">
        <v>0.0</v>
      </c>
      <c r="AI14" s="27">
        <v>0.0</v>
      </c>
      <c r="AJ14" s="27">
        <v>0.0</v>
      </c>
      <c r="AK14" s="27">
        <v>0.0</v>
      </c>
      <c r="AL14" s="27">
        <v>0.0</v>
      </c>
      <c r="AM14" s="27">
        <v>0.0</v>
      </c>
      <c r="AN14" s="27"/>
      <c r="AO14" s="28">
        <f t="shared" si="3"/>
        <v>1.0</v>
      </c>
      <c r="AP14" s="28">
        <f t="shared" si="4"/>
        <v>0.0</v>
      </c>
      <c r="AQ14" s="28">
        <f t="shared" si="5"/>
        <v>0.0</v>
      </c>
      <c r="AS14" s="1">
        <f>AS15</f>
        <v>1.0</v>
      </c>
      <c r="AT14" s="1">
        <f>AT15</f>
        <v>1.0</v>
      </c>
      <c r="AU14" s="1">
        <f>AU15</f>
        <v>1.0</v>
      </c>
      <c r="AV14" s="1">
        <f>AV15</f>
        <v>1.0</v>
      </c>
      <c r="AW14" s="1">
        <f>AW15</f>
        <v>1.0</v>
      </c>
      <c r="AX14" s="1">
        <f>AX15</f>
        <v>1.0</v>
      </c>
      <c r="AY14" s="2">
        <f t="shared" si="12"/>
        <v>6.0</v>
      </c>
      <c r="AZ14" s="2" t="e">
        <f t="shared" si="13"/>
        <v>#REF!</v>
      </c>
      <c r="BC14" s="3" t="e">
        <f t="shared" si="15"/>
        <v>#REF!</v>
      </c>
      <c r="BD14" s="1">
        <f>VLOOKUP(C14,MOQ,3,FALSE())</f>
        <v>300.0</v>
      </c>
      <c r="BE14" s="31"/>
      <c r="BF14" s="1" t="s">
        <v>5</v>
      </c>
      <c r="BG14" s="1" t="e">
        <f t="shared" si="17"/>
        <v>#REF!</v>
      </c>
      <c r="BH14" s="1">
        <f t="shared" si="18"/>
        <v>1.0</v>
      </c>
      <c r="BI14" s="1">
        <f t="shared" si="19"/>
      </c>
      <c r="BJ14" s="3" t="e">
        <f t="shared" si="20"/>
        <v>#REF!</v>
      </c>
      <c r="BK14" s="1">
        <f t="shared" si="21"/>
        <v>1.0</v>
      </c>
      <c r="BL14" s="1">
        <f t="shared" si="22"/>
      </c>
      <c r="BM14" s="3" t="e">
        <f t="shared" si="23"/>
        <v>#REF!</v>
      </c>
      <c r="BN14" s="1">
        <f t="shared" si="24"/>
        <v>1.0</v>
      </c>
      <c r="BP14" s="3" t="e">
        <f t="shared" si="25"/>
        <v>#REF!</v>
      </c>
      <c r="BQ14" s="1">
        <f t="shared" si="26"/>
        <v>1.0</v>
      </c>
      <c r="BS14" s="3" t="e">
        <f t="shared" si="27"/>
        <v>#REF!</v>
      </c>
      <c r="BT14" s="1">
        <f t="shared" si="28"/>
        <v>1.0</v>
      </c>
      <c r="BV14" s="3" t="e">
        <f t="shared" si="29"/>
        <v>#REF!</v>
      </c>
      <c r="BW14" s="1">
        <f t="shared" si="30"/>
        <v>1.0</v>
      </c>
      <c r="BY14" s="3" t="e">
        <f t="shared" si="31"/>
        <v>#REF!</v>
      </c>
    </row>
    <row r="15" ht="14.0">
      <c r="A15" s="27" t="s">
        <v>28</v>
      </c>
      <c r="B15" s="27" t="s">
        <v>29</v>
      </c>
      <c r="C15" s="27" t="s">
        <v>48</v>
      </c>
      <c r="D15" s="27" t="s">
        <v>49</v>
      </c>
      <c r="E15" s="27"/>
      <c r="F15" s="27">
        <v>0.0</v>
      </c>
      <c r="G15" s="27">
        <v>0.0</v>
      </c>
      <c r="H15" s="27">
        <v>1.0</v>
      </c>
      <c r="I15" s="27">
        <v>1.0</v>
      </c>
      <c r="J15" s="27">
        <v>3.0</v>
      </c>
      <c r="K15" s="27">
        <v>5.0</v>
      </c>
      <c r="L15" s="27">
        <v>0.0</v>
      </c>
      <c r="M15" s="27">
        <v>1.0</v>
      </c>
      <c r="N15" s="27">
        <v>2.0</v>
      </c>
      <c r="O15" s="27">
        <v>4.0</v>
      </c>
      <c r="P15" s="27">
        <v>1.0</v>
      </c>
      <c r="Q15" s="27">
        <v>3.0</v>
      </c>
      <c r="R15" s="27">
        <v>0.0</v>
      </c>
      <c r="S15" s="27">
        <v>1.0</v>
      </c>
      <c r="T15" s="27">
        <v>2.0</v>
      </c>
      <c r="U15" s="27">
        <v>0.0</v>
      </c>
      <c r="V15" s="27">
        <v>1.0</v>
      </c>
      <c r="W15" s="27">
        <v>1.0</v>
      </c>
      <c r="X15" s="27">
        <v>0.0</v>
      </c>
      <c r="Y15" s="27">
        <v>0.0</v>
      </c>
      <c r="Z15" s="27">
        <v>0.0</v>
      </c>
      <c r="AA15" s="27">
        <v>0.0</v>
      </c>
      <c r="AB15" s="27">
        <v>1.0</v>
      </c>
      <c r="AC15" s="27">
        <v>0.0</v>
      </c>
      <c r="AD15" s="27">
        <v>0.0</v>
      </c>
      <c r="AE15" s="27">
        <v>2.0</v>
      </c>
      <c r="AF15" s="27">
        <v>0.0</v>
      </c>
      <c r="AG15" s="27">
        <v>0.0</v>
      </c>
      <c r="AH15" s="27">
        <v>2.0</v>
      </c>
      <c r="AI15" s="27">
        <v>4.0</v>
      </c>
      <c r="AJ15" s="27">
        <v>0.0</v>
      </c>
      <c r="AK15" s="27">
        <v>0.0</v>
      </c>
      <c r="AL15" s="27">
        <v>-1.0</v>
      </c>
      <c r="AM15" s="27">
        <v>0.0</v>
      </c>
      <c r="AN15" s="27">
        <v>0.0</v>
      </c>
      <c r="AO15" s="32">
        <f t="shared" si="3"/>
        <v>8.0</v>
      </c>
      <c r="AP15" s="32">
        <f t="shared" si="4"/>
        <v>5.0</v>
      </c>
      <c r="AQ15" s="32">
        <f t="shared" si="5"/>
        <v>5.5</v>
      </c>
      <c r="AR15" s="33"/>
      <c r="AS15" s="33">
        <v>1.0</v>
      </c>
      <c r="AT15" s="33">
        <v>1.0</v>
      </c>
      <c r="AU15" s="33">
        <v>1.0</v>
      </c>
      <c r="AV15" s="33">
        <v>1.0</v>
      </c>
      <c r="AW15" s="33">
        <v>1.0</v>
      </c>
      <c r="AX15" s="33">
        <v>1.0</v>
      </c>
      <c r="AY15" s="2">
        <f t="shared" si="12"/>
        <v>6.0</v>
      </c>
      <c r="AZ15" s="2" t="e">
        <f t="shared" si="13"/>
        <v>#REF!</v>
      </c>
      <c r="BD15">
        <f>VLOOKUP(C15,MOQ,3,FALSE())</f>
      </c>
      <c r="BG15" s="1" t="e">
        <f t="shared" si="17"/>
        <v>#REF!</v>
      </c>
      <c r="BH15" s="1">
        <f t="shared" si="18"/>
        <v>1.0</v>
      </c>
      <c r="BI15" s="1">
        <f t="shared" si="19"/>
      </c>
      <c r="BJ15" s="3" t="e">
        <f t="shared" si="20"/>
        <v>#REF!</v>
      </c>
      <c r="BK15" s="1">
        <f t="shared" si="21"/>
        <v>1.0</v>
      </c>
      <c r="BL15" s="1">
        <f t="shared" si="22"/>
      </c>
      <c r="BM15" s="3" t="e">
        <f t="shared" si="23"/>
        <v>#REF!</v>
      </c>
      <c r="BN15" s="1">
        <f t="shared" si="24"/>
        <v>1.0</v>
      </c>
      <c r="BP15" s="3" t="e">
        <f t="shared" si="25"/>
        <v>#REF!</v>
      </c>
      <c r="BQ15" s="1">
        <f t="shared" si="26"/>
        <v>1.0</v>
      </c>
      <c r="BS15" s="3" t="e">
        <f t="shared" si="27"/>
        <v>#REF!</v>
      </c>
      <c r="BT15" s="1">
        <f t="shared" si="28"/>
        <v>1.0</v>
      </c>
      <c r="BV15" s="3" t="e">
        <f t="shared" si="29"/>
        <v>#REF!</v>
      </c>
      <c r="BW15" s="1">
        <f t="shared" si="30"/>
        <v>1.0</v>
      </c>
      <c r="BY15" s="3" t="e">
        <f t="shared" si="31"/>
        <v>#REF!</v>
      </c>
    </row>
    <row r="16" ht="14.0">
      <c r="A16" s="27" t="s">
        <v>28</v>
      </c>
      <c r="B16" s="27" t="s">
        <v>29</v>
      </c>
      <c r="C16" s="27" t="s">
        <v>50</v>
      </c>
      <c r="D16" s="27" t="s">
        <v>51</v>
      </c>
      <c r="E16" s="27"/>
      <c r="F16" s="27">
        <v>90.0</v>
      </c>
      <c r="G16" s="27">
        <v>108.0</v>
      </c>
      <c r="H16" s="27">
        <v>84.0</v>
      </c>
      <c r="I16" s="27">
        <v>155.0</v>
      </c>
      <c r="J16" s="27">
        <v>120.0</v>
      </c>
      <c r="K16" s="27">
        <v>143.0</v>
      </c>
      <c r="L16" s="27">
        <v>144.0</v>
      </c>
      <c r="M16" s="27">
        <v>155.0</v>
      </c>
      <c r="N16" s="27">
        <v>60.0</v>
      </c>
      <c r="O16" s="27">
        <v>108.0</v>
      </c>
      <c r="P16" s="27">
        <v>131.0</v>
      </c>
      <c r="Q16" s="27">
        <v>91.0</v>
      </c>
      <c r="R16" s="27">
        <v>83.0</v>
      </c>
      <c r="S16" s="27">
        <v>60.0</v>
      </c>
      <c r="T16" s="27">
        <v>76.0</v>
      </c>
      <c r="U16" s="27">
        <v>101.0</v>
      </c>
      <c r="V16" s="27">
        <v>54.0</v>
      </c>
      <c r="W16" s="27">
        <v>70.0</v>
      </c>
      <c r="X16" s="27">
        <v>156.0</v>
      </c>
      <c r="Y16" s="27">
        <v>107.0</v>
      </c>
      <c r="Z16" s="27">
        <v>76.0</v>
      </c>
      <c r="AA16" s="27">
        <v>138.0</v>
      </c>
      <c r="AB16" s="27">
        <v>48.0</v>
      </c>
      <c r="AC16" s="27">
        <v>35.0</v>
      </c>
      <c r="AD16" s="27">
        <v>30.0</v>
      </c>
      <c r="AE16" s="27">
        <v>97.0</v>
      </c>
      <c r="AF16" s="27">
        <v>82.0</v>
      </c>
      <c r="AG16" s="27">
        <v>60.0</v>
      </c>
      <c r="AH16" s="27">
        <v>42.0</v>
      </c>
      <c r="AI16" s="27">
        <v>60.0</v>
      </c>
      <c r="AJ16" s="27">
        <v>77.0</v>
      </c>
      <c r="AK16" s="27">
        <v>67.0</v>
      </c>
      <c r="AL16" s="27">
        <v>23.0</v>
      </c>
      <c r="AM16" s="27">
        <v>47.0</v>
      </c>
      <c r="AN16" s="27">
        <v>24.0</v>
      </c>
      <c r="AO16" s="28">
        <f t="shared" si="3"/>
        <v>806.0</v>
      </c>
      <c r="AP16" s="28">
        <f t="shared" si="4"/>
        <v>316.0</v>
      </c>
      <c r="AQ16" s="28">
        <f t="shared" si="5"/>
        <v>347.6</v>
      </c>
      <c r="AS16" s="1">
        <f t="shared" ref="AS16:AS19" si="39">AQ16*$AS$4/$AQ$4+6*$AS$20</f>
        <v>73.6644591611479</v>
      </c>
      <c r="AT16" s="1">
        <f t="shared" ref="AT16:AT19" si="40">AQ16*$AT$4/$AQ$4+6*$AT$20</f>
        <v>32.0883002207506</v>
      </c>
      <c r="AU16" s="1">
        <f t="shared" ref="AU16:AU19" si="41">AQ16*$AU$4/$AQ$4+6*$AU$20</f>
        <v>68.083885209713</v>
      </c>
      <c r="AV16" s="1">
        <f t="shared" ref="AV16:AV19" si="42">AQ16*$AV$4/$AQ$4+6*$AV$20</f>
        <v>56.9227373068432</v>
      </c>
      <c r="AW16" s="1">
        <f t="shared" ref="AW16:AW19" si="43">AQ16*$AW$4/$AQ$4+6*$AW$20</f>
        <v>45.7615894039735</v>
      </c>
      <c r="AX16" s="1">
        <f t="shared" ref="AX16:AX19" si="44">AQ16*$AX$4/$AQ$4+6*$AX$20</f>
        <v>85.523178807947</v>
      </c>
      <c r="AY16" s="2">
        <f t="shared" si="12"/>
        <v>362.044150110375</v>
      </c>
      <c r="AZ16" s="2" t="e">
        <f t="shared" si="13"/>
        <v>#REF!</v>
      </c>
      <c r="BC16" s="3" t="e">
        <f t="shared" ref="BC16:BC19" si="45">AZ16+BA16+BB16-AY16</f>
        <v>#REF!</v>
      </c>
      <c r="BD16" s="1">
        <f>VLOOKUP(C16,MOQ,3,FALSE())</f>
        <v>480.0</v>
      </c>
      <c r="BG16" s="1" t="e">
        <f t="shared" si="17"/>
        <v>#REF!</v>
      </c>
      <c r="BH16" s="1">
        <f t="shared" si="18"/>
        <v>73.6644591611479</v>
      </c>
      <c r="BI16" s="1">
        <f t="shared" si="19"/>
      </c>
      <c r="BJ16" s="3" t="e">
        <f t="shared" si="20"/>
        <v>#REF!</v>
      </c>
      <c r="BK16" s="1">
        <f t="shared" si="21"/>
        <v>32.0883002207506</v>
      </c>
      <c r="BL16" s="1">
        <f t="shared" si="22"/>
      </c>
      <c r="BM16" s="3" t="e">
        <f t="shared" si="23"/>
        <v>#REF!</v>
      </c>
      <c r="BN16" s="1">
        <f t="shared" si="24"/>
        <v>68.083885209713</v>
      </c>
      <c r="BP16" s="3" t="e">
        <f t="shared" si="25"/>
        <v>#REF!</v>
      </c>
      <c r="BQ16" s="1">
        <f t="shared" si="26"/>
        <v>56.9227373068432</v>
      </c>
      <c r="BS16" s="3" t="e">
        <f t="shared" si="27"/>
        <v>#REF!</v>
      </c>
      <c r="BT16" s="1">
        <f t="shared" si="28"/>
        <v>45.7615894039735</v>
      </c>
      <c r="BV16" s="3" t="e">
        <f t="shared" si="29"/>
        <v>#REF!</v>
      </c>
      <c r="BW16" s="1">
        <f t="shared" si="30"/>
        <v>85.523178807947</v>
      </c>
      <c r="BY16" s="3" t="e">
        <f t="shared" si="31"/>
        <v>#REF!</v>
      </c>
    </row>
    <row r="17" ht="14.0">
      <c r="A17" s="27" t="s">
        <v>28</v>
      </c>
      <c r="B17" s="27" t="s">
        <v>29</v>
      </c>
      <c r="C17" s="27" t="s">
        <v>52</v>
      </c>
      <c r="D17" s="27" t="s">
        <v>53</v>
      </c>
      <c r="E17" s="27"/>
      <c r="F17" s="27">
        <v>58.0</v>
      </c>
      <c r="G17" s="27">
        <v>65.0</v>
      </c>
      <c r="H17" s="27">
        <v>66.0</v>
      </c>
      <c r="I17" s="27">
        <v>132.0</v>
      </c>
      <c r="J17" s="27">
        <v>78.0</v>
      </c>
      <c r="K17" s="27">
        <v>114.0</v>
      </c>
      <c r="L17" s="27">
        <v>114.0</v>
      </c>
      <c r="M17" s="27">
        <v>135.0</v>
      </c>
      <c r="N17" s="27">
        <v>42.0</v>
      </c>
      <c r="O17" s="27">
        <v>55.0</v>
      </c>
      <c r="P17" s="27">
        <v>95.0</v>
      </c>
      <c r="Q17" s="27">
        <v>66.0</v>
      </c>
      <c r="R17" s="27">
        <v>53.0</v>
      </c>
      <c r="S17" s="27">
        <v>72.0</v>
      </c>
      <c r="T17" s="27">
        <v>42.0</v>
      </c>
      <c r="U17" s="27">
        <v>41.0</v>
      </c>
      <c r="V17" s="27">
        <v>60.0</v>
      </c>
      <c r="W17" s="27">
        <v>65.0</v>
      </c>
      <c r="X17" s="27">
        <v>108.0</v>
      </c>
      <c r="Y17" s="27">
        <v>84.0</v>
      </c>
      <c r="Z17" s="27">
        <v>29.0</v>
      </c>
      <c r="AA17" s="27">
        <v>59.0</v>
      </c>
      <c r="AB17" s="27">
        <v>36.0</v>
      </c>
      <c r="AC17" s="27">
        <v>42.0</v>
      </c>
      <c r="AD17" s="27">
        <v>48.0</v>
      </c>
      <c r="AE17" s="27">
        <v>48.0</v>
      </c>
      <c r="AF17" s="27">
        <v>66.0</v>
      </c>
      <c r="AG17" s="27">
        <v>48.0</v>
      </c>
      <c r="AH17" s="27">
        <v>30.0</v>
      </c>
      <c r="AI17" s="27">
        <v>42.0</v>
      </c>
      <c r="AJ17" s="27">
        <v>52.0</v>
      </c>
      <c r="AK17" s="27">
        <v>48.0</v>
      </c>
      <c r="AL17" s="27">
        <v>18.0</v>
      </c>
      <c r="AM17" s="27">
        <v>65.0</v>
      </c>
      <c r="AN17" s="27">
        <v>24.0</v>
      </c>
      <c r="AO17" s="28">
        <f t="shared" si="3"/>
        <v>602.0</v>
      </c>
      <c r="AP17" s="28">
        <f t="shared" si="4"/>
        <v>255.0</v>
      </c>
      <c r="AQ17" s="28">
        <f t="shared" si="5"/>
        <v>280.5</v>
      </c>
      <c r="AS17" s="1">
        <f t="shared" si="39"/>
        <v>60.6026490066225</v>
      </c>
      <c r="AT17" s="1">
        <f t="shared" si="40"/>
        <v>25.8940397350993</v>
      </c>
      <c r="AU17" s="1">
        <f t="shared" si="41"/>
        <v>56.0993377483443</v>
      </c>
      <c r="AV17" s="1">
        <f t="shared" si="42"/>
        <v>47.092715231788</v>
      </c>
      <c r="AW17" s="1">
        <f t="shared" si="43"/>
        <v>38.0860927152318</v>
      </c>
      <c r="AX17" s="1">
        <f t="shared" si="44"/>
        <v>70.1721854304636</v>
      </c>
      <c r="AY17" s="2">
        <f t="shared" si="12"/>
        <v>297.947019867549</v>
      </c>
      <c r="AZ17" s="2" t="e">
        <f t="shared" si="13"/>
        <v>#REF!</v>
      </c>
      <c r="BC17" s="3" t="e">
        <f t="shared" si="45"/>
        <v>#REF!</v>
      </c>
      <c r="BD17" s="1">
        <f>VLOOKUP(C17,MOQ,3,FALSE())</f>
        <v>480.0</v>
      </c>
      <c r="BG17" s="1" t="e">
        <f t="shared" si="17"/>
        <v>#REF!</v>
      </c>
      <c r="BH17" s="1">
        <f t="shared" si="18"/>
        <v>60.6026490066225</v>
      </c>
      <c r="BI17" s="1">
        <f t="shared" si="19"/>
      </c>
      <c r="BJ17" s="3" t="e">
        <f t="shared" si="20"/>
        <v>#REF!</v>
      </c>
      <c r="BK17" s="1">
        <f t="shared" si="21"/>
        <v>25.8940397350993</v>
      </c>
      <c r="BL17" s="1">
        <f t="shared" si="22"/>
      </c>
      <c r="BM17" s="3" t="e">
        <f t="shared" si="23"/>
        <v>#REF!</v>
      </c>
      <c r="BN17" s="1">
        <f t="shared" si="24"/>
        <v>56.0993377483443</v>
      </c>
      <c r="BP17" s="3" t="e">
        <f t="shared" si="25"/>
        <v>#REF!</v>
      </c>
      <c r="BQ17" s="1">
        <f t="shared" si="26"/>
        <v>47.092715231788</v>
      </c>
      <c r="BS17" s="3" t="e">
        <f t="shared" si="27"/>
        <v>#REF!</v>
      </c>
      <c r="BT17" s="1">
        <f t="shared" si="28"/>
        <v>38.0860927152318</v>
      </c>
      <c r="BV17" s="3" t="e">
        <f t="shared" si="29"/>
        <v>#REF!</v>
      </c>
      <c r="BW17" s="1">
        <f t="shared" si="30"/>
        <v>70.1721854304636</v>
      </c>
      <c r="BY17" s="3" t="e">
        <f t="shared" si="31"/>
        <v>#REF!</v>
      </c>
    </row>
    <row r="18" ht="14.0">
      <c r="A18" s="27" t="s">
        <v>28</v>
      </c>
      <c r="B18" s="27" t="s">
        <v>29</v>
      </c>
      <c r="C18" s="27" t="s">
        <v>54</v>
      </c>
      <c r="D18" s="27" t="s">
        <v>55</v>
      </c>
      <c r="E18" s="27"/>
      <c r="F18" s="27">
        <v>30.0</v>
      </c>
      <c r="G18" s="27">
        <v>65.0</v>
      </c>
      <c r="H18" s="27">
        <v>30.0</v>
      </c>
      <c r="I18" s="27">
        <v>65.0</v>
      </c>
      <c r="J18" s="27">
        <v>48.0</v>
      </c>
      <c r="K18" s="27">
        <v>77.0</v>
      </c>
      <c r="L18" s="27">
        <v>84.0</v>
      </c>
      <c r="M18" s="27">
        <v>36.0</v>
      </c>
      <c r="N18" s="27">
        <v>24.0</v>
      </c>
      <c r="O18" s="27">
        <v>30.0</v>
      </c>
      <c r="P18" s="27">
        <v>72.0</v>
      </c>
      <c r="Q18" s="27">
        <v>18.0</v>
      </c>
      <c r="R18" s="27">
        <v>42.0</v>
      </c>
      <c r="S18" s="27">
        <v>18.0</v>
      </c>
      <c r="T18" s="27">
        <v>48.0</v>
      </c>
      <c r="U18" s="27">
        <v>18.0</v>
      </c>
      <c r="V18" s="27">
        <v>48.0</v>
      </c>
      <c r="W18" s="27">
        <v>23.0</v>
      </c>
      <c r="X18" s="27">
        <v>48.0</v>
      </c>
      <c r="Y18" s="27">
        <v>35.0</v>
      </c>
      <c r="Z18" s="27">
        <v>18.0</v>
      </c>
      <c r="AA18" s="27">
        <v>60.0</v>
      </c>
      <c r="AB18" s="27">
        <v>36.0</v>
      </c>
      <c r="AC18" s="27">
        <v>5.0</v>
      </c>
      <c r="AD18" s="27">
        <v>18.0</v>
      </c>
      <c r="AE18" s="27">
        <v>25.0</v>
      </c>
      <c r="AF18" s="27">
        <v>36.0</v>
      </c>
      <c r="AG18" s="27">
        <v>54.0</v>
      </c>
      <c r="AH18" s="27">
        <v>0.0</v>
      </c>
      <c r="AI18" s="27">
        <v>18.0</v>
      </c>
      <c r="AJ18" s="27">
        <v>46.0</v>
      </c>
      <c r="AK18" s="27">
        <v>22.0</v>
      </c>
      <c r="AL18" s="27">
        <v>12.0</v>
      </c>
      <c r="AM18" s="27">
        <v>6.0</v>
      </c>
      <c r="AN18" s="27">
        <v>18.0</v>
      </c>
      <c r="AO18" s="28">
        <f t="shared" si="3"/>
        <v>338.0</v>
      </c>
      <c r="AP18" s="28">
        <f t="shared" si="4"/>
        <v>104.0</v>
      </c>
      <c r="AQ18" s="28">
        <f t="shared" si="5"/>
        <v>114.4</v>
      </c>
      <c r="AS18" s="1">
        <f t="shared" si="39"/>
        <v>28.2693156732891</v>
      </c>
      <c r="AT18" s="1">
        <f t="shared" si="40"/>
        <v>10.560706401766</v>
      </c>
      <c r="AU18" s="1">
        <f t="shared" si="41"/>
        <v>26.4326710816777</v>
      </c>
      <c r="AV18" s="1">
        <f t="shared" si="42"/>
        <v>22.7593818984547</v>
      </c>
      <c r="AW18" s="1">
        <f t="shared" si="43"/>
        <v>19.0860927152318</v>
      </c>
      <c r="AX18" s="1">
        <f t="shared" si="44"/>
        <v>32.1721854304636</v>
      </c>
      <c r="AY18" s="2">
        <f t="shared" si="12"/>
        <v>139.280353200882</v>
      </c>
      <c r="AZ18" s="2" t="e">
        <f t="shared" si="13"/>
        <v>#REF!</v>
      </c>
      <c r="BC18" s="3" t="e">
        <f t="shared" si="45"/>
        <v>#REF!</v>
      </c>
      <c r="BD18" s="1">
        <f>VLOOKUP(C18,MOQ,3,FALSE())</f>
        <v>480.0</v>
      </c>
      <c r="BG18" s="1" t="e">
        <f t="shared" si="17"/>
        <v>#REF!</v>
      </c>
      <c r="BH18" s="1">
        <f t="shared" si="18"/>
        <v>28.2693156732891</v>
      </c>
      <c r="BI18" s="1">
        <f t="shared" si="19"/>
      </c>
      <c r="BJ18" s="3" t="e">
        <f t="shared" si="20"/>
        <v>#REF!</v>
      </c>
      <c r="BK18" s="1">
        <f t="shared" si="21"/>
        <v>10.560706401766</v>
      </c>
      <c r="BL18" s="1">
        <f t="shared" si="22"/>
      </c>
      <c r="BM18" s="3" t="e">
        <f t="shared" si="23"/>
        <v>#REF!</v>
      </c>
      <c r="BN18" s="1">
        <f t="shared" si="24"/>
        <v>26.4326710816777</v>
      </c>
      <c r="BP18" s="3" t="e">
        <f t="shared" si="25"/>
        <v>#REF!</v>
      </c>
      <c r="BQ18" s="1">
        <f t="shared" si="26"/>
        <v>22.7593818984547</v>
      </c>
      <c r="BS18" s="3" t="e">
        <f t="shared" si="27"/>
        <v>#REF!</v>
      </c>
      <c r="BT18" s="1">
        <f t="shared" si="28"/>
        <v>19.0860927152318</v>
      </c>
      <c r="BV18" s="3" t="e">
        <f t="shared" si="29"/>
        <v>#REF!</v>
      </c>
      <c r="BW18" s="1">
        <f t="shared" si="30"/>
        <v>32.1721854304636</v>
      </c>
      <c r="BY18" s="3" t="e">
        <f t="shared" si="31"/>
        <v>#REF!</v>
      </c>
    </row>
    <row r="19" ht="14.0">
      <c r="A19" s="27" t="s">
        <v>28</v>
      </c>
      <c r="B19" s="27" t="s">
        <v>29</v>
      </c>
      <c r="C19" s="27" t="s">
        <v>56</v>
      </c>
      <c r="D19" s="27" t="s">
        <v>57</v>
      </c>
      <c r="E19" s="27"/>
      <c r="F19" s="27">
        <v>30.0</v>
      </c>
      <c r="G19" s="27">
        <v>78.0</v>
      </c>
      <c r="H19" s="27">
        <v>42.0</v>
      </c>
      <c r="I19" s="27">
        <v>72.0</v>
      </c>
      <c r="J19" s="27">
        <v>40.0</v>
      </c>
      <c r="K19" s="27">
        <v>71.0</v>
      </c>
      <c r="L19" s="27">
        <v>113.0</v>
      </c>
      <c r="M19" s="27">
        <v>36.0</v>
      </c>
      <c r="N19" s="27">
        <v>24.0</v>
      </c>
      <c r="O19" s="27">
        <v>30.0</v>
      </c>
      <c r="P19" s="27">
        <v>66.0</v>
      </c>
      <c r="Q19" s="27">
        <v>42.0</v>
      </c>
      <c r="R19" s="27">
        <v>24.0</v>
      </c>
      <c r="S19" s="27">
        <v>54.0</v>
      </c>
      <c r="T19" s="27">
        <v>54.0</v>
      </c>
      <c r="U19" s="27">
        <v>36.0</v>
      </c>
      <c r="V19" s="27">
        <v>48.0</v>
      </c>
      <c r="W19" s="27">
        <v>30.0</v>
      </c>
      <c r="X19" s="27">
        <v>66.0</v>
      </c>
      <c r="Y19" s="27">
        <v>54.0</v>
      </c>
      <c r="Z19" s="27">
        <v>30.0</v>
      </c>
      <c r="AA19" s="27">
        <v>66.0</v>
      </c>
      <c r="AB19" s="27">
        <v>30.0</v>
      </c>
      <c r="AC19" s="27">
        <v>23.0</v>
      </c>
      <c r="AD19" s="27">
        <v>30.0</v>
      </c>
      <c r="AE19" s="27">
        <v>24.0</v>
      </c>
      <c r="AF19" s="27">
        <v>48.0</v>
      </c>
      <c r="AG19" s="27">
        <v>36.0</v>
      </c>
      <c r="AH19" s="27">
        <v>30.0</v>
      </c>
      <c r="AI19" s="27">
        <v>36.0</v>
      </c>
      <c r="AJ19" s="27">
        <v>36.0</v>
      </c>
      <c r="AK19" s="27">
        <v>18.0</v>
      </c>
      <c r="AL19" s="27">
        <v>24.0</v>
      </c>
      <c r="AM19" s="27">
        <v>48.0</v>
      </c>
      <c r="AN19" s="27">
        <v>18.0</v>
      </c>
      <c r="AO19" s="28">
        <f t="shared" si="3"/>
        <v>449.0</v>
      </c>
      <c r="AP19" s="28">
        <f t="shared" si="4"/>
        <v>192.0</v>
      </c>
      <c r="AQ19" s="28">
        <f t="shared" si="5"/>
        <v>211.2</v>
      </c>
      <c r="AS19" s="1">
        <f t="shared" si="39"/>
        <v>47.112582781457</v>
      </c>
      <c r="AT19" s="1">
        <f t="shared" si="40"/>
        <v>19.4966887417219</v>
      </c>
      <c r="AU19" s="1">
        <f t="shared" si="41"/>
        <v>43.7218543046358</v>
      </c>
      <c r="AV19" s="1">
        <f t="shared" si="42"/>
        <v>36.9403973509933</v>
      </c>
      <c r="AW19" s="1">
        <f t="shared" si="43"/>
        <v>30.158940397351</v>
      </c>
      <c r="AX19" s="1">
        <f t="shared" si="44"/>
        <v>54.317880794702</v>
      </c>
      <c r="AY19" s="2">
        <f t="shared" si="12"/>
        <v>231.748344370861</v>
      </c>
      <c r="AZ19" s="2" t="e">
        <f t="shared" si="13"/>
        <v>#REF!</v>
      </c>
      <c r="BC19" s="3" t="e">
        <f t="shared" si="45"/>
        <v>#REF!</v>
      </c>
      <c r="BD19" s="1">
        <f>VLOOKUP(C19,MOQ,3,FALSE())</f>
        <v>480.0</v>
      </c>
      <c r="BG19" s="1" t="e">
        <f t="shared" si="17"/>
        <v>#REF!</v>
      </c>
      <c r="BH19" s="1">
        <f t="shared" si="18"/>
        <v>47.112582781457</v>
      </c>
      <c r="BI19" s="1">
        <f t="shared" si="19"/>
      </c>
      <c r="BJ19" s="3" t="e">
        <f t="shared" si="20"/>
        <v>#REF!</v>
      </c>
      <c r="BK19" s="1">
        <f t="shared" si="21"/>
        <v>19.4966887417219</v>
      </c>
      <c r="BL19" s="1">
        <f t="shared" si="22"/>
      </c>
      <c r="BM19" s="3" t="e">
        <f t="shared" si="23"/>
        <v>#REF!</v>
      </c>
      <c r="BN19" s="1">
        <f t="shared" si="24"/>
        <v>43.7218543046358</v>
      </c>
      <c r="BP19" s="3" t="e">
        <f t="shared" si="25"/>
        <v>#REF!</v>
      </c>
      <c r="BQ19" s="1">
        <f t="shared" si="26"/>
        <v>36.9403973509933</v>
      </c>
      <c r="BS19" s="3" t="e">
        <f t="shared" si="27"/>
        <v>#REF!</v>
      </c>
      <c r="BT19" s="1">
        <f t="shared" si="28"/>
        <v>30.158940397351</v>
      </c>
      <c r="BV19" s="3" t="e">
        <f t="shared" si="29"/>
        <v>#REF!</v>
      </c>
      <c r="BW19" s="1">
        <f t="shared" si="30"/>
        <v>54.317880794702</v>
      </c>
      <c r="BY19" s="3" t="e">
        <f t="shared" si="31"/>
        <v>#REF!</v>
      </c>
    </row>
    <row r="20" ht="14.0">
      <c r="A20" s="27" t="s">
        <v>28</v>
      </c>
      <c r="B20" s="27" t="s">
        <v>29</v>
      </c>
      <c r="C20" s="27" t="s">
        <v>58</v>
      </c>
      <c r="D20" s="27" t="s">
        <v>59</v>
      </c>
      <c r="E20" s="27"/>
      <c r="F20" s="27">
        <v>1.0</v>
      </c>
      <c r="G20" s="27">
        <v>3.0</v>
      </c>
      <c r="H20" s="27">
        <v>1.0</v>
      </c>
      <c r="I20" s="27">
        <v>4.0</v>
      </c>
      <c r="J20" s="27">
        <v>0.0</v>
      </c>
      <c r="K20" s="27">
        <v>3.0</v>
      </c>
      <c r="L20" s="27">
        <v>1.0</v>
      </c>
      <c r="M20" s="27">
        <v>2.0</v>
      </c>
      <c r="N20" s="27">
        <v>1.0</v>
      </c>
      <c r="O20" s="27">
        <v>3.0</v>
      </c>
      <c r="P20" s="27">
        <v>1.0</v>
      </c>
      <c r="Q20" s="27">
        <v>1.0</v>
      </c>
      <c r="R20" s="27">
        <v>5.0</v>
      </c>
      <c r="S20" s="27">
        <v>2.0</v>
      </c>
      <c r="T20" s="27">
        <v>2.0</v>
      </c>
      <c r="U20" s="27">
        <v>1.0</v>
      </c>
      <c r="V20" s="27">
        <v>0.0</v>
      </c>
      <c r="W20" s="27">
        <v>2.0</v>
      </c>
      <c r="X20" s="27">
        <v>0.0</v>
      </c>
      <c r="Y20" s="27">
        <v>0.0</v>
      </c>
      <c r="Z20" s="27">
        <v>1.0</v>
      </c>
      <c r="AA20" s="27">
        <v>4.0</v>
      </c>
      <c r="AB20" s="27">
        <v>4.0</v>
      </c>
      <c r="AC20" s="27">
        <v>0.0</v>
      </c>
      <c r="AD20" s="27">
        <v>0.0</v>
      </c>
      <c r="AE20" s="27">
        <v>0.0</v>
      </c>
      <c r="AF20" s="27">
        <v>2.0</v>
      </c>
      <c r="AG20" s="27">
        <v>1.0</v>
      </c>
      <c r="AH20" s="27">
        <v>1.0</v>
      </c>
      <c r="AI20" s="27">
        <v>0.0</v>
      </c>
      <c r="AJ20" s="27">
        <v>1.0</v>
      </c>
      <c r="AK20" s="27">
        <v>0.0</v>
      </c>
      <c r="AL20" s="27">
        <v>1.0</v>
      </c>
      <c r="AM20" s="27">
        <v>1.0</v>
      </c>
      <c r="AN20" s="27">
        <v>2.0</v>
      </c>
      <c r="AO20" s="32">
        <f t="shared" si="3"/>
        <v>15.0</v>
      </c>
      <c r="AP20" s="32">
        <f t="shared" si="4"/>
        <v>4.0</v>
      </c>
      <c r="AQ20" s="32">
        <f t="shared" si="5"/>
        <v>4.4</v>
      </c>
      <c r="AR20" s="33"/>
      <c r="AS20" s="33">
        <v>1.0</v>
      </c>
      <c r="AT20" s="33">
        <v>0.0</v>
      </c>
      <c r="AU20" s="33">
        <v>1.0</v>
      </c>
      <c r="AV20" s="33">
        <v>1.0</v>
      </c>
      <c r="AW20" s="33">
        <v>1.0</v>
      </c>
      <c r="AX20" s="33">
        <v>1.0</v>
      </c>
      <c r="AY20" s="2">
        <f t="shared" si="12"/>
        <v>5.0</v>
      </c>
      <c r="AZ20" s="2" t="e">
        <f t="shared" si="13"/>
        <v>#REF!</v>
      </c>
      <c r="BD20">
        <f>VLOOKUP(C20,MOQ,3,FALSE())</f>
      </c>
      <c r="BI20" s="1">
        <f t="shared" si="19"/>
      </c>
      <c r="BJ20" s="3"/>
      <c r="BL20" s="1">
        <f t="shared" si="22"/>
      </c>
      <c r="BM20" s="3"/>
      <c r="BP20" s="3"/>
      <c r="BS20" s="3"/>
      <c r="BV20" s="3"/>
      <c r="BY20" s="3"/>
    </row>
    <row r="21" ht="14.0">
      <c r="A21" s="34" t="s">
        <v>28</v>
      </c>
      <c r="B21" s="34" t="s">
        <v>29</v>
      </c>
      <c r="C21" s="34" t="s">
        <v>60</v>
      </c>
      <c r="D21" s="34" t="s">
        <v>61</v>
      </c>
      <c r="E21" s="34"/>
      <c r="F21" s="34">
        <v>0.0</v>
      </c>
      <c r="G21" s="34">
        <v>0.0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4">
        <v>0.0</v>
      </c>
      <c r="O21" s="34">
        <v>0.0</v>
      </c>
      <c r="P21" s="34">
        <v>0.0</v>
      </c>
      <c r="Q21" s="34">
        <v>0.0</v>
      </c>
      <c r="R21" s="34">
        <v>0.0</v>
      </c>
      <c r="S21" s="34">
        <v>0.0</v>
      </c>
      <c r="T21" s="34">
        <v>182.0</v>
      </c>
      <c r="U21" s="34">
        <v>96.0</v>
      </c>
      <c r="V21" s="34">
        <v>630.0</v>
      </c>
      <c r="W21" s="34">
        <v>714.0</v>
      </c>
      <c r="X21" s="34">
        <v>1034.0</v>
      </c>
      <c r="Y21" s="34">
        <v>266.0</v>
      </c>
      <c r="Z21" s="34">
        <v>66.0</v>
      </c>
      <c r="AA21" s="34">
        <v>12.0</v>
      </c>
      <c r="AB21" s="34">
        <v>18.0</v>
      </c>
      <c r="AC21" s="34">
        <v>1088.0</v>
      </c>
      <c r="AD21" s="34">
        <v>0.0</v>
      </c>
      <c r="AE21" s="34">
        <v>936.0</v>
      </c>
      <c r="AF21" s="34">
        <v>84.0</v>
      </c>
      <c r="AG21" s="34">
        <v>60.0</v>
      </c>
      <c r="AH21" s="34">
        <v>564.0</v>
      </c>
      <c r="AI21" s="34">
        <v>901.0</v>
      </c>
      <c r="AJ21" s="34">
        <v>660.0</v>
      </c>
      <c r="AK21" s="34">
        <v>811.0</v>
      </c>
      <c r="AL21" s="34">
        <v>234.0</v>
      </c>
      <c r="AM21" s="34">
        <v>54.0</v>
      </c>
      <c r="AN21" s="34">
        <v>348.0</v>
      </c>
      <c r="AO21" s="35">
        <f t="shared" si="3"/>
        <v>5422.0</v>
      </c>
      <c r="AP21" s="35">
        <f t="shared" si="4"/>
        <v>3224.0</v>
      </c>
      <c r="AQ21" s="35">
        <f t="shared" si="5"/>
        <v>3546.4</v>
      </c>
      <c r="AR21" s="36"/>
      <c r="AS21" s="36">
        <f>AQ21*$AS$4/$AQ$4+AS7+AS25</f>
        <v>1752.05298013244</v>
      </c>
      <c r="AT21" s="36">
        <f>AQ21*$AT$4/$AQ$4+AT7+AT25</f>
        <v>835.880794701986</v>
      </c>
      <c r="AU21" s="36">
        <f>AQ21*$AU$4/$AQ$4+AU7+AU25</f>
        <v>1613.98675496688</v>
      </c>
      <c r="AV21" s="36">
        <f t="shared" ref="AV21:AV24" si="49">(AQ21*$AV$4/$AQ$4)*1.2</f>
        <v>623.449006622516</v>
      </c>
      <c r="AW21" s="36">
        <f t="shared" ref="AW21:AW24" si="50">(AQ21*$AW$4/$AQ$4)*1.2</f>
        <v>486.802649006621</v>
      </c>
      <c r="AX21" s="36">
        <f t="shared" ref="AX21:AX24" si="51">(AQ21*$AX$4/$AQ$4)*1.2</f>
        <v>973.605298013243</v>
      </c>
      <c r="AY21" s="36">
        <f t="shared" si="12"/>
        <v>6285.77748344369</v>
      </c>
      <c r="AZ21" s="36" t="e">
        <f t="shared" si="13"/>
        <v>#REF!</v>
      </c>
      <c r="BA21" s="36"/>
      <c r="BB21" s="36" t="e">
        <f t="shared" ref="BB21:BB24" si="52">VLOOKUP(C21,CHINAJUNE,3,false)</f>
        <v>#REF!</v>
      </c>
      <c r="BC21" s="35" t="e">
        <f t="shared" ref="BC21:BC28" si="53">AZ21+BA21+BB21-AY21</f>
        <v>#REF!</v>
      </c>
      <c r="BD21" s="37">
        <f>VLOOKUP(C21,MOQ,3,FALSE())</f>
        <v>3000.0</v>
      </c>
      <c r="BE21" s="38" t="s">
        <v>32</v>
      </c>
      <c r="BF21" s="37" t="s">
        <v>5</v>
      </c>
      <c r="BG21" s="36" t="e">
        <f t="shared" ref="BG21:BG25" si="54">AZ21</f>
        <v>#REF!</v>
      </c>
      <c r="BH21" s="36">
        <f t="shared" ref="BH21:BH25" si="55">AS21</f>
        <v>1752.05298013244</v>
      </c>
      <c r="BI21" s="36">
        <f t="shared" si="19"/>
      </c>
      <c r="BJ21" s="35" t="e">
        <f t="shared" ref="BJ21:BJ25" si="56">BG21+BI21-BH21</f>
        <v>#REF!</v>
      </c>
      <c r="BK21" s="36">
        <f t="shared" ref="BK21:BK25" si="57">AT21</f>
        <v>835.880794701986</v>
      </c>
      <c r="BL21" s="36" t="e">
        <f t="shared" si="22"/>
        <v>#REF!</v>
      </c>
      <c r="BM21" s="35" t="e">
        <f t="shared" ref="BM21:BM25" si="58">BJ21+BL21-BK21</f>
        <v>#REF!</v>
      </c>
      <c r="BN21" s="36">
        <f t="shared" ref="BN21:BN25" si="59">AU21</f>
        <v>1613.98675496688</v>
      </c>
      <c r="BO21" s="36"/>
      <c r="BP21" s="35" t="e">
        <f t="shared" ref="BP21:BP25" si="60">BM21+BO21-BN21</f>
        <v>#REF!</v>
      </c>
      <c r="BQ21" s="36">
        <f t="shared" ref="BQ21:BQ25" si="61">AV21</f>
        <v>623.449006622516</v>
      </c>
      <c r="BR21" s="36"/>
      <c r="BS21" s="35" t="e">
        <f t="shared" ref="BS21:BS25" si="62">BP21+BR21-BQ21</f>
        <v>#REF!</v>
      </c>
      <c r="BT21" s="36">
        <f t="shared" ref="BT21:BT25" si="63">AW21</f>
        <v>486.802649006621</v>
      </c>
      <c r="BU21" s="36"/>
      <c r="BV21" s="35" t="e">
        <f t="shared" ref="BV21:BV25" si="64">BS21+BU21-BT21</f>
        <v>#REF!</v>
      </c>
      <c r="BW21" s="36">
        <f t="shared" ref="BW21:BW25" si="65">AX21</f>
        <v>973.605298013243</v>
      </c>
      <c r="BX21" s="36"/>
      <c r="BY21" s="35" t="e">
        <f t="shared" ref="BY21:BY25" si="66">BV21+BX21-BW21</f>
        <v>#REF!</v>
      </c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AMG21" s="39"/>
      <c r="AMH21" s="39"/>
      <c r="AMI21" s="39"/>
      <c r="AMJ21" s="39"/>
    </row>
    <row r="22" ht="14.0">
      <c r="A22" s="40" t="s">
        <v>28</v>
      </c>
      <c r="B22" s="40" t="s">
        <v>29</v>
      </c>
      <c r="C22" s="40" t="s">
        <v>62</v>
      </c>
      <c r="D22" s="40" t="s">
        <v>63</v>
      </c>
      <c r="E22" s="34"/>
      <c r="F22" s="34">
        <v>0.0</v>
      </c>
      <c r="G22" s="34">
        <v>0.0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0.0</v>
      </c>
      <c r="P22" s="34">
        <v>0.0</v>
      </c>
      <c r="Q22" s="34">
        <v>0.0</v>
      </c>
      <c r="R22" s="34">
        <v>0.0</v>
      </c>
      <c r="S22" s="34">
        <v>0.0</v>
      </c>
      <c r="T22" s="34">
        <v>181.0</v>
      </c>
      <c r="U22" s="34">
        <v>96.0</v>
      </c>
      <c r="V22" s="34">
        <v>630.0</v>
      </c>
      <c r="W22" s="34">
        <v>618.0</v>
      </c>
      <c r="X22" s="34">
        <v>950.0</v>
      </c>
      <c r="Y22" s="34">
        <v>306.0</v>
      </c>
      <c r="Z22" s="34">
        <v>54.0</v>
      </c>
      <c r="AA22" s="34">
        <v>18.0</v>
      </c>
      <c r="AB22" s="34">
        <v>48.0</v>
      </c>
      <c r="AC22" s="34">
        <v>1135.0</v>
      </c>
      <c r="AD22" s="34">
        <v>0.0</v>
      </c>
      <c r="AE22" s="34">
        <v>828.0</v>
      </c>
      <c r="AF22" s="34">
        <v>24.0</v>
      </c>
      <c r="AG22" s="34">
        <v>60.0</v>
      </c>
      <c r="AH22" s="34">
        <v>666.0</v>
      </c>
      <c r="AI22" s="34">
        <v>733.0</v>
      </c>
      <c r="AJ22" s="34">
        <v>246.0</v>
      </c>
      <c r="AK22" s="34">
        <v>882.0</v>
      </c>
      <c r="AL22" s="34">
        <v>162.0</v>
      </c>
      <c r="AM22" s="34">
        <v>31.0</v>
      </c>
      <c r="AN22" s="34">
        <v>241.0</v>
      </c>
      <c r="AO22" s="35">
        <f t="shared" si="3"/>
        <v>4833.0</v>
      </c>
      <c r="AP22" s="35">
        <f t="shared" si="4"/>
        <v>2720.0</v>
      </c>
      <c r="AQ22" s="35">
        <f t="shared" si="5"/>
        <v>2992.0</v>
      </c>
      <c r="AR22" s="36"/>
      <c r="AS22" s="36">
        <f>AQ22*$AS$4/$AQ$4+AS8+AS28</f>
        <v>1275.16335540839</v>
      </c>
      <c r="AT22" s="36">
        <f>AQ22*$AT$4/$AQ$4+AT8+AT28</f>
        <v>608.799116997791</v>
      </c>
      <c r="AU22" s="36">
        <f>AQ22*$AU$4/$AQ$4+AU8+AU28</f>
        <v>1173.4591611479</v>
      </c>
      <c r="AV22" s="36">
        <f t="shared" si="49"/>
        <v>525.986754966888</v>
      </c>
      <c r="AW22" s="36">
        <f t="shared" si="50"/>
        <v>410.70198675497</v>
      </c>
      <c r="AX22" s="36">
        <f t="shared" si="51"/>
        <v>821.403973509933</v>
      </c>
      <c r="AY22" s="36">
        <f t="shared" si="12"/>
        <v>4815.51434878587</v>
      </c>
      <c r="AZ22" s="36" t="e">
        <f t="shared" si="13"/>
        <v>#REF!</v>
      </c>
      <c r="BA22" s="36"/>
      <c r="BB22" s="36" t="e">
        <f t="shared" si="52"/>
        <v>#REF!</v>
      </c>
      <c r="BC22" s="35" t="e">
        <f t="shared" si="53"/>
        <v>#REF!</v>
      </c>
      <c r="BD22" s="37">
        <f>VLOOKUP(C22,MOQ,3,FALSE())</f>
        <v>3000.0</v>
      </c>
      <c r="BE22" s="41">
        <v>3000.0</v>
      </c>
      <c r="BF22" s="37" t="s">
        <v>64</v>
      </c>
      <c r="BG22" s="36" t="e">
        <f t="shared" si="54"/>
        <v>#REF!</v>
      </c>
      <c r="BH22" s="36">
        <f t="shared" si="55"/>
        <v>1275.16335540839</v>
      </c>
      <c r="BI22" s="36">
        <f t="shared" si="19"/>
      </c>
      <c r="BJ22" s="35" t="e">
        <f t="shared" si="56"/>
        <v>#REF!</v>
      </c>
      <c r="BK22" s="36">
        <f t="shared" si="57"/>
        <v>608.799116997791</v>
      </c>
      <c r="BL22" s="36" t="e">
        <f t="shared" si="22"/>
        <v>#REF!</v>
      </c>
      <c r="BM22" s="35" t="e">
        <f t="shared" si="58"/>
        <v>#REF!</v>
      </c>
      <c r="BN22" s="36">
        <f t="shared" si="59"/>
        <v>1173.4591611479</v>
      </c>
      <c r="BO22" s="36"/>
      <c r="BP22" s="35" t="e">
        <f t="shared" si="60"/>
        <v>#REF!</v>
      </c>
      <c r="BQ22" s="36">
        <f t="shared" si="61"/>
        <v>525.986754966888</v>
      </c>
      <c r="BR22" s="36"/>
      <c r="BS22" s="35" t="e">
        <f t="shared" si="62"/>
        <v>#REF!</v>
      </c>
      <c r="BT22" s="36">
        <f t="shared" si="63"/>
        <v>410.70198675497</v>
      </c>
      <c r="BU22" s="36"/>
      <c r="BV22" s="35" t="e">
        <f t="shared" si="64"/>
        <v>#REF!</v>
      </c>
      <c r="BW22" s="36">
        <f t="shared" si="65"/>
        <v>821.403973509933</v>
      </c>
      <c r="BX22" s="36"/>
      <c r="BY22" s="35" t="e">
        <f t="shared" si="66"/>
        <v>#REF!</v>
      </c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AMG22" s="39"/>
      <c r="AMH22" s="39"/>
      <c r="AMI22" s="39"/>
      <c r="AMJ22" s="39"/>
    </row>
    <row r="23" ht="14.0">
      <c r="A23" s="34" t="s">
        <v>28</v>
      </c>
      <c r="B23" s="34" t="s">
        <v>29</v>
      </c>
      <c r="C23" s="34" t="s">
        <v>65</v>
      </c>
      <c r="D23" s="34" t="s">
        <v>66</v>
      </c>
      <c r="E23" s="34"/>
      <c r="F23" s="34">
        <v>0.0</v>
      </c>
      <c r="G23" s="34">
        <v>0.0</v>
      </c>
      <c r="H23" s="34">
        <v>0.0</v>
      </c>
      <c r="I23" s="34">
        <v>0.0</v>
      </c>
      <c r="J23" s="34">
        <v>0.0</v>
      </c>
      <c r="K23" s="34">
        <v>0.0</v>
      </c>
      <c r="L23" s="34">
        <v>0.0</v>
      </c>
      <c r="M23" s="34">
        <v>0.0</v>
      </c>
      <c r="N23" s="34">
        <v>0.0</v>
      </c>
      <c r="O23" s="34">
        <v>0.0</v>
      </c>
      <c r="P23" s="34">
        <v>0.0</v>
      </c>
      <c r="Q23" s="34">
        <v>0.0</v>
      </c>
      <c r="R23" s="34">
        <v>0.0</v>
      </c>
      <c r="S23" s="34">
        <v>0.0</v>
      </c>
      <c r="T23" s="34">
        <v>1.0</v>
      </c>
      <c r="U23" s="34">
        <v>96.0</v>
      </c>
      <c r="V23" s="34">
        <v>36.0</v>
      </c>
      <c r="W23" s="34">
        <v>126.0</v>
      </c>
      <c r="X23" s="34">
        <v>44.0</v>
      </c>
      <c r="Y23" s="34">
        <v>408.0</v>
      </c>
      <c r="Z23" s="34">
        <v>31.0</v>
      </c>
      <c r="AA23" s="34">
        <v>36.0</v>
      </c>
      <c r="AB23" s="34">
        <v>30.0</v>
      </c>
      <c r="AC23" s="34">
        <v>594.0</v>
      </c>
      <c r="AD23" s="34">
        <v>6.0</v>
      </c>
      <c r="AE23" s="34">
        <v>486.0</v>
      </c>
      <c r="AF23" s="34">
        <v>60.0</v>
      </c>
      <c r="AG23" s="34">
        <v>12.0</v>
      </c>
      <c r="AH23" s="34">
        <v>498.0</v>
      </c>
      <c r="AI23" s="34">
        <v>572.0</v>
      </c>
      <c r="AJ23" s="34">
        <v>470.0</v>
      </c>
      <c r="AK23" s="34">
        <v>715.0</v>
      </c>
      <c r="AL23" s="34">
        <v>139.0</v>
      </c>
      <c r="AM23" s="34">
        <v>43.0</v>
      </c>
      <c r="AN23" s="34">
        <v>288.0</v>
      </c>
      <c r="AO23" s="35">
        <f t="shared" si="3"/>
        <v>3661.0</v>
      </c>
      <c r="AP23" s="35">
        <f t="shared" si="4"/>
        <v>2437.0</v>
      </c>
      <c r="AQ23" s="35">
        <f t="shared" si="5"/>
        <v>2680.7</v>
      </c>
      <c r="AR23" s="36"/>
      <c r="AS23" s="36">
        <f>AQ23*$AS$4/$AQ$4+AS27</f>
        <v>719.710816777045</v>
      </c>
      <c r="AT23" s="36">
        <f>AQ23*$AT$4/$AQ$4+AT27</f>
        <v>342.23399558499</v>
      </c>
      <c r="AU23" s="36">
        <f>AQ23*$AU$4/$AQ$4+AU27+AU79</f>
        <v>795.322295805739</v>
      </c>
      <c r="AV23" s="36">
        <f t="shared" si="49"/>
        <v>471.260927152318</v>
      </c>
      <c r="AW23" s="36">
        <f t="shared" si="50"/>
        <v>367.970860927152</v>
      </c>
      <c r="AX23" s="36">
        <f t="shared" si="51"/>
        <v>735.941721854304</v>
      </c>
      <c r="AY23" s="36">
        <f t="shared" si="12"/>
        <v>3432.44061810154</v>
      </c>
      <c r="AZ23" s="36" t="e">
        <f t="shared" si="13"/>
        <v>#REF!</v>
      </c>
      <c r="BA23" s="36"/>
      <c r="BB23" s="36" t="e">
        <f t="shared" si="52"/>
        <v>#REF!</v>
      </c>
      <c r="BC23" s="35" t="e">
        <f t="shared" si="53"/>
        <v>#REF!</v>
      </c>
      <c r="BD23" s="37">
        <f>VLOOKUP(C23,MOQ,3,FALSE())</f>
        <v>3000.0</v>
      </c>
      <c r="BE23" s="38" t="s">
        <v>32</v>
      </c>
      <c r="BF23" s="37" t="s">
        <v>10</v>
      </c>
      <c r="BG23" s="36" t="e">
        <f t="shared" si="54"/>
        <v>#REF!</v>
      </c>
      <c r="BH23" s="36">
        <f t="shared" si="55"/>
        <v>719.710816777045</v>
      </c>
      <c r="BI23" s="36">
        <f t="shared" si="19"/>
      </c>
      <c r="BJ23" s="35" t="e">
        <f t="shared" si="56"/>
        <v>#REF!</v>
      </c>
      <c r="BK23" s="36">
        <f t="shared" si="57"/>
        <v>342.23399558499</v>
      </c>
      <c r="BL23" s="36" t="e">
        <f t="shared" si="22"/>
        <v>#REF!</v>
      </c>
      <c r="BM23" s="35" t="e">
        <f t="shared" si="58"/>
        <v>#REF!</v>
      </c>
      <c r="BN23" s="36">
        <f t="shared" si="59"/>
        <v>795.322295805739</v>
      </c>
      <c r="BO23" s="36"/>
      <c r="BP23" s="35" t="e">
        <f t="shared" si="60"/>
        <v>#REF!</v>
      </c>
      <c r="BQ23" s="36">
        <f t="shared" si="61"/>
        <v>471.260927152318</v>
      </c>
      <c r="BR23" s="36"/>
      <c r="BS23" s="35" t="e">
        <f t="shared" si="62"/>
        <v>#REF!</v>
      </c>
      <c r="BT23" s="36">
        <f t="shared" si="63"/>
        <v>367.970860927152</v>
      </c>
      <c r="BU23" s="36"/>
      <c r="BV23" s="35" t="e">
        <f t="shared" si="64"/>
        <v>#REF!</v>
      </c>
      <c r="BW23" s="36">
        <f t="shared" si="65"/>
        <v>735.941721854304</v>
      </c>
      <c r="BX23" s="36"/>
      <c r="BY23" s="35" t="e">
        <f t="shared" si="66"/>
        <v>#REF!</v>
      </c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AMG23" s="39"/>
      <c r="AMH23" s="39"/>
      <c r="AMI23" s="39"/>
      <c r="AMJ23" s="39"/>
    </row>
    <row r="24" ht="14.0">
      <c r="A24" s="40" t="s">
        <v>28</v>
      </c>
      <c r="B24" s="40" t="s">
        <v>29</v>
      </c>
      <c r="C24" s="40" t="s">
        <v>67</v>
      </c>
      <c r="D24" s="40" t="s">
        <v>68</v>
      </c>
      <c r="E24" s="34"/>
      <c r="F24" s="34">
        <v>0.0</v>
      </c>
      <c r="G24" s="34">
        <v>0.0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0.0</v>
      </c>
      <c r="P24" s="34">
        <v>0.0</v>
      </c>
      <c r="Q24" s="34">
        <v>0.0</v>
      </c>
      <c r="R24" s="34">
        <v>0.0</v>
      </c>
      <c r="S24" s="34">
        <v>0.0</v>
      </c>
      <c r="T24" s="34">
        <v>1.0</v>
      </c>
      <c r="U24" s="34">
        <v>132.0</v>
      </c>
      <c r="V24" s="34">
        <v>36.0</v>
      </c>
      <c r="W24" s="34">
        <v>90.0</v>
      </c>
      <c r="X24" s="34">
        <v>37.0</v>
      </c>
      <c r="Y24" s="34">
        <v>383.0</v>
      </c>
      <c r="Z24" s="34">
        <v>36.0</v>
      </c>
      <c r="AA24" s="34">
        <v>30.0</v>
      </c>
      <c r="AB24" s="34">
        <v>66.0</v>
      </c>
      <c r="AC24" s="34">
        <v>606.0</v>
      </c>
      <c r="AD24" s="34">
        <v>6.0</v>
      </c>
      <c r="AE24" s="34">
        <v>492.0</v>
      </c>
      <c r="AF24" s="34">
        <v>60.0</v>
      </c>
      <c r="AG24" s="34">
        <v>24.0</v>
      </c>
      <c r="AH24" s="34">
        <v>464.0</v>
      </c>
      <c r="AI24" s="34">
        <v>595.0</v>
      </c>
      <c r="AJ24" s="34">
        <v>560.0</v>
      </c>
      <c r="AK24" s="34">
        <v>770.0</v>
      </c>
      <c r="AL24" s="34">
        <v>282.0</v>
      </c>
      <c r="AM24" s="34">
        <v>19.0</v>
      </c>
      <c r="AN24" s="34">
        <v>264.0</v>
      </c>
      <c r="AO24" s="35">
        <f t="shared" si="3"/>
        <v>3974.0</v>
      </c>
      <c r="AP24" s="35">
        <f t="shared" si="4"/>
        <v>2690.0</v>
      </c>
      <c r="AQ24" s="35">
        <f t="shared" si="5"/>
        <v>2959.0</v>
      </c>
      <c r="AR24" s="36"/>
      <c r="AS24" s="36">
        <f>AQ24*$AS$4/$AQ$4+AS26</f>
        <v>879.66445916114</v>
      </c>
      <c r="AT24" s="36">
        <f>AQ24*$AT$4/$AQ$4+AT26</f>
        <v>418.08830022075</v>
      </c>
      <c r="AU24" s="36">
        <f>AQ24*$AU$4/$AQ$4+AU26</f>
        <v>810.083885209712</v>
      </c>
      <c r="AV24" s="36">
        <f t="shared" si="49"/>
        <v>520.185430463576</v>
      </c>
      <c r="AW24" s="36">
        <f t="shared" si="50"/>
        <v>406.172185430462</v>
      </c>
      <c r="AX24" s="36">
        <f t="shared" si="51"/>
        <v>812.344370860927</v>
      </c>
      <c r="AY24" s="36">
        <f t="shared" si="12"/>
        <v>3846.53863134657</v>
      </c>
      <c r="AZ24" s="36" t="e">
        <f t="shared" si="13"/>
        <v>#REF!</v>
      </c>
      <c r="BA24" s="36"/>
      <c r="BB24" s="36" t="e">
        <f t="shared" si="52"/>
        <v>#REF!</v>
      </c>
      <c r="BC24" s="35" t="e">
        <f t="shared" si="53"/>
        <v>#REF!</v>
      </c>
      <c r="BD24" s="37">
        <f>VLOOKUP(C24,MOQ,3,FALSE())</f>
        <v>3000.0</v>
      </c>
      <c r="BE24" s="41"/>
      <c r="BF24" s="36"/>
      <c r="BG24" s="36" t="e">
        <f t="shared" si="54"/>
        <v>#REF!</v>
      </c>
      <c r="BH24" s="36">
        <f t="shared" si="55"/>
        <v>879.66445916114</v>
      </c>
      <c r="BI24" s="36">
        <f t="shared" si="19"/>
      </c>
      <c r="BJ24" s="35" t="e">
        <f t="shared" si="56"/>
        <v>#REF!</v>
      </c>
      <c r="BK24" s="36">
        <f t="shared" si="57"/>
        <v>418.08830022075</v>
      </c>
      <c r="BL24" s="36" t="e">
        <f t="shared" si="22"/>
        <v>#REF!</v>
      </c>
      <c r="BM24" s="35" t="e">
        <f t="shared" si="58"/>
        <v>#REF!</v>
      </c>
      <c r="BN24" s="36">
        <f t="shared" si="59"/>
        <v>810.083885209712</v>
      </c>
      <c r="BO24" s="36"/>
      <c r="BP24" s="35" t="e">
        <f t="shared" si="60"/>
        <v>#REF!</v>
      </c>
      <c r="BQ24" s="36">
        <f t="shared" si="61"/>
        <v>520.185430463576</v>
      </c>
      <c r="BR24" s="36"/>
      <c r="BS24" s="35" t="e">
        <f t="shared" si="62"/>
        <v>#REF!</v>
      </c>
      <c r="BT24" s="36">
        <f t="shared" si="63"/>
        <v>406.172185430462</v>
      </c>
      <c r="BU24" s="36"/>
      <c r="BV24" s="35" t="e">
        <f t="shared" si="64"/>
        <v>#REF!</v>
      </c>
      <c r="BW24" s="36">
        <f t="shared" si="65"/>
        <v>812.344370860927</v>
      </c>
      <c r="BX24" s="36"/>
      <c r="BY24" s="35" t="e">
        <f t="shared" si="66"/>
        <v>#REF!</v>
      </c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AMG24" s="39"/>
      <c r="AMH24" s="39"/>
      <c r="AMI24" s="39"/>
      <c r="AMJ24" s="39"/>
    </row>
    <row r="25" ht="14.0">
      <c r="A25" s="27" t="s">
        <v>28</v>
      </c>
      <c r="B25" s="27" t="s">
        <v>29</v>
      </c>
      <c r="C25" s="27" t="s">
        <v>69</v>
      </c>
      <c r="D25" s="27" t="s">
        <v>70</v>
      </c>
      <c r="E25" s="27"/>
      <c r="F25" s="27">
        <v>332.0</v>
      </c>
      <c r="G25" s="27">
        <v>484.0</v>
      </c>
      <c r="H25" s="27">
        <v>408.0</v>
      </c>
      <c r="I25" s="27">
        <v>455.0</v>
      </c>
      <c r="J25" s="27">
        <v>567.0</v>
      </c>
      <c r="K25" s="27">
        <v>558.0</v>
      </c>
      <c r="L25" s="27">
        <v>495.0</v>
      </c>
      <c r="M25" s="27">
        <v>424.0</v>
      </c>
      <c r="N25" s="27">
        <v>304.0</v>
      </c>
      <c r="O25" s="27">
        <v>295.0</v>
      </c>
      <c r="P25" s="27">
        <v>322.0</v>
      </c>
      <c r="Q25" s="27">
        <v>300.0</v>
      </c>
      <c r="R25" s="27">
        <v>173.0</v>
      </c>
      <c r="S25" s="27">
        <v>276.0</v>
      </c>
      <c r="T25" s="27">
        <v>312.0</v>
      </c>
      <c r="U25" s="27">
        <v>254.0</v>
      </c>
      <c r="V25" s="27">
        <v>385.0</v>
      </c>
      <c r="W25" s="27">
        <v>508.0</v>
      </c>
      <c r="X25" s="27">
        <v>550.0</v>
      </c>
      <c r="Y25" s="27">
        <v>332.0</v>
      </c>
      <c r="Z25" s="27">
        <v>132.0</v>
      </c>
      <c r="AA25" s="27">
        <v>443.0</v>
      </c>
      <c r="AB25" s="27">
        <v>242.0</v>
      </c>
      <c r="AC25" s="27">
        <v>274.0</v>
      </c>
      <c r="AD25" s="27">
        <v>273.0</v>
      </c>
      <c r="AE25" s="27">
        <v>219.0</v>
      </c>
      <c r="AF25" s="27">
        <v>346.0</v>
      </c>
      <c r="AG25" s="27">
        <v>163.0</v>
      </c>
      <c r="AH25" s="27">
        <v>421.0</v>
      </c>
      <c r="AI25" s="27">
        <v>306.0</v>
      </c>
      <c r="AJ25" s="27">
        <v>466.0</v>
      </c>
      <c r="AK25" s="27">
        <v>193.0</v>
      </c>
      <c r="AL25" s="27">
        <v>239.0</v>
      </c>
      <c r="AM25" s="27">
        <v>238.0</v>
      </c>
      <c r="AN25" s="27">
        <v>147.0</v>
      </c>
      <c r="AO25" s="28">
        <f t="shared" si="3"/>
        <v>3823.0</v>
      </c>
      <c r="AP25" s="28">
        <f t="shared" si="4"/>
        <v>1863.0</v>
      </c>
      <c r="AQ25" s="28">
        <f t="shared" si="5"/>
        <v>2049.3</v>
      </c>
      <c r="AS25" s="1">
        <f>AQ25*$AS$4/$AQ$4+12*$AS$29</f>
        <v>470.920529801324</v>
      </c>
      <c r="AT25" s="1">
        <f>AQ25*$AT$4/$AQ$4+12*$AT$29</f>
        <v>225.17880794702</v>
      </c>
      <c r="AU25" s="1">
        <f>AQ25*$AU$4/$AQ$4+12*$AU$29</f>
        <v>438.019867549669</v>
      </c>
      <c r="AV25" s="1">
        <f>AQ25*$AV$4/$AQ$4+12*$AV$29</f>
        <v>360.21854304636</v>
      </c>
      <c r="AW25" s="1">
        <f>AQ25*$AW$4/$AQ$4+12*$AW$29</f>
        <v>282.417218543046</v>
      </c>
      <c r="AX25" s="1">
        <f>AQ25*$AX$4/$AQ$4+12*$AX$29</f>
        <v>552.834437086092</v>
      </c>
      <c r="AY25" s="2">
        <f t="shared" si="12"/>
        <v>2329.58940397351</v>
      </c>
      <c r="AZ25" s="2" t="e">
        <f t="shared" si="13"/>
        <v>#REF!</v>
      </c>
      <c r="BC25" s="28" t="e">
        <f t="shared" si="53"/>
        <v>#REF!</v>
      </c>
      <c r="BD25" s="29">
        <f>VLOOKUP(C25,MOQ,3,FALSE())</f>
        <v>1620.0</v>
      </c>
      <c r="BE25" s="41"/>
      <c r="BF25" s="1" t="s">
        <v>8</v>
      </c>
      <c r="BG25" s="1" t="e">
        <f t="shared" si="54"/>
        <v>#REF!</v>
      </c>
      <c r="BH25" s="1">
        <f t="shared" si="55"/>
        <v>470.920529801324</v>
      </c>
      <c r="BI25" s="1">
        <f t="shared" si="19"/>
      </c>
      <c r="BJ25" s="3" t="e">
        <f t="shared" si="56"/>
        <v>#REF!</v>
      </c>
      <c r="BK25" s="1">
        <f t="shared" si="57"/>
        <v>225.17880794702</v>
      </c>
      <c r="BL25" s="1">
        <f t="shared" si="22"/>
      </c>
      <c r="BM25" s="3" t="e">
        <f t="shared" si="58"/>
        <v>#REF!</v>
      </c>
      <c r="BN25" s="1">
        <f t="shared" si="59"/>
        <v>438.019867549669</v>
      </c>
      <c r="BP25" s="3" t="e">
        <f t="shared" si="60"/>
        <v>#REF!</v>
      </c>
      <c r="BQ25" s="1">
        <f t="shared" si="61"/>
        <v>360.21854304636</v>
      </c>
      <c r="BS25" s="3" t="e">
        <f t="shared" si="62"/>
        <v>#REF!</v>
      </c>
      <c r="BT25" s="1">
        <f t="shared" si="63"/>
        <v>282.417218543046</v>
      </c>
      <c r="BV25" s="3" t="e">
        <f t="shared" si="64"/>
        <v>#REF!</v>
      </c>
      <c r="BW25" s="1">
        <f t="shared" si="65"/>
        <v>552.834437086092</v>
      </c>
      <c r="BY25" s="3" t="e">
        <f t="shared" si="66"/>
        <v>#REF!</v>
      </c>
    </row>
    <row r="26" ht="14.0">
      <c r="A26" s="27" t="s">
        <v>45</v>
      </c>
      <c r="B26" s="27" t="s">
        <v>29</v>
      </c>
      <c r="C26" s="27" t="s">
        <v>71</v>
      </c>
      <c r="D26" s="27" t="s">
        <v>72</v>
      </c>
      <c r="E26" s="27"/>
      <c r="F26" s="27">
        <v>187.0</v>
      </c>
      <c r="G26" s="27">
        <v>234.0</v>
      </c>
      <c r="H26" s="27">
        <v>244.0</v>
      </c>
      <c r="I26" s="27">
        <v>248.0</v>
      </c>
      <c r="J26" s="27">
        <v>263.0</v>
      </c>
      <c r="K26" s="27">
        <v>354.0</v>
      </c>
      <c r="L26" s="27">
        <v>309.0</v>
      </c>
      <c r="M26" s="27">
        <v>307.0</v>
      </c>
      <c r="N26" s="27">
        <v>199.0</v>
      </c>
      <c r="O26" s="27">
        <v>153.0</v>
      </c>
      <c r="P26" s="27">
        <v>251.0</v>
      </c>
      <c r="Q26" s="27">
        <v>171.0</v>
      </c>
      <c r="R26" s="27">
        <v>111.0</v>
      </c>
      <c r="S26" s="27">
        <v>166.0</v>
      </c>
      <c r="T26" s="27">
        <v>179.0</v>
      </c>
      <c r="U26" s="27">
        <v>149.0</v>
      </c>
      <c r="V26" s="27">
        <v>245.0</v>
      </c>
      <c r="W26" s="27">
        <v>257.0</v>
      </c>
      <c r="X26" s="27">
        <v>312.0</v>
      </c>
      <c r="Y26" s="27">
        <v>255.0</v>
      </c>
      <c r="Z26" s="27">
        <v>286.0</v>
      </c>
      <c r="AA26" s="27">
        <v>65.0</v>
      </c>
      <c r="AB26" s="27">
        <v>130.0</v>
      </c>
      <c r="AC26" s="27">
        <v>292.0</v>
      </c>
      <c r="AD26" s="27">
        <v>143.0</v>
      </c>
      <c r="AE26" s="27">
        <v>184.0</v>
      </c>
      <c r="AF26" s="27">
        <v>191.0</v>
      </c>
      <c r="AG26" s="27">
        <v>137.0</v>
      </c>
      <c r="AH26" s="27">
        <v>259.0</v>
      </c>
      <c r="AI26" s="27">
        <v>131.0</v>
      </c>
      <c r="AJ26" s="27">
        <v>282.0</v>
      </c>
      <c r="AK26" s="27">
        <v>190.0</v>
      </c>
      <c r="AL26" s="27">
        <v>171.0</v>
      </c>
      <c r="AM26" s="27">
        <v>217.0</v>
      </c>
      <c r="AN26" s="27">
        <v>5.0</v>
      </c>
      <c r="AO26" s="28">
        <f t="shared" si="3"/>
        <v>2392.0</v>
      </c>
      <c r="AP26" s="28">
        <f t="shared" si="4"/>
        <v>1250.0</v>
      </c>
      <c r="AQ26" s="28">
        <f t="shared" si="5"/>
        <v>1375.0</v>
      </c>
      <c r="AS26" s="1">
        <f t="shared" ref="AS26:AS28" si="82">AQ26*$AS$4/$AQ$4+6*$AS$29</f>
        <v>303.66004415011</v>
      </c>
      <c r="AT26" s="1">
        <f t="shared" ref="AT26:AT28" si="83">AQ26*$AT$4/$AQ$4+6*$AT$29</f>
        <v>144.931567328918</v>
      </c>
      <c r="AU26" s="1">
        <f t="shared" ref="AU26:AU28" si="84">AQ26*$AU$4/$AQ$4+6*$AU$29</f>
        <v>281.584988962472</v>
      </c>
      <c r="AV26" s="1">
        <f t="shared" ref="AV26:AV28" si="85">AQ26*$AV$4/$AQ$4+6*$AV$29</f>
        <v>231.434878587196</v>
      </c>
      <c r="AW26" s="1">
        <f t="shared" ref="AW26:AW28" si="86">AQ26*$AW$4/$AQ$4+6*$AW$29</f>
        <v>181.28476821192</v>
      </c>
      <c r="AX26" s="1">
        <f t="shared" ref="AX26:AX28" si="87">AQ26*$AX$4/$AQ$4+6*$AX$29</f>
        <v>356.569536423841</v>
      </c>
      <c r="AY26" s="2">
        <f t="shared" si="12"/>
        <v>1499.46578366446</v>
      </c>
      <c r="AZ26" s="2" t="e">
        <f t="shared" si="13"/>
        <v>#REF!</v>
      </c>
      <c r="BC26" s="28" t="e">
        <f t="shared" si="53"/>
        <v>#REF!</v>
      </c>
      <c r="BD26" s="29">
        <f>VLOOKUP(C26,MOQ,3,FALSE())</f>
        <v>1080.0</v>
      </c>
      <c r="BE26" s="30"/>
      <c r="BI26" s="1">
        <f t="shared" si="19"/>
      </c>
      <c r="BJ26" s="3"/>
      <c r="BL26" s="1">
        <f t="shared" si="22"/>
      </c>
      <c r="BM26" s="3"/>
      <c r="BP26" s="3"/>
      <c r="BS26" s="3"/>
      <c r="BV26" s="3"/>
      <c r="BY26" s="3"/>
    </row>
    <row r="27" ht="14.0">
      <c r="A27" s="27" t="s">
        <v>45</v>
      </c>
      <c r="B27" s="27" t="s">
        <v>29</v>
      </c>
      <c r="C27" s="27" t="s">
        <v>73</v>
      </c>
      <c r="D27" s="27" t="s">
        <v>74</v>
      </c>
      <c r="E27" s="27"/>
      <c r="F27" s="27">
        <v>105.0</v>
      </c>
      <c r="G27" s="27">
        <v>264.0</v>
      </c>
      <c r="H27" s="27">
        <v>181.0</v>
      </c>
      <c r="I27" s="27">
        <v>261.0</v>
      </c>
      <c r="J27" s="27">
        <v>159.0</v>
      </c>
      <c r="K27" s="27">
        <v>297.0</v>
      </c>
      <c r="L27" s="27">
        <v>282.0</v>
      </c>
      <c r="M27" s="27">
        <v>186.0</v>
      </c>
      <c r="N27" s="27">
        <v>147.0</v>
      </c>
      <c r="O27" s="27">
        <v>141.0</v>
      </c>
      <c r="P27" s="27">
        <v>137.0</v>
      </c>
      <c r="Q27" s="27">
        <v>147.0</v>
      </c>
      <c r="R27" s="27">
        <v>65.0</v>
      </c>
      <c r="S27" s="27">
        <v>106.0</v>
      </c>
      <c r="T27" s="27">
        <v>108.0</v>
      </c>
      <c r="U27" s="27">
        <v>111.0</v>
      </c>
      <c r="V27" s="27">
        <v>160.0</v>
      </c>
      <c r="W27" s="27">
        <v>164.0</v>
      </c>
      <c r="X27" s="27">
        <v>281.0</v>
      </c>
      <c r="Y27" s="27">
        <v>221.0</v>
      </c>
      <c r="Z27" s="27">
        <v>174.0</v>
      </c>
      <c r="AA27" s="27">
        <v>122.0</v>
      </c>
      <c r="AB27" s="27">
        <v>96.0</v>
      </c>
      <c r="AC27" s="27">
        <v>121.0</v>
      </c>
      <c r="AD27" s="27">
        <v>111.0</v>
      </c>
      <c r="AE27" s="27">
        <v>96.0</v>
      </c>
      <c r="AF27" s="27">
        <v>124.0</v>
      </c>
      <c r="AG27" s="27">
        <v>77.0</v>
      </c>
      <c r="AH27" s="27">
        <v>151.0</v>
      </c>
      <c r="AI27" s="27">
        <v>143.0</v>
      </c>
      <c r="AJ27" s="27">
        <v>151.0</v>
      </c>
      <c r="AK27" s="27">
        <v>114.0</v>
      </c>
      <c r="AL27" s="27">
        <v>126.0</v>
      </c>
      <c r="AM27" s="27">
        <v>71.0</v>
      </c>
      <c r="AN27" s="27">
        <v>82.0</v>
      </c>
      <c r="AO27" s="28">
        <f t="shared" si="3"/>
        <v>1503.0</v>
      </c>
      <c r="AP27" s="28">
        <f t="shared" si="4"/>
        <v>756.0</v>
      </c>
      <c r="AQ27" s="28">
        <f t="shared" si="5"/>
        <v>831.6</v>
      </c>
      <c r="AS27" s="1">
        <f t="shared" si="82"/>
        <v>197.88079470199</v>
      </c>
      <c r="AT27" s="1">
        <f t="shared" si="83"/>
        <v>94.7682119205298</v>
      </c>
      <c r="AU27" s="1">
        <f t="shared" si="84"/>
        <v>184.529801324503</v>
      </c>
      <c r="AV27" s="1">
        <f t="shared" si="85"/>
        <v>151.827814569536</v>
      </c>
      <c r="AW27" s="1">
        <f t="shared" si="86"/>
        <v>119.12582781457</v>
      </c>
      <c r="AX27" s="1">
        <f t="shared" si="87"/>
        <v>232.251655629139</v>
      </c>
      <c r="AY27" s="2">
        <f t="shared" si="12"/>
        <v>980.384105960268</v>
      </c>
      <c r="AZ27" s="42" t="e">
        <f t="shared" si="13"/>
        <v>#REF!</v>
      </c>
      <c r="BC27" s="28" t="e">
        <f t="shared" si="53"/>
        <v>#REF!</v>
      </c>
      <c r="BD27" s="29">
        <f>VLOOKUP(C27,MOQ,3,FALSE())</f>
        <v>660.0</v>
      </c>
      <c r="BE27" s="30"/>
      <c r="BI27" s="1">
        <f t="shared" si="19"/>
      </c>
      <c r="BJ27" s="3"/>
      <c r="BL27" s="1">
        <f t="shared" si="22"/>
      </c>
      <c r="BM27" s="3"/>
      <c r="BP27" s="3"/>
      <c r="BS27" s="3"/>
      <c r="BV27" s="3"/>
      <c r="BY27" s="3"/>
    </row>
    <row r="28" ht="14.0">
      <c r="A28" s="27" t="s">
        <v>45</v>
      </c>
      <c r="B28" s="27" t="s">
        <v>29</v>
      </c>
      <c r="C28" s="27" t="s">
        <v>75</v>
      </c>
      <c r="D28" s="27" t="s">
        <v>76</v>
      </c>
      <c r="E28" s="27"/>
      <c r="F28" s="27">
        <v>310.0</v>
      </c>
      <c r="G28" s="27">
        <v>397.0</v>
      </c>
      <c r="H28" s="27">
        <v>272.0</v>
      </c>
      <c r="I28" s="27">
        <v>366.0</v>
      </c>
      <c r="J28" s="27">
        <v>379.0</v>
      </c>
      <c r="K28" s="27">
        <v>383.0</v>
      </c>
      <c r="L28" s="27">
        <v>420.0</v>
      </c>
      <c r="M28" s="27">
        <v>425.0</v>
      </c>
      <c r="N28" s="27">
        <v>338.0</v>
      </c>
      <c r="O28" s="27">
        <v>201.0</v>
      </c>
      <c r="P28" s="27">
        <v>336.0</v>
      </c>
      <c r="Q28" s="27">
        <v>218.0</v>
      </c>
      <c r="R28" s="27">
        <v>181.0</v>
      </c>
      <c r="S28" s="27">
        <v>199.0</v>
      </c>
      <c r="T28" s="27">
        <v>272.0</v>
      </c>
      <c r="U28" s="27">
        <v>184.0</v>
      </c>
      <c r="V28" s="27">
        <v>311.0</v>
      </c>
      <c r="W28" s="27">
        <v>325.0</v>
      </c>
      <c r="X28" s="27">
        <v>432.0</v>
      </c>
      <c r="Y28" s="27">
        <v>331.0</v>
      </c>
      <c r="Z28" s="27">
        <v>335.0</v>
      </c>
      <c r="AA28" s="27">
        <v>264.0</v>
      </c>
      <c r="AB28" s="27">
        <v>127.0</v>
      </c>
      <c r="AC28" s="27">
        <v>246.0</v>
      </c>
      <c r="AD28" s="27">
        <v>180.0</v>
      </c>
      <c r="AE28" s="27">
        <v>248.0</v>
      </c>
      <c r="AF28" s="27">
        <v>243.0</v>
      </c>
      <c r="AG28" s="27">
        <v>192.0</v>
      </c>
      <c r="AH28" s="27">
        <v>286.0</v>
      </c>
      <c r="AI28" s="27">
        <v>262.0</v>
      </c>
      <c r="AJ28" s="27">
        <v>329.0</v>
      </c>
      <c r="AK28" s="27">
        <v>193.0</v>
      </c>
      <c r="AL28" s="27">
        <v>214.0</v>
      </c>
      <c r="AM28" s="27">
        <v>207.0</v>
      </c>
      <c r="AN28" s="27">
        <v>144.0</v>
      </c>
      <c r="AO28" s="28">
        <f t="shared" si="3"/>
        <v>2991.0</v>
      </c>
      <c r="AP28" s="28">
        <f t="shared" si="4"/>
        <v>1491.0</v>
      </c>
      <c r="AQ28" s="28">
        <f t="shared" si="5"/>
        <v>1640.1</v>
      </c>
      <c r="AS28" s="1">
        <f t="shared" si="82"/>
        <v>355.264900662251</v>
      </c>
      <c r="AT28" s="1">
        <f t="shared" si="83"/>
        <v>169.403973509933</v>
      </c>
      <c r="AU28" s="1">
        <f t="shared" si="84"/>
        <v>328.933774834437</v>
      </c>
      <c r="AV28" s="1">
        <f t="shared" si="85"/>
        <v>270.271523178808</v>
      </c>
      <c r="AW28" s="1">
        <f t="shared" si="86"/>
        <v>211.609271523179</v>
      </c>
      <c r="AX28" s="1">
        <f t="shared" si="87"/>
        <v>417.21854304636</v>
      </c>
      <c r="AY28" s="2">
        <f t="shared" si="12"/>
        <v>1752.70198675497</v>
      </c>
      <c r="AZ28" s="42" t="e">
        <f t="shared" si="13"/>
        <v>#REF!</v>
      </c>
      <c r="BC28" s="28" t="e">
        <f t="shared" si="53"/>
        <v>#REF!</v>
      </c>
      <c r="BD28" s="29">
        <f>VLOOKUP(C28,MOQ,3,FALSE())</f>
        <v>480.0</v>
      </c>
      <c r="BE28" s="30"/>
      <c r="BF28" s="1" t="s">
        <v>77</v>
      </c>
      <c r="BG28" s="1" t="e">
        <f>AZ28</f>
        <v>#REF!</v>
      </c>
      <c r="BH28" s="1">
        <f>AS28</f>
        <v>355.264900662251</v>
      </c>
      <c r="BI28" s="1">
        <f t="shared" si="19"/>
      </c>
      <c r="BJ28" s="3" t="e">
        <f>BG28+BI28-BH28</f>
        <v>#REF!</v>
      </c>
      <c r="BK28" s="1">
        <f>AT28</f>
        <v>169.403973509933</v>
      </c>
      <c r="BL28" s="1">
        <f t="shared" si="22"/>
      </c>
      <c r="BM28" s="3" t="e">
        <f>BJ28+BL28-BK28</f>
        <v>#REF!</v>
      </c>
      <c r="BN28" s="1">
        <f>AU28</f>
        <v>328.933774834437</v>
      </c>
      <c r="BP28" s="3" t="e">
        <f>BM28+BO28-BN28</f>
        <v>#REF!</v>
      </c>
      <c r="BQ28" s="1">
        <f>AV28</f>
        <v>270.271523178808</v>
      </c>
      <c r="BS28" s="3" t="e">
        <f>BP28+BR28-BQ28</f>
        <v>#REF!</v>
      </c>
      <c r="BT28" s="1">
        <f>AW28</f>
        <v>211.609271523179</v>
      </c>
      <c r="BV28" s="3" t="e">
        <f>BS28+BU28-BT28</f>
        <v>#REF!</v>
      </c>
      <c r="BW28" s="1">
        <f>AX28</f>
        <v>417.21854304636</v>
      </c>
      <c r="BY28" s="3" t="e">
        <f>BV28+BX28-BW28</f>
        <v>#REF!</v>
      </c>
    </row>
    <row r="29" ht="14.0">
      <c r="A29" s="27" t="s">
        <v>28</v>
      </c>
      <c r="B29" s="27" t="s">
        <v>29</v>
      </c>
      <c r="C29" s="27" t="s">
        <v>78</v>
      </c>
      <c r="D29" s="27" t="s">
        <v>79</v>
      </c>
      <c r="E29" s="27"/>
      <c r="F29" s="27">
        <v>3.0</v>
      </c>
      <c r="G29" s="27">
        <v>8.0</v>
      </c>
      <c r="H29" s="27">
        <v>9.0</v>
      </c>
      <c r="I29" s="27">
        <v>9.0</v>
      </c>
      <c r="J29" s="27">
        <v>12.0</v>
      </c>
      <c r="K29" s="27">
        <v>14.0</v>
      </c>
      <c r="L29" s="27">
        <v>4.0</v>
      </c>
      <c r="M29" s="27">
        <v>9.0</v>
      </c>
      <c r="N29" s="27">
        <v>9.0</v>
      </c>
      <c r="O29" s="27">
        <v>13.0</v>
      </c>
      <c r="P29" s="27">
        <v>7.0</v>
      </c>
      <c r="Q29" s="27">
        <v>6.0</v>
      </c>
      <c r="R29" s="27">
        <v>9.0</v>
      </c>
      <c r="S29" s="27">
        <v>9.0</v>
      </c>
      <c r="T29" s="27">
        <v>10.0</v>
      </c>
      <c r="U29" s="27">
        <v>8.0</v>
      </c>
      <c r="V29" s="27">
        <v>9.0</v>
      </c>
      <c r="W29" s="27">
        <v>4.0</v>
      </c>
      <c r="X29" s="27">
        <v>7.0</v>
      </c>
      <c r="Y29" s="27">
        <v>5.0</v>
      </c>
      <c r="Z29" s="27">
        <v>1.0</v>
      </c>
      <c r="AA29" s="27">
        <v>1.0</v>
      </c>
      <c r="AB29" s="27">
        <v>0.0</v>
      </c>
      <c r="AC29" s="27">
        <v>8.0</v>
      </c>
      <c r="AD29" s="27">
        <v>3.0</v>
      </c>
      <c r="AE29" s="27">
        <v>4.0</v>
      </c>
      <c r="AF29" s="27">
        <v>4.0</v>
      </c>
      <c r="AG29" s="27">
        <v>11.0</v>
      </c>
      <c r="AH29" s="27">
        <v>7.0</v>
      </c>
      <c r="AI29" s="27">
        <v>9.0</v>
      </c>
      <c r="AJ29" s="27">
        <v>5.0</v>
      </c>
      <c r="AK29" s="27">
        <v>3.0</v>
      </c>
      <c r="AL29" s="27">
        <v>1.0</v>
      </c>
      <c r="AM29" s="27">
        <v>3.0</v>
      </c>
      <c r="AN29" s="27">
        <v>2.0</v>
      </c>
      <c r="AO29" s="32">
        <f t="shared" si="3"/>
        <v>59.0</v>
      </c>
      <c r="AP29" s="32">
        <f t="shared" si="4"/>
        <v>28.0</v>
      </c>
      <c r="AQ29" s="32">
        <f t="shared" si="5"/>
        <v>30.8</v>
      </c>
      <c r="AR29" s="33"/>
      <c r="AS29" s="33">
        <v>6.0</v>
      </c>
      <c r="AT29" s="33">
        <v>3.0</v>
      </c>
      <c r="AU29" s="33">
        <v>6.0</v>
      </c>
      <c r="AV29" s="33">
        <v>5.0</v>
      </c>
      <c r="AW29" s="33">
        <v>4.0</v>
      </c>
      <c r="AX29" s="33">
        <v>7.0</v>
      </c>
      <c r="AY29" s="2">
        <f t="shared" si="12"/>
        <v>31.0</v>
      </c>
      <c r="AZ29" s="2" t="e">
        <f t="shared" si="13"/>
        <v>#REF!</v>
      </c>
      <c r="BD29">
        <f>VLOOKUP(C29,MOQ,3,FALSE())</f>
      </c>
      <c r="BI29" s="1">
        <f t="shared" si="19"/>
      </c>
      <c r="BJ29" s="3"/>
      <c r="BL29" s="1">
        <f t="shared" si="22"/>
      </c>
      <c r="BM29" s="3"/>
      <c r="BP29" s="3"/>
      <c r="BS29" s="3"/>
      <c r="BV29" s="3"/>
      <c r="BY29" s="3"/>
    </row>
    <row r="30" ht="14.0">
      <c r="A30" s="27" t="s">
        <v>28</v>
      </c>
      <c r="B30" s="27" t="s">
        <v>29</v>
      </c>
      <c r="C30" s="27" t="s">
        <v>80</v>
      </c>
      <c r="D30" s="27" t="s">
        <v>81</v>
      </c>
      <c r="E30" s="27"/>
      <c r="F30" s="27">
        <v>0.0</v>
      </c>
      <c r="G30" s="27">
        <v>48.0</v>
      </c>
      <c r="H30" s="27">
        <v>1409.0</v>
      </c>
      <c r="I30" s="27">
        <v>1121.0</v>
      </c>
      <c r="J30" s="27">
        <v>210.0</v>
      </c>
      <c r="K30" s="27">
        <v>177.0</v>
      </c>
      <c r="L30" s="27">
        <v>1956.0</v>
      </c>
      <c r="M30" s="27">
        <v>195.0</v>
      </c>
      <c r="N30" s="27">
        <v>643.0</v>
      </c>
      <c r="O30" s="27">
        <v>4.0</v>
      </c>
      <c r="P30" s="27">
        <v>1219.0</v>
      </c>
      <c r="Q30" s="27">
        <v>222.0</v>
      </c>
      <c r="R30" s="27">
        <v>162.0</v>
      </c>
      <c r="S30" s="27">
        <v>678.0</v>
      </c>
      <c r="T30" s="27">
        <v>936.0</v>
      </c>
      <c r="U30" s="27">
        <v>26.0</v>
      </c>
      <c r="V30" s="27">
        <v>960.0</v>
      </c>
      <c r="W30" s="27">
        <v>876.0</v>
      </c>
      <c r="X30" s="27">
        <v>534.0</v>
      </c>
      <c r="Y30" s="27">
        <v>464.0</v>
      </c>
      <c r="Z30" s="27">
        <v>223.0</v>
      </c>
      <c r="AA30" s="27">
        <v>760.0</v>
      </c>
      <c r="AB30" s="27">
        <v>229.0</v>
      </c>
      <c r="AC30" s="27">
        <v>985.0</v>
      </c>
      <c r="AD30" s="27">
        <v>96.0</v>
      </c>
      <c r="AE30" s="27">
        <v>809.0</v>
      </c>
      <c r="AF30" s="27">
        <v>144.0</v>
      </c>
      <c r="AG30" s="27">
        <v>162.0</v>
      </c>
      <c r="AH30" s="27">
        <v>611.0</v>
      </c>
      <c r="AI30" s="27">
        <v>679.0</v>
      </c>
      <c r="AJ30" s="27">
        <v>600.0</v>
      </c>
      <c r="AK30" s="27">
        <v>642.0</v>
      </c>
      <c r="AL30" s="27">
        <v>285.0</v>
      </c>
      <c r="AM30" s="27">
        <v>168.0</v>
      </c>
      <c r="AN30" s="27">
        <v>384.0</v>
      </c>
      <c r="AO30" s="28">
        <f t="shared" si="3"/>
        <v>6170.0</v>
      </c>
      <c r="AP30" s="28">
        <f t="shared" si="4"/>
        <v>2985.0</v>
      </c>
      <c r="AQ30" s="28">
        <f t="shared" si="5"/>
        <v>3283.5</v>
      </c>
      <c r="AS30" s="1">
        <f>AQ30*$AS$4/$AQ$4+12*$AS$35</f>
        <v>723.172185430463</v>
      </c>
      <c r="AT30" s="1">
        <f>AQ30*$AT$4/$AQ$4+12*$AT$35</f>
        <v>339.11258278146</v>
      </c>
      <c r="AU30" s="1">
        <f>AQ30*$AU$4/$AQ$4+12*$AU$35</f>
        <v>658.456953642384</v>
      </c>
      <c r="AV30" s="1">
        <f>AQ30*$AV$4/$AQ$4+12*$AV$35</f>
        <v>541.026490066225</v>
      </c>
      <c r="AW30" s="1">
        <f>AQ30*$AW$4/$AQ$4+12*$AW$35</f>
        <v>423.596026490066</v>
      </c>
      <c r="AX30" s="1">
        <f>AQ30*$AX$4/$AQ$4+12*$AX$35</f>
        <v>847.192052980132</v>
      </c>
      <c r="AY30" s="2">
        <f t="shared" si="12"/>
        <v>3532.55629139072</v>
      </c>
      <c r="AZ30" s="2" t="e">
        <f t="shared" si="13"/>
        <v>#REF!</v>
      </c>
      <c r="BC30" s="3" t="e">
        <f t="shared" ref="BC30:BC34" si="107">AZ30+BA30+BB30-AY30</f>
        <v>#REF!</v>
      </c>
      <c r="BD30" s="1">
        <f>VLOOKUP(C30,MOQ,3,FALSE())</f>
        <v>3000.0</v>
      </c>
      <c r="BE30" s="43" t="s">
        <v>32</v>
      </c>
      <c r="BG30" s="1" t="e">
        <f t="shared" ref="BG30:BG34" si="108">AZ30</f>
        <v>#REF!</v>
      </c>
      <c r="BH30" s="1">
        <f t="shared" ref="BH30:BH34" si="109">AS30</f>
        <v>723.172185430463</v>
      </c>
      <c r="BI30" s="1">
        <f t="shared" si="19"/>
      </c>
      <c r="BJ30" s="3" t="e">
        <f t="shared" ref="BJ30:BJ34" si="110">BG30+BI30-BH30</f>
        <v>#REF!</v>
      </c>
      <c r="BK30" s="1">
        <f t="shared" ref="BK30:BK34" si="111">AT30</f>
        <v>339.11258278146</v>
      </c>
      <c r="BL30" s="1">
        <f t="shared" si="22"/>
      </c>
      <c r="BM30" s="3" t="e">
        <f t="shared" ref="BM30:BM34" si="112">BJ30+BL30-BK30</f>
        <v>#REF!</v>
      </c>
      <c r="BN30" s="1">
        <f t="shared" ref="BN30:BN34" si="113">AU30</f>
        <v>658.456953642384</v>
      </c>
      <c r="BP30" s="3" t="e">
        <f t="shared" ref="BP30:BP34" si="114">BM30+BO30-BN30</f>
        <v>#REF!</v>
      </c>
      <c r="BQ30" s="1">
        <f t="shared" ref="BQ30:BQ34" si="115">AV30</f>
        <v>541.026490066225</v>
      </c>
      <c r="BS30" s="3" t="e">
        <f t="shared" ref="BS30:BS34" si="116">BP30+BR30-BQ30</f>
        <v>#REF!</v>
      </c>
      <c r="BT30" s="1">
        <f t="shared" ref="BT30:BT34" si="117">AW30</f>
        <v>423.596026490066</v>
      </c>
      <c r="BV30" s="3" t="e">
        <f t="shared" ref="BV30:BV34" si="118">BS30+BU30-BT30</f>
        <v>#REF!</v>
      </c>
      <c r="BW30" s="1">
        <f t="shared" ref="BW30:BW34" si="119">AX30</f>
        <v>847.192052980132</v>
      </c>
      <c r="BY30" s="3" t="e">
        <f t="shared" ref="BY30:BY34" si="120">BV30+BX30-BW30</f>
        <v>#REF!</v>
      </c>
    </row>
    <row r="31" ht="14.0">
      <c r="A31" s="27" t="s">
        <v>28</v>
      </c>
      <c r="B31" s="27" t="s">
        <v>29</v>
      </c>
      <c r="C31" s="27" t="s">
        <v>82</v>
      </c>
      <c r="D31" s="27" t="s">
        <v>83</v>
      </c>
      <c r="E31" s="27"/>
      <c r="F31" s="27">
        <v>0.0</v>
      </c>
      <c r="G31" s="27">
        <v>36.0</v>
      </c>
      <c r="H31" s="27">
        <v>1290.0</v>
      </c>
      <c r="I31" s="27">
        <v>899.0</v>
      </c>
      <c r="J31" s="27">
        <v>228.0</v>
      </c>
      <c r="K31" s="27">
        <v>280.0</v>
      </c>
      <c r="L31" s="27">
        <v>1686.0</v>
      </c>
      <c r="M31" s="27">
        <v>157.0</v>
      </c>
      <c r="N31" s="27">
        <v>882.0</v>
      </c>
      <c r="O31" s="27">
        <v>222.0</v>
      </c>
      <c r="P31" s="27">
        <v>1068.0</v>
      </c>
      <c r="Q31" s="27">
        <v>175.0</v>
      </c>
      <c r="R31" s="27">
        <v>142.0</v>
      </c>
      <c r="S31" s="27">
        <v>690.0</v>
      </c>
      <c r="T31" s="27">
        <v>682.0</v>
      </c>
      <c r="U31" s="27">
        <v>-14.0</v>
      </c>
      <c r="V31" s="27">
        <v>669.0</v>
      </c>
      <c r="W31" s="27">
        <v>637.0</v>
      </c>
      <c r="X31" s="27">
        <v>556.0</v>
      </c>
      <c r="Y31" s="27">
        <v>502.0</v>
      </c>
      <c r="Z31" s="27">
        <v>172.0</v>
      </c>
      <c r="AA31" s="27">
        <v>642.0</v>
      </c>
      <c r="AB31" s="27">
        <v>131.0</v>
      </c>
      <c r="AC31" s="27">
        <v>1033.0</v>
      </c>
      <c r="AD31" s="27">
        <v>90.0</v>
      </c>
      <c r="AE31" s="27">
        <v>652.0</v>
      </c>
      <c r="AF31" s="27">
        <v>132.0</v>
      </c>
      <c r="AG31" s="27">
        <v>108.0</v>
      </c>
      <c r="AH31" s="27">
        <v>548.0</v>
      </c>
      <c r="AI31" s="27">
        <v>642.0</v>
      </c>
      <c r="AJ31" s="27">
        <v>446.0</v>
      </c>
      <c r="AK31" s="27">
        <v>657.0</v>
      </c>
      <c r="AL31" s="27">
        <v>312.0</v>
      </c>
      <c r="AM31" s="27">
        <v>144.0</v>
      </c>
      <c r="AN31" s="27">
        <v>309.0</v>
      </c>
      <c r="AO31" s="28">
        <f t="shared" si="3"/>
        <v>5537.0</v>
      </c>
      <c r="AP31" s="28">
        <f t="shared" si="4"/>
        <v>2749.0</v>
      </c>
      <c r="AQ31" s="28">
        <f t="shared" si="5"/>
        <v>3023.9</v>
      </c>
      <c r="AS31" s="1">
        <f t="shared" ref="AS31:AS34" si="121">AQ31*$AS$4/$AQ$4+6*$AS$35</f>
        <v>630.637969094922</v>
      </c>
      <c r="AT31" s="1">
        <f t="shared" ref="AT31:AT34" si="122">AQ31*$AT$4/$AQ$4+6*$AT$35</f>
        <v>297.147902869757</v>
      </c>
      <c r="AU31" s="1">
        <f t="shared" ref="AU31:AU34" si="123">AQ31*$AU$4/$AQ$4+6*$AU$35</f>
        <v>576.090507726269</v>
      </c>
      <c r="AV31" s="1">
        <f t="shared" ref="AV31:AV34" si="124">AQ31*$AV$4/$AQ$4+6*$AV$35</f>
        <v>472.995584988962</v>
      </c>
      <c r="AW31" s="1">
        <f t="shared" ref="AW31:AW34" si="125">AQ31*$AW$4/$AQ$4+6*$AW$35</f>
        <v>369.900662251656</v>
      </c>
      <c r="AX31" s="1">
        <f t="shared" ref="AX31:AX34" si="126">AQ31*$AX$4/$AQ$4+6*$AX$35</f>
        <v>739.801324503311</v>
      </c>
      <c r="AY31" s="2">
        <f t="shared" si="12"/>
        <v>3086.57395143488</v>
      </c>
      <c r="AZ31" s="2" t="e">
        <f t="shared" si="13"/>
        <v>#REF!</v>
      </c>
      <c r="BC31" s="3" t="e">
        <f t="shared" si="107"/>
        <v>#REF!</v>
      </c>
      <c r="BD31" s="1">
        <f>VLOOKUP(C31,MOQ,3,FALSE())</f>
        <v>3000.0</v>
      </c>
      <c r="BE31" s="4">
        <f>BD31</f>
        <v>3000.0</v>
      </c>
      <c r="BF31" s="1" t="s">
        <v>8</v>
      </c>
      <c r="BG31" s="1" t="e">
        <f t="shared" si="108"/>
        <v>#REF!</v>
      </c>
      <c r="BH31" s="1">
        <f t="shared" si="109"/>
        <v>630.637969094922</v>
      </c>
      <c r="BI31" s="1">
        <f t="shared" si="19"/>
      </c>
      <c r="BJ31" s="3" t="e">
        <f t="shared" si="110"/>
        <v>#REF!</v>
      </c>
      <c r="BK31" s="1">
        <f t="shared" si="111"/>
        <v>297.147902869757</v>
      </c>
      <c r="BL31" s="1">
        <f t="shared" si="22"/>
      </c>
      <c r="BM31" s="3" t="e">
        <f t="shared" si="112"/>
        <v>#REF!</v>
      </c>
      <c r="BN31" s="1">
        <f t="shared" si="113"/>
        <v>576.090507726269</v>
      </c>
      <c r="BP31" s="3" t="e">
        <f t="shared" si="114"/>
        <v>#REF!</v>
      </c>
      <c r="BQ31" s="1">
        <f t="shared" si="115"/>
        <v>472.995584988962</v>
      </c>
      <c r="BS31" s="3" t="e">
        <f t="shared" si="116"/>
        <v>#REF!</v>
      </c>
      <c r="BT31" s="1">
        <f t="shared" si="117"/>
        <v>369.900662251656</v>
      </c>
      <c r="BV31" s="3" t="e">
        <f t="shared" si="118"/>
        <v>#REF!</v>
      </c>
      <c r="BW31" s="1">
        <f t="shared" si="119"/>
        <v>739.801324503311</v>
      </c>
      <c r="BY31" s="3" t="e">
        <f t="shared" si="120"/>
        <v>#REF!</v>
      </c>
    </row>
    <row r="32" ht="14.0">
      <c r="A32" s="27" t="s">
        <v>28</v>
      </c>
      <c r="B32" s="27" t="s">
        <v>29</v>
      </c>
      <c r="C32" s="27" t="s">
        <v>84</v>
      </c>
      <c r="D32" s="27" t="s">
        <v>85</v>
      </c>
      <c r="E32" s="27"/>
      <c r="F32" s="27">
        <v>0.0</v>
      </c>
      <c r="G32" s="27">
        <v>30.0</v>
      </c>
      <c r="H32" s="27">
        <v>48.0</v>
      </c>
      <c r="I32" s="27">
        <v>107.0</v>
      </c>
      <c r="J32" s="27">
        <v>102.0</v>
      </c>
      <c r="K32" s="27">
        <v>179.0</v>
      </c>
      <c r="L32" s="27">
        <v>454.0</v>
      </c>
      <c r="M32" s="27">
        <v>140.0</v>
      </c>
      <c r="N32" s="27">
        <v>258.0</v>
      </c>
      <c r="O32" s="27">
        <v>232.0</v>
      </c>
      <c r="P32" s="27">
        <v>524.0</v>
      </c>
      <c r="Q32" s="27">
        <v>86.0</v>
      </c>
      <c r="R32" s="27">
        <v>71.0</v>
      </c>
      <c r="S32" s="27">
        <v>293.0</v>
      </c>
      <c r="T32" s="27">
        <v>130.0</v>
      </c>
      <c r="U32" s="27">
        <v>71.0</v>
      </c>
      <c r="V32" s="27">
        <v>142.0</v>
      </c>
      <c r="W32" s="27">
        <v>137.0</v>
      </c>
      <c r="X32" s="27">
        <v>150.0</v>
      </c>
      <c r="Y32" s="27">
        <v>160.0</v>
      </c>
      <c r="Z32" s="27">
        <v>135.0</v>
      </c>
      <c r="AA32" s="27">
        <v>144.0</v>
      </c>
      <c r="AB32" s="27">
        <v>110.0</v>
      </c>
      <c r="AC32" s="27">
        <v>108.0</v>
      </c>
      <c r="AD32" s="27">
        <v>60.0</v>
      </c>
      <c r="AE32" s="27">
        <v>114.0</v>
      </c>
      <c r="AF32" s="27">
        <v>88.0</v>
      </c>
      <c r="AG32" s="27">
        <v>66.0</v>
      </c>
      <c r="AH32" s="27">
        <v>173.0</v>
      </c>
      <c r="AI32" s="27">
        <v>134.0</v>
      </c>
      <c r="AJ32" s="27">
        <v>127.0</v>
      </c>
      <c r="AK32" s="27">
        <v>150.0</v>
      </c>
      <c r="AL32" s="27">
        <v>125.0</v>
      </c>
      <c r="AM32" s="27">
        <v>123.0</v>
      </c>
      <c r="AN32" s="27">
        <v>78.0</v>
      </c>
      <c r="AO32" s="28">
        <f t="shared" si="3"/>
        <v>1522.0</v>
      </c>
      <c r="AP32" s="28">
        <f t="shared" si="4"/>
        <v>832.0</v>
      </c>
      <c r="AQ32" s="28">
        <f t="shared" si="5"/>
        <v>915.2</v>
      </c>
      <c r="AS32" s="1">
        <f t="shared" si="121"/>
        <v>220.154525386313</v>
      </c>
      <c r="AT32" s="1">
        <f t="shared" si="122"/>
        <v>102.485651214128</v>
      </c>
      <c r="AU32" s="1">
        <f t="shared" si="123"/>
        <v>199.461368653421</v>
      </c>
      <c r="AV32" s="1">
        <f t="shared" si="124"/>
        <v>164.075055187638</v>
      </c>
      <c r="AW32" s="1">
        <f t="shared" si="125"/>
        <v>128.688741721854</v>
      </c>
      <c r="AX32" s="1">
        <f t="shared" si="126"/>
        <v>257.377483443709</v>
      </c>
      <c r="AY32" s="2">
        <f t="shared" si="12"/>
        <v>1072.24282560706</v>
      </c>
      <c r="AZ32" s="2" t="e">
        <f t="shared" si="13"/>
        <v>#REF!</v>
      </c>
      <c r="BC32" s="3" t="e">
        <f t="shared" si="107"/>
        <v>#REF!</v>
      </c>
      <c r="BD32" s="1">
        <f>VLOOKUP(C32,MOQ,3,FALSE())</f>
        <v>3000.0</v>
      </c>
      <c r="BG32" s="1" t="e">
        <f t="shared" si="108"/>
        <v>#REF!</v>
      </c>
      <c r="BH32" s="1">
        <f t="shared" si="109"/>
        <v>220.154525386313</v>
      </c>
      <c r="BI32" s="1">
        <f t="shared" si="19"/>
      </c>
      <c r="BJ32" s="3" t="e">
        <f t="shared" si="110"/>
        <v>#REF!</v>
      </c>
      <c r="BK32" s="1">
        <f t="shared" si="111"/>
        <v>102.485651214128</v>
      </c>
      <c r="BL32" s="1">
        <f t="shared" si="22"/>
      </c>
      <c r="BM32" s="3" t="e">
        <f t="shared" si="112"/>
        <v>#REF!</v>
      </c>
      <c r="BN32" s="1">
        <f t="shared" si="113"/>
        <v>199.461368653421</v>
      </c>
      <c r="BP32" s="3" t="e">
        <f t="shared" si="114"/>
        <v>#REF!</v>
      </c>
      <c r="BQ32" s="1">
        <f t="shared" si="115"/>
        <v>164.075055187638</v>
      </c>
      <c r="BS32" s="3" t="e">
        <f t="shared" si="116"/>
        <v>#REF!</v>
      </c>
      <c r="BT32" s="1">
        <f t="shared" si="117"/>
        <v>128.688741721854</v>
      </c>
      <c r="BV32" s="3" t="e">
        <f t="shared" si="118"/>
        <v>#REF!</v>
      </c>
      <c r="BW32" s="1">
        <f t="shared" si="119"/>
        <v>257.377483443709</v>
      </c>
      <c r="BY32" s="3" t="e">
        <f t="shared" si="120"/>
        <v>#REF!</v>
      </c>
    </row>
    <row r="33" ht="14.0">
      <c r="A33" s="27" t="s">
        <v>28</v>
      </c>
      <c r="B33" s="27" t="s">
        <v>29</v>
      </c>
      <c r="C33" s="27" t="s">
        <v>86</v>
      </c>
      <c r="D33" s="27" t="s">
        <v>87</v>
      </c>
      <c r="E33" s="27"/>
      <c r="F33" s="27">
        <v>0.0</v>
      </c>
      <c r="G33" s="27">
        <v>36.0</v>
      </c>
      <c r="H33" s="27">
        <v>90.0</v>
      </c>
      <c r="I33" s="27">
        <v>84.0</v>
      </c>
      <c r="J33" s="27">
        <v>142.0</v>
      </c>
      <c r="K33" s="27">
        <v>112.0</v>
      </c>
      <c r="L33" s="27">
        <v>462.0</v>
      </c>
      <c r="M33" s="27">
        <v>101.0</v>
      </c>
      <c r="N33" s="27">
        <v>306.0</v>
      </c>
      <c r="O33" s="27">
        <v>155.0</v>
      </c>
      <c r="P33" s="27">
        <v>576.0</v>
      </c>
      <c r="Q33" s="27">
        <v>147.0</v>
      </c>
      <c r="R33" s="27">
        <v>116.0</v>
      </c>
      <c r="S33" s="27">
        <v>429.0</v>
      </c>
      <c r="T33" s="27">
        <v>451.0</v>
      </c>
      <c r="U33" s="27">
        <v>-44.0</v>
      </c>
      <c r="V33" s="27">
        <v>773.0</v>
      </c>
      <c r="W33" s="27">
        <v>663.0</v>
      </c>
      <c r="X33" s="27">
        <v>714.0</v>
      </c>
      <c r="Y33" s="27">
        <v>532.0</v>
      </c>
      <c r="Z33" s="27">
        <v>157.0</v>
      </c>
      <c r="AA33" s="27">
        <v>576.0</v>
      </c>
      <c r="AB33" s="27">
        <v>107.0</v>
      </c>
      <c r="AC33" s="27">
        <v>983.0</v>
      </c>
      <c r="AD33" s="27">
        <v>78.0</v>
      </c>
      <c r="AE33" s="27">
        <v>642.0</v>
      </c>
      <c r="AF33" s="27">
        <v>119.0</v>
      </c>
      <c r="AG33" s="27">
        <v>108.0</v>
      </c>
      <c r="AH33" s="27">
        <v>487.0</v>
      </c>
      <c r="AI33" s="27">
        <v>563.0</v>
      </c>
      <c r="AJ33" s="27">
        <v>618.0</v>
      </c>
      <c r="AK33" s="27">
        <v>516.0</v>
      </c>
      <c r="AL33" s="27">
        <v>249.0</v>
      </c>
      <c r="AM33" s="27">
        <v>100.0</v>
      </c>
      <c r="AN33" s="27">
        <v>268.0</v>
      </c>
      <c r="AO33" s="28">
        <f t="shared" si="3"/>
        <v>5146.0</v>
      </c>
      <c r="AP33" s="28">
        <f t="shared" si="4"/>
        <v>2533.0</v>
      </c>
      <c r="AQ33" s="28">
        <f t="shared" si="5"/>
        <v>2786.3</v>
      </c>
      <c r="AS33" s="1">
        <f t="shared" si="121"/>
        <v>584.386313465783</v>
      </c>
      <c r="AT33" s="1">
        <f t="shared" si="122"/>
        <v>275.21412803532</v>
      </c>
      <c r="AU33" s="1">
        <f t="shared" si="123"/>
        <v>533.653421633554</v>
      </c>
      <c r="AV33" s="1">
        <f t="shared" si="124"/>
        <v>438.187637969094</v>
      </c>
      <c r="AW33" s="1">
        <f t="shared" si="125"/>
        <v>342.721854304636</v>
      </c>
      <c r="AX33" s="1">
        <f t="shared" si="126"/>
        <v>685.443708609271</v>
      </c>
      <c r="AY33" s="2">
        <f t="shared" si="12"/>
        <v>2859.60706401766</v>
      </c>
      <c r="AZ33" s="2" t="e">
        <f t="shared" si="13"/>
        <v>#REF!</v>
      </c>
      <c r="BC33" s="3" t="e">
        <f t="shared" si="107"/>
        <v>#REF!</v>
      </c>
      <c r="BD33" s="1">
        <f>VLOOKUP(C33,MOQ,3,FALSE())</f>
        <v>3000.0</v>
      </c>
      <c r="BE33" s="43" t="s">
        <v>32</v>
      </c>
      <c r="BF33" s="1" t="s">
        <v>10</v>
      </c>
      <c r="BG33" s="1" t="e">
        <f t="shared" si="108"/>
        <v>#REF!</v>
      </c>
      <c r="BH33" s="1">
        <f t="shared" si="109"/>
        <v>584.386313465783</v>
      </c>
      <c r="BI33" s="1">
        <f t="shared" si="19"/>
      </c>
      <c r="BJ33" s="3" t="e">
        <f t="shared" si="110"/>
        <v>#REF!</v>
      </c>
      <c r="BK33" s="1">
        <f t="shared" si="111"/>
        <v>275.21412803532</v>
      </c>
      <c r="BL33" s="1">
        <f t="shared" si="22"/>
      </c>
      <c r="BM33" s="3" t="e">
        <f t="shared" si="112"/>
        <v>#REF!</v>
      </c>
      <c r="BN33" s="1">
        <f t="shared" si="113"/>
        <v>533.653421633554</v>
      </c>
      <c r="BP33" s="3" t="e">
        <f t="shared" si="114"/>
        <v>#REF!</v>
      </c>
      <c r="BQ33" s="1">
        <f t="shared" si="115"/>
        <v>438.187637969094</v>
      </c>
      <c r="BS33" s="3" t="e">
        <f t="shared" si="116"/>
        <v>#REF!</v>
      </c>
      <c r="BT33" s="1">
        <f t="shared" si="117"/>
        <v>342.721854304636</v>
      </c>
      <c r="BV33" s="3" t="e">
        <f t="shared" si="118"/>
        <v>#REF!</v>
      </c>
      <c r="BW33" s="1">
        <f t="shared" si="119"/>
        <v>685.443708609271</v>
      </c>
      <c r="BY33" s="3" t="e">
        <f t="shared" si="120"/>
        <v>#REF!</v>
      </c>
    </row>
    <row r="34" ht="14.0">
      <c r="A34" s="27" t="s">
        <v>28</v>
      </c>
      <c r="B34" s="27" t="s">
        <v>29</v>
      </c>
      <c r="C34" s="27" t="s">
        <v>88</v>
      </c>
      <c r="D34" s="27" t="s">
        <v>89</v>
      </c>
      <c r="E34" s="27"/>
      <c r="F34" s="27">
        <v>0.0</v>
      </c>
      <c r="G34" s="27">
        <v>42.0</v>
      </c>
      <c r="H34" s="27">
        <v>1067.0</v>
      </c>
      <c r="I34" s="27">
        <v>713.0</v>
      </c>
      <c r="J34" s="27">
        <v>186.0</v>
      </c>
      <c r="K34" s="27">
        <v>184.0</v>
      </c>
      <c r="L34" s="27">
        <v>1600.0</v>
      </c>
      <c r="M34" s="27">
        <v>115.0</v>
      </c>
      <c r="N34" s="27">
        <v>618.0</v>
      </c>
      <c r="O34" s="27">
        <v>143.0</v>
      </c>
      <c r="P34" s="27">
        <v>882.0</v>
      </c>
      <c r="Q34" s="27">
        <v>132.0</v>
      </c>
      <c r="R34" s="27">
        <v>95.0</v>
      </c>
      <c r="S34" s="27">
        <v>350.0</v>
      </c>
      <c r="T34" s="27">
        <v>506.0</v>
      </c>
      <c r="U34" s="27">
        <v>48.0</v>
      </c>
      <c r="V34" s="27">
        <v>522.0</v>
      </c>
      <c r="W34" s="27">
        <v>523.0</v>
      </c>
      <c r="X34" s="27">
        <v>434.0</v>
      </c>
      <c r="Y34" s="27">
        <v>314.0</v>
      </c>
      <c r="Z34" s="27">
        <v>98.0</v>
      </c>
      <c r="AA34" s="27">
        <v>438.0</v>
      </c>
      <c r="AB34" s="27">
        <v>129.0</v>
      </c>
      <c r="AC34" s="27">
        <v>825.0</v>
      </c>
      <c r="AD34" s="27">
        <v>60.0</v>
      </c>
      <c r="AE34" s="27">
        <v>468.0</v>
      </c>
      <c r="AF34" s="27">
        <v>84.0</v>
      </c>
      <c r="AG34" s="27">
        <v>77.0</v>
      </c>
      <c r="AH34" s="27">
        <v>332.0</v>
      </c>
      <c r="AI34" s="27">
        <v>498.0</v>
      </c>
      <c r="AJ34" s="27">
        <v>390.0</v>
      </c>
      <c r="AK34" s="27">
        <v>467.0</v>
      </c>
      <c r="AL34" s="27">
        <v>210.0</v>
      </c>
      <c r="AM34" s="27">
        <v>96.0</v>
      </c>
      <c r="AN34" s="27">
        <v>162.0</v>
      </c>
      <c r="AO34" s="28">
        <f t="shared" si="3"/>
        <v>4074.0</v>
      </c>
      <c r="AP34" s="28">
        <f t="shared" si="4"/>
        <v>1993.0</v>
      </c>
      <c r="AQ34" s="28">
        <f t="shared" si="5"/>
        <v>2192.3</v>
      </c>
      <c r="AS34" s="1">
        <f t="shared" si="121"/>
        <v>468.757174392936</v>
      </c>
      <c r="AT34" s="1">
        <f t="shared" si="122"/>
        <v>220.379690949227</v>
      </c>
      <c r="AU34" s="1">
        <f t="shared" si="123"/>
        <v>427.560706401766</v>
      </c>
      <c r="AV34" s="1">
        <f t="shared" si="124"/>
        <v>351.167770419426</v>
      </c>
      <c r="AW34" s="1">
        <f t="shared" si="125"/>
        <v>274.774834437086</v>
      </c>
      <c r="AX34" s="1">
        <f t="shared" si="126"/>
        <v>549.549668874172</v>
      </c>
      <c r="AY34" s="2">
        <f t="shared" si="12"/>
        <v>2292.18984547461</v>
      </c>
      <c r="AZ34" s="2" t="e">
        <f t="shared" si="13"/>
        <v>#REF!</v>
      </c>
      <c r="BC34" s="3" t="e">
        <f t="shared" si="107"/>
        <v>#REF!</v>
      </c>
      <c r="BD34" s="1">
        <f>VLOOKUP(C34,MOQ,3,FALSE())</f>
        <v>3000.0</v>
      </c>
      <c r="BE34" s="43" t="s">
        <v>32</v>
      </c>
      <c r="BG34" s="1" t="e">
        <f t="shared" si="108"/>
        <v>#REF!</v>
      </c>
      <c r="BH34" s="1">
        <f t="shared" si="109"/>
        <v>468.757174392936</v>
      </c>
      <c r="BI34" s="1">
        <f t="shared" si="19"/>
      </c>
      <c r="BJ34" s="3" t="e">
        <f t="shared" si="110"/>
        <v>#REF!</v>
      </c>
      <c r="BK34" s="1">
        <f t="shared" si="111"/>
        <v>220.379690949227</v>
      </c>
      <c r="BL34" s="1">
        <f t="shared" si="22"/>
      </c>
      <c r="BM34" s="3" t="e">
        <f t="shared" si="112"/>
        <v>#REF!</v>
      </c>
      <c r="BN34" s="1">
        <f t="shared" si="113"/>
        <v>427.560706401766</v>
      </c>
      <c r="BP34" s="3" t="e">
        <f t="shared" si="114"/>
        <v>#REF!</v>
      </c>
      <c r="BQ34" s="1">
        <f t="shared" si="115"/>
        <v>351.167770419426</v>
      </c>
      <c r="BS34" s="3" t="e">
        <f t="shared" si="116"/>
        <v>#REF!</v>
      </c>
      <c r="BT34" s="1">
        <f t="shared" si="117"/>
        <v>274.774834437086</v>
      </c>
      <c r="BV34" s="3" t="e">
        <f t="shared" si="118"/>
        <v>#REF!</v>
      </c>
      <c r="BW34" s="1">
        <f t="shared" si="119"/>
        <v>549.549668874172</v>
      </c>
      <c r="BY34" s="3" t="e">
        <f t="shared" si="120"/>
        <v>#REF!</v>
      </c>
    </row>
    <row r="35" ht="14.0">
      <c r="A35" s="27" t="s">
        <v>28</v>
      </c>
      <c r="B35" s="27" t="s">
        <v>29</v>
      </c>
      <c r="C35" s="27" t="s">
        <v>90</v>
      </c>
      <c r="D35" s="27" t="s">
        <v>91</v>
      </c>
      <c r="E35" s="27"/>
      <c r="F35" s="27">
        <v>0.0</v>
      </c>
      <c r="G35" s="27">
        <v>11.0</v>
      </c>
      <c r="H35" s="27">
        <v>19.0</v>
      </c>
      <c r="I35" s="27">
        <v>6.0</v>
      </c>
      <c r="J35" s="27">
        <v>0.0</v>
      </c>
      <c r="K35" s="27">
        <v>2.0</v>
      </c>
      <c r="L35" s="27">
        <v>2.0</v>
      </c>
      <c r="M35" s="27">
        <v>3.0</v>
      </c>
      <c r="N35" s="27">
        <v>2.0</v>
      </c>
      <c r="O35" s="27">
        <v>0.0</v>
      </c>
      <c r="P35" s="27">
        <v>1.0</v>
      </c>
      <c r="Q35" s="27">
        <v>4.0</v>
      </c>
      <c r="R35" s="27">
        <v>14.0</v>
      </c>
      <c r="S35" s="27">
        <v>8.0</v>
      </c>
      <c r="T35" s="27">
        <v>4.0</v>
      </c>
      <c r="U35" s="27">
        <v>11.0</v>
      </c>
      <c r="V35" s="27">
        <v>9.0</v>
      </c>
      <c r="W35" s="27">
        <v>6.0</v>
      </c>
      <c r="X35" s="27">
        <v>1.0</v>
      </c>
      <c r="Y35" s="27">
        <v>5.0</v>
      </c>
      <c r="Z35" s="27">
        <v>1.0</v>
      </c>
      <c r="AA35" s="27">
        <v>8.0</v>
      </c>
      <c r="AB35" s="27">
        <v>5.0</v>
      </c>
      <c r="AC35" s="27">
        <v>3.0</v>
      </c>
      <c r="AD35" s="27">
        <v>3.0</v>
      </c>
      <c r="AE35" s="27">
        <v>4.0</v>
      </c>
      <c r="AF35" s="27">
        <v>2.0</v>
      </c>
      <c r="AG35" s="27">
        <v>6.0</v>
      </c>
      <c r="AH35" s="27">
        <v>9.0</v>
      </c>
      <c r="AI35" s="27">
        <v>8.0</v>
      </c>
      <c r="AJ35" s="27">
        <v>0.0</v>
      </c>
      <c r="AK35" s="27">
        <v>4.0</v>
      </c>
      <c r="AL35" s="27">
        <v>7.0</v>
      </c>
      <c r="AM35" s="27">
        <v>4.0</v>
      </c>
      <c r="AN35" s="27">
        <v>2.0</v>
      </c>
      <c r="AO35" s="32">
        <f t="shared" si="3"/>
        <v>63.0</v>
      </c>
      <c r="AP35" s="32">
        <f t="shared" si="4"/>
        <v>32.0</v>
      </c>
      <c r="AQ35" s="32">
        <f t="shared" si="5"/>
        <v>35.2</v>
      </c>
      <c r="AR35" s="33"/>
      <c r="AS35" s="33">
        <v>7.0</v>
      </c>
      <c r="AT35" s="33">
        <v>3.0</v>
      </c>
      <c r="AU35" s="33">
        <v>6.0</v>
      </c>
      <c r="AV35" s="33">
        <v>5.0</v>
      </c>
      <c r="AW35" s="33">
        <v>4.0</v>
      </c>
      <c r="AX35" s="33">
        <v>8.0</v>
      </c>
      <c r="AY35" s="2">
        <f t="shared" si="12"/>
        <v>33.0</v>
      </c>
      <c r="AZ35" s="2" t="e">
        <f t="shared" si="13"/>
        <v>#REF!</v>
      </c>
      <c r="BD35">
        <f>VLOOKUP(C35,MOQ,3,FALSE())</f>
      </c>
      <c r="BI35" s="1">
        <f t="shared" si="19"/>
      </c>
      <c r="BJ35" s="3"/>
      <c r="BL35" s="1">
        <f t="shared" si="22"/>
      </c>
      <c r="BM35" s="3"/>
      <c r="BP35" s="3"/>
      <c r="BS35" s="3"/>
      <c r="BV35" s="3"/>
      <c r="BY35" s="3"/>
    </row>
    <row r="36" ht="14.0">
      <c r="A36" s="27" t="s">
        <v>28</v>
      </c>
      <c r="B36" s="27" t="s">
        <v>29</v>
      </c>
      <c r="C36" s="27" t="s">
        <v>92</v>
      </c>
      <c r="D36" s="27" t="s">
        <v>93</v>
      </c>
      <c r="E36" s="27"/>
      <c r="F36" s="27">
        <v>0.0</v>
      </c>
      <c r="G36" s="27">
        <v>0.0</v>
      </c>
      <c r="H36" s="27">
        <v>0.0</v>
      </c>
      <c r="I36" s="27">
        <v>0.0</v>
      </c>
      <c r="J36" s="27">
        <v>0.0</v>
      </c>
      <c r="K36" s="27">
        <v>0.0</v>
      </c>
      <c r="L36" s="27">
        <v>0.0</v>
      </c>
      <c r="M36" s="27">
        <v>0.0</v>
      </c>
      <c r="N36" s="27">
        <v>0.0</v>
      </c>
      <c r="O36" s="27">
        <v>0.0</v>
      </c>
      <c r="P36" s="27">
        <v>0.0</v>
      </c>
      <c r="Q36" s="27">
        <v>180.0</v>
      </c>
      <c r="R36" s="27">
        <v>204.0</v>
      </c>
      <c r="S36" s="27">
        <v>162.0</v>
      </c>
      <c r="T36" s="27">
        <v>165.0</v>
      </c>
      <c r="U36" s="27">
        <v>187.0</v>
      </c>
      <c r="V36" s="27">
        <v>168.0</v>
      </c>
      <c r="W36" s="27">
        <v>192.0</v>
      </c>
      <c r="X36" s="27">
        <v>282.0</v>
      </c>
      <c r="Y36" s="27">
        <v>219.0</v>
      </c>
      <c r="Z36" s="27">
        <v>191.0</v>
      </c>
      <c r="AA36" s="27">
        <v>255.0</v>
      </c>
      <c r="AB36" s="27">
        <v>150.0</v>
      </c>
      <c r="AC36" s="27">
        <v>222.0</v>
      </c>
      <c r="AD36" s="27">
        <v>159.0</v>
      </c>
      <c r="AE36" s="27">
        <v>176.0</v>
      </c>
      <c r="AF36" s="27">
        <v>185.0</v>
      </c>
      <c r="AG36" s="27">
        <v>168.0</v>
      </c>
      <c r="AH36" s="27">
        <v>240.0</v>
      </c>
      <c r="AI36" s="27">
        <v>347.0</v>
      </c>
      <c r="AJ36" s="27">
        <v>209.0</v>
      </c>
      <c r="AK36" s="27">
        <v>173.0</v>
      </c>
      <c r="AL36" s="27">
        <v>172.0</v>
      </c>
      <c r="AM36" s="27">
        <v>162.0</v>
      </c>
      <c r="AN36" s="27">
        <v>160.0</v>
      </c>
      <c r="AO36" s="28">
        <f t="shared" si="3"/>
        <v>2618.0</v>
      </c>
      <c r="AP36" s="28">
        <f t="shared" si="4"/>
        <v>1303.0</v>
      </c>
      <c r="AQ36" s="28">
        <f t="shared" si="5"/>
        <v>1433.3</v>
      </c>
      <c r="AS36" s="1">
        <f t="shared" ref="AS36:AS60" si="128">AQ36*$AS$4/$AQ$4</f>
        <v>279.008830022075</v>
      </c>
      <c r="AT36" s="1">
        <f t="shared" ref="AT36:AT60" si="129">AQ36*$AT$4/$AQ$4</f>
        <v>132.313465783664</v>
      </c>
      <c r="AU36" s="1">
        <f t="shared" ref="AU36:AU60" si="130">AQ36*$AU$4/$AQ$4</f>
        <v>255.997792494481</v>
      </c>
      <c r="AV36" s="1">
        <f t="shared" ref="AV36:AV60" si="131">AQ36*$AV$4/$AQ$4</f>
        <v>209.975717439293</v>
      </c>
      <c r="AW36" s="1">
        <f t="shared" ref="AW36:AW60" si="132">AQ36*$AW$4/$AQ$4</f>
        <v>163.953642384106</v>
      </c>
      <c r="AX36" s="1">
        <f t="shared" ref="AX36:AX60" si="133">AQ36*$AX$4/$AQ$4</f>
        <v>327.907284768211</v>
      </c>
      <c r="AY36" s="2">
        <f t="shared" si="12"/>
        <v>1369.15673289183</v>
      </c>
      <c r="AZ36" s="2" t="e">
        <f t="shared" si="13"/>
        <v>#REF!</v>
      </c>
      <c r="BB36" s="1" t="e">
        <f t="shared" ref="BB36:BB37" si="134">VLOOKUP(C36,CHINAJUNE,3,false)</f>
        <v>#REF!</v>
      </c>
      <c r="BC36" s="3" t="e">
        <f t="shared" ref="BC36:BC60" si="135">AZ36+BA36+BB36-AY36</f>
        <v>#REF!</v>
      </c>
      <c r="BD36" s="1">
        <f>VLOOKUP(C36,MOQ,3,FALSE())</f>
        <v>504.0</v>
      </c>
      <c r="BE36" s="4">
        <f>BD36</f>
        <v>504.0</v>
      </c>
      <c r="BF36" s="1" t="s">
        <v>9</v>
      </c>
      <c r="BG36" s="1" t="e">
        <f t="shared" ref="BG36:BG60" si="137">AZ36</f>
        <v>#REF!</v>
      </c>
      <c r="BH36" s="1">
        <f t="shared" ref="BH36:BH60" si="138">AS36</f>
        <v>279.008830022075</v>
      </c>
      <c r="BI36" s="1">
        <f t="shared" si="19"/>
      </c>
      <c r="BJ36" s="3" t="e">
        <f t="shared" ref="BJ36:BJ60" si="139">BG36+BI36-BH36</f>
        <v>#REF!</v>
      </c>
      <c r="BK36" s="1">
        <f t="shared" ref="BK36:BK60" si="140">AT36</f>
        <v>132.313465783664</v>
      </c>
      <c r="BL36" s="1" t="e">
        <f t="shared" si="22"/>
        <v>#REF!</v>
      </c>
      <c r="BM36" s="3" t="e">
        <f t="shared" ref="BM36:BM60" si="141">BJ36+BL36-BK36</f>
        <v>#REF!</v>
      </c>
      <c r="BN36" s="1">
        <f t="shared" ref="BN36:BN60" si="142">AU36</f>
        <v>255.997792494481</v>
      </c>
      <c r="BP36" s="3" t="e">
        <f t="shared" ref="BP36:BP60" si="143">BM36+BO36-BN36</f>
        <v>#REF!</v>
      </c>
      <c r="BQ36" s="1">
        <f t="shared" ref="BQ36:BQ60" si="144">AV36</f>
        <v>209.975717439293</v>
      </c>
      <c r="BS36" s="3" t="e">
        <f t="shared" ref="BS36:BS60" si="145">BP36+BR36-BQ36</f>
        <v>#REF!</v>
      </c>
      <c r="BT36" s="1">
        <f t="shared" ref="BT36:BT60" si="146">AW36</f>
        <v>163.953642384106</v>
      </c>
      <c r="BV36" s="3" t="e">
        <f t="shared" ref="BV36:BV60" si="147">BS36+BU36-BT36</f>
        <v>#REF!</v>
      </c>
      <c r="BW36" s="1">
        <f t="shared" ref="BW36:BW60" si="148">AX36</f>
        <v>327.907284768211</v>
      </c>
      <c r="BY36" s="3" t="e">
        <f t="shared" ref="BY36:BY60" si="149">BV36+BX36-BW36</f>
        <v>#REF!</v>
      </c>
    </row>
    <row r="37" ht="14.0">
      <c r="A37" s="27" t="s">
        <v>28</v>
      </c>
      <c r="B37" s="27" t="s">
        <v>29</v>
      </c>
      <c r="C37" s="27" t="s">
        <v>94</v>
      </c>
      <c r="D37" s="27" t="s">
        <v>95</v>
      </c>
      <c r="E37" s="27"/>
      <c r="F37" s="27">
        <v>74.0</v>
      </c>
      <c r="G37" s="27">
        <v>99.0</v>
      </c>
      <c r="H37" s="27">
        <v>99.0</v>
      </c>
      <c r="I37" s="27">
        <v>163.0</v>
      </c>
      <c r="J37" s="27">
        <v>111.0</v>
      </c>
      <c r="K37" s="27">
        <v>139.0</v>
      </c>
      <c r="L37" s="27">
        <v>141.0</v>
      </c>
      <c r="M37" s="27">
        <v>147.0</v>
      </c>
      <c r="N37" s="27">
        <v>64.0</v>
      </c>
      <c r="O37" s="27">
        <v>86.0</v>
      </c>
      <c r="P37" s="27">
        <v>150.0</v>
      </c>
      <c r="Q37" s="27">
        <v>75.0</v>
      </c>
      <c r="R37" s="27">
        <v>86.0</v>
      </c>
      <c r="S37" s="27">
        <v>187.0</v>
      </c>
      <c r="T37" s="27">
        <v>151.0</v>
      </c>
      <c r="U37" s="27">
        <v>191.0</v>
      </c>
      <c r="V37" s="27">
        <v>146.0</v>
      </c>
      <c r="W37" s="27">
        <v>178.0</v>
      </c>
      <c r="X37" s="27">
        <v>258.0</v>
      </c>
      <c r="Y37" s="27">
        <v>106.0</v>
      </c>
      <c r="Z37" s="27">
        <v>1.0</v>
      </c>
      <c r="AA37" s="27">
        <v>245.0</v>
      </c>
      <c r="AB37" s="27">
        <v>137.0</v>
      </c>
      <c r="AC37" s="27">
        <v>177.0</v>
      </c>
      <c r="AD37" s="27">
        <v>162.0</v>
      </c>
      <c r="AE37" s="27">
        <v>151.0</v>
      </c>
      <c r="AF37" s="27">
        <v>144.0</v>
      </c>
      <c r="AG37" s="27">
        <v>141.0</v>
      </c>
      <c r="AH37" s="27">
        <v>176.0</v>
      </c>
      <c r="AI37" s="27">
        <v>209.0</v>
      </c>
      <c r="AJ37" s="27">
        <v>186.0</v>
      </c>
      <c r="AK37" s="27">
        <v>126.0</v>
      </c>
      <c r="AL37" s="27">
        <v>141.0</v>
      </c>
      <c r="AM37" s="27">
        <v>137.0</v>
      </c>
      <c r="AN37" s="27">
        <v>42.0</v>
      </c>
      <c r="AO37" s="28">
        <f t="shared" si="3"/>
        <v>2132.0</v>
      </c>
      <c r="AP37" s="28">
        <f t="shared" si="4"/>
        <v>975.0</v>
      </c>
      <c r="AQ37" s="28">
        <f t="shared" si="5"/>
        <v>1072.5</v>
      </c>
      <c r="AS37" s="1">
        <f t="shared" si="128"/>
        <v>208.774834437086</v>
      </c>
      <c r="AT37" s="1">
        <f t="shared" si="129"/>
        <v>99.0066225165562</v>
      </c>
      <c r="AU37" s="1">
        <f t="shared" si="130"/>
        <v>191.556291390728</v>
      </c>
      <c r="AV37" s="1">
        <f t="shared" si="131"/>
        <v>157.119205298013</v>
      </c>
      <c r="AW37" s="1">
        <f t="shared" si="132"/>
        <v>122.682119205298</v>
      </c>
      <c r="AX37" s="1">
        <f t="shared" si="133"/>
        <v>245.364238410596</v>
      </c>
      <c r="AY37" s="2">
        <f t="shared" si="12"/>
        <v>1024.50331125828</v>
      </c>
      <c r="AZ37" s="2" t="e">
        <f t="shared" si="13"/>
        <v>#REF!</v>
      </c>
      <c r="BB37" s="1" t="e">
        <f t="shared" si="134"/>
        <v>#REF!</v>
      </c>
      <c r="BC37" s="3" t="e">
        <f t="shared" si="135"/>
        <v>#REF!</v>
      </c>
      <c r="BD37" s="1">
        <f>VLOOKUP(C37,MOQ,3,FALSE())</f>
        <v>480.0</v>
      </c>
      <c r="BE37" s="43" t="s">
        <v>32</v>
      </c>
      <c r="BF37" s="1" t="s">
        <v>10</v>
      </c>
      <c r="BG37" s="1" t="e">
        <f t="shared" si="137"/>
        <v>#REF!</v>
      </c>
      <c r="BH37" s="1">
        <f t="shared" si="138"/>
        <v>208.774834437086</v>
      </c>
      <c r="BI37" s="1">
        <f t="shared" si="19"/>
      </c>
      <c r="BJ37" s="3" t="e">
        <f t="shared" si="139"/>
        <v>#REF!</v>
      </c>
      <c r="BK37" s="1">
        <f t="shared" si="140"/>
        <v>99.0066225165562</v>
      </c>
      <c r="BL37" s="1" t="e">
        <f t="shared" si="22"/>
        <v>#REF!</v>
      </c>
      <c r="BM37" s="3" t="e">
        <f t="shared" si="141"/>
        <v>#REF!</v>
      </c>
      <c r="BN37" s="1">
        <f t="shared" si="142"/>
        <v>191.556291390728</v>
      </c>
      <c r="BP37" s="3" t="e">
        <f t="shared" si="143"/>
        <v>#REF!</v>
      </c>
      <c r="BQ37" s="1">
        <f t="shared" si="144"/>
        <v>157.119205298013</v>
      </c>
      <c r="BS37" s="3" t="e">
        <f t="shared" si="145"/>
        <v>#REF!</v>
      </c>
      <c r="BT37" s="1">
        <f t="shared" si="146"/>
        <v>122.682119205298</v>
      </c>
      <c r="BV37" s="3" t="e">
        <f t="shared" si="147"/>
        <v>#REF!</v>
      </c>
      <c r="BW37" s="1">
        <f t="shared" si="148"/>
        <v>245.364238410596</v>
      </c>
      <c r="BY37" s="3" t="e">
        <f t="shared" si="149"/>
        <v>#REF!</v>
      </c>
    </row>
    <row r="38" ht="14.0">
      <c r="A38" s="27" t="s">
        <v>28</v>
      </c>
      <c r="B38" s="27" t="s">
        <v>29</v>
      </c>
      <c r="C38" s="27" t="s">
        <v>96</v>
      </c>
      <c r="D38" s="27" t="s">
        <v>97</v>
      </c>
      <c r="E38" s="27"/>
      <c r="F38" s="27">
        <v>65.0</v>
      </c>
      <c r="G38" s="27">
        <v>33.0</v>
      </c>
      <c r="H38" s="27">
        <v>77.0</v>
      </c>
      <c r="I38" s="27">
        <v>125.0</v>
      </c>
      <c r="J38" s="27">
        <v>110.0</v>
      </c>
      <c r="K38" s="27">
        <v>86.0</v>
      </c>
      <c r="L38" s="27">
        <v>108.0</v>
      </c>
      <c r="M38" s="27">
        <v>116.0</v>
      </c>
      <c r="N38" s="27">
        <v>35.0</v>
      </c>
      <c r="O38" s="27">
        <v>57.0</v>
      </c>
      <c r="P38" s="27">
        <v>104.0</v>
      </c>
      <c r="Q38" s="27">
        <v>81.0</v>
      </c>
      <c r="R38" s="27">
        <v>92.0</v>
      </c>
      <c r="S38" s="27">
        <v>120.0</v>
      </c>
      <c r="T38" s="27">
        <v>116.0</v>
      </c>
      <c r="U38" s="27">
        <v>126.0</v>
      </c>
      <c r="V38" s="27">
        <v>92.0</v>
      </c>
      <c r="W38" s="27">
        <v>221.0</v>
      </c>
      <c r="X38" s="27">
        <v>156.0</v>
      </c>
      <c r="Y38" s="27">
        <v>68.0</v>
      </c>
      <c r="Z38" s="27">
        <v>0.0</v>
      </c>
      <c r="AA38" s="27">
        <v>157.0</v>
      </c>
      <c r="AB38" s="27">
        <v>62.0</v>
      </c>
      <c r="AC38" s="27">
        <v>70.0</v>
      </c>
      <c r="AD38" s="27">
        <v>96.0</v>
      </c>
      <c r="AE38" s="27">
        <v>50.0</v>
      </c>
      <c r="AF38" s="27">
        <v>73.0</v>
      </c>
      <c r="AG38" s="27">
        <v>77.0</v>
      </c>
      <c r="AH38" s="27">
        <v>122.0</v>
      </c>
      <c r="AI38" s="27">
        <v>100.0</v>
      </c>
      <c r="AJ38" s="27">
        <v>95.0</v>
      </c>
      <c r="AK38" s="27">
        <v>95.0</v>
      </c>
      <c r="AL38" s="27">
        <v>53.0</v>
      </c>
      <c r="AM38" s="27">
        <v>75.0</v>
      </c>
      <c r="AN38" s="27">
        <v>44.0</v>
      </c>
      <c r="AO38" s="28">
        <f t="shared" si="3"/>
        <v>1125.0</v>
      </c>
      <c r="AP38" s="28">
        <f t="shared" si="4"/>
        <v>540.0</v>
      </c>
      <c r="AQ38" s="28">
        <f t="shared" si="5"/>
        <v>594.0</v>
      </c>
      <c r="AS38" s="1">
        <f t="shared" si="128"/>
        <v>115.62913907284</v>
      </c>
      <c r="AT38" s="1">
        <f t="shared" si="129"/>
        <v>54.8344370860927</v>
      </c>
      <c r="AU38" s="1">
        <f t="shared" si="130"/>
        <v>106.092715231788</v>
      </c>
      <c r="AV38" s="1">
        <f t="shared" si="131"/>
        <v>87.0198675496689</v>
      </c>
      <c r="AW38" s="1">
        <f t="shared" si="132"/>
        <v>67.9470198675497</v>
      </c>
      <c r="AX38" s="1">
        <f t="shared" si="133"/>
        <v>135.894039735099</v>
      </c>
      <c r="AY38" s="2">
        <f t="shared" si="12"/>
        <v>567.417218543038</v>
      </c>
      <c r="AZ38" s="2" t="e">
        <f t="shared" si="13"/>
        <v>#REF!</v>
      </c>
      <c r="BC38" s="3" t="e">
        <f t="shared" si="135"/>
        <v>#REF!</v>
      </c>
      <c r="BD38" s="1">
        <f>VLOOKUP(C38,MOQ,3,FALSE())</f>
        <v>480.0</v>
      </c>
      <c r="BG38" s="1" t="e">
        <f t="shared" si="137"/>
        <v>#REF!</v>
      </c>
      <c r="BH38" s="1">
        <f t="shared" si="138"/>
        <v>115.62913907284</v>
      </c>
      <c r="BI38" s="1">
        <f t="shared" si="19"/>
      </c>
      <c r="BJ38" s="3" t="e">
        <f t="shared" si="139"/>
        <v>#REF!</v>
      </c>
      <c r="BK38" s="1">
        <f t="shared" si="140"/>
        <v>54.8344370860927</v>
      </c>
      <c r="BL38" s="1">
        <f t="shared" si="22"/>
      </c>
      <c r="BM38" s="3" t="e">
        <f t="shared" si="141"/>
        <v>#REF!</v>
      </c>
      <c r="BN38" s="1">
        <f t="shared" si="142"/>
        <v>106.092715231788</v>
      </c>
      <c r="BP38" s="3" t="e">
        <f t="shared" si="143"/>
        <v>#REF!</v>
      </c>
      <c r="BQ38" s="1">
        <f t="shared" si="144"/>
        <v>87.0198675496689</v>
      </c>
      <c r="BS38" s="3" t="e">
        <f t="shared" si="145"/>
        <v>#REF!</v>
      </c>
      <c r="BT38" s="1">
        <f t="shared" si="146"/>
        <v>67.9470198675497</v>
      </c>
      <c r="BV38" s="3" t="e">
        <f t="shared" si="147"/>
        <v>#REF!</v>
      </c>
      <c r="BW38" s="1">
        <f t="shared" si="148"/>
        <v>135.894039735099</v>
      </c>
      <c r="BY38" s="3" t="e">
        <f t="shared" si="149"/>
        <v>#REF!</v>
      </c>
    </row>
    <row r="39" ht="14.0">
      <c r="A39" s="27" t="s">
        <v>28</v>
      </c>
      <c r="B39" s="27" t="s">
        <v>98</v>
      </c>
      <c r="C39" s="27" t="s">
        <v>99</v>
      </c>
      <c r="D39" s="27" t="s">
        <v>100</v>
      </c>
      <c r="E39" s="27"/>
      <c r="F39" s="27">
        <v>276.0</v>
      </c>
      <c r="G39" s="27">
        <v>360.0</v>
      </c>
      <c r="H39" s="27">
        <v>371.0</v>
      </c>
      <c r="I39" s="27">
        <v>762.0</v>
      </c>
      <c r="J39" s="27">
        <v>492.0</v>
      </c>
      <c r="K39" s="27">
        <v>922.0</v>
      </c>
      <c r="L39" s="27">
        <v>793.0</v>
      </c>
      <c r="M39" s="27">
        <v>480.0</v>
      </c>
      <c r="N39" s="27">
        <v>504.0</v>
      </c>
      <c r="O39" s="27">
        <v>368.0</v>
      </c>
      <c r="P39" s="27">
        <v>841.0</v>
      </c>
      <c r="Q39" s="27">
        <v>505.0</v>
      </c>
      <c r="R39" s="27">
        <v>458.0</v>
      </c>
      <c r="S39" s="27">
        <v>594.0</v>
      </c>
      <c r="T39" s="27">
        <v>865.0</v>
      </c>
      <c r="U39" s="27">
        <v>603.0</v>
      </c>
      <c r="V39" s="27">
        <v>890.0</v>
      </c>
      <c r="W39" s="27">
        <v>788.0</v>
      </c>
      <c r="X39" s="27">
        <v>792.0</v>
      </c>
      <c r="Y39" s="27">
        <v>492.0</v>
      </c>
      <c r="Z39" s="27">
        <v>440.0</v>
      </c>
      <c r="AA39" s="27">
        <v>324.0</v>
      </c>
      <c r="AB39" s="27">
        <v>0.0</v>
      </c>
      <c r="AC39" s="27">
        <v>948.0</v>
      </c>
      <c r="AD39" s="27">
        <v>402.0</v>
      </c>
      <c r="AE39" s="27">
        <v>601.0</v>
      </c>
      <c r="AF39" s="27">
        <v>414.0</v>
      </c>
      <c r="AG39" s="27">
        <v>432.0</v>
      </c>
      <c r="AH39" s="27">
        <v>739.0</v>
      </c>
      <c r="AI39" s="27">
        <v>882.0</v>
      </c>
      <c r="AJ39" s="27">
        <v>600.0</v>
      </c>
      <c r="AK39" s="27">
        <v>436.0</v>
      </c>
      <c r="AL39" s="27">
        <v>450.0</v>
      </c>
      <c r="AM39" s="27">
        <v>303.0</v>
      </c>
      <c r="AN39" s="27">
        <v>372.0</v>
      </c>
      <c r="AO39" s="28">
        <f t="shared" si="3"/>
        <v>6531.0</v>
      </c>
      <c r="AP39" s="28">
        <f t="shared" si="4"/>
        <v>3410.0</v>
      </c>
      <c r="AQ39" s="28">
        <f t="shared" si="5"/>
        <v>3751.0</v>
      </c>
      <c r="AS39" s="1">
        <f t="shared" si="128"/>
        <v>730.176600441501</v>
      </c>
      <c r="AT39" s="1">
        <f t="shared" si="129"/>
        <v>346.269315673289</v>
      </c>
      <c r="AU39" s="1">
        <f t="shared" si="130"/>
        <v>669.955849889624</v>
      </c>
      <c r="AV39" s="1">
        <f t="shared" si="131"/>
        <v>549.514348785871</v>
      </c>
      <c r="AW39" s="1">
        <f t="shared" si="132"/>
        <v>429.072847682119</v>
      </c>
      <c r="AX39" s="1">
        <f t="shared" si="133"/>
        <v>858.145695364238</v>
      </c>
      <c r="AY39" s="2">
        <f t="shared" si="12"/>
        <v>3583.13465783664</v>
      </c>
      <c r="AZ39" s="2" t="e">
        <f t="shared" si="13"/>
        <v>#REF!</v>
      </c>
      <c r="BB39" s="1" t="e">
        <f>VLOOKUP(C39,CHINAJUNE,3,false)</f>
        <v>#REF!</v>
      </c>
      <c r="BC39" s="3" t="e">
        <f t="shared" si="135"/>
        <v>#REF!</v>
      </c>
      <c r="BD39" s="1">
        <f>VLOOKUP(C39,MOQ,3,FALSE())</f>
        <v>1008.0</v>
      </c>
      <c r="BE39" s="43" t="s">
        <v>32</v>
      </c>
      <c r="BF39" s="1" t="s">
        <v>10</v>
      </c>
      <c r="BG39" s="1" t="e">
        <f t="shared" si="137"/>
        <v>#REF!</v>
      </c>
      <c r="BH39" s="1">
        <f t="shared" si="138"/>
        <v>730.176600441501</v>
      </c>
      <c r="BI39" s="1">
        <f t="shared" si="19"/>
      </c>
      <c r="BJ39" s="3" t="e">
        <f t="shared" si="139"/>
        <v>#REF!</v>
      </c>
      <c r="BK39" s="1">
        <f t="shared" si="140"/>
        <v>346.269315673289</v>
      </c>
      <c r="BL39" s="1" t="e">
        <f t="shared" si="22"/>
        <v>#REF!</v>
      </c>
      <c r="BM39" s="3" t="e">
        <f t="shared" si="141"/>
        <v>#REF!</v>
      </c>
      <c r="BN39" s="1">
        <f t="shared" si="142"/>
        <v>669.955849889624</v>
      </c>
      <c r="BP39" s="3" t="e">
        <f t="shared" si="143"/>
        <v>#REF!</v>
      </c>
      <c r="BQ39" s="1">
        <f t="shared" si="144"/>
        <v>549.514348785871</v>
      </c>
      <c r="BS39" s="3" t="e">
        <f t="shared" si="145"/>
        <v>#REF!</v>
      </c>
      <c r="BT39" s="1">
        <f t="shared" si="146"/>
        <v>429.072847682119</v>
      </c>
      <c r="BV39" s="3" t="e">
        <f t="shared" si="147"/>
        <v>#REF!</v>
      </c>
      <c r="BW39" s="1">
        <f t="shared" si="148"/>
        <v>858.145695364238</v>
      </c>
      <c r="BY39" s="3" t="e">
        <f t="shared" si="149"/>
        <v>#REF!</v>
      </c>
    </row>
    <row r="40" ht="14.0">
      <c r="A40" s="27" t="s">
        <v>28</v>
      </c>
      <c r="B40" s="27" t="s">
        <v>98</v>
      </c>
      <c r="C40" s="27" t="s">
        <v>101</v>
      </c>
      <c r="D40" s="27" t="s">
        <v>102</v>
      </c>
      <c r="E40" s="27"/>
      <c r="F40" s="27">
        <v>204.0</v>
      </c>
      <c r="G40" s="27">
        <v>186.0</v>
      </c>
      <c r="H40" s="27">
        <v>204.0</v>
      </c>
      <c r="I40" s="27">
        <v>276.0</v>
      </c>
      <c r="J40" s="27">
        <v>264.0</v>
      </c>
      <c r="K40" s="27">
        <v>474.0</v>
      </c>
      <c r="L40" s="27">
        <v>264.0</v>
      </c>
      <c r="M40" s="27">
        <v>186.0</v>
      </c>
      <c r="N40" s="27">
        <v>144.0</v>
      </c>
      <c r="O40" s="27">
        <v>192.0</v>
      </c>
      <c r="P40" s="27">
        <v>156.0</v>
      </c>
      <c r="Q40" s="27">
        <v>162.0</v>
      </c>
      <c r="R40" s="27">
        <v>111.0</v>
      </c>
      <c r="S40" s="27">
        <v>78.0</v>
      </c>
      <c r="T40" s="27">
        <v>138.0</v>
      </c>
      <c r="U40" s="27">
        <v>133.0</v>
      </c>
      <c r="V40" s="27">
        <v>157.0</v>
      </c>
      <c r="W40" s="27">
        <v>132.0</v>
      </c>
      <c r="X40" s="27">
        <v>162.0</v>
      </c>
      <c r="Y40" s="27">
        <v>120.0</v>
      </c>
      <c r="Z40" s="27">
        <v>91.0</v>
      </c>
      <c r="AA40" s="27">
        <v>126.0</v>
      </c>
      <c r="AB40" s="27">
        <v>121.0</v>
      </c>
      <c r="AC40" s="27">
        <v>102.0</v>
      </c>
      <c r="AD40" s="27">
        <v>84.0</v>
      </c>
      <c r="AE40" s="27">
        <v>78.0</v>
      </c>
      <c r="AF40" s="27">
        <v>90.0</v>
      </c>
      <c r="AG40" s="27">
        <v>90.0</v>
      </c>
      <c r="AH40" s="27">
        <v>150.0</v>
      </c>
      <c r="AI40" s="27">
        <v>144.0</v>
      </c>
      <c r="AJ40" s="27">
        <v>90.0</v>
      </c>
      <c r="AK40" s="27">
        <v>61.0</v>
      </c>
      <c r="AL40" s="27">
        <v>60.0</v>
      </c>
      <c r="AM40" s="27">
        <v>96.0</v>
      </c>
      <c r="AN40" s="27">
        <v>24.0</v>
      </c>
      <c r="AO40" s="28">
        <f t="shared" si="3"/>
        <v>1292.0</v>
      </c>
      <c r="AP40" s="28">
        <f t="shared" si="4"/>
        <v>601.0</v>
      </c>
      <c r="AQ40" s="28">
        <f t="shared" si="5"/>
        <v>661.1</v>
      </c>
      <c r="AS40" s="1">
        <f t="shared" si="128"/>
        <v>128.690949227373</v>
      </c>
      <c r="AT40" s="1">
        <f t="shared" si="129"/>
        <v>61.0286975717439</v>
      </c>
      <c r="AU40" s="1">
        <f t="shared" si="130"/>
        <v>118.077262693157</v>
      </c>
      <c r="AV40" s="1">
        <f t="shared" si="131"/>
        <v>96.849889624724</v>
      </c>
      <c r="AW40" s="1">
        <f t="shared" si="132"/>
        <v>75.6225165562913</v>
      </c>
      <c r="AX40" s="1">
        <f t="shared" si="133"/>
        <v>151.245033112582</v>
      </c>
      <c r="AY40" s="2">
        <f t="shared" si="12"/>
        <v>631.514348785871</v>
      </c>
      <c r="AZ40" s="2" t="e">
        <f t="shared" si="13"/>
        <v>#REF!</v>
      </c>
      <c r="BC40" s="3" t="e">
        <f t="shared" si="135"/>
        <v>#REF!</v>
      </c>
      <c r="BD40" s="1">
        <f>VLOOKUP(C40,MOQ,3,FALSE())</f>
        <v>1008.0</v>
      </c>
      <c r="BG40" s="1" t="e">
        <f t="shared" si="137"/>
        <v>#REF!</v>
      </c>
      <c r="BH40" s="1">
        <f t="shared" si="138"/>
        <v>128.690949227373</v>
      </c>
      <c r="BI40" s="1">
        <f t="shared" si="19"/>
      </c>
      <c r="BJ40" s="3" t="e">
        <f t="shared" si="139"/>
        <v>#REF!</v>
      </c>
      <c r="BK40" s="1">
        <f t="shared" si="140"/>
        <v>61.0286975717439</v>
      </c>
      <c r="BL40" s="1">
        <f t="shared" si="22"/>
      </c>
      <c r="BM40" s="3" t="e">
        <f t="shared" si="141"/>
        <v>#REF!</v>
      </c>
      <c r="BN40" s="1">
        <f t="shared" si="142"/>
        <v>118.077262693157</v>
      </c>
      <c r="BP40" s="3" t="e">
        <f t="shared" si="143"/>
        <v>#REF!</v>
      </c>
      <c r="BQ40" s="1">
        <f t="shared" si="144"/>
        <v>96.849889624724</v>
      </c>
      <c r="BS40" s="3" t="e">
        <f t="shared" si="145"/>
        <v>#REF!</v>
      </c>
      <c r="BT40" s="1">
        <f t="shared" si="146"/>
        <v>75.6225165562913</v>
      </c>
      <c r="BV40" s="3" t="e">
        <f t="shared" si="147"/>
        <v>#REF!</v>
      </c>
      <c r="BW40" s="1">
        <f t="shared" si="148"/>
        <v>151.245033112582</v>
      </c>
      <c r="BY40" s="3" t="e">
        <f t="shared" si="149"/>
        <v>#REF!</v>
      </c>
    </row>
    <row r="41" ht="14.0">
      <c r="A41" s="27" t="s">
        <v>28</v>
      </c>
      <c r="B41" s="27" t="s">
        <v>98</v>
      </c>
      <c r="C41" s="27" t="s">
        <v>103</v>
      </c>
      <c r="D41" s="27" t="s">
        <v>104</v>
      </c>
      <c r="E41" s="27"/>
      <c r="F41" s="27">
        <v>247.0</v>
      </c>
      <c r="G41" s="27">
        <v>342.0</v>
      </c>
      <c r="H41" s="27">
        <v>318.0</v>
      </c>
      <c r="I41" s="27">
        <v>594.0</v>
      </c>
      <c r="J41" s="27">
        <v>378.0</v>
      </c>
      <c r="K41" s="27">
        <v>649.0</v>
      </c>
      <c r="L41" s="27">
        <v>648.0</v>
      </c>
      <c r="M41" s="27">
        <v>85.0</v>
      </c>
      <c r="N41" s="27">
        <v>270.0</v>
      </c>
      <c r="O41" s="27">
        <v>278.0</v>
      </c>
      <c r="P41" s="27">
        <v>559.0</v>
      </c>
      <c r="Q41" s="27">
        <v>271.0</v>
      </c>
      <c r="R41" s="27">
        <v>235.0</v>
      </c>
      <c r="S41" s="27">
        <v>408.0</v>
      </c>
      <c r="T41" s="27">
        <v>390.0</v>
      </c>
      <c r="U41" s="27">
        <v>372.0</v>
      </c>
      <c r="V41" s="27">
        <v>648.0</v>
      </c>
      <c r="W41" s="27">
        <v>692.0</v>
      </c>
      <c r="X41" s="27">
        <v>853.0</v>
      </c>
      <c r="Y41" s="27">
        <v>499.0</v>
      </c>
      <c r="Z41" s="27">
        <v>427.0</v>
      </c>
      <c r="AA41" s="27">
        <v>501.0</v>
      </c>
      <c r="AB41" s="27">
        <v>0.0</v>
      </c>
      <c r="AC41" s="27">
        <v>672.0</v>
      </c>
      <c r="AD41" s="27">
        <v>0.0</v>
      </c>
      <c r="AE41" s="27">
        <v>492.0</v>
      </c>
      <c r="AF41" s="27">
        <v>324.0</v>
      </c>
      <c r="AG41" s="27">
        <v>288.0</v>
      </c>
      <c r="AH41" s="27">
        <v>732.0</v>
      </c>
      <c r="AI41" s="27">
        <v>978.0</v>
      </c>
      <c r="AJ41" s="27">
        <v>546.0</v>
      </c>
      <c r="AK41" s="27">
        <v>480.0</v>
      </c>
      <c r="AL41" s="27">
        <v>390.0</v>
      </c>
      <c r="AM41" s="27">
        <v>288.0</v>
      </c>
      <c r="AN41" s="27">
        <v>390.0</v>
      </c>
      <c r="AO41" s="28">
        <f t="shared" si="3"/>
        <v>5691.0</v>
      </c>
      <c r="AP41" s="28">
        <f t="shared" si="4"/>
        <v>3414.0</v>
      </c>
      <c r="AQ41" s="28">
        <f t="shared" si="5"/>
        <v>3755.4</v>
      </c>
      <c r="AS41" s="1">
        <f t="shared" si="128"/>
        <v>731.033112582781</v>
      </c>
      <c r="AT41" s="1">
        <f t="shared" si="129"/>
        <v>346.675496688741</v>
      </c>
      <c r="AU41" s="1">
        <f t="shared" si="130"/>
        <v>670.741721854304</v>
      </c>
      <c r="AV41" s="1">
        <f t="shared" si="131"/>
        <v>550.158940397351</v>
      </c>
      <c r="AW41" s="1">
        <f t="shared" si="132"/>
        <v>429.576158940397</v>
      </c>
      <c r="AX41" s="1">
        <f t="shared" si="133"/>
        <v>859.152317880794</v>
      </c>
      <c r="AY41" s="2">
        <f t="shared" si="12"/>
        <v>3587.33774834437</v>
      </c>
      <c r="AZ41" s="2" t="e">
        <f t="shared" si="13"/>
        <v>#REF!</v>
      </c>
      <c r="BB41" s="1" t="e">
        <f t="shared" ref="BB41:BB44" si="151">VLOOKUP(C41,CHINAJUNE,3,false)</f>
        <v>#REF!</v>
      </c>
      <c r="BC41" s="3" t="e">
        <f t="shared" si="135"/>
        <v>#REF!</v>
      </c>
      <c r="BD41" s="1">
        <f>VLOOKUP(C41,MOQ,3,FALSE())</f>
        <v>1008.0</v>
      </c>
      <c r="BE41" s="43" t="s">
        <v>32</v>
      </c>
      <c r="BF41" s="1" t="s">
        <v>10</v>
      </c>
      <c r="BG41" s="1" t="e">
        <f t="shared" si="137"/>
        <v>#REF!</v>
      </c>
      <c r="BH41" s="1">
        <f t="shared" si="138"/>
        <v>731.033112582781</v>
      </c>
      <c r="BI41" s="1">
        <f t="shared" si="19"/>
      </c>
      <c r="BJ41" s="3" t="e">
        <f t="shared" si="139"/>
        <v>#REF!</v>
      </c>
      <c r="BK41" s="1">
        <f t="shared" si="140"/>
        <v>346.675496688741</v>
      </c>
      <c r="BL41" s="1" t="e">
        <f t="shared" si="22"/>
        <v>#REF!</v>
      </c>
      <c r="BM41" s="3" t="e">
        <f t="shared" si="141"/>
        <v>#REF!</v>
      </c>
      <c r="BN41" s="1">
        <f t="shared" si="142"/>
        <v>670.741721854304</v>
      </c>
      <c r="BP41" s="3" t="e">
        <f t="shared" si="143"/>
        <v>#REF!</v>
      </c>
      <c r="BQ41" s="1">
        <f t="shared" si="144"/>
        <v>550.158940397351</v>
      </c>
      <c r="BS41" s="3" t="e">
        <f t="shared" si="145"/>
        <v>#REF!</v>
      </c>
      <c r="BT41" s="1">
        <f t="shared" si="146"/>
        <v>429.576158940397</v>
      </c>
      <c r="BV41" s="3" t="e">
        <f t="shared" si="147"/>
        <v>#REF!</v>
      </c>
      <c r="BW41" s="1">
        <f t="shared" si="148"/>
        <v>859.152317880794</v>
      </c>
      <c r="BY41" s="3" t="e">
        <f t="shared" si="149"/>
        <v>#REF!</v>
      </c>
    </row>
    <row r="42" ht="14.0">
      <c r="A42" s="27" t="s">
        <v>28</v>
      </c>
      <c r="B42" s="27" t="s">
        <v>98</v>
      </c>
      <c r="C42" s="27" t="s">
        <v>105</v>
      </c>
      <c r="D42" s="27" t="s">
        <v>106</v>
      </c>
      <c r="E42" s="27"/>
      <c r="F42" s="27">
        <v>201.0</v>
      </c>
      <c r="G42" s="27">
        <v>294.0</v>
      </c>
      <c r="H42" s="27">
        <v>306.0</v>
      </c>
      <c r="I42" s="27">
        <v>173.0</v>
      </c>
      <c r="J42" s="27">
        <v>0.0</v>
      </c>
      <c r="K42" s="27">
        <v>847.0</v>
      </c>
      <c r="L42" s="27">
        <v>558.0</v>
      </c>
      <c r="M42" s="27">
        <v>252.0</v>
      </c>
      <c r="N42" s="27">
        <v>294.0</v>
      </c>
      <c r="O42" s="27">
        <v>6.0</v>
      </c>
      <c r="P42" s="27">
        <v>0.0</v>
      </c>
      <c r="Q42" s="27">
        <v>187.0</v>
      </c>
      <c r="R42" s="27">
        <v>277.0</v>
      </c>
      <c r="S42" s="27">
        <v>432.0</v>
      </c>
      <c r="T42" s="27">
        <v>312.0</v>
      </c>
      <c r="U42" s="27">
        <v>315.0</v>
      </c>
      <c r="V42" s="27">
        <v>519.0</v>
      </c>
      <c r="W42" s="27">
        <v>525.0</v>
      </c>
      <c r="X42" s="27">
        <v>839.0</v>
      </c>
      <c r="Y42" s="27">
        <v>565.0</v>
      </c>
      <c r="Z42" s="27">
        <v>313.0</v>
      </c>
      <c r="AA42" s="27">
        <v>58.0</v>
      </c>
      <c r="AB42" s="27">
        <v>0.0</v>
      </c>
      <c r="AC42" s="27">
        <v>844.0</v>
      </c>
      <c r="AD42" s="27">
        <v>162.0</v>
      </c>
      <c r="AE42" s="27">
        <v>402.0</v>
      </c>
      <c r="AF42" s="27">
        <v>282.0</v>
      </c>
      <c r="AG42" s="27">
        <v>222.0</v>
      </c>
      <c r="AH42" s="27">
        <v>528.0</v>
      </c>
      <c r="AI42" s="27">
        <v>528.0</v>
      </c>
      <c r="AJ42" s="27">
        <v>414.0</v>
      </c>
      <c r="AK42" s="27">
        <v>330.0</v>
      </c>
      <c r="AL42" s="27">
        <v>318.0</v>
      </c>
      <c r="AM42" s="27">
        <v>222.0</v>
      </c>
      <c r="AN42" s="27">
        <v>204.0</v>
      </c>
      <c r="AO42" s="28">
        <f t="shared" si="3"/>
        <v>4310.0</v>
      </c>
      <c r="AP42" s="28">
        <f t="shared" si="4"/>
        <v>2340.0</v>
      </c>
      <c r="AQ42" s="28">
        <f t="shared" si="5"/>
        <v>2574.0</v>
      </c>
      <c r="AS42" s="1">
        <f t="shared" si="128"/>
        <v>501.059602649</v>
      </c>
      <c r="AT42" s="1">
        <f t="shared" si="129"/>
        <v>237.615894039735</v>
      </c>
      <c r="AU42" s="1">
        <f t="shared" si="130"/>
        <v>459.735099337748</v>
      </c>
      <c r="AV42" s="1">
        <f t="shared" si="131"/>
        <v>377.086092715231</v>
      </c>
      <c r="AW42" s="1">
        <f t="shared" si="132"/>
        <v>294.437086092715</v>
      </c>
      <c r="AX42" s="1">
        <f t="shared" si="133"/>
        <v>588.87417218543</v>
      </c>
      <c r="AY42" s="2">
        <f t="shared" si="12"/>
        <v>2458.80794701986</v>
      </c>
      <c r="AZ42" s="2" t="e">
        <f t="shared" si="13"/>
        <v>#REF!</v>
      </c>
      <c r="BB42" s="1" t="e">
        <f t="shared" si="151"/>
        <v>#REF!</v>
      </c>
      <c r="BC42" s="3" t="e">
        <f t="shared" si="135"/>
        <v>#REF!</v>
      </c>
      <c r="BD42" s="1">
        <f>VLOOKUP(C42,MOQ,3,FALSE())</f>
        <v>1008.0</v>
      </c>
      <c r="BE42" s="4">
        <f t="shared" ref="BE42:BE43" si="152">BD42</f>
        <v>1008.0</v>
      </c>
      <c r="BF42" s="1" t="s">
        <v>10</v>
      </c>
      <c r="BG42" s="1" t="e">
        <f t="shared" si="137"/>
        <v>#REF!</v>
      </c>
      <c r="BH42" s="1">
        <f t="shared" si="138"/>
        <v>501.059602649</v>
      </c>
      <c r="BI42" s="1">
        <f t="shared" si="19"/>
      </c>
      <c r="BJ42" s="3" t="e">
        <f t="shared" si="139"/>
        <v>#REF!</v>
      </c>
      <c r="BK42" s="1">
        <f t="shared" si="140"/>
        <v>237.615894039735</v>
      </c>
      <c r="BL42" s="1" t="e">
        <f t="shared" si="22"/>
        <v>#REF!</v>
      </c>
      <c r="BM42" s="3" t="e">
        <f t="shared" si="141"/>
        <v>#REF!</v>
      </c>
      <c r="BN42" s="1">
        <f t="shared" si="142"/>
        <v>459.735099337748</v>
      </c>
      <c r="BP42" s="3" t="e">
        <f t="shared" si="143"/>
        <v>#REF!</v>
      </c>
      <c r="BQ42" s="1">
        <f t="shared" si="144"/>
        <v>377.086092715231</v>
      </c>
      <c r="BS42" s="3" t="e">
        <f t="shared" si="145"/>
        <v>#REF!</v>
      </c>
      <c r="BT42" s="1">
        <f t="shared" si="146"/>
        <v>294.437086092715</v>
      </c>
      <c r="BV42" s="3" t="e">
        <f t="shared" si="147"/>
        <v>#REF!</v>
      </c>
      <c r="BW42" s="1">
        <f t="shared" si="148"/>
        <v>588.87417218543</v>
      </c>
      <c r="BY42" s="3" t="e">
        <f t="shared" si="149"/>
        <v>#REF!</v>
      </c>
    </row>
    <row r="43" ht="14.0">
      <c r="A43" s="27" t="s">
        <v>28</v>
      </c>
      <c r="B43" s="27" t="s">
        <v>98</v>
      </c>
      <c r="C43" s="27" t="s">
        <v>107</v>
      </c>
      <c r="D43" s="27" t="s">
        <v>108</v>
      </c>
      <c r="E43" s="27"/>
      <c r="F43" s="27">
        <v>192.0</v>
      </c>
      <c r="G43" s="27">
        <v>222.0</v>
      </c>
      <c r="H43" s="27">
        <v>829.0</v>
      </c>
      <c r="I43" s="27">
        <v>846.0</v>
      </c>
      <c r="J43" s="27">
        <v>306.0</v>
      </c>
      <c r="K43" s="27">
        <v>201.0</v>
      </c>
      <c r="L43" s="27">
        <v>1114.0</v>
      </c>
      <c r="M43" s="27">
        <v>250.0</v>
      </c>
      <c r="N43" s="27">
        <v>479.0</v>
      </c>
      <c r="O43" s="27">
        <v>242.0</v>
      </c>
      <c r="P43" s="27">
        <v>798.0</v>
      </c>
      <c r="Q43" s="27">
        <v>374.0</v>
      </c>
      <c r="R43" s="27">
        <v>252.0</v>
      </c>
      <c r="S43" s="27">
        <v>480.0</v>
      </c>
      <c r="T43" s="27">
        <v>537.0</v>
      </c>
      <c r="U43" s="27">
        <v>401.0</v>
      </c>
      <c r="V43" s="27">
        <v>591.0</v>
      </c>
      <c r="W43" s="27">
        <v>605.0</v>
      </c>
      <c r="X43" s="27">
        <v>595.0</v>
      </c>
      <c r="Y43" s="27">
        <v>388.0</v>
      </c>
      <c r="Z43" s="27">
        <v>312.0</v>
      </c>
      <c r="AA43" s="27">
        <v>552.0</v>
      </c>
      <c r="AB43" s="27">
        <v>254.0</v>
      </c>
      <c r="AC43" s="27">
        <v>630.0</v>
      </c>
      <c r="AD43" s="27">
        <v>209.0</v>
      </c>
      <c r="AE43" s="27">
        <v>348.0</v>
      </c>
      <c r="AF43" s="27">
        <v>288.0</v>
      </c>
      <c r="AG43" s="27">
        <v>336.0</v>
      </c>
      <c r="AH43" s="27">
        <v>498.0</v>
      </c>
      <c r="AI43" s="27">
        <v>624.0</v>
      </c>
      <c r="AJ43" s="27">
        <v>414.0</v>
      </c>
      <c r="AK43" s="27">
        <v>384.0</v>
      </c>
      <c r="AL43" s="27">
        <v>306.0</v>
      </c>
      <c r="AM43" s="27">
        <v>284.0</v>
      </c>
      <c r="AN43" s="27">
        <v>252.0</v>
      </c>
      <c r="AO43" s="28">
        <f t="shared" si="3"/>
        <v>5127.0</v>
      </c>
      <c r="AP43" s="28">
        <f t="shared" si="4"/>
        <v>2510.0</v>
      </c>
      <c r="AQ43" s="28">
        <f t="shared" si="5"/>
        <v>2761.0</v>
      </c>
      <c r="AS43" s="1">
        <f t="shared" si="128"/>
        <v>537.461368653421</v>
      </c>
      <c r="AT43" s="1">
        <f t="shared" si="129"/>
        <v>254.878587196468</v>
      </c>
      <c r="AU43" s="1">
        <f t="shared" si="130"/>
        <v>493.134657836644</v>
      </c>
      <c r="AV43" s="1">
        <f t="shared" si="131"/>
        <v>404.48123620309</v>
      </c>
      <c r="AW43" s="1">
        <f t="shared" si="132"/>
        <v>315.827814569536</v>
      </c>
      <c r="AX43" s="1">
        <f t="shared" si="133"/>
        <v>631.655629139072</v>
      </c>
      <c r="AY43" s="2">
        <f t="shared" si="12"/>
        <v>2637.43929359823</v>
      </c>
      <c r="AZ43" s="2" t="e">
        <f t="shared" si="13"/>
        <v>#REF!</v>
      </c>
      <c r="BB43" s="1" t="e">
        <f t="shared" si="151"/>
        <v>#REF!</v>
      </c>
      <c r="BC43" s="3" t="e">
        <f t="shared" si="135"/>
        <v>#REF!</v>
      </c>
      <c r="BD43" s="1">
        <f>VLOOKUP(C43,MOQ,3,FALSE())</f>
        <v>1008.0</v>
      </c>
      <c r="BE43" s="4">
        <f t="shared" si="152"/>
        <v>1008.0</v>
      </c>
      <c r="BF43" s="1" t="s">
        <v>10</v>
      </c>
      <c r="BG43" s="1" t="e">
        <f t="shared" si="137"/>
        <v>#REF!</v>
      </c>
      <c r="BH43" s="1">
        <f t="shared" si="138"/>
        <v>537.461368653421</v>
      </c>
      <c r="BI43" s="1">
        <f t="shared" si="19"/>
      </c>
      <c r="BJ43" s="3" t="e">
        <f t="shared" si="139"/>
        <v>#REF!</v>
      </c>
      <c r="BK43" s="1">
        <f t="shared" si="140"/>
        <v>254.878587196468</v>
      </c>
      <c r="BL43" s="1" t="e">
        <f t="shared" si="22"/>
        <v>#REF!</v>
      </c>
      <c r="BM43" s="3" t="e">
        <f t="shared" si="141"/>
        <v>#REF!</v>
      </c>
      <c r="BN43" s="1">
        <f t="shared" si="142"/>
        <v>493.134657836644</v>
      </c>
      <c r="BP43" s="3" t="e">
        <f t="shared" si="143"/>
        <v>#REF!</v>
      </c>
      <c r="BQ43" s="1">
        <f t="shared" si="144"/>
        <v>404.48123620309</v>
      </c>
      <c r="BS43" s="3" t="e">
        <f t="shared" si="145"/>
        <v>#REF!</v>
      </c>
      <c r="BT43" s="1">
        <f t="shared" si="146"/>
        <v>315.827814569536</v>
      </c>
      <c r="BV43" s="3" t="e">
        <f t="shared" si="147"/>
        <v>#REF!</v>
      </c>
      <c r="BW43" s="1">
        <f t="shared" si="148"/>
        <v>631.655629139072</v>
      </c>
      <c r="BY43" s="3" t="e">
        <f t="shared" si="149"/>
        <v>#REF!</v>
      </c>
    </row>
    <row r="44" ht="14.0">
      <c r="A44" s="27" t="s">
        <v>28</v>
      </c>
      <c r="B44" s="27" t="s">
        <v>98</v>
      </c>
      <c r="C44" s="27" t="s">
        <v>109</v>
      </c>
      <c r="D44" s="27" t="s">
        <v>110</v>
      </c>
      <c r="E44" s="27"/>
      <c r="F44" s="27">
        <v>0.0</v>
      </c>
      <c r="G44" s="27">
        <v>90.0</v>
      </c>
      <c r="H44" s="27">
        <v>834.0</v>
      </c>
      <c r="I44" s="27">
        <v>456.0</v>
      </c>
      <c r="J44" s="27">
        <v>0.0</v>
      </c>
      <c r="K44" s="27">
        <v>222.0</v>
      </c>
      <c r="L44" s="27">
        <v>1014.0</v>
      </c>
      <c r="M44" s="27">
        <v>229.0</v>
      </c>
      <c r="N44" s="27">
        <v>444.0</v>
      </c>
      <c r="O44" s="27">
        <v>180.0</v>
      </c>
      <c r="P44" s="27">
        <v>690.0</v>
      </c>
      <c r="Q44" s="27">
        <v>300.0</v>
      </c>
      <c r="R44" s="27">
        <v>362.0</v>
      </c>
      <c r="S44" s="27">
        <v>450.0</v>
      </c>
      <c r="T44" s="27">
        <v>613.0</v>
      </c>
      <c r="U44" s="27">
        <v>303.0</v>
      </c>
      <c r="V44" s="27">
        <v>554.0</v>
      </c>
      <c r="W44" s="27">
        <v>594.0</v>
      </c>
      <c r="X44" s="27">
        <v>516.0</v>
      </c>
      <c r="Y44" s="27">
        <v>318.0</v>
      </c>
      <c r="Z44" s="27">
        <v>360.0</v>
      </c>
      <c r="AA44" s="27">
        <v>286.0</v>
      </c>
      <c r="AB44" s="27">
        <v>0.0</v>
      </c>
      <c r="AC44" s="27">
        <v>658.0</v>
      </c>
      <c r="AD44" s="27">
        <v>222.0</v>
      </c>
      <c r="AE44" s="27">
        <v>258.0</v>
      </c>
      <c r="AF44" s="27">
        <v>234.0</v>
      </c>
      <c r="AG44" s="27">
        <v>270.0</v>
      </c>
      <c r="AH44" s="27">
        <v>528.0</v>
      </c>
      <c r="AI44" s="27">
        <v>618.0</v>
      </c>
      <c r="AJ44" s="27">
        <v>366.0</v>
      </c>
      <c r="AK44" s="27">
        <v>359.0</v>
      </c>
      <c r="AL44" s="27">
        <v>288.0</v>
      </c>
      <c r="AM44" s="27">
        <v>284.0</v>
      </c>
      <c r="AN44" s="27">
        <v>246.0</v>
      </c>
      <c r="AO44" s="28">
        <f t="shared" si="3"/>
        <v>4371.0</v>
      </c>
      <c r="AP44" s="28">
        <f t="shared" si="4"/>
        <v>2443.0</v>
      </c>
      <c r="AQ44" s="28">
        <f t="shared" si="5"/>
        <v>2687.3</v>
      </c>
      <c r="AS44" s="1">
        <f t="shared" si="128"/>
        <v>523.114790286976</v>
      </c>
      <c r="AT44" s="1">
        <f t="shared" si="129"/>
        <v>248.075055187638</v>
      </c>
      <c r="AU44" s="1">
        <f t="shared" si="130"/>
        <v>479.971302428256</v>
      </c>
      <c r="AV44" s="1">
        <f t="shared" si="131"/>
        <v>393.684326710817</v>
      </c>
      <c r="AW44" s="1">
        <f t="shared" si="132"/>
        <v>307.3973509933</v>
      </c>
      <c r="AX44" s="1">
        <f t="shared" si="133"/>
        <v>614.794701986755</v>
      </c>
      <c r="AY44" s="2">
        <f t="shared" si="12"/>
        <v>2567.03752759374</v>
      </c>
      <c r="AZ44" s="2" t="e">
        <f t="shared" si="13"/>
        <v>#REF!</v>
      </c>
      <c r="BB44" s="1" t="e">
        <f t="shared" si="151"/>
        <v>#REF!</v>
      </c>
      <c r="BC44" s="3" t="e">
        <f t="shared" si="135"/>
        <v>#REF!</v>
      </c>
      <c r="BD44" s="1">
        <f>VLOOKUP(C44,MOQ,3,FALSE())</f>
        <v>1008.0</v>
      </c>
      <c r="BE44" s="4">
        <v>1008.0</v>
      </c>
      <c r="BF44" s="1" t="s">
        <v>10</v>
      </c>
      <c r="BG44" s="1" t="e">
        <f t="shared" si="137"/>
        <v>#REF!</v>
      </c>
      <c r="BH44" s="1">
        <f t="shared" si="138"/>
        <v>523.114790286976</v>
      </c>
      <c r="BI44" s="1">
        <f t="shared" si="19"/>
      </c>
      <c r="BJ44" s="3" t="e">
        <f t="shared" si="139"/>
        <v>#REF!</v>
      </c>
      <c r="BK44" s="1">
        <f t="shared" si="140"/>
        <v>248.075055187638</v>
      </c>
      <c r="BL44" s="1" t="e">
        <f t="shared" si="22"/>
        <v>#REF!</v>
      </c>
      <c r="BM44" s="3" t="e">
        <f t="shared" si="141"/>
        <v>#REF!</v>
      </c>
      <c r="BN44" s="1">
        <f t="shared" si="142"/>
        <v>479.971302428256</v>
      </c>
      <c r="BP44" s="3" t="e">
        <f t="shared" si="143"/>
        <v>#REF!</v>
      </c>
      <c r="BQ44" s="1">
        <f t="shared" si="144"/>
        <v>393.684326710817</v>
      </c>
      <c r="BS44" s="3" t="e">
        <f t="shared" si="145"/>
        <v>#REF!</v>
      </c>
      <c r="BT44" s="1">
        <f t="shared" si="146"/>
        <v>307.3973509933</v>
      </c>
      <c r="BV44" s="3" t="e">
        <f t="shared" si="147"/>
        <v>#REF!</v>
      </c>
      <c r="BW44" s="1">
        <f t="shared" si="148"/>
        <v>614.794701986755</v>
      </c>
      <c r="BY44" s="3" t="e">
        <f t="shared" si="149"/>
        <v>#REF!</v>
      </c>
    </row>
    <row r="45" ht="14.0">
      <c r="A45" s="27" t="s">
        <v>28</v>
      </c>
      <c r="B45" s="27" t="s">
        <v>98</v>
      </c>
      <c r="C45" s="27" t="s">
        <v>111</v>
      </c>
      <c r="D45" s="27" t="s">
        <v>112</v>
      </c>
      <c r="E45" s="27"/>
      <c r="F45" s="27">
        <v>144.0</v>
      </c>
      <c r="G45" s="27">
        <v>120.0</v>
      </c>
      <c r="H45" s="27">
        <v>188.0</v>
      </c>
      <c r="I45" s="27">
        <v>354.0</v>
      </c>
      <c r="J45" s="27">
        <v>223.0</v>
      </c>
      <c r="K45" s="27">
        <v>324.0</v>
      </c>
      <c r="L45" s="27">
        <v>181.0</v>
      </c>
      <c r="M45" s="27">
        <v>295.0</v>
      </c>
      <c r="N45" s="27">
        <v>137.0</v>
      </c>
      <c r="O45" s="27">
        <v>151.0</v>
      </c>
      <c r="P45" s="27">
        <v>150.0</v>
      </c>
      <c r="Q45" s="27">
        <v>144.0</v>
      </c>
      <c r="R45" s="27">
        <v>152.0</v>
      </c>
      <c r="S45" s="27">
        <v>114.0</v>
      </c>
      <c r="T45" s="27">
        <v>105.0</v>
      </c>
      <c r="U45" s="27">
        <v>187.0</v>
      </c>
      <c r="V45" s="27">
        <v>182.0</v>
      </c>
      <c r="W45" s="27">
        <v>124.0</v>
      </c>
      <c r="X45" s="27">
        <v>170.0</v>
      </c>
      <c r="Y45" s="27">
        <v>108.0</v>
      </c>
      <c r="Z45" s="27">
        <v>102.0</v>
      </c>
      <c r="AA45" s="27">
        <v>168.0</v>
      </c>
      <c r="AB45" s="27">
        <v>142.0</v>
      </c>
      <c r="AC45" s="27">
        <v>138.0</v>
      </c>
      <c r="AD45" s="27">
        <v>78.0</v>
      </c>
      <c r="AE45" s="27">
        <v>48.0</v>
      </c>
      <c r="AF45" s="27">
        <v>132.0</v>
      </c>
      <c r="AG45" s="27">
        <v>102.0</v>
      </c>
      <c r="AH45" s="27">
        <v>132.0</v>
      </c>
      <c r="AI45" s="27">
        <v>193.0</v>
      </c>
      <c r="AJ45" s="27">
        <v>84.0</v>
      </c>
      <c r="AK45" s="27">
        <v>96.0</v>
      </c>
      <c r="AL45" s="27">
        <v>78.0</v>
      </c>
      <c r="AM45" s="27">
        <v>66.0</v>
      </c>
      <c r="AN45" s="27">
        <v>6.0</v>
      </c>
      <c r="AO45" s="28">
        <f t="shared" si="3"/>
        <v>1457.0</v>
      </c>
      <c r="AP45" s="28">
        <f t="shared" si="4"/>
        <v>649.0</v>
      </c>
      <c r="AQ45" s="28">
        <f t="shared" si="5"/>
        <v>713.9</v>
      </c>
      <c r="AS45" s="1">
        <f t="shared" si="128"/>
        <v>138.969094922737</v>
      </c>
      <c r="AT45" s="1">
        <f t="shared" si="129"/>
        <v>65.9028697571743</v>
      </c>
      <c r="AU45" s="1">
        <f t="shared" si="130"/>
        <v>127.507726269316</v>
      </c>
      <c r="AV45" s="1">
        <f t="shared" si="131"/>
        <v>104.584988962472</v>
      </c>
      <c r="AW45" s="1">
        <f t="shared" si="132"/>
        <v>81.6622516556291</v>
      </c>
      <c r="AX45" s="1">
        <f t="shared" si="133"/>
        <v>163.324503311258</v>
      </c>
      <c r="AY45" s="2">
        <f t="shared" si="12"/>
        <v>681.951434878586</v>
      </c>
      <c r="AZ45" s="2" t="e">
        <f t="shared" si="13"/>
        <v>#REF!</v>
      </c>
      <c r="BC45" s="3" t="e">
        <f t="shared" si="135"/>
        <v>#REF!</v>
      </c>
      <c r="BD45" s="1">
        <f>VLOOKUP(C45,MOQ,3,FALSE())</f>
        <v>1008.0</v>
      </c>
      <c r="BE45" s="43" t="s">
        <v>32</v>
      </c>
      <c r="BG45" s="1" t="e">
        <f t="shared" si="137"/>
        <v>#REF!</v>
      </c>
      <c r="BH45" s="1">
        <f t="shared" si="138"/>
        <v>138.969094922737</v>
      </c>
      <c r="BI45" s="1">
        <f t="shared" si="19"/>
      </c>
      <c r="BJ45" s="3" t="e">
        <f t="shared" si="139"/>
        <v>#REF!</v>
      </c>
      <c r="BK45" s="1">
        <f t="shared" si="140"/>
        <v>65.9028697571743</v>
      </c>
      <c r="BL45" s="1">
        <f t="shared" si="22"/>
      </c>
      <c r="BM45" s="3" t="e">
        <f t="shared" si="141"/>
        <v>#REF!</v>
      </c>
      <c r="BN45" s="1">
        <f t="shared" si="142"/>
        <v>127.507726269316</v>
      </c>
      <c r="BP45" s="3" t="e">
        <f t="shared" si="143"/>
        <v>#REF!</v>
      </c>
      <c r="BQ45" s="1">
        <f t="shared" si="144"/>
        <v>104.584988962472</v>
      </c>
      <c r="BS45" s="3" t="e">
        <f t="shared" si="145"/>
        <v>#REF!</v>
      </c>
      <c r="BT45" s="1">
        <f t="shared" si="146"/>
        <v>81.6622516556291</v>
      </c>
      <c r="BV45" s="3" t="e">
        <f t="shared" si="147"/>
        <v>#REF!</v>
      </c>
      <c r="BW45" s="1">
        <f t="shared" si="148"/>
        <v>163.324503311258</v>
      </c>
      <c r="BY45" s="3" t="e">
        <f t="shared" si="149"/>
        <v>#REF!</v>
      </c>
    </row>
    <row r="46" ht="14.0">
      <c r="A46" s="27" t="s">
        <v>28</v>
      </c>
      <c r="B46" s="27" t="s">
        <v>98</v>
      </c>
      <c r="C46" s="27" t="s">
        <v>113</v>
      </c>
      <c r="D46" s="27" t="s">
        <v>114</v>
      </c>
      <c r="E46" s="27"/>
      <c r="F46" s="27">
        <v>24.0</v>
      </c>
      <c r="G46" s="27">
        <v>18.0</v>
      </c>
      <c r="H46" s="27">
        <v>53.0</v>
      </c>
      <c r="I46" s="27">
        <v>54.0</v>
      </c>
      <c r="J46" s="27">
        <v>30.0</v>
      </c>
      <c r="K46" s="27">
        <v>54.0</v>
      </c>
      <c r="L46" s="27">
        <v>18.0</v>
      </c>
      <c r="M46" s="27">
        <v>24.0</v>
      </c>
      <c r="N46" s="27">
        <v>12.0</v>
      </c>
      <c r="O46" s="27">
        <v>30.0</v>
      </c>
      <c r="P46" s="27">
        <v>36.0</v>
      </c>
      <c r="Q46" s="27">
        <v>54.0</v>
      </c>
      <c r="R46" s="27">
        <v>24.0</v>
      </c>
      <c r="S46" s="27">
        <v>12.0</v>
      </c>
      <c r="T46" s="27">
        <v>25.0</v>
      </c>
      <c r="U46" s="27">
        <v>39.0</v>
      </c>
      <c r="V46" s="27">
        <v>30.0</v>
      </c>
      <c r="W46" s="27">
        <v>25.0</v>
      </c>
      <c r="X46" s="27">
        <v>31.0</v>
      </c>
      <c r="Y46" s="27">
        <v>39.0</v>
      </c>
      <c r="Z46" s="27">
        <v>44.0</v>
      </c>
      <c r="AA46" s="27">
        <v>24.0</v>
      </c>
      <c r="AB46" s="27">
        <v>12.0</v>
      </c>
      <c r="AC46" s="27">
        <v>30.0</v>
      </c>
      <c r="AD46" s="27">
        <v>30.0</v>
      </c>
      <c r="AE46" s="27">
        <v>6.0</v>
      </c>
      <c r="AF46" s="27">
        <v>60.0</v>
      </c>
      <c r="AG46" s="27">
        <v>18.0</v>
      </c>
      <c r="AH46" s="27">
        <v>18.0</v>
      </c>
      <c r="AI46" s="27">
        <v>36.0</v>
      </c>
      <c r="AJ46" s="27">
        <v>18.0</v>
      </c>
      <c r="AK46" s="27">
        <v>18.0</v>
      </c>
      <c r="AL46" s="27">
        <v>48.0</v>
      </c>
      <c r="AM46" s="27">
        <v>42.0</v>
      </c>
      <c r="AN46" s="27">
        <v>18.0</v>
      </c>
      <c r="AO46" s="28">
        <f t="shared" si="3"/>
        <v>360.0</v>
      </c>
      <c r="AP46" s="28">
        <f t="shared" si="4"/>
        <v>180.0</v>
      </c>
      <c r="AQ46" s="28">
        <f t="shared" si="5"/>
        <v>198.0</v>
      </c>
      <c r="AS46" s="1">
        <f t="shared" si="128"/>
        <v>38.5430463576159</v>
      </c>
      <c r="AT46" s="1">
        <f t="shared" si="129"/>
        <v>18.2781456953642</v>
      </c>
      <c r="AU46" s="1">
        <f t="shared" si="130"/>
        <v>35.364238410596</v>
      </c>
      <c r="AV46" s="1">
        <f t="shared" si="131"/>
        <v>29.0066225165562</v>
      </c>
      <c r="AW46" s="1">
        <f t="shared" si="132"/>
        <v>22.6490066225166</v>
      </c>
      <c r="AX46" s="1">
        <f t="shared" si="133"/>
        <v>45.2980132450331</v>
      </c>
      <c r="AY46" s="2">
        <f t="shared" si="12"/>
        <v>189.139072847682</v>
      </c>
      <c r="AZ46" s="2" t="e">
        <f t="shared" si="13"/>
        <v>#REF!</v>
      </c>
      <c r="BC46" s="3" t="e">
        <f t="shared" si="135"/>
        <v>#REF!</v>
      </c>
      <c r="BD46" s="1">
        <f>VLOOKUP(C46,MOQ,3,FALSE())</f>
        <v>1008.0</v>
      </c>
      <c r="BE46" s="43" t="s">
        <v>32</v>
      </c>
      <c r="BG46" s="1" t="e">
        <f t="shared" si="137"/>
        <v>#REF!</v>
      </c>
      <c r="BH46" s="1">
        <f t="shared" si="138"/>
        <v>38.5430463576159</v>
      </c>
      <c r="BI46" s="1">
        <f t="shared" si="19"/>
      </c>
      <c r="BJ46" s="3" t="e">
        <f t="shared" si="139"/>
        <v>#REF!</v>
      </c>
      <c r="BK46" s="1">
        <f t="shared" si="140"/>
        <v>18.2781456953642</v>
      </c>
      <c r="BL46" s="1">
        <f t="shared" si="22"/>
      </c>
      <c r="BM46" s="3" t="e">
        <f t="shared" si="141"/>
        <v>#REF!</v>
      </c>
      <c r="BN46" s="1">
        <f t="shared" si="142"/>
        <v>35.364238410596</v>
      </c>
      <c r="BP46" s="3" t="e">
        <f t="shared" si="143"/>
        <v>#REF!</v>
      </c>
      <c r="BQ46" s="1">
        <f t="shared" si="144"/>
        <v>29.0066225165562</v>
      </c>
      <c r="BS46" s="3" t="e">
        <f t="shared" si="145"/>
        <v>#REF!</v>
      </c>
      <c r="BT46" s="1">
        <f t="shared" si="146"/>
        <v>22.6490066225166</v>
      </c>
      <c r="BV46" s="3" t="e">
        <f t="shared" si="147"/>
        <v>#REF!</v>
      </c>
      <c r="BW46" s="1">
        <f t="shared" si="148"/>
        <v>45.2980132450331</v>
      </c>
      <c r="BY46" s="3" t="e">
        <f t="shared" si="149"/>
        <v>#REF!</v>
      </c>
    </row>
    <row r="47" ht="14.0">
      <c r="A47" s="27" t="s">
        <v>28</v>
      </c>
      <c r="B47" s="27" t="s">
        <v>98</v>
      </c>
      <c r="C47" s="27" t="s">
        <v>115</v>
      </c>
      <c r="D47" s="27" t="s">
        <v>116</v>
      </c>
      <c r="E47" s="27"/>
      <c r="F47" s="27">
        <v>228.0</v>
      </c>
      <c r="G47" s="27">
        <v>210.0</v>
      </c>
      <c r="H47" s="27">
        <v>204.0</v>
      </c>
      <c r="I47" s="27">
        <v>450.0</v>
      </c>
      <c r="J47" s="27">
        <v>288.0</v>
      </c>
      <c r="K47" s="27">
        <v>444.0</v>
      </c>
      <c r="L47" s="27">
        <v>197.0</v>
      </c>
      <c r="M47" s="27">
        <v>258.0</v>
      </c>
      <c r="N47" s="27">
        <v>186.0</v>
      </c>
      <c r="O47" s="27">
        <v>210.0</v>
      </c>
      <c r="P47" s="27">
        <v>198.0</v>
      </c>
      <c r="Q47" s="27">
        <v>187.0</v>
      </c>
      <c r="R47" s="27">
        <v>120.0</v>
      </c>
      <c r="S47" s="27">
        <v>162.0</v>
      </c>
      <c r="T47" s="27">
        <v>163.0</v>
      </c>
      <c r="U47" s="27">
        <v>150.0</v>
      </c>
      <c r="V47" s="27">
        <v>177.0</v>
      </c>
      <c r="W47" s="27">
        <v>178.0</v>
      </c>
      <c r="X47" s="27">
        <v>274.0</v>
      </c>
      <c r="Y47" s="27">
        <v>120.0</v>
      </c>
      <c r="Z47" s="27">
        <v>126.0</v>
      </c>
      <c r="AA47" s="27">
        <v>228.0</v>
      </c>
      <c r="AB47" s="27">
        <v>102.0</v>
      </c>
      <c r="AC47" s="27">
        <v>222.0</v>
      </c>
      <c r="AD47" s="27">
        <v>168.0</v>
      </c>
      <c r="AE47" s="27">
        <v>108.0</v>
      </c>
      <c r="AF47" s="27">
        <v>120.0</v>
      </c>
      <c r="AG47" s="27">
        <v>180.0</v>
      </c>
      <c r="AH47" s="27">
        <v>216.0</v>
      </c>
      <c r="AI47" s="27">
        <v>258.0</v>
      </c>
      <c r="AJ47" s="27">
        <v>180.0</v>
      </c>
      <c r="AK47" s="27">
        <v>120.0</v>
      </c>
      <c r="AL47" s="27">
        <v>66.0</v>
      </c>
      <c r="AM47" s="27">
        <v>108.0</v>
      </c>
      <c r="AN47" s="27">
        <v>114.0</v>
      </c>
      <c r="AO47" s="28">
        <f t="shared" si="3"/>
        <v>2076.0</v>
      </c>
      <c r="AP47" s="28">
        <f t="shared" si="4"/>
        <v>948.0</v>
      </c>
      <c r="AQ47" s="28">
        <f t="shared" si="5"/>
        <v>1042.8</v>
      </c>
      <c r="AS47" s="1">
        <f t="shared" si="128"/>
        <v>202.993377483443</v>
      </c>
      <c r="AT47" s="1">
        <f t="shared" si="129"/>
        <v>96.2649006622517</v>
      </c>
      <c r="AU47" s="1">
        <f t="shared" si="130"/>
        <v>186.251655629139</v>
      </c>
      <c r="AV47" s="1">
        <f t="shared" si="131"/>
        <v>152.76821192053</v>
      </c>
      <c r="AW47" s="1">
        <f t="shared" si="132"/>
        <v>119.28476821192</v>
      </c>
      <c r="AX47" s="1">
        <f t="shared" si="133"/>
        <v>238.569536423841</v>
      </c>
      <c r="AY47" s="2">
        <f t="shared" si="12"/>
        <v>996.132450331124</v>
      </c>
      <c r="AZ47" s="2" t="e">
        <f t="shared" si="13"/>
        <v>#REF!</v>
      </c>
      <c r="BC47" s="3" t="e">
        <f t="shared" si="135"/>
        <v>#REF!</v>
      </c>
      <c r="BD47" s="1">
        <f>VLOOKUP(C47,MOQ,3,FALSE())</f>
        <v>1008.0</v>
      </c>
      <c r="BG47" s="1" t="e">
        <f t="shared" si="137"/>
        <v>#REF!</v>
      </c>
      <c r="BH47" s="1">
        <f t="shared" si="138"/>
        <v>202.993377483443</v>
      </c>
      <c r="BI47" s="1">
        <f t="shared" si="19"/>
      </c>
      <c r="BJ47" s="3" t="e">
        <f t="shared" si="139"/>
        <v>#REF!</v>
      </c>
      <c r="BK47" s="1">
        <f t="shared" si="140"/>
        <v>96.2649006622517</v>
      </c>
      <c r="BL47" s="1">
        <f t="shared" si="22"/>
      </c>
      <c r="BM47" s="3" t="e">
        <f t="shared" si="141"/>
        <v>#REF!</v>
      </c>
      <c r="BN47" s="1">
        <f t="shared" si="142"/>
        <v>186.251655629139</v>
      </c>
      <c r="BP47" s="3" t="e">
        <f t="shared" si="143"/>
        <v>#REF!</v>
      </c>
      <c r="BQ47" s="1">
        <f t="shared" si="144"/>
        <v>152.76821192053</v>
      </c>
      <c r="BS47" s="3" t="e">
        <f t="shared" si="145"/>
        <v>#REF!</v>
      </c>
      <c r="BT47" s="1">
        <f t="shared" si="146"/>
        <v>119.28476821192</v>
      </c>
      <c r="BV47" s="3" t="e">
        <f t="shared" si="147"/>
        <v>#REF!</v>
      </c>
      <c r="BW47" s="1">
        <f t="shared" si="148"/>
        <v>238.569536423841</v>
      </c>
      <c r="BY47" s="3" t="e">
        <f t="shared" si="149"/>
        <v>#REF!</v>
      </c>
    </row>
    <row r="48" ht="14.0">
      <c r="A48" s="27" t="s">
        <v>28</v>
      </c>
      <c r="B48" s="27" t="s">
        <v>98</v>
      </c>
      <c r="C48" s="27" t="s">
        <v>117</v>
      </c>
      <c r="D48" s="27" t="s">
        <v>118</v>
      </c>
      <c r="E48" s="27"/>
      <c r="F48" s="27">
        <v>228.0</v>
      </c>
      <c r="G48" s="27">
        <v>288.0</v>
      </c>
      <c r="H48" s="27">
        <v>1043.0</v>
      </c>
      <c r="I48" s="27">
        <v>1044.0</v>
      </c>
      <c r="J48" s="27">
        <v>402.0</v>
      </c>
      <c r="K48" s="27">
        <v>438.0</v>
      </c>
      <c r="L48" s="27">
        <v>1121.0</v>
      </c>
      <c r="M48" s="27">
        <v>0.0</v>
      </c>
      <c r="N48" s="27">
        <v>540.0</v>
      </c>
      <c r="O48" s="27">
        <v>396.0</v>
      </c>
      <c r="P48" s="27">
        <v>822.0</v>
      </c>
      <c r="Q48" s="27">
        <v>372.0</v>
      </c>
      <c r="R48" s="27">
        <v>272.0</v>
      </c>
      <c r="S48" s="27">
        <v>504.0</v>
      </c>
      <c r="T48" s="27">
        <v>649.0</v>
      </c>
      <c r="U48" s="27">
        <v>380.0</v>
      </c>
      <c r="V48" s="27">
        <v>836.0</v>
      </c>
      <c r="W48" s="27">
        <v>742.0</v>
      </c>
      <c r="X48" s="27">
        <v>919.0</v>
      </c>
      <c r="Y48" s="27">
        <v>433.0</v>
      </c>
      <c r="Z48" s="27">
        <v>313.0</v>
      </c>
      <c r="AA48" s="27">
        <v>276.0</v>
      </c>
      <c r="AB48" s="27">
        <v>0.0</v>
      </c>
      <c r="AC48" s="27">
        <v>937.0</v>
      </c>
      <c r="AD48" s="27">
        <v>259.0</v>
      </c>
      <c r="AE48" s="27">
        <v>552.0</v>
      </c>
      <c r="AF48" s="27">
        <v>354.0</v>
      </c>
      <c r="AG48" s="27">
        <v>408.0</v>
      </c>
      <c r="AH48" s="27">
        <v>732.0</v>
      </c>
      <c r="AI48" s="27">
        <v>804.0</v>
      </c>
      <c r="AJ48" s="27">
        <v>564.0</v>
      </c>
      <c r="AK48" s="27">
        <v>459.0</v>
      </c>
      <c r="AL48" s="27">
        <v>408.0</v>
      </c>
      <c r="AM48" s="27">
        <v>266.0</v>
      </c>
      <c r="AN48" s="27">
        <v>300.0</v>
      </c>
      <c r="AO48" s="28">
        <f t="shared" si="3"/>
        <v>6019.0</v>
      </c>
      <c r="AP48" s="28">
        <f t="shared" si="4"/>
        <v>3233.0</v>
      </c>
      <c r="AQ48" s="28">
        <f t="shared" si="5"/>
        <v>3556.3</v>
      </c>
      <c r="AS48" s="1">
        <f t="shared" si="128"/>
        <v>692.275938189845</v>
      </c>
      <c r="AT48" s="1">
        <f t="shared" si="129"/>
        <v>328.295805739514</v>
      </c>
      <c r="AU48" s="1">
        <f t="shared" si="130"/>
        <v>635.181015452539</v>
      </c>
      <c r="AV48" s="1">
        <f t="shared" si="131"/>
        <v>520.991169977924</v>
      </c>
      <c r="AW48" s="1">
        <f t="shared" si="132"/>
        <v>406.801324503311</v>
      </c>
      <c r="AX48" s="1">
        <f t="shared" si="133"/>
        <v>813.602649006622</v>
      </c>
      <c r="AY48" s="2">
        <f t="shared" si="12"/>
        <v>3397.14790286975</v>
      </c>
      <c r="AZ48" s="2" t="e">
        <f t="shared" si="13"/>
        <v>#REF!</v>
      </c>
      <c r="BB48" s="1" t="e">
        <f t="shared" ref="BB48:BB50" si="153">VLOOKUP(C48,CHINAJUNE,3,false)</f>
        <v>#REF!</v>
      </c>
      <c r="BC48" s="3" t="e">
        <f t="shared" si="135"/>
        <v>#REF!</v>
      </c>
      <c r="BD48" s="1">
        <f>VLOOKUP(C48,MOQ,3,FALSE())</f>
        <v>1008.0</v>
      </c>
      <c r="BE48" s="43" t="s">
        <v>32</v>
      </c>
      <c r="BF48" s="1" t="s">
        <v>10</v>
      </c>
      <c r="BG48" s="1" t="e">
        <f t="shared" si="137"/>
        <v>#REF!</v>
      </c>
      <c r="BH48" s="1">
        <f t="shared" si="138"/>
        <v>692.275938189845</v>
      </c>
      <c r="BI48" s="1">
        <f t="shared" si="19"/>
      </c>
      <c r="BJ48" s="3" t="e">
        <f t="shared" si="139"/>
        <v>#REF!</v>
      </c>
      <c r="BK48" s="1">
        <f t="shared" si="140"/>
        <v>328.295805739514</v>
      </c>
      <c r="BL48" s="1" t="e">
        <f t="shared" si="22"/>
        <v>#REF!</v>
      </c>
      <c r="BM48" s="3" t="e">
        <f t="shared" si="141"/>
        <v>#REF!</v>
      </c>
      <c r="BN48" s="1">
        <f t="shared" si="142"/>
        <v>635.181015452539</v>
      </c>
      <c r="BP48" s="3" t="e">
        <f t="shared" si="143"/>
        <v>#REF!</v>
      </c>
      <c r="BQ48" s="1">
        <f t="shared" si="144"/>
        <v>520.991169977924</v>
      </c>
      <c r="BS48" s="3" t="e">
        <f t="shared" si="145"/>
        <v>#REF!</v>
      </c>
      <c r="BT48" s="1">
        <f t="shared" si="146"/>
        <v>406.801324503311</v>
      </c>
      <c r="BV48" s="3" t="e">
        <f t="shared" si="147"/>
        <v>#REF!</v>
      </c>
      <c r="BW48" s="1">
        <f t="shared" si="148"/>
        <v>813.602649006622</v>
      </c>
      <c r="BY48" s="3" t="e">
        <f t="shared" si="149"/>
        <v>#REF!</v>
      </c>
    </row>
    <row r="49" ht="14.0">
      <c r="A49" s="27" t="s">
        <v>28</v>
      </c>
      <c r="B49" s="27" t="s">
        <v>98</v>
      </c>
      <c r="C49" s="27" t="s">
        <v>119</v>
      </c>
      <c r="D49" s="27" t="s">
        <v>120</v>
      </c>
      <c r="E49" s="27"/>
      <c r="F49" s="27">
        <v>171.0</v>
      </c>
      <c r="G49" s="27">
        <v>258.0</v>
      </c>
      <c r="H49" s="27">
        <v>114.0</v>
      </c>
      <c r="I49" s="27">
        <v>0.0</v>
      </c>
      <c r="J49" s="27">
        <v>0.0</v>
      </c>
      <c r="K49" s="27">
        <v>854.0</v>
      </c>
      <c r="L49" s="27">
        <v>252.0</v>
      </c>
      <c r="M49" s="27">
        <v>216.0</v>
      </c>
      <c r="N49" s="27">
        <v>187.0</v>
      </c>
      <c r="O49" s="27">
        <v>252.0</v>
      </c>
      <c r="P49" s="27">
        <v>343.0</v>
      </c>
      <c r="Q49" s="27">
        <v>186.0</v>
      </c>
      <c r="R49" s="27">
        <v>253.0</v>
      </c>
      <c r="S49" s="27">
        <v>186.0</v>
      </c>
      <c r="T49" s="27">
        <v>258.0</v>
      </c>
      <c r="U49" s="27">
        <v>264.0</v>
      </c>
      <c r="V49" s="27">
        <v>348.0</v>
      </c>
      <c r="W49" s="27">
        <v>330.0</v>
      </c>
      <c r="X49" s="27">
        <v>367.0</v>
      </c>
      <c r="Y49" s="27">
        <v>240.0</v>
      </c>
      <c r="Z49" s="27">
        <v>192.0</v>
      </c>
      <c r="AA49" s="27">
        <v>162.0</v>
      </c>
      <c r="AB49" s="27">
        <v>12.0</v>
      </c>
      <c r="AC49" s="27">
        <v>258.0</v>
      </c>
      <c r="AD49" s="27">
        <v>180.0</v>
      </c>
      <c r="AE49" s="27">
        <v>198.0</v>
      </c>
      <c r="AF49" s="27">
        <v>240.0</v>
      </c>
      <c r="AG49" s="27">
        <v>174.0</v>
      </c>
      <c r="AH49" s="27">
        <v>211.0</v>
      </c>
      <c r="AI49" s="27">
        <v>423.0</v>
      </c>
      <c r="AJ49" s="27">
        <v>162.0</v>
      </c>
      <c r="AK49" s="27">
        <v>150.0</v>
      </c>
      <c r="AL49" s="27">
        <v>138.0</v>
      </c>
      <c r="AM49" s="27">
        <v>186.0</v>
      </c>
      <c r="AN49" s="27">
        <v>96.0</v>
      </c>
      <c r="AO49" s="28">
        <f t="shared" si="3"/>
        <v>2494.0</v>
      </c>
      <c r="AP49" s="28">
        <f t="shared" si="4"/>
        <v>1270.0</v>
      </c>
      <c r="AQ49" s="28">
        <f t="shared" si="5"/>
        <v>1397.0</v>
      </c>
      <c r="AS49" s="1">
        <f t="shared" si="128"/>
        <v>271.942604856512</v>
      </c>
      <c r="AT49" s="1">
        <f t="shared" si="129"/>
        <v>128.962472406181</v>
      </c>
      <c r="AU49" s="1">
        <f t="shared" si="130"/>
        <v>249.514348785871</v>
      </c>
      <c r="AV49" s="1">
        <f t="shared" si="131"/>
        <v>204.657836644591</v>
      </c>
      <c r="AW49" s="1">
        <f t="shared" si="132"/>
        <v>159.801324503311</v>
      </c>
      <c r="AX49" s="1">
        <f t="shared" si="133"/>
        <v>319.602649006622</v>
      </c>
      <c r="AY49" s="2">
        <f t="shared" si="12"/>
        <v>1334.48123620309</v>
      </c>
      <c r="AZ49" s="2" t="e">
        <f t="shared" si="13"/>
        <v>#REF!</v>
      </c>
      <c r="BB49" s="1" t="e">
        <f t="shared" si="153"/>
        <v>#REF!</v>
      </c>
      <c r="BC49" s="3" t="e">
        <f t="shared" si="135"/>
        <v>#REF!</v>
      </c>
      <c r="BD49" s="1">
        <f>VLOOKUP(C49,MOQ,3,FALSE())</f>
        <v>1008.0</v>
      </c>
      <c r="BE49" s="43" t="s">
        <v>32</v>
      </c>
      <c r="BG49" s="1" t="e">
        <f t="shared" si="137"/>
        <v>#REF!</v>
      </c>
      <c r="BH49" s="1">
        <f t="shared" si="138"/>
        <v>271.942604856512</v>
      </c>
      <c r="BI49" s="1">
        <f t="shared" si="19"/>
      </c>
      <c r="BJ49" s="3" t="e">
        <f t="shared" si="139"/>
        <v>#REF!</v>
      </c>
      <c r="BK49" s="1">
        <f t="shared" si="140"/>
        <v>128.962472406181</v>
      </c>
      <c r="BL49" s="1" t="e">
        <f t="shared" si="22"/>
        <v>#REF!</v>
      </c>
      <c r="BM49" s="3" t="e">
        <f t="shared" si="141"/>
        <v>#REF!</v>
      </c>
      <c r="BN49" s="1">
        <f t="shared" si="142"/>
        <v>249.514348785871</v>
      </c>
      <c r="BP49" s="3" t="e">
        <f t="shared" si="143"/>
        <v>#REF!</v>
      </c>
      <c r="BQ49" s="1">
        <f t="shared" si="144"/>
        <v>204.657836644591</v>
      </c>
      <c r="BS49" s="3" t="e">
        <f t="shared" si="145"/>
        <v>#REF!</v>
      </c>
      <c r="BT49" s="1">
        <f t="shared" si="146"/>
        <v>159.801324503311</v>
      </c>
      <c r="BV49" s="3" t="e">
        <f t="shared" si="147"/>
        <v>#REF!</v>
      </c>
      <c r="BW49" s="1">
        <f t="shared" si="148"/>
        <v>319.602649006622</v>
      </c>
      <c r="BY49" s="3" t="e">
        <f t="shared" si="149"/>
        <v>#REF!</v>
      </c>
    </row>
    <row r="50" ht="14.0">
      <c r="A50" s="27" t="s">
        <v>28</v>
      </c>
      <c r="B50" s="27" t="s">
        <v>98</v>
      </c>
      <c r="C50" s="27" t="s">
        <v>121</v>
      </c>
      <c r="D50" s="27" t="s">
        <v>122</v>
      </c>
      <c r="E50" s="27"/>
      <c r="F50" s="27">
        <v>213.0</v>
      </c>
      <c r="G50" s="27">
        <v>438.0</v>
      </c>
      <c r="H50" s="27">
        <v>84.0</v>
      </c>
      <c r="I50" s="27">
        <v>0.0</v>
      </c>
      <c r="J50" s="27">
        <v>0.0</v>
      </c>
      <c r="K50" s="27">
        <v>1095.0</v>
      </c>
      <c r="L50" s="27">
        <v>476.0</v>
      </c>
      <c r="M50" s="27">
        <v>331.0</v>
      </c>
      <c r="N50" s="27">
        <v>372.0</v>
      </c>
      <c r="O50" s="27">
        <v>168.0</v>
      </c>
      <c r="P50" s="27">
        <v>0.0</v>
      </c>
      <c r="Q50" s="27">
        <v>187.0</v>
      </c>
      <c r="R50" s="27">
        <v>278.0</v>
      </c>
      <c r="S50" s="27">
        <v>270.0</v>
      </c>
      <c r="T50" s="27">
        <v>301.0</v>
      </c>
      <c r="U50" s="27">
        <v>366.0</v>
      </c>
      <c r="V50" s="27">
        <v>283.0</v>
      </c>
      <c r="W50" s="27">
        <v>512.0</v>
      </c>
      <c r="X50" s="27">
        <v>583.0</v>
      </c>
      <c r="Y50" s="27">
        <v>330.0</v>
      </c>
      <c r="Z50" s="27">
        <v>410.0</v>
      </c>
      <c r="AA50" s="27">
        <v>82.0</v>
      </c>
      <c r="AB50" s="27">
        <v>0.0</v>
      </c>
      <c r="AC50" s="27">
        <v>510.0</v>
      </c>
      <c r="AD50" s="27">
        <v>198.0</v>
      </c>
      <c r="AE50" s="27">
        <v>276.0</v>
      </c>
      <c r="AF50" s="27">
        <v>312.0</v>
      </c>
      <c r="AG50" s="27">
        <v>246.0</v>
      </c>
      <c r="AH50" s="27">
        <v>318.0</v>
      </c>
      <c r="AI50" s="27">
        <v>450.0</v>
      </c>
      <c r="AJ50" s="27">
        <v>187.0</v>
      </c>
      <c r="AK50" s="27">
        <v>253.0</v>
      </c>
      <c r="AL50" s="27">
        <v>237.0</v>
      </c>
      <c r="AM50" s="27">
        <v>378.0</v>
      </c>
      <c r="AN50" s="27">
        <v>246.0</v>
      </c>
      <c r="AO50" s="28">
        <f t="shared" si="3"/>
        <v>3447.0</v>
      </c>
      <c r="AP50" s="28">
        <f t="shared" si="4"/>
        <v>1823.0</v>
      </c>
      <c r="AQ50" s="28">
        <f t="shared" si="5"/>
        <v>2005.3</v>
      </c>
      <c r="AS50" s="1">
        <f t="shared" si="128"/>
        <v>390.35540838852</v>
      </c>
      <c r="AT50" s="1">
        <f t="shared" si="129"/>
        <v>185.116997792494</v>
      </c>
      <c r="AU50" s="1">
        <f t="shared" si="130"/>
        <v>358.16114790287</v>
      </c>
      <c r="AV50" s="1">
        <f t="shared" si="131"/>
        <v>293.772626931567</v>
      </c>
      <c r="AW50" s="1">
        <f t="shared" si="132"/>
        <v>229.384105960264</v>
      </c>
      <c r="AX50" s="1">
        <f t="shared" si="133"/>
        <v>458.76821192053</v>
      </c>
      <c r="AY50" s="2">
        <f t="shared" si="12"/>
        <v>1915.55849889624</v>
      </c>
      <c r="AZ50" s="2" t="e">
        <f t="shared" si="13"/>
        <v>#REF!</v>
      </c>
      <c r="BB50" s="1" t="e">
        <f t="shared" si="153"/>
        <v>#REF!</v>
      </c>
      <c r="BC50" s="3" t="e">
        <f t="shared" si="135"/>
        <v>#REF!</v>
      </c>
      <c r="BD50" s="1">
        <f>VLOOKUP(C50,MOQ,3,FALSE())</f>
        <v>1008.0</v>
      </c>
      <c r="BE50" s="43" t="s">
        <v>32</v>
      </c>
      <c r="BG50" s="1" t="e">
        <f t="shared" si="137"/>
        <v>#REF!</v>
      </c>
      <c r="BH50" s="1">
        <f t="shared" si="138"/>
        <v>390.35540838852</v>
      </c>
      <c r="BI50" s="1">
        <f t="shared" si="19"/>
      </c>
      <c r="BJ50" s="3" t="e">
        <f t="shared" si="139"/>
        <v>#REF!</v>
      </c>
      <c r="BK50" s="1">
        <f t="shared" si="140"/>
        <v>185.116997792494</v>
      </c>
      <c r="BL50" s="1" t="e">
        <f t="shared" si="22"/>
        <v>#REF!</v>
      </c>
      <c r="BM50" s="3" t="e">
        <f t="shared" si="141"/>
        <v>#REF!</v>
      </c>
      <c r="BN50" s="1">
        <f t="shared" si="142"/>
        <v>358.16114790287</v>
      </c>
      <c r="BP50" s="3" t="e">
        <f t="shared" si="143"/>
        <v>#REF!</v>
      </c>
      <c r="BQ50" s="1">
        <f t="shared" si="144"/>
        <v>293.772626931567</v>
      </c>
      <c r="BS50" s="3" t="e">
        <f t="shared" si="145"/>
        <v>#REF!</v>
      </c>
      <c r="BT50" s="1">
        <f t="shared" si="146"/>
        <v>229.384105960264</v>
      </c>
      <c r="BV50" s="3" t="e">
        <f t="shared" si="147"/>
        <v>#REF!</v>
      </c>
      <c r="BW50" s="1">
        <f t="shared" si="148"/>
        <v>458.76821192053</v>
      </c>
      <c r="BY50" s="3" t="e">
        <f t="shared" si="149"/>
        <v>#REF!</v>
      </c>
    </row>
    <row r="51" ht="14.0">
      <c r="A51" s="27" t="s">
        <v>28</v>
      </c>
      <c r="B51" s="27" t="s">
        <v>98</v>
      </c>
      <c r="C51" s="27" t="s">
        <v>123</v>
      </c>
      <c r="D51" s="27" t="s">
        <v>124</v>
      </c>
      <c r="E51" s="27"/>
      <c r="F51" s="27">
        <v>201.0</v>
      </c>
      <c r="G51" s="27">
        <v>306.0</v>
      </c>
      <c r="H51" s="27">
        <v>246.0</v>
      </c>
      <c r="I51" s="27">
        <v>156.0</v>
      </c>
      <c r="J51" s="27">
        <v>0.0</v>
      </c>
      <c r="K51" s="27">
        <v>661.0</v>
      </c>
      <c r="L51" s="27">
        <v>295.0</v>
      </c>
      <c r="M51" s="27">
        <v>192.0</v>
      </c>
      <c r="N51" s="27">
        <v>108.0</v>
      </c>
      <c r="O51" s="27">
        <v>186.0</v>
      </c>
      <c r="P51" s="27">
        <v>138.0</v>
      </c>
      <c r="Q51" s="27">
        <v>174.0</v>
      </c>
      <c r="R51" s="27">
        <v>103.0</v>
      </c>
      <c r="S51" s="27">
        <v>150.0</v>
      </c>
      <c r="T51" s="27">
        <v>180.0</v>
      </c>
      <c r="U51" s="27">
        <v>168.0</v>
      </c>
      <c r="V51" s="27">
        <v>162.0</v>
      </c>
      <c r="W51" s="27">
        <v>118.0</v>
      </c>
      <c r="X51" s="27">
        <v>193.0</v>
      </c>
      <c r="Y51" s="27">
        <v>194.0</v>
      </c>
      <c r="Z51" s="27">
        <v>132.0</v>
      </c>
      <c r="AA51" s="27">
        <v>162.0</v>
      </c>
      <c r="AB51" s="27">
        <v>84.0</v>
      </c>
      <c r="AC51" s="27">
        <v>114.0</v>
      </c>
      <c r="AD51" s="27">
        <v>42.0</v>
      </c>
      <c r="AE51" s="27">
        <v>66.0</v>
      </c>
      <c r="AF51" s="27">
        <v>120.0</v>
      </c>
      <c r="AG51" s="27">
        <v>120.0</v>
      </c>
      <c r="AH51" s="27">
        <v>90.0</v>
      </c>
      <c r="AI51" s="27">
        <v>198.0</v>
      </c>
      <c r="AJ51" s="27">
        <v>90.0</v>
      </c>
      <c r="AK51" s="27">
        <v>114.0</v>
      </c>
      <c r="AL51" s="27">
        <v>102.0</v>
      </c>
      <c r="AM51" s="27">
        <v>126.0</v>
      </c>
      <c r="AN51" s="27">
        <v>54.0</v>
      </c>
      <c r="AO51" s="28">
        <f t="shared" si="3"/>
        <v>1428.0</v>
      </c>
      <c r="AP51" s="28">
        <f t="shared" si="4"/>
        <v>720.0</v>
      </c>
      <c r="AQ51" s="28">
        <f t="shared" si="5"/>
        <v>792.0</v>
      </c>
      <c r="AS51" s="1">
        <f t="shared" si="128"/>
        <v>154.172185430463</v>
      </c>
      <c r="AT51" s="1">
        <f t="shared" si="129"/>
        <v>73.112582781457</v>
      </c>
      <c r="AU51" s="1">
        <f t="shared" si="130"/>
        <v>141.456953642384</v>
      </c>
      <c r="AV51" s="1">
        <f t="shared" si="131"/>
        <v>116.026490066225</v>
      </c>
      <c r="AW51" s="1">
        <f t="shared" si="132"/>
        <v>90.5960264900662</v>
      </c>
      <c r="AX51" s="1">
        <f t="shared" si="133"/>
        <v>181.192052980132</v>
      </c>
      <c r="AY51" s="2">
        <f t="shared" si="12"/>
        <v>756.556291390727</v>
      </c>
      <c r="AZ51" s="2" t="e">
        <f t="shared" si="13"/>
        <v>#REF!</v>
      </c>
      <c r="BC51" s="3" t="e">
        <f t="shared" si="135"/>
        <v>#REF!</v>
      </c>
      <c r="BD51" s="1">
        <f>VLOOKUP(C51,MOQ,3,FALSE())</f>
        <v>1008.0</v>
      </c>
      <c r="BG51" s="1" t="e">
        <f t="shared" si="137"/>
        <v>#REF!</v>
      </c>
      <c r="BH51" s="1">
        <f t="shared" si="138"/>
        <v>154.172185430463</v>
      </c>
      <c r="BI51" s="1">
        <f t="shared" si="19"/>
      </c>
      <c r="BJ51" s="3" t="e">
        <f t="shared" si="139"/>
        <v>#REF!</v>
      </c>
      <c r="BK51" s="1">
        <f t="shared" si="140"/>
        <v>73.112582781457</v>
      </c>
      <c r="BL51" s="1">
        <f t="shared" si="22"/>
      </c>
      <c r="BM51" s="3" t="e">
        <f t="shared" si="141"/>
        <v>#REF!</v>
      </c>
      <c r="BN51" s="1">
        <f t="shared" si="142"/>
        <v>141.456953642384</v>
      </c>
      <c r="BP51" s="3" t="e">
        <f t="shared" si="143"/>
        <v>#REF!</v>
      </c>
      <c r="BQ51" s="1">
        <f t="shared" si="144"/>
        <v>116.026490066225</v>
      </c>
      <c r="BS51" s="3" t="e">
        <f t="shared" si="145"/>
        <v>#REF!</v>
      </c>
      <c r="BT51" s="1">
        <f t="shared" si="146"/>
        <v>90.5960264900662</v>
      </c>
      <c r="BV51" s="3" t="e">
        <f t="shared" si="147"/>
        <v>#REF!</v>
      </c>
      <c r="BW51" s="1">
        <f t="shared" si="148"/>
        <v>181.192052980132</v>
      </c>
      <c r="BY51" s="3" t="e">
        <f t="shared" si="149"/>
        <v>#REF!</v>
      </c>
    </row>
    <row r="52" ht="14.0">
      <c r="A52" s="27" t="s">
        <v>28</v>
      </c>
      <c r="B52" s="27" t="s">
        <v>98</v>
      </c>
      <c r="C52" s="27" t="s">
        <v>125</v>
      </c>
      <c r="D52" s="27" t="s">
        <v>126</v>
      </c>
      <c r="E52" s="27"/>
      <c r="F52" s="27">
        <v>195.0</v>
      </c>
      <c r="G52" s="27">
        <v>336.0</v>
      </c>
      <c r="H52" s="27">
        <v>276.0</v>
      </c>
      <c r="I52" s="27">
        <v>89.0</v>
      </c>
      <c r="J52" s="27">
        <v>0.0</v>
      </c>
      <c r="K52" s="27">
        <v>733.0</v>
      </c>
      <c r="L52" s="27">
        <v>228.0</v>
      </c>
      <c r="M52" s="27">
        <v>132.0</v>
      </c>
      <c r="N52" s="27">
        <v>140.0</v>
      </c>
      <c r="O52" s="27">
        <v>140.0</v>
      </c>
      <c r="P52" s="27">
        <v>146.0</v>
      </c>
      <c r="Q52" s="27">
        <v>186.0</v>
      </c>
      <c r="R52" s="27">
        <v>114.0</v>
      </c>
      <c r="S52" s="27">
        <v>126.0</v>
      </c>
      <c r="T52" s="27">
        <v>138.0</v>
      </c>
      <c r="U52" s="27">
        <v>144.0</v>
      </c>
      <c r="V52" s="27">
        <v>132.0</v>
      </c>
      <c r="W52" s="27">
        <v>150.0</v>
      </c>
      <c r="X52" s="27">
        <v>103.0</v>
      </c>
      <c r="Y52" s="27">
        <v>144.0</v>
      </c>
      <c r="Z52" s="27">
        <v>156.0</v>
      </c>
      <c r="AA52" s="27">
        <v>168.0</v>
      </c>
      <c r="AB52" s="27">
        <v>77.0</v>
      </c>
      <c r="AC52" s="27">
        <v>72.0</v>
      </c>
      <c r="AD52" s="27">
        <v>60.0</v>
      </c>
      <c r="AE52" s="27">
        <v>48.0</v>
      </c>
      <c r="AF52" s="27">
        <v>48.0</v>
      </c>
      <c r="AG52" s="27">
        <v>96.0</v>
      </c>
      <c r="AH52" s="27">
        <v>138.0</v>
      </c>
      <c r="AI52" s="27">
        <v>180.0</v>
      </c>
      <c r="AJ52" s="27">
        <v>72.0</v>
      </c>
      <c r="AK52" s="27">
        <v>61.0</v>
      </c>
      <c r="AL52" s="27">
        <v>42.0</v>
      </c>
      <c r="AM52" s="27">
        <v>90.0</v>
      </c>
      <c r="AN52" s="27">
        <v>54.0</v>
      </c>
      <c r="AO52" s="28">
        <f t="shared" si="3"/>
        <v>1152.0</v>
      </c>
      <c r="AP52" s="28">
        <f t="shared" si="4"/>
        <v>583.0</v>
      </c>
      <c r="AQ52" s="28">
        <f t="shared" si="5"/>
        <v>641.3</v>
      </c>
      <c r="AS52" s="1">
        <f t="shared" si="128"/>
        <v>124.836644591611</v>
      </c>
      <c r="AT52" s="1">
        <f t="shared" si="129"/>
        <v>59.2008830022075</v>
      </c>
      <c r="AU52" s="1">
        <f t="shared" si="130"/>
        <v>114.540838852097</v>
      </c>
      <c r="AV52" s="1">
        <f t="shared" si="131"/>
        <v>93.9492273730684</v>
      </c>
      <c r="AW52" s="1">
        <f t="shared" si="132"/>
        <v>73.3576158940397</v>
      </c>
      <c r="AX52" s="1">
        <f t="shared" si="133"/>
        <v>146.715231788079</v>
      </c>
      <c r="AY52" s="2">
        <f t="shared" si="12"/>
        <v>612.600441501102</v>
      </c>
      <c r="AZ52" s="2" t="e">
        <f t="shared" si="13"/>
        <v>#REF!</v>
      </c>
      <c r="BC52" s="3" t="e">
        <f t="shared" si="135"/>
        <v>#REF!</v>
      </c>
      <c r="BD52" s="1">
        <f>VLOOKUP(C52,MOQ,3,FALSE())</f>
        <v>1008.0</v>
      </c>
      <c r="BG52" s="1" t="e">
        <f t="shared" si="137"/>
        <v>#REF!</v>
      </c>
      <c r="BH52" s="1">
        <f t="shared" si="138"/>
        <v>124.836644591611</v>
      </c>
      <c r="BI52" s="1">
        <f t="shared" si="19"/>
      </c>
      <c r="BJ52" s="3" t="e">
        <f t="shared" si="139"/>
        <v>#REF!</v>
      </c>
      <c r="BK52" s="1">
        <f t="shared" si="140"/>
        <v>59.2008830022075</v>
      </c>
      <c r="BL52" s="1">
        <f t="shared" si="22"/>
      </c>
      <c r="BM52" s="3" t="e">
        <f t="shared" si="141"/>
        <v>#REF!</v>
      </c>
      <c r="BN52" s="1">
        <f t="shared" si="142"/>
        <v>114.540838852097</v>
      </c>
      <c r="BP52" s="3" t="e">
        <f t="shared" si="143"/>
        <v>#REF!</v>
      </c>
      <c r="BQ52" s="1">
        <f t="shared" si="144"/>
        <v>93.9492273730684</v>
      </c>
      <c r="BS52" s="3" t="e">
        <f t="shared" si="145"/>
        <v>#REF!</v>
      </c>
      <c r="BT52" s="1">
        <f t="shared" si="146"/>
        <v>73.3576158940397</v>
      </c>
      <c r="BV52" s="3" t="e">
        <f t="shared" si="147"/>
        <v>#REF!</v>
      </c>
      <c r="BW52" s="1">
        <f t="shared" si="148"/>
        <v>146.715231788079</v>
      </c>
      <c r="BY52" s="3" t="e">
        <f t="shared" si="149"/>
        <v>#REF!</v>
      </c>
    </row>
    <row r="53" ht="14.0">
      <c r="A53" s="27" t="s">
        <v>28</v>
      </c>
      <c r="B53" s="27" t="s">
        <v>98</v>
      </c>
      <c r="C53" s="27" t="s">
        <v>127</v>
      </c>
      <c r="D53" s="27" t="s">
        <v>128</v>
      </c>
      <c r="E53" s="27"/>
      <c r="F53" s="27">
        <v>0.0</v>
      </c>
      <c r="G53" s="27">
        <v>0.0</v>
      </c>
      <c r="H53" s="27">
        <v>0.0</v>
      </c>
      <c r="I53" s="27">
        <v>0.0</v>
      </c>
      <c r="J53" s="27">
        <v>0.0</v>
      </c>
      <c r="K53" s="27">
        <v>0.0</v>
      </c>
      <c r="L53" s="27">
        <v>0.0</v>
      </c>
      <c r="M53" s="27">
        <v>0.0</v>
      </c>
      <c r="N53" s="27">
        <v>0.0</v>
      </c>
      <c r="O53" s="27">
        <v>0.0</v>
      </c>
      <c r="P53" s="27">
        <v>0.0</v>
      </c>
      <c r="Q53" s="27">
        <v>0.0</v>
      </c>
      <c r="R53" s="27">
        <v>222.0</v>
      </c>
      <c r="S53" s="27">
        <v>366.0</v>
      </c>
      <c r="T53" s="27">
        <v>266.0</v>
      </c>
      <c r="U53" s="27">
        <v>381.0</v>
      </c>
      <c r="V53" s="27">
        <v>324.0</v>
      </c>
      <c r="W53" s="27">
        <v>306.0</v>
      </c>
      <c r="X53" s="27">
        <v>354.0</v>
      </c>
      <c r="Y53" s="27">
        <v>240.0</v>
      </c>
      <c r="Z53" s="27">
        <v>246.0</v>
      </c>
      <c r="AA53" s="27">
        <v>136.0</v>
      </c>
      <c r="AB53" s="27">
        <v>0.0</v>
      </c>
      <c r="AC53" s="27">
        <v>270.0</v>
      </c>
      <c r="AD53" s="27">
        <v>132.0</v>
      </c>
      <c r="AE53" s="27">
        <v>150.0</v>
      </c>
      <c r="AF53" s="27">
        <v>192.0</v>
      </c>
      <c r="AG53" s="27">
        <v>192.0</v>
      </c>
      <c r="AH53" s="27">
        <v>198.0</v>
      </c>
      <c r="AI53" s="27">
        <v>336.0</v>
      </c>
      <c r="AJ53" s="27">
        <v>180.0</v>
      </c>
      <c r="AK53" s="27">
        <v>180.0</v>
      </c>
      <c r="AL53" s="27">
        <v>138.0</v>
      </c>
      <c r="AM53" s="27">
        <v>174.0</v>
      </c>
      <c r="AN53" s="27">
        <v>120.0</v>
      </c>
      <c r="AO53" s="28">
        <f t="shared" si="3"/>
        <v>2278.0</v>
      </c>
      <c r="AP53" s="28">
        <f t="shared" si="4"/>
        <v>1206.0</v>
      </c>
      <c r="AQ53" s="28">
        <f t="shared" si="5"/>
        <v>1326.6</v>
      </c>
      <c r="AS53" s="1">
        <f t="shared" si="128"/>
        <v>258.238410596027</v>
      </c>
      <c r="AT53" s="1">
        <f t="shared" si="129"/>
        <v>122.46357615894</v>
      </c>
      <c r="AU53" s="1">
        <f t="shared" si="130"/>
        <v>236.940397350993</v>
      </c>
      <c r="AV53" s="1">
        <f t="shared" si="131"/>
        <v>194.344370860927</v>
      </c>
      <c r="AW53" s="1">
        <f t="shared" si="132"/>
        <v>151.74834437086</v>
      </c>
      <c r="AX53" s="1">
        <f t="shared" si="133"/>
        <v>303.496688741721</v>
      </c>
      <c r="AY53" s="2">
        <f t="shared" si="12"/>
        <v>1267.23178807947</v>
      </c>
      <c r="AZ53" s="2" t="e">
        <f t="shared" si="13"/>
        <v>#REF!</v>
      </c>
      <c r="BB53" s="1" t="e">
        <f>VLOOKUP(C53,CHINAJUNE,3,false)</f>
        <v>#REF!</v>
      </c>
      <c r="BC53" s="3" t="e">
        <f t="shared" si="135"/>
        <v>#REF!</v>
      </c>
      <c r="BD53" s="1">
        <f>VLOOKUP(C53,MOQ,3,FALSE())</f>
        <v>1008.0</v>
      </c>
      <c r="BG53" s="1" t="e">
        <f t="shared" si="137"/>
        <v>#REF!</v>
      </c>
      <c r="BH53" s="1">
        <f t="shared" si="138"/>
        <v>258.238410596027</v>
      </c>
      <c r="BI53" s="1">
        <f t="shared" si="19"/>
      </c>
      <c r="BJ53" s="3" t="e">
        <f t="shared" si="139"/>
        <v>#REF!</v>
      </c>
      <c r="BK53" s="1">
        <f t="shared" si="140"/>
        <v>122.46357615894</v>
      </c>
      <c r="BL53" s="1" t="e">
        <f t="shared" si="22"/>
        <v>#REF!</v>
      </c>
      <c r="BM53" s="3" t="e">
        <f t="shared" si="141"/>
        <v>#REF!</v>
      </c>
      <c r="BN53" s="1">
        <f t="shared" si="142"/>
        <v>236.940397350993</v>
      </c>
      <c r="BP53" s="3" t="e">
        <f t="shared" si="143"/>
        <v>#REF!</v>
      </c>
      <c r="BQ53" s="1">
        <f t="shared" si="144"/>
        <v>194.344370860927</v>
      </c>
      <c r="BS53" s="3" t="e">
        <f t="shared" si="145"/>
        <v>#REF!</v>
      </c>
      <c r="BT53" s="1">
        <f t="shared" si="146"/>
        <v>151.74834437086</v>
      </c>
      <c r="BV53" s="3" t="e">
        <f t="shared" si="147"/>
        <v>#REF!</v>
      </c>
      <c r="BW53" s="1">
        <f t="shared" si="148"/>
        <v>303.496688741721</v>
      </c>
      <c r="BY53" s="3" t="e">
        <f t="shared" si="149"/>
        <v>#REF!</v>
      </c>
    </row>
    <row r="54" ht="14.0">
      <c r="A54" s="27" t="s">
        <v>28</v>
      </c>
      <c r="B54" s="27" t="s">
        <v>98</v>
      </c>
      <c r="C54" s="27" t="s">
        <v>129</v>
      </c>
      <c r="D54" s="27" t="s">
        <v>130</v>
      </c>
      <c r="E54" s="27"/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204.0</v>
      </c>
      <c r="S54" s="27">
        <v>294.0</v>
      </c>
      <c r="T54" s="27">
        <v>211.0</v>
      </c>
      <c r="U54" s="27">
        <v>298.0</v>
      </c>
      <c r="V54" s="27">
        <v>300.0</v>
      </c>
      <c r="W54" s="27">
        <v>252.0</v>
      </c>
      <c r="X54" s="27">
        <v>313.0</v>
      </c>
      <c r="Y54" s="27">
        <v>174.0</v>
      </c>
      <c r="Z54" s="27">
        <v>168.0</v>
      </c>
      <c r="AA54" s="27">
        <v>288.0</v>
      </c>
      <c r="AB54" s="27">
        <v>180.0</v>
      </c>
      <c r="AC54" s="27">
        <v>156.0</v>
      </c>
      <c r="AD54" s="27">
        <v>102.0</v>
      </c>
      <c r="AE54" s="27">
        <v>114.0</v>
      </c>
      <c r="AF54" s="27">
        <v>156.0</v>
      </c>
      <c r="AG54" s="27">
        <v>120.0</v>
      </c>
      <c r="AH54" s="27">
        <v>192.0</v>
      </c>
      <c r="AI54" s="27">
        <v>264.0</v>
      </c>
      <c r="AJ54" s="27">
        <v>156.0</v>
      </c>
      <c r="AK54" s="27">
        <v>78.0</v>
      </c>
      <c r="AL54" s="27">
        <v>120.0</v>
      </c>
      <c r="AM54" s="27">
        <v>132.0</v>
      </c>
      <c r="AN54" s="27">
        <v>138.0</v>
      </c>
      <c r="AO54" s="28">
        <f t="shared" si="3"/>
        <v>2058.0</v>
      </c>
      <c r="AP54" s="28">
        <f t="shared" si="4"/>
        <v>942.0</v>
      </c>
      <c r="AQ54" s="28">
        <f t="shared" si="5"/>
        <v>1036.2</v>
      </c>
      <c r="AS54" s="1">
        <f t="shared" si="128"/>
        <v>201.708609271523</v>
      </c>
      <c r="AT54" s="1">
        <f t="shared" si="129"/>
        <v>95.6556291390728</v>
      </c>
      <c r="AU54" s="1">
        <f t="shared" si="130"/>
        <v>185.072847682119</v>
      </c>
      <c r="AV54" s="1">
        <f t="shared" si="131"/>
        <v>151.801324503311</v>
      </c>
      <c r="AW54" s="1">
        <f t="shared" si="132"/>
        <v>118.529801324503</v>
      </c>
      <c r="AX54" s="1">
        <f t="shared" si="133"/>
        <v>237.059602649007</v>
      </c>
      <c r="AY54" s="2">
        <f t="shared" si="12"/>
        <v>989.827814569536</v>
      </c>
      <c r="AZ54" s="2" t="e">
        <f t="shared" si="13"/>
        <v>#REF!</v>
      </c>
      <c r="BC54" s="3" t="e">
        <f t="shared" si="135"/>
        <v>#REF!</v>
      </c>
      <c r="BD54" s="1">
        <f>VLOOKUP(C54,MOQ,3,FALSE())</f>
        <v>1008.0</v>
      </c>
      <c r="BG54" s="1" t="e">
        <f t="shared" si="137"/>
        <v>#REF!</v>
      </c>
      <c r="BH54" s="1">
        <f t="shared" si="138"/>
        <v>201.708609271523</v>
      </c>
      <c r="BI54" s="1">
        <f t="shared" si="19"/>
      </c>
      <c r="BJ54" s="3" t="e">
        <f t="shared" si="139"/>
        <v>#REF!</v>
      </c>
      <c r="BK54" s="1">
        <f t="shared" si="140"/>
        <v>95.6556291390728</v>
      </c>
      <c r="BL54" s="1">
        <f t="shared" si="22"/>
      </c>
      <c r="BM54" s="3" t="e">
        <f t="shared" si="141"/>
        <v>#REF!</v>
      </c>
      <c r="BN54" s="1">
        <f t="shared" si="142"/>
        <v>185.072847682119</v>
      </c>
      <c r="BP54" s="3" t="e">
        <f t="shared" si="143"/>
        <v>#REF!</v>
      </c>
      <c r="BQ54" s="1">
        <f t="shared" si="144"/>
        <v>151.801324503311</v>
      </c>
      <c r="BS54" s="3" t="e">
        <f t="shared" si="145"/>
        <v>#REF!</v>
      </c>
      <c r="BT54" s="1">
        <f t="shared" si="146"/>
        <v>118.529801324503</v>
      </c>
      <c r="BV54" s="3" t="e">
        <f t="shared" si="147"/>
        <v>#REF!</v>
      </c>
      <c r="BW54" s="1">
        <f t="shared" si="148"/>
        <v>237.059602649007</v>
      </c>
      <c r="BY54" s="3" t="e">
        <f t="shared" si="149"/>
        <v>#REF!</v>
      </c>
    </row>
    <row r="55" ht="14.0">
      <c r="A55" s="27" t="s">
        <v>28</v>
      </c>
      <c r="B55" s="27" t="s">
        <v>98</v>
      </c>
      <c r="C55" s="27" t="s">
        <v>131</v>
      </c>
      <c r="D55" s="27" t="s">
        <v>132</v>
      </c>
      <c r="E55" s="27"/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114.0</v>
      </c>
      <c r="S55" s="27">
        <v>216.0</v>
      </c>
      <c r="T55" s="27">
        <v>156.0</v>
      </c>
      <c r="U55" s="27">
        <v>230.0</v>
      </c>
      <c r="V55" s="27">
        <v>241.0</v>
      </c>
      <c r="W55" s="27">
        <v>217.0</v>
      </c>
      <c r="X55" s="27">
        <v>248.0</v>
      </c>
      <c r="Y55" s="27">
        <v>204.0</v>
      </c>
      <c r="Z55" s="27">
        <v>180.0</v>
      </c>
      <c r="AA55" s="27">
        <v>33.0</v>
      </c>
      <c r="AB55" s="27">
        <v>0.0</v>
      </c>
      <c r="AC55" s="27">
        <v>252.0</v>
      </c>
      <c r="AD55" s="27">
        <v>96.0</v>
      </c>
      <c r="AE55" s="27">
        <v>84.0</v>
      </c>
      <c r="AF55" s="27">
        <v>126.0</v>
      </c>
      <c r="AG55" s="27">
        <v>126.0</v>
      </c>
      <c r="AH55" s="27">
        <v>246.0</v>
      </c>
      <c r="AI55" s="27">
        <v>221.0</v>
      </c>
      <c r="AJ55" s="27">
        <v>126.0</v>
      </c>
      <c r="AK55" s="27">
        <v>96.0</v>
      </c>
      <c r="AL55" s="27">
        <v>114.0</v>
      </c>
      <c r="AM55" s="27">
        <v>138.0</v>
      </c>
      <c r="AN55" s="27">
        <v>66.0</v>
      </c>
      <c r="AO55" s="28">
        <f t="shared" si="3"/>
        <v>1658.0</v>
      </c>
      <c r="AP55" s="28">
        <f t="shared" si="4"/>
        <v>941.0</v>
      </c>
      <c r="AQ55" s="28">
        <f t="shared" si="5"/>
        <v>1035.1</v>
      </c>
      <c r="AS55" s="1">
        <f t="shared" si="128"/>
        <v>201.494481236203</v>
      </c>
      <c r="AT55" s="1">
        <f t="shared" si="129"/>
        <v>95.5540838852097</v>
      </c>
      <c r="AU55" s="1">
        <f t="shared" si="130"/>
        <v>184.876379690949</v>
      </c>
      <c r="AV55" s="1">
        <f t="shared" si="131"/>
        <v>151.640176600441</v>
      </c>
      <c r="AW55" s="1">
        <f t="shared" si="132"/>
        <v>118.403973509933</v>
      </c>
      <c r="AX55" s="1">
        <f t="shared" si="133"/>
        <v>236.80794701987</v>
      </c>
      <c r="AY55" s="2">
        <f t="shared" si="12"/>
        <v>988.777041942606</v>
      </c>
      <c r="AZ55" s="2" t="e">
        <f t="shared" si="13"/>
        <v>#REF!</v>
      </c>
      <c r="BC55" s="3" t="e">
        <f t="shared" si="135"/>
        <v>#REF!</v>
      </c>
      <c r="BD55" s="1">
        <f>VLOOKUP(C55,MOQ,3,FALSE())</f>
        <v>1008.0</v>
      </c>
      <c r="BG55" s="1" t="e">
        <f t="shared" si="137"/>
        <v>#REF!</v>
      </c>
      <c r="BH55" s="1">
        <f t="shared" si="138"/>
        <v>201.494481236203</v>
      </c>
      <c r="BI55" s="1">
        <f t="shared" si="19"/>
      </c>
      <c r="BJ55" s="3" t="e">
        <f t="shared" si="139"/>
        <v>#REF!</v>
      </c>
      <c r="BK55" s="1">
        <f t="shared" si="140"/>
        <v>95.5540838852097</v>
      </c>
      <c r="BL55" s="1">
        <f t="shared" si="22"/>
      </c>
      <c r="BM55" s="3" t="e">
        <f t="shared" si="141"/>
        <v>#REF!</v>
      </c>
      <c r="BN55" s="1">
        <f t="shared" si="142"/>
        <v>184.876379690949</v>
      </c>
      <c r="BP55" s="3" t="e">
        <f t="shared" si="143"/>
        <v>#REF!</v>
      </c>
      <c r="BQ55" s="1">
        <f t="shared" si="144"/>
        <v>151.640176600441</v>
      </c>
      <c r="BS55" s="3" t="e">
        <f t="shared" si="145"/>
        <v>#REF!</v>
      </c>
      <c r="BT55" s="1">
        <f t="shared" si="146"/>
        <v>118.403973509933</v>
      </c>
      <c r="BV55" s="3" t="e">
        <f t="shared" si="147"/>
        <v>#REF!</v>
      </c>
      <c r="BW55" s="1">
        <f t="shared" si="148"/>
        <v>236.80794701987</v>
      </c>
      <c r="BY55" s="3" t="e">
        <f t="shared" si="149"/>
        <v>#REF!</v>
      </c>
    </row>
    <row r="56" ht="14.0">
      <c r="A56" s="27" t="s">
        <v>28</v>
      </c>
      <c r="B56" s="27" t="s">
        <v>98</v>
      </c>
      <c r="C56" s="27" t="s">
        <v>133</v>
      </c>
      <c r="D56" s="27" t="s">
        <v>134</v>
      </c>
      <c r="E56" s="27"/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0.0</v>
      </c>
      <c r="S56" s="27">
        <v>0.0</v>
      </c>
      <c r="T56" s="27">
        <v>0.0</v>
      </c>
      <c r="U56" s="27">
        <v>0.0</v>
      </c>
      <c r="V56" s="27">
        <v>0.0</v>
      </c>
      <c r="W56" s="27">
        <v>0.0</v>
      </c>
      <c r="X56" s="27">
        <v>0.0</v>
      </c>
      <c r="Y56" s="27">
        <v>0.0</v>
      </c>
      <c r="Z56" s="27">
        <v>0.0</v>
      </c>
      <c r="AA56" s="27">
        <v>0.0</v>
      </c>
      <c r="AB56" s="27">
        <v>0.0</v>
      </c>
      <c r="AC56" s="27">
        <v>0.0</v>
      </c>
      <c r="AD56" s="27">
        <v>0.0</v>
      </c>
      <c r="AE56" s="27">
        <v>0.0</v>
      </c>
      <c r="AF56" s="27">
        <v>0.0</v>
      </c>
      <c r="AG56" s="27">
        <v>252.0</v>
      </c>
      <c r="AH56" s="27">
        <v>336.0</v>
      </c>
      <c r="AI56" s="27">
        <v>420.0</v>
      </c>
      <c r="AJ56" s="27">
        <v>0.0</v>
      </c>
      <c r="AK56" s="27">
        <v>0.0</v>
      </c>
      <c r="AL56" s="27">
        <v>0.0</v>
      </c>
      <c r="AM56" s="27">
        <v>90.0</v>
      </c>
      <c r="AN56" s="27">
        <v>126.0</v>
      </c>
      <c r="AO56" s="28">
        <f t="shared" si="3"/>
        <v>1098.0</v>
      </c>
      <c r="AP56" s="28">
        <f t="shared" si="4"/>
        <v>846.0</v>
      </c>
      <c r="AQ56" s="28">
        <f t="shared" si="5"/>
        <v>930.6</v>
      </c>
      <c r="AS56" s="1">
        <f t="shared" si="128"/>
        <v>181.152317880794</v>
      </c>
      <c r="AT56" s="1">
        <f t="shared" si="129"/>
        <v>85.9072847682119</v>
      </c>
      <c r="AU56" s="1">
        <f t="shared" si="130"/>
        <v>166.211920529801</v>
      </c>
      <c r="AV56" s="1">
        <f t="shared" si="131"/>
        <v>136.331125827814</v>
      </c>
      <c r="AW56" s="1">
        <f t="shared" si="132"/>
        <v>106.450331125828</v>
      </c>
      <c r="AX56" s="1">
        <f t="shared" si="133"/>
        <v>212.900662251656</v>
      </c>
      <c r="AY56" s="2">
        <f t="shared" si="12"/>
        <v>888.953642384104</v>
      </c>
      <c r="AZ56" s="2" t="e">
        <f t="shared" si="13"/>
        <v>#REF!</v>
      </c>
      <c r="BC56" s="3" t="e">
        <f t="shared" si="135"/>
        <v>#REF!</v>
      </c>
      <c r="BD56" s="1">
        <v>1008.0</v>
      </c>
      <c r="BE56" s="4">
        <f>BD56</f>
        <v>1008.0</v>
      </c>
      <c r="BF56" s="1" t="s">
        <v>10</v>
      </c>
      <c r="BG56" s="1" t="e">
        <f t="shared" si="137"/>
        <v>#REF!</v>
      </c>
      <c r="BH56" s="1">
        <f t="shared" si="138"/>
        <v>181.152317880794</v>
      </c>
      <c r="BI56" s="1">
        <f t="shared" si="19"/>
      </c>
      <c r="BJ56" s="3" t="e">
        <f t="shared" si="139"/>
        <v>#REF!</v>
      </c>
      <c r="BK56" s="1">
        <f t="shared" si="140"/>
        <v>85.9072847682119</v>
      </c>
      <c r="BL56" s="1">
        <f t="shared" si="22"/>
      </c>
      <c r="BM56" s="3" t="e">
        <f t="shared" si="141"/>
        <v>#REF!</v>
      </c>
      <c r="BN56" s="1">
        <f t="shared" si="142"/>
        <v>166.211920529801</v>
      </c>
      <c r="BP56" s="3" t="e">
        <f t="shared" si="143"/>
        <v>#REF!</v>
      </c>
      <c r="BQ56" s="1">
        <f t="shared" si="144"/>
        <v>136.331125827814</v>
      </c>
      <c r="BS56" s="3" t="e">
        <f t="shared" si="145"/>
        <v>#REF!</v>
      </c>
      <c r="BT56" s="1">
        <f t="shared" si="146"/>
        <v>106.450331125828</v>
      </c>
      <c r="BV56" s="3" t="e">
        <f t="shared" si="147"/>
        <v>#REF!</v>
      </c>
      <c r="BW56" s="1">
        <f t="shared" si="148"/>
        <v>212.900662251656</v>
      </c>
      <c r="BY56" s="3" t="e">
        <f t="shared" si="149"/>
        <v>#REF!</v>
      </c>
    </row>
    <row r="57" ht="14.0">
      <c r="A57" s="27" t="s">
        <v>28</v>
      </c>
      <c r="B57" s="27" t="s">
        <v>98</v>
      </c>
      <c r="C57" s="27" t="s">
        <v>135</v>
      </c>
      <c r="D57" s="27" t="s">
        <v>136</v>
      </c>
      <c r="E57" s="27"/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0.0</v>
      </c>
      <c r="AH57" s="27">
        <v>0.0</v>
      </c>
      <c r="AI57" s="27">
        <v>0.0</v>
      </c>
      <c r="AJ57" s="27">
        <v>0.0</v>
      </c>
      <c r="AK57" s="27">
        <v>0.0</v>
      </c>
      <c r="AL57" s="27">
        <v>0.0</v>
      </c>
      <c r="AM57" s="27">
        <v>102.0</v>
      </c>
      <c r="AN57" s="27">
        <v>144.0</v>
      </c>
      <c r="AO57" s="28">
        <f t="shared" si="3"/>
        <v>102.0</v>
      </c>
      <c r="AP57" s="28">
        <f t="shared" si="4"/>
        <v>102.0</v>
      </c>
      <c r="AQ57" s="28">
        <f t="shared" si="5"/>
        <v>112.2</v>
      </c>
      <c r="AS57" s="1">
        <f t="shared" si="128"/>
        <v>21.841059602649</v>
      </c>
      <c r="AT57" s="1">
        <f t="shared" si="129"/>
        <v>10.3576158940397</v>
      </c>
      <c r="AU57" s="1">
        <f t="shared" si="130"/>
        <v>20.0397350993377</v>
      </c>
      <c r="AV57" s="1">
        <f t="shared" si="131"/>
        <v>16.4370860927152</v>
      </c>
      <c r="AW57" s="1">
        <f t="shared" si="132"/>
        <v>12.8344370860927</v>
      </c>
      <c r="AX57" s="1">
        <f t="shared" si="133"/>
        <v>25.6688741721854</v>
      </c>
      <c r="AY57" s="2">
        <f t="shared" si="12"/>
        <v>107.17880794701</v>
      </c>
      <c r="AZ57" s="2" t="e">
        <f t="shared" si="13"/>
        <v>#REF!</v>
      </c>
      <c r="BC57" s="3" t="e">
        <f t="shared" si="135"/>
        <v>#REF!</v>
      </c>
      <c r="BD57" s="1">
        <v>1008.0</v>
      </c>
      <c r="BG57" s="1" t="e">
        <f t="shared" si="137"/>
        <v>#REF!</v>
      </c>
      <c r="BH57" s="1">
        <f t="shared" si="138"/>
        <v>21.841059602649</v>
      </c>
      <c r="BI57" s="1">
        <f t="shared" si="19"/>
      </c>
      <c r="BJ57" s="3" t="e">
        <f t="shared" si="139"/>
        <v>#REF!</v>
      </c>
      <c r="BK57" s="1">
        <f t="shared" si="140"/>
        <v>10.3576158940397</v>
      </c>
      <c r="BL57" s="1">
        <f t="shared" si="22"/>
      </c>
      <c r="BM57" s="3" t="e">
        <f t="shared" si="141"/>
        <v>#REF!</v>
      </c>
      <c r="BN57" s="1">
        <f t="shared" si="142"/>
        <v>20.0397350993377</v>
      </c>
      <c r="BP57" s="3" t="e">
        <f t="shared" si="143"/>
        <v>#REF!</v>
      </c>
      <c r="BQ57" s="1">
        <f t="shared" si="144"/>
        <v>16.4370860927152</v>
      </c>
      <c r="BS57" s="3" t="e">
        <f t="shared" si="145"/>
        <v>#REF!</v>
      </c>
      <c r="BT57" s="1">
        <f t="shared" si="146"/>
        <v>12.8344370860927</v>
      </c>
      <c r="BV57" s="3" t="e">
        <f t="shared" si="147"/>
        <v>#REF!</v>
      </c>
      <c r="BW57" s="1">
        <f t="shared" si="148"/>
        <v>25.6688741721854</v>
      </c>
      <c r="BY57" s="3" t="e">
        <f t="shared" si="149"/>
        <v>#REF!</v>
      </c>
    </row>
    <row r="58" ht="14.0">
      <c r="A58" s="27" t="s">
        <v>28</v>
      </c>
      <c r="B58" s="27" t="s">
        <v>98</v>
      </c>
      <c r="C58" s="27" t="s">
        <v>137</v>
      </c>
      <c r="D58" s="27" t="s">
        <v>138</v>
      </c>
      <c r="E58" s="27"/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126.0</v>
      </c>
      <c r="AN58" s="27">
        <v>168.0</v>
      </c>
      <c r="AO58" s="28">
        <f t="shared" si="3"/>
        <v>126.0</v>
      </c>
      <c r="AP58" s="28">
        <f t="shared" si="4"/>
        <v>126.0</v>
      </c>
      <c r="AQ58" s="28">
        <f t="shared" si="5"/>
        <v>138.6</v>
      </c>
      <c r="AS58" s="1">
        <f t="shared" si="128"/>
        <v>26.9801324503311</v>
      </c>
      <c r="AT58" s="1">
        <f t="shared" si="129"/>
        <v>12.794701986755</v>
      </c>
      <c r="AU58" s="1">
        <f t="shared" si="130"/>
        <v>24.7549668874172</v>
      </c>
      <c r="AV58" s="1">
        <f t="shared" si="131"/>
        <v>20.3046357615894</v>
      </c>
      <c r="AW58" s="1">
        <f t="shared" si="132"/>
        <v>15.854304635761</v>
      </c>
      <c r="AX58" s="1">
        <f t="shared" si="133"/>
        <v>31.7086092715231</v>
      </c>
      <c r="AY58" s="2">
        <f t="shared" si="12"/>
        <v>132.397350993377</v>
      </c>
      <c r="AZ58" s="2" t="e">
        <f t="shared" si="13"/>
        <v>#REF!</v>
      </c>
      <c r="BC58" s="3" t="e">
        <f t="shared" si="135"/>
        <v>#REF!</v>
      </c>
      <c r="BD58" s="1">
        <v>1008.0</v>
      </c>
      <c r="BG58" s="1" t="e">
        <f t="shared" si="137"/>
        <v>#REF!</v>
      </c>
      <c r="BH58" s="1">
        <f t="shared" si="138"/>
        <v>26.9801324503311</v>
      </c>
      <c r="BI58" s="1">
        <f t="shared" si="19"/>
      </c>
      <c r="BJ58" s="3" t="e">
        <f t="shared" si="139"/>
        <v>#REF!</v>
      </c>
      <c r="BK58" s="1">
        <f t="shared" si="140"/>
        <v>12.794701986755</v>
      </c>
      <c r="BL58" s="1">
        <f t="shared" si="22"/>
      </c>
      <c r="BM58" s="3" t="e">
        <f t="shared" si="141"/>
        <v>#REF!</v>
      </c>
      <c r="BN58" s="1">
        <f t="shared" si="142"/>
        <v>24.7549668874172</v>
      </c>
      <c r="BP58" s="3" t="e">
        <f t="shared" si="143"/>
        <v>#REF!</v>
      </c>
      <c r="BQ58" s="1">
        <f t="shared" si="144"/>
        <v>20.3046357615894</v>
      </c>
      <c r="BS58" s="3" t="e">
        <f t="shared" si="145"/>
        <v>#REF!</v>
      </c>
      <c r="BT58" s="1">
        <f t="shared" si="146"/>
        <v>15.854304635761</v>
      </c>
      <c r="BV58" s="3" t="e">
        <f t="shared" si="147"/>
        <v>#REF!</v>
      </c>
      <c r="BW58" s="1">
        <f t="shared" si="148"/>
        <v>31.7086092715231</v>
      </c>
      <c r="BY58" s="3" t="e">
        <f t="shared" si="149"/>
        <v>#REF!</v>
      </c>
    </row>
    <row r="59" ht="14.0">
      <c r="A59" s="27" t="s">
        <v>28</v>
      </c>
      <c r="B59" s="27" t="s">
        <v>98</v>
      </c>
      <c r="C59" s="27" t="s">
        <v>139</v>
      </c>
      <c r="D59" s="27" t="s">
        <v>140</v>
      </c>
      <c r="E59" s="27"/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114.0</v>
      </c>
      <c r="AN59" s="27">
        <v>156.0</v>
      </c>
      <c r="AO59" s="28">
        <f t="shared" si="3"/>
        <v>114.0</v>
      </c>
      <c r="AP59" s="28">
        <f t="shared" si="4"/>
        <v>114.0</v>
      </c>
      <c r="AQ59" s="28">
        <f t="shared" si="5"/>
        <v>125.4</v>
      </c>
      <c r="AS59" s="1">
        <f t="shared" si="128"/>
        <v>24.41059602649</v>
      </c>
      <c r="AT59" s="1">
        <f t="shared" si="129"/>
        <v>11.5761589403973</v>
      </c>
      <c r="AU59" s="1">
        <f t="shared" si="130"/>
        <v>22.3973509933774</v>
      </c>
      <c r="AV59" s="1">
        <f t="shared" si="131"/>
        <v>18.3708609271523</v>
      </c>
      <c r="AW59" s="1">
        <f t="shared" si="132"/>
        <v>14.3443708609271</v>
      </c>
      <c r="AX59" s="1">
        <f t="shared" si="133"/>
        <v>28.6887417218543</v>
      </c>
      <c r="AY59" s="2">
        <f t="shared" si="12"/>
        <v>119.788079470198</v>
      </c>
      <c r="AZ59" s="2" t="e">
        <f t="shared" si="13"/>
        <v>#REF!</v>
      </c>
      <c r="BC59" s="3" t="e">
        <f t="shared" si="135"/>
        <v>#REF!</v>
      </c>
      <c r="BD59" s="1">
        <v>1008.0</v>
      </c>
      <c r="BG59" s="1" t="e">
        <f t="shared" si="137"/>
        <v>#REF!</v>
      </c>
      <c r="BH59" s="1">
        <f t="shared" si="138"/>
        <v>24.41059602649</v>
      </c>
      <c r="BI59" s="1">
        <f t="shared" si="19"/>
      </c>
      <c r="BJ59" s="3" t="e">
        <f t="shared" si="139"/>
        <v>#REF!</v>
      </c>
      <c r="BK59" s="1">
        <f t="shared" si="140"/>
        <v>11.5761589403973</v>
      </c>
      <c r="BL59" s="1">
        <f t="shared" si="22"/>
      </c>
      <c r="BM59" s="3" t="e">
        <f t="shared" si="141"/>
        <v>#REF!</v>
      </c>
      <c r="BN59" s="1">
        <f t="shared" si="142"/>
        <v>22.3973509933774</v>
      </c>
      <c r="BP59" s="3" t="e">
        <f t="shared" si="143"/>
        <v>#REF!</v>
      </c>
      <c r="BQ59" s="1">
        <f t="shared" si="144"/>
        <v>18.3708609271523</v>
      </c>
      <c r="BS59" s="3" t="e">
        <f t="shared" si="145"/>
        <v>#REF!</v>
      </c>
      <c r="BT59" s="1">
        <f t="shared" si="146"/>
        <v>14.3443708609271</v>
      </c>
      <c r="BV59" s="3" t="e">
        <f t="shared" si="147"/>
        <v>#REF!</v>
      </c>
      <c r="BW59" s="1">
        <f t="shared" si="148"/>
        <v>28.6887417218543</v>
      </c>
      <c r="BY59" s="3" t="e">
        <f t="shared" si="149"/>
        <v>#REF!</v>
      </c>
    </row>
    <row r="60" ht="14.0">
      <c r="A60" s="27" t="s">
        <v>28</v>
      </c>
      <c r="B60" s="27" t="s">
        <v>98</v>
      </c>
      <c r="C60" s="27" t="s">
        <v>141</v>
      </c>
      <c r="D60" s="27" t="s">
        <v>142</v>
      </c>
      <c r="E60" s="27"/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120.0</v>
      </c>
      <c r="AN60" s="27">
        <v>216.0</v>
      </c>
      <c r="AO60" s="28">
        <f t="shared" si="3"/>
        <v>120.0</v>
      </c>
      <c r="AP60" s="28">
        <f t="shared" si="4"/>
        <v>120.0</v>
      </c>
      <c r="AQ60" s="28">
        <f t="shared" si="5"/>
        <v>132.0</v>
      </c>
      <c r="AS60" s="1">
        <f t="shared" si="128"/>
        <v>25.6953642384106</v>
      </c>
      <c r="AT60" s="1">
        <f t="shared" si="129"/>
        <v>12.1854304635761</v>
      </c>
      <c r="AU60" s="1">
        <f t="shared" si="130"/>
        <v>23.5761589403973</v>
      </c>
      <c r="AV60" s="1">
        <f t="shared" si="131"/>
        <v>19.3377483443709</v>
      </c>
      <c r="AW60" s="1">
        <f t="shared" si="132"/>
        <v>15.0993377483443</v>
      </c>
      <c r="AX60" s="1">
        <f t="shared" si="133"/>
        <v>30.1986754966887</v>
      </c>
      <c r="AY60" s="2">
        <f t="shared" si="12"/>
        <v>126.0927152318</v>
      </c>
      <c r="AZ60" s="2" t="e">
        <f t="shared" si="13"/>
        <v>#REF!</v>
      </c>
      <c r="BC60" s="3" t="e">
        <f t="shared" si="135"/>
        <v>#REF!</v>
      </c>
      <c r="BD60" s="1">
        <v>1008.0</v>
      </c>
      <c r="BG60" s="1" t="e">
        <f t="shared" si="137"/>
        <v>#REF!</v>
      </c>
      <c r="BH60" s="1">
        <f t="shared" si="138"/>
        <v>25.6953642384106</v>
      </c>
      <c r="BI60" s="1">
        <f t="shared" si="19"/>
      </c>
      <c r="BJ60" s="3" t="e">
        <f t="shared" si="139"/>
        <v>#REF!</v>
      </c>
      <c r="BK60" s="1">
        <f t="shared" si="140"/>
        <v>12.1854304635761</v>
      </c>
      <c r="BL60" s="1">
        <f t="shared" si="22"/>
      </c>
      <c r="BM60" s="3" t="e">
        <f t="shared" si="141"/>
        <v>#REF!</v>
      </c>
      <c r="BN60" s="1">
        <f t="shared" si="142"/>
        <v>23.5761589403973</v>
      </c>
      <c r="BP60" s="3" t="e">
        <f t="shared" si="143"/>
        <v>#REF!</v>
      </c>
      <c r="BQ60" s="1">
        <f t="shared" si="144"/>
        <v>19.3377483443709</v>
      </c>
      <c r="BS60" s="3" t="e">
        <f t="shared" si="145"/>
        <v>#REF!</v>
      </c>
      <c r="BT60" s="1">
        <f t="shared" si="146"/>
        <v>15.0993377483443</v>
      </c>
      <c r="BV60" s="3" t="e">
        <f t="shared" si="147"/>
        <v>#REF!</v>
      </c>
      <c r="BW60" s="1">
        <f t="shared" si="148"/>
        <v>30.1986754966887</v>
      </c>
      <c r="BY60" s="3" t="e">
        <f t="shared" si="149"/>
        <v>#REF!</v>
      </c>
    </row>
    <row r="61" ht="14.0">
      <c r="A61" s="27" t="s">
        <v>28</v>
      </c>
      <c r="B61" s="27" t="s">
        <v>98</v>
      </c>
      <c r="C61" s="27" t="s">
        <v>143</v>
      </c>
      <c r="D61" s="27" t="s">
        <v>144</v>
      </c>
      <c r="E61" s="27"/>
      <c r="F61" s="27">
        <v>5.0</v>
      </c>
      <c r="G61" s="27">
        <v>4.0</v>
      </c>
      <c r="H61" s="27">
        <v>4.0</v>
      </c>
      <c r="I61" s="27">
        <v>4.0</v>
      </c>
      <c r="J61" s="27">
        <v>0.0</v>
      </c>
      <c r="K61" s="27">
        <v>2.0</v>
      </c>
      <c r="L61" s="27">
        <v>2.0</v>
      </c>
      <c r="M61" s="27">
        <v>1.0</v>
      </c>
      <c r="N61" s="27">
        <v>3.0</v>
      </c>
      <c r="O61" s="27">
        <v>1.0</v>
      </c>
      <c r="P61" s="27">
        <v>3.0</v>
      </c>
      <c r="Q61" s="27">
        <v>4.0</v>
      </c>
      <c r="R61" s="27">
        <v>4.0</v>
      </c>
      <c r="S61" s="27">
        <v>3.0</v>
      </c>
      <c r="T61" s="27">
        <v>5.0</v>
      </c>
      <c r="U61" s="27">
        <v>2.0</v>
      </c>
      <c r="V61" s="27">
        <v>5.0</v>
      </c>
      <c r="W61" s="27">
        <v>1.0</v>
      </c>
      <c r="X61" s="27">
        <v>0.0</v>
      </c>
      <c r="Y61" s="27">
        <v>2.0</v>
      </c>
      <c r="Z61" s="27">
        <v>1.0</v>
      </c>
      <c r="AA61" s="27">
        <v>7.0</v>
      </c>
      <c r="AB61" s="27">
        <v>3.0</v>
      </c>
      <c r="AC61" s="27">
        <v>4.0</v>
      </c>
      <c r="AD61" s="27">
        <v>0.0</v>
      </c>
      <c r="AE61" s="27">
        <v>4.0</v>
      </c>
      <c r="AF61" s="27">
        <v>6.0</v>
      </c>
      <c r="AG61" s="27">
        <v>2.0</v>
      </c>
      <c r="AH61" s="27">
        <v>8.0</v>
      </c>
      <c r="AI61" s="27">
        <v>8.0</v>
      </c>
      <c r="AJ61" s="27">
        <v>2.0</v>
      </c>
      <c r="AK61" s="27">
        <v>1.0</v>
      </c>
      <c r="AL61" s="27">
        <v>2.0</v>
      </c>
      <c r="AM61" s="27">
        <v>3.0</v>
      </c>
      <c r="AN61" s="27">
        <v>2.0</v>
      </c>
      <c r="AO61" s="32">
        <f t="shared" si="3"/>
        <v>50.0</v>
      </c>
      <c r="AP61" s="32">
        <f t="shared" si="4"/>
        <v>24.0</v>
      </c>
      <c r="AQ61" s="32">
        <f t="shared" si="5"/>
        <v>26.4</v>
      </c>
      <c r="AR61" s="33"/>
      <c r="AS61" s="33">
        <v>5.0</v>
      </c>
      <c r="AT61" s="33">
        <v>2.0</v>
      </c>
      <c r="AU61" s="33">
        <v>5.0</v>
      </c>
      <c r="AV61" s="33">
        <v>4.0</v>
      </c>
      <c r="AW61" s="33">
        <v>3.0</v>
      </c>
      <c r="AX61" s="33">
        <v>6.0</v>
      </c>
      <c r="AY61" s="2">
        <f t="shared" si="12"/>
        <v>25.0</v>
      </c>
      <c r="AZ61" s="2" t="e">
        <f t="shared" si="13"/>
        <v>#REF!</v>
      </c>
      <c r="BJ61" s="3"/>
      <c r="BM61" s="3"/>
      <c r="BP61" s="3"/>
      <c r="BS61" s="3"/>
      <c r="BV61" s="3"/>
      <c r="BY61" s="3"/>
    </row>
    <row r="62" ht="14.0">
      <c r="A62" s="27" t="s">
        <v>28</v>
      </c>
      <c r="B62" s="27" t="s">
        <v>98</v>
      </c>
      <c r="C62" s="27" t="s">
        <v>145</v>
      </c>
      <c r="D62" s="27" t="s">
        <v>146</v>
      </c>
      <c r="E62" s="27"/>
      <c r="F62" s="27">
        <v>1.0</v>
      </c>
      <c r="G62" s="27">
        <v>0.0</v>
      </c>
      <c r="H62" s="27">
        <v>1.0</v>
      </c>
      <c r="I62" s="27">
        <v>0.0</v>
      </c>
      <c r="J62" s="27">
        <v>0.0</v>
      </c>
      <c r="K62" s="27">
        <v>0.0</v>
      </c>
      <c r="L62" s="27">
        <v>0.0</v>
      </c>
      <c r="M62" s="27">
        <v>0.0</v>
      </c>
      <c r="N62" s="27">
        <v>0.0</v>
      </c>
      <c r="O62" s="27">
        <v>2.0</v>
      </c>
      <c r="P62" s="27">
        <v>1.0</v>
      </c>
      <c r="Q62" s="27">
        <v>1.0</v>
      </c>
      <c r="R62" s="27">
        <v>3.0</v>
      </c>
      <c r="S62" s="27">
        <v>0.0</v>
      </c>
      <c r="T62" s="27">
        <v>0.0</v>
      </c>
      <c r="U62" s="27">
        <v>1.0</v>
      </c>
      <c r="V62" s="27">
        <v>0.0</v>
      </c>
      <c r="W62" s="27">
        <v>1.0</v>
      </c>
      <c r="X62" s="27">
        <v>1.0</v>
      </c>
      <c r="Y62" s="27">
        <v>1.0</v>
      </c>
      <c r="Z62" s="27">
        <v>1.0</v>
      </c>
      <c r="AA62" s="27">
        <v>0.0</v>
      </c>
      <c r="AB62" s="27">
        <v>2.0</v>
      </c>
      <c r="AC62" s="27">
        <v>0.0</v>
      </c>
      <c r="AD62" s="27">
        <v>2.0</v>
      </c>
      <c r="AE62" s="27">
        <v>0.0</v>
      </c>
      <c r="AF62" s="27">
        <v>0.0</v>
      </c>
      <c r="AG62" s="27">
        <v>0.0</v>
      </c>
      <c r="AH62" s="27">
        <v>1.0</v>
      </c>
      <c r="AI62" s="27">
        <v>1.0</v>
      </c>
      <c r="AJ62" s="27">
        <v>0.0</v>
      </c>
      <c r="AK62" s="27">
        <v>0.0</v>
      </c>
      <c r="AL62" s="27">
        <v>1.0</v>
      </c>
      <c r="AM62" s="27">
        <v>0.0</v>
      </c>
      <c r="AN62" s="27">
        <v>0.0</v>
      </c>
      <c r="AO62" s="32">
        <f t="shared" si="3"/>
        <v>7.0</v>
      </c>
      <c r="AP62" s="32">
        <f t="shared" si="4"/>
        <v>3.0</v>
      </c>
      <c r="AQ62" s="32">
        <f t="shared" si="5"/>
        <v>3.3</v>
      </c>
      <c r="AR62" s="33"/>
      <c r="AS62" s="33">
        <v>1.0</v>
      </c>
      <c r="AT62" s="33">
        <v>0.0</v>
      </c>
      <c r="AU62" s="33">
        <v>1.0</v>
      </c>
      <c r="AV62" s="33">
        <v>0.0</v>
      </c>
      <c r="AW62" s="33">
        <v>0.0</v>
      </c>
      <c r="AX62" s="33">
        <v>1.0</v>
      </c>
      <c r="AY62" s="2">
        <f t="shared" si="12"/>
        <v>3.0</v>
      </c>
      <c r="AZ62" s="2" t="e">
        <f t="shared" si="13"/>
        <v>#REF!</v>
      </c>
      <c r="BJ62" s="3"/>
      <c r="BM62" s="3"/>
      <c r="BP62" s="3"/>
      <c r="BS62" s="3"/>
      <c r="BV62" s="3"/>
      <c r="BY62" s="3"/>
    </row>
    <row r="63">
      <c r="BD63" s="29"/>
      <c r="BE63" s="15"/>
    </row>
    <row r="64">
      <c r="BD64" s="29"/>
      <c r="BE64" s="15"/>
    </row>
    <row hidden="1"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L65" s="27"/>
      <c r="AM65" s="27"/>
      <c r="AN65" s="27"/>
      <c r="AO65" s="27"/>
    </row>
    <row r="66" ht="14.0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44">
        <v>0.058</v>
      </c>
      <c r="AC66" s="44">
        <v>0.122</v>
      </c>
      <c r="AD66" s="44">
        <v>0.103</v>
      </c>
      <c r="AE66" s="44">
        <v>0.079</v>
      </c>
      <c r="AF66" s="44">
        <v>0.069</v>
      </c>
      <c r="AG66" s="44">
        <v>0.065</v>
      </c>
      <c r="AH66" s="44">
        <v>0.066</v>
      </c>
      <c r="AI66" s="44">
        <v>0.052</v>
      </c>
      <c r="AJ66" s="44">
        <v>0.106</v>
      </c>
      <c r="AK66" s="44">
        <v>0.153</v>
      </c>
      <c r="AL66" s="44">
        <v>0.054</v>
      </c>
      <c r="AM66" s="44">
        <v>0.073</v>
      </c>
      <c r="AN66" s="44">
        <v>0.058</v>
      </c>
      <c r="AO66" s="5">
        <f>SUM(AA66:AL66)</f>
        <v>0.927</v>
      </c>
      <c r="AP66" s="8">
        <f>SUM(AH66:AM66)</f>
        <v>0.504</v>
      </c>
      <c r="AQ66" s="8">
        <f>AP66*1.1</f>
        <v>0.5544</v>
      </c>
      <c r="AS66" s="44">
        <v>0.058</v>
      </c>
      <c r="AT66" s="44">
        <v>0.122</v>
      </c>
      <c r="AU66" s="44">
        <v>0.103</v>
      </c>
      <c r="AV66" s="44">
        <v>0.079</v>
      </c>
      <c r="AW66" s="44">
        <v>0.069</v>
      </c>
      <c r="AX66" s="44">
        <v>0.065</v>
      </c>
      <c r="BD66" s="29"/>
      <c r="BE66" s="15"/>
    </row>
    <row r="67" ht="15.0">
      <c r="A67" s="45" t="s">
        <v>147</v>
      </c>
      <c r="B67" s="6"/>
      <c r="C67" s="6"/>
      <c r="D67" s="6"/>
      <c r="E67" s="9">
        <v>45799</v>
      </c>
      <c r="F67" s="9">
        <v>45830</v>
      </c>
      <c r="G67" s="9">
        <v>45860</v>
      </c>
      <c r="H67" s="9">
        <v>45891</v>
      </c>
      <c r="I67" s="9">
        <v>45922</v>
      </c>
      <c r="J67" s="9">
        <v>45952</v>
      </c>
      <c r="K67" s="9">
        <v>45983</v>
      </c>
      <c r="L67" s="9">
        <v>46013</v>
      </c>
      <c r="M67" s="9">
        <v>45680</v>
      </c>
      <c r="N67" s="9">
        <v>45711</v>
      </c>
      <c r="O67" s="9">
        <v>45739</v>
      </c>
      <c r="P67" s="9">
        <v>45770</v>
      </c>
      <c r="Q67" s="10">
        <v>45800</v>
      </c>
      <c r="R67" s="10">
        <v>45831</v>
      </c>
      <c r="S67" s="10">
        <v>45861</v>
      </c>
      <c r="T67" s="10">
        <v>45892</v>
      </c>
      <c r="U67" s="10">
        <v>45923</v>
      </c>
      <c r="V67" s="10">
        <v>45953</v>
      </c>
      <c r="W67" s="10">
        <v>45984</v>
      </c>
      <c r="X67" s="10">
        <v>46014</v>
      </c>
      <c r="Y67" s="10">
        <v>45681</v>
      </c>
      <c r="Z67" s="10">
        <v>45712</v>
      </c>
      <c r="AA67" s="10">
        <v>45740</v>
      </c>
      <c r="AB67" s="10">
        <v>45771</v>
      </c>
      <c r="AC67" s="11">
        <v>45801</v>
      </c>
      <c r="AD67" s="11">
        <v>45832</v>
      </c>
      <c r="AE67" s="11">
        <v>45862</v>
      </c>
      <c r="AF67" s="11">
        <v>45893</v>
      </c>
      <c r="AG67" s="11">
        <v>45924</v>
      </c>
      <c r="AH67" s="11">
        <v>45954</v>
      </c>
      <c r="AI67" s="11">
        <v>45985</v>
      </c>
      <c r="AJ67" s="11">
        <v>46015</v>
      </c>
      <c r="AK67" s="11">
        <v>45682</v>
      </c>
      <c r="AL67" s="11">
        <v>45713</v>
      </c>
      <c r="AM67" s="11">
        <v>45741</v>
      </c>
      <c r="AN67" s="11">
        <v>45772</v>
      </c>
      <c r="AO67" s="12" t="s">
        <v>1</v>
      </c>
      <c r="AP67" s="12" t="s">
        <v>2</v>
      </c>
      <c r="AQ67" s="12" t="s">
        <v>2</v>
      </c>
      <c r="AR67" s="13"/>
      <c r="AS67" s="11">
        <v>45801</v>
      </c>
      <c r="AT67" s="11">
        <v>45832</v>
      </c>
      <c r="AU67" s="11">
        <v>45862</v>
      </c>
      <c r="AV67" s="11">
        <v>45893</v>
      </c>
      <c r="AW67" s="11">
        <v>45924</v>
      </c>
      <c r="AX67" s="11">
        <v>45955</v>
      </c>
      <c r="AY67" s="13" t="s">
        <v>3</v>
      </c>
      <c r="AZ67" s="13" t="s">
        <v>3</v>
      </c>
      <c r="BA67" s="13" t="s">
        <v>3</v>
      </c>
      <c r="BB67" s="13" t="s">
        <v>3</v>
      </c>
      <c r="BC67" s="14" t="s">
        <v>3</v>
      </c>
      <c r="BD67" s="46" t="s">
        <v>3</v>
      </c>
      <c r="BE67" s="15" t="s">
        <v>3</v>
      </c>
      <c r="BF67" s="13"/>
      <c r="BG67" s="13" t="s">
        <v>4</v>
      </c>
      <c r="BH67" s="13" t="s">
        <v>5</v>
      </c>
      <c r="BI67" s="13"/>
      <c r="BJ67" s="13"/>
      <c r="BK67" s="13" t="s">
        <v>6</v>
      </c>
      <c r="BL67" s="13"/>
      <c r="BM67" s="13"/>
      <c r="BN67" s="13" t="s">
        <v>7</v>
      </c>
      <c r="BO67" s="13"/>
      <c r="BP67" s="13"/>
      <c r="BQ67" s="13" t="s">
        <v>8</v>
      </c>
      <c r="BR67" s="13"/>
      <c r="BS67" s="13"/>
      <c r="BT67" s="13" t="s">
        <v>9</v>
      </c>
      <c r="BU67" s="13"/>
      <c r="BV67" s="13"/>
      <c r="BW67" s="13" t="s">
        <v>10</v>
      </c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</row>
    <row r="68" ht="29.0">
      <c r="A68" s="16" t="s">
        <v>11</v>
      </c>
      <c r="B68" s="16" t="s">
        <v>12</v>
      </c>
      <c r="C68" s="16" t="s">
        <v>13</v>
      </c>
      <c r="D68" s="17" t="s">
        <v>14</v>
      </c>
      <c r="E68" s="18" t="s">
        <v>15</v>
      </c>
      <c r="F68" s="18" t="s">
        <v>15</v>
      </c>
      <c r="G68" s="18" t="s">
        <v>15</v>
      </c>
      <c r="H68" s="18" t="s">
        <v>15</v>
      </c>
      <c r="I68" s="18" t="s">
        <v>15</v>
      </c>
      <c r="J68" s="18" t="s">
        <v>15</v>
      </c>
      <c r="K68" s="18" t="s">
        <v>15</v>
      </c>
      <c r="L68" s="18" t="s">
        <v>15</v>
      </c>
      <c r="M68" s="18" t="s">
        <v>15</v>
      </c>
      <c r="N68" s="18" t="s">
        <v>15</v>
      </c>
      <c r="O68" s="18" t="s">
        <v>15</v>
      </c>
      <c r="P68" s="18" t="s">
        <v>15</v>
      </c>
      <c r="Q68" s="18" t="s">
        <v>15</v>
      </c>
      <c r="R68" s="18" t="s">
        <v>15</v>
      </c>
      <c r="S68" s="18" t="s">
        <v>15</v>
      </c>
      <c r="T68" s="18" t="s">
        <v>15</v>
      </c>
      <c r="U68" s="18" t="s">
        <v>15</v>
      </c>
      <c r="V68" s="18" t="s">
        <v>15</v>
      </c>
      <c r="W68" s="18" t="s">
        <v>15</v>
      </c>
      <c r="X68" s="18" t="s">
        <v>15</v>
      </c>
      <c r="Y68" s="18" t="s">
        <v>15</v>
      </c>
      <c r="Z68" s="18" t="s">
        <v>15</v>
      </c>
      <c r="AA68" s="18" t="s">
        <v>15</v>
      </c>
      <c r="AB68" s="18" t="s">
        <v>15</v>
      </c>
      <c r="AC68" s="18" t="s">
        <v>15</v>
      </c>
      <c r="AD68" s="18" t="s">
        <v>15</v>
      </c>
      <c r="AE68" s="18" t="s">
        <v>15</v>
      </c>
      <c r="AF68" s="18" t="s">
        <v>15</v>
      </c>
      <c r="AG68" s="18" t="s">
        <v>15</v>
      </c>
      <c r="AH68" s="18" t="s">
        <v>15</v>
      </c>
      <c r="AI68" s="18" t="s">
        <v>15</v>
      </c>
      <c r="AJ68" s="18" t="s">
        <v>15</v>
      </c>
      <c r="AK68" s="18" t="s">
        <v>15</v>
      </c>
      <c r="AL68" s="18" t="s">
        <v>15</v>
      </c>
      <c r="AM68" s="18" t="s">
        <v>15</v>
      </c>
      <c r="AN68" s="18"/>
      <c r="AO68" s="19" t="s">
        <v>3</v>
      </c>
      <c r="AP68" s="19" t="s">
        <v>3</v>
      </c>
      <c r="AQ68" s="19" t="s">
        <v>16</v>
      </c>
      <c r="AR68" s="20"/>
      <c r="AS68" s="21" t="s">
        <v>17</v>
      </c>
      <c r="AT68" s="21" t="s">
        <v>17</v>
      </c>
      <c r="AU68" s="21" t="s">
        <v>17</v>
      </c>
      <c r="AV68" s="21" t="s">
        <v>17</v>
      </c>
      <c r="AW68" s="21" t="s">
        <v>17</v>
      </c>
      <c r="AX68" s="21" t="s">
        <v>17</v>
      </c>
      <c r="AY68" s="21" t="s">
        <v>17</v>
      </c>
      <c r="AZ68" s="18" t="s">
        <v>148</v>
      </c>
      <c r="BA68" s="22" t="s">
        <v>19</v>
      </c>
      <c r="BB68" s="22" t="s">
        <v>20</v>
      </c>
      <c r="BC68" s="23" t="s">
        <v>21</v>
      </c>
      <c r="BD68" s="47" t="s">
        <v>22</v>
      </c>
      <c r="BE68" s="24" t="s">
        <v>23</v>
      </c>
      <c r="BF68" s="25" t="s">
        <v>24</v>
      </c>
      <c r="BG68" s="18" t="s">
        <v>25</v>
      </c>
      <c r="BH68" s="18" t="s">
        <v>17</v>
      </c>
      <c r="BI68" s="18" t="s">
        <v>26</v>
      </c>
      <c r="BJ68" s="18" t="s">
        <v>27</v>
      </c>
      <c r="BK68" s="18" t="s">
        <v>17</v>
      </c>
      <c r="BL68" s="18" t="s">
        <v>26</v>
      </c>
      <c r="BM68" s="18" t="s">
        <v>27</v>
      </c>
      <c r="BN68" s="18" t="s">
        <v>17</v>
      </c>
      <c r="BO68" s="18" t="s">
        <v>26</v>
      </c>
      <c r="BP68" s="18" t="s">
        <v>27</v>
      </c>
      <c r="BQ68" s="18" t="s">
        <v>17</v>
      </c>
      <c r="BR68" s="18" t="s">
        <v>26</v>
      </c>
      <c r="BS68" s="18" t="s">
        <v>27</v>
      </c>
      <c r="BT68" s="18" t="s">
        <v>17</v>
      </c>
      <c r="BU68" s="18" t="s">
        <v>26</v>
      </c>
      <c r="BV68" s="18" t="s">
        <v>27</v>
      </c>
      <c r="BW68" s="18" t="s">
        <v>17</v>
      </c>
      <c r="BX68" s="18" t="s">
        <v>26</v>
      </c>
      <c r="BY68" s="18" t="s">
        <v>27</v>
      </c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</row>
    <row hidden="1" r="69" ht="14.0" outlineLevel="1">
      <c r="A69" s="27" t="s">
        <v>28</v>
      </c>
      <c r="B69" s="27" t="s">
        <v>98</v>
      </c>
      <c r="C69" s="27" t="s">
        <v>99</v>
      </c>
      <c r="D69" s="27" t="s">
        <v>100</v>
      </c>
      <c r="E69" s="27">
        <v>42.0</v>
      </c>
      <c r="F69" s="27">
        <v>42.0</v>
      </c>
      <c r="G69" s="27">
        <v>84.0</v>
      </c>
      <c r="H69" s="27">
        <v>126.0</v>
      </c>
      <c r="I69" s="27">
        <v>84.0</v>
      </c>
      <c r="J69" s="27">
        <v>84.0</v>
      </c>
      <c r="K69" s="27">
        <v>168.0</v>
      </c>
      <c r="L69" s="27">
        <v>126.0</v>
      </c>
      <c r="M69" s="27">
        <v>252.0</v>
      </c>
      <c r="N69" s="27">
        <v>42.0</v>
      </c>
      <c r="O69" s="27">
        <v>42.0</v>
      </c>
      <c r="P69" s="27">
        <v>84.0</v>
      </c>
      <c r="Q69" s="27">
        <v>126.0</v>
      </c>
      <c r="R69" s="27">
        <v>126.0</v>
      </c>
      <c r="S69" s="27">
        <v>126.0</v>
      </c>
      <c r="T69" s="27">
        <v>42.0</v>
      </c>
      <c r="U69" s="27">
        <v>84.0</v>
      </c>
      <c r="V69" s="27">
        <v>42.0</v>
      </c>
      <c r="W69" s="27">
        <v>84.0</v>
      </c>
      <c r="X69" s="27">
        <v>252.0</v>
      </c>
      <c r="Y69" s="27">
        <v>84.0</v>
      </c>
      <c r="Z69" s="27">
        <v>0.0</v>
      </c>
      <c r="AA69" s="27">
        <v>42.0</v>
      </c>
      <c r="AB69" s="27">
        <v>0.0</v>
      </c>
      <c r="AC69" s="27">
        <v>42.0</v>
      </c>
      <c r="AD69" s="27">
        <v>336.0</v>
      </c>
      <c r="AE69" s="27">
        <v>42.0</v>
      </c>
      <c r="AF69" s="27">
        <v>84.0</v>
      </c>
      <c r="AG69" s="27">
        <v>42.0</v>
      </c>
      <c r="AH69" s="27">
        <v>42.0</v>
      </c>
      <c r="AI69" s="27">
        <v>42.0</v>
      </c>
      <c r="AJ69" s="27">
        <v>84.0</v>
      </c>
      <c r="AK69" s="27">
        <v>168.0</v>
      </c>
      <c r="AL69" s="27">
        <v>42.0</v>
      </c>
      <c r="AM69" s="27">
        <v>42.0</v>
      </c>
      <c r="AN69" s="27">
        <v>0.0</v>
      </c>
      <c r="AO69" s="28">
        <f t="shared" ref="AO69:AO96" si="159">SUM(AA69:AM69)</f>
        <v>1008.0</v>
      </c>
      <c r="AP69" s="28">
        <f t="shared" ref="AP69:AP96" si="160">SUM(AH69:AM69)</f>
        <v>420.0</v>
      </c>
      <c r="AQ69" s="28">
        <f t="shared" ref="AQ69:AQ96" si="161">AP69*1.1</f>
        <v>462.0</v>
      </c>
      <c r="AS69" s="3">
        <f t="shared" ref="AS69:AS77" si="162">AB69*1.1</f>
        <v>0.0</v>
      </c>
      <c r="AT69" s="3">
        <f t="shared" ref="AT69:AT77" si="163">AC69*1.1</f>
        <v>46.2</v>
      </c>
      <c r="AU69" s="3">
        <f t="shared" ref="AU69:AU77" si="164">AD69*1.1</f>
        <v>369.6</v>
      </c>
      <c r="AV69" s="3">
        <f t="shared" ref="AV69:AV77" si="165">AE69*1.1</f>
        <v>46.2</v>
      </c>
      <c r="AW69" s="3">
        <f t="shared" ref="AW69:AW77" si="166">AF69*1.1</f>
        <v>92.4</v>
      </c>
      <c r="AX69" s="3">
        <f t="shared" ref="AX69:AX77" si="167">AG69*1.1</f>
        <v>46.2</v>
      </c>
      <c r="AY69" s="28">
        <f t="shared" ref="AY69:AY96" si="168">SUM(AS69:AX69)</f>
        <v>600.6</v>
      </c>
      <c r="AZ69" s="2" t="e">
        <f t="shared" ref="AZ69:AZ96" si="169">VLOOKUP(D69,MAY1,3,false)</f>
        <v>#REF!</v>
      </c>
      <c r="BB69" s="1" t="e">
        <f t="shared" ref="BB69:BB70" si="170">VLOOKUP(C69,CHINAJUNE,3,false)</f>
        <v>#REF!</v>
      </c>
      <c r="BC69" s="3" t="e">
        <f>AZ69+BA69+BB69-AY69-AY39</f>
        <v>#REF!</v>
      </c>
      <c r="BD69" s="1">
        <f>VLOOKUP(C69,MOQ,3,FALSE())</f>
        <v>1008.0</v>
      </c>
      <c r="BG69" s="1" t="e">
        <f t="shared" ref="BG69:BG96" si="173">AZ69</f>
        <v>#REF!</v>
      </c>
      <c r="BH69" s="1">
        <f>AS69+BH39</f>
        <v>730.176600441501</v>
      </c>
      <c r="BI69" s="1">
        <f t="shared" ref="BI69:BI96" si="175">BA69</f>
      </c>
      <c r="BJ69" s="3" t="e">
        <f t="shared" ref="BJ69:BJ96" si="176">BG69+BI69-BH69</f>
        <v>#REF!</v>
      </c>
      <c r="BK69" s="1">
        <f>AT69+BK39</f>
        <v>392.469315673289</v>
      </c>
      <c r="BL69" s="1" t="e">
        <f t="shared" ref="BL69:BL96" si="178">BB69</f>
        <v>#REF!</v>
      </c>
      <c r="BM69" s="3" t="e">
        <f t="shared" ref="BM69:BM96" si="179">BJ69+BL69-BK69</f>
        <v>#REF!</v>
      </c>
      <c r="BN69" s="1">
        <f>AU69+BN39</f>
        <v>1039.55584988962</v>
      </c>
      <c r="BP69" s="3" t="e">
        <f t="shared" ref="BP69:BP96" si="181">BM69+BO69-BN69</f>
        <v>#REF!</v>
      </c>
      <c r="BQ69" s="1">
        <f>AV69+BQ39</f>
        <v>595.714348785871</v>
      </c>
      <c r="BS69" s="3" t="e">
        <f t="shared" ref="BS69:BS96" si="183">BP69+BR69-BQ69</f>
        <v>#REF!</v>
      </c>
      <c r="BT69" s="1">
        <f>AW69+BT39</f>
        <v>521.472847682119</v>
      </c>
      <c r="BV69" s="3" t="e">
        <f t="shared" ref="BV69:BV96" si="185">BS69+BU69-BT69</f>
        <v>#REF!</v>
      </c>
      <c r="BW69" s="1">
        <f>AX69+BW39</f>
        <v>904.345695364238</v>
      </c>
      <c r="BY69" s="3" t="e">
        <f t="shared" ref="BY69:BY96" si="187">BV69+BX69-BW69</f>
        <v>#REF!</v>
      </c>
    </row>
    <row hidden="1" r="70" ht="14.0" outlineLevel="1">
      <c r="A70" s="27" t="s">
        <v>28</v>
      </c>
      <c r="B70" s="27" t="s">
        <v>98</v>
      </c>
      <c r="C70" s="27" t="s">
        <v>103</v>
      </c>
      <c r="D70" s="27" t="s">
        <v>104</v>
      </c>
      <c r="E70" s="27">
        <v>0.0</v>
      </c>
      <c r="F70" s="27">
        <v>546.0</v>
      </c>
      <c r="G70" s="27">
        <v>0.0</v>
      </c>
      <c r="H70" s="27">
        <v>42.0</v>
      </c>
      <c r="I70" s="27">
        <v>84.0</v>
      </c>
      <c r="J70" s="27">
        <v>126.0</v>
      </c>
      <c r="K70" s="27">
        <v>84.0</v>
      </c>
      <c r="L70" s="27">
        <v>210.0</v>
      </c>
      <c r="M70" s="27">
        <v>0.0</v>
      </c>
      <c r="N70" s="27">
        <v>420.0</v>
      </c>
      <c r="O70" s="27">
        <v>42.0</v>
      </c>
      <c r="P70" s="27">
        <v>126.0</v>
      </c>
      <c r="Q70" s="27">
        <v>126.0</v>
      </c>
      <c r="R70" s="27">
        <v>84.0</v>
      </c>
      <c r="S70" s="27">
        <v>126.0</v>
      </c>
      <c r="T70" s="27">
        <v>126.0</v>
      </c>
      <c r="U70" s="27">
        <v>84.0</v>
      </c>
      <c r="V70" s="27">
        <v>126.0</v>
      </c>
      <c r="W70" s="27">
        <v>126.0</v>
      </c>
      <c r="X70" s="27">
        <v>168.0</v>
      </c>
      <c r="Y70" s="27">
        <v>252.0</v>
      </c>
      <c r="Z70" s="27">
        <v>42.0</v>
      </c>
      <c r="AA70" s="27">
        <v>42.0</v>
      </c>
      <c r="AB70" s="27">
        <v>0.0</v>
      </c>
      <c r="AC70" s="27">
        <v>336.0</v>
      </c>
      <c r="AD70" s="27">
        <v>0.0</v>
      </c>
      <c r="AE70" s="27">
        <v>168.0</v>
      </c>
      <c r="AF70" s="27">
        <v>42.0</v>
      </c>
      <c r="AG70" s="27">
        <v>42.0</v>
      </c>
      <c r="AH70" s="27">
        <v>84.0</v>
      </c>
      <c r="AI70" s="27">
        <v>84.0</v>
      </c>
      <c r="AJ70" s="27">
        <v>84.0</v>
      </c>
      <c r="AK70" s="27">
        <v>210.0</v>
      </c>
      <c r="AL70" s="27">
        <v>42.0</v>
      </c>
      <c r="AM70" s="27">
        <v>42.0</v>
      </c>
      <c r="AN70" s="27">
        <v>84.0</v>
      </c>
      <c r="AO70" s="28">
        <f t="shared" si="159"/>
        <v>1176.0</v>
      </c>
      <c r="AP70" s="28">
        <f t="shared" si="160"/>
        <v>546.0</v>
      </c>
      <c r="AQ70" s="28">
        <f t="shared" si="161"/>
        <v>600.6</v>
      </c>
      <c r="AS70" s="3">
        <f t="shared" si="162"/>
        <v>0.0</v>
      </c>
      <c r="AT70" s="3">
        <f t="shared" si="163"/>
        <v>369.6</v>
      </c>
      <c r="AU70" s="3">
        <f t="shared" si="164"/>
        <v>0.0</v>
      </c>
      <c r="AV70" s="3">
        <f t="shared" si="165"/>
        <v>184.8</v>
      </c>
      <c r="AW70" s="3">
        <f t="shared" si="166"/>
        <v>46.2</v>
      </c>
      <c r="AX70" s="3">
        <f t="shared" si="167"/>
        <v>46.2</v>
      </c>
      <c r="AY70" s="28">
        <f t="shared" si="168"/>
        <v>646.8</v>
      </c>
      <c r="AZ70" s="2" t="e">
        <f t="shared" si="169"/>
        <v>#REF!</v>
      </c>
      <c r="BB70" s="1" t="e">
        <f t="shared" si="170"/>
        <v>#REF!</v>
      </c>
      <c r="BC70" s="3" t="e">
        <f>AZ70+BA70+BB70-AY70-AY41</f>
        <v>#REF!</v>
      </c>
      <c r="BD70" s="1">
        <f>VLOOKUP(C70,MOQ,3,FALSE())</f>
        <v>1008.0</v>
      </c>
      <c r="BG70" s="1" t="e">
        <f t="shared" si="173"/>
        <v>#REF!</v>
      </c>
      <c r="BH70" s="1">
        <f>AS70+BH41</f>
        <v>731.033112582781</v>
      </c>
      <c r="BI70" s="1">
        <f t="shared" si="175"/>
      </c>
      <c r="BJ70" s="3" t="e">
        <f t="shared" si="176"/>
        <v>#REF!</v>
      </c>
      <c r="BK70" s="1">
        <f>AT70+BK41</f>
        <v>716.275496688741</v>
      </c>
      <c r="BL70" s="1" t="e">
        <f t="shared" si="178"/>
        <v>#REF!</v>
      </c>
      <c r="BM70" s="3" t="e">
        <f t="shared" si="179"/>
        <v>#REF!</v>
      </c>
      <c r="BN70" s="1">
        <f>AU70+BN41</f>
        <v>670.741721854304</v>
      </c>
      <c r="BP70" s="3" t="e">
        <f t="shared" si="181"/>
        <v>#REF!</v>
      </c>
      <c r="BQ70" s="1">
        <f>AV70+BQ41</f>
        <v>734.958940397351</v>
      </c>
      <c r="BS70" s="3" t="e">
        <f t="shared" si="183"/>
        <v>#REF!</v>
      </c>
      <c r="BT70" s="1">
        <f>AW70+BT41</f>
        <v>475.776158940397</v>
      </c>
      <c r="BV70" s="3" t="e">
        <f t="shared" si="185"/>
        <v>#REF!</v>
      </c>
      <c r="BW70" s="1">
        <f>AX70+BW41</f>
        <v>905.352317880794</v>
      </c>
      <c r="BY70" s="3" t="e">
        <f t="shared" si="187"/>
        <v>#REF!</v>
      </c>
    </row>
    <row hidden="1" r="71" ht="14.0" outlineLevel="1">
      <c r="A71" s="27" t="s">
        <v>28</v>
      </c>
      <c r="B71" s="27" t="s">
        <v>98</v>
      </c>
      <c r="C71" s="27" t="s">
        <v>111</v>
      </c>
      <c r="D71" s="27" t="s">
        <v>112</v>
      </c>
      <c r="E71" s="27">
        <v>84.0</v>
      </c>
      <c r="F71" s="27">
        <v>84.0</v>
      </c>
      <c r="G71" s="27">
        <v>0.0</v>
      </c>
      <c r="H71" s="27">
        <v>0.0</v>
      </c>
      <c r="I71" s="27">
        <v>0.0</v>
      </c>
      <c r="J71" s="27">
        <v>0.0</v>
      </c>
      <c r="K71" s="27">
        <v>0.0</v>
      </c>
      <c r="L71" s="27">
        <v>0.0</v>
      </c>
      <c r="M71" s="27">
        <v>0.0</v>
      </c>
      <c r="N71" s="27">
        <v>0.0</v>
      </c>
      <c r="O71" s="27">
        <v>0.0</v>
      </c>
      <c r="P71" s="27">
        <v>0.0</v>
      </c>
      <c r="Q71" s="27">
        <v>0.0</v>
      </c>
      <c r="R71" s="27">
        <v>0.0</v>
      </c>
      <c r="S71" s="27">
        <v>0.0</v>
      </c>
      <c r="T71" s="27">
        <v>0.0</v>
      </c>
      <c r="U71" s="27">
        <v>0.0</v>
      </c>
      <c r="V71" s="27">
        <v>0.0</v>
      </c>
      <c r="W71" s="27">
        <v>0.0</v>
      </c>
      <c r="X71" s="27">
        <v>0.0</v>
      </c>
      <c r="Y71" s="27">
        <v>0.0</v>
      </c>
      <c r="Z71" s="27">
        <v>0.0</v>
      </c>
      <c r="AA71" s="27">
        <v>0.0</v>
      </c>
      <c r="AB71" s="27">
        <v>0.0</v>
      </c>
      <c r="AC71" s="27">
        <v>0.0</v>
      </c>
      <c r="AD71" s="27">
        <v>0.0</v>
      </c>
      <c r="AE71" s="27">
        <v>0.0</v>
      </c>
      <c r="AF71" s="27">
        <v>0.0</v>
      </c>
      <c r="AG71" s="27">
        <v>0.0</v>
      </c>
      <c r="AH71" s="27">
        <v>0.0</v>
      </c>
      <c r="AI71" s="27">
        <v>0.0</v>
      </c>
      <c r="AJ71" s="27">
        <v>0.0</v>
      </c>
      <c r="AK71" s="27">
        <v>0.0</v>
      </c>
      <c r="AL71" s="27">
        <v>0.0</v>
      </c>
      <c r="AM71" s="27">
        <v>0.0</v>
      </c>
      <c r="AN71" s="27">
        <v>0.0</v>
      </c>
      <c r="AO71" s="28">
        <f t="shared" si="159"/>
        <v>0.0</v>
      </c>
      <c r="AP71" s="28">
        <f t="shared" si="160"/>
        <v>0.0</v>
      </c>
      <c r="AQ71" s="28">
        <f t="shared" si="161"/>
        <v>0.0</v>
      </c>
      <c r="AS71" s="3">
        <f t="shared" si="162"/>
        <v>0.0</v>
      </c>
      <c r="AT71" s="3">
        <f t="shared" si="163"/>
        <v>0.0</v>
      </c>
      <c r="AU71" s="3">
        <f t="shared" si="164"/>
        <v>0.0</v>
      </c>
      <c r="AV71" s="3">
        <f t="shared" si="165"/>
        <v>0.0</v>
      </c>
      <c r="AW71" s="3">
        <f t="shared" si="166"/>
        <v>0.0</v>
      </c>
      <c r="AX71" s="3">
        <f t="shared" si="167"/>
        <v>0.0</v>
      </c>
      <c r="AY71" s="28">
        <f t="shared" si="168"/>
        <v>0.0</v>
      </c>
      <c r="AZ71" s="2" t="e">
        <f t="shared" si="169"/>
        <v>#REF!</v>
      </c>
      <c r="BC71" s="3" t="e">
        <f t="shared" ref="BC71:BC72" si="195">AZ71+BA71+BB71-AY71-AY45</f>
        <v>#REF!</v>
      </c>
      <c r="BD71" s="1">
        <f>VLOOKUP(C71,MOQ,3,FALSE())</f>
        <v>1008.0</v>
      </c>
      <c r="BG71" s="1" t="e">
        <f t="shared" si="173"/>
        <v>#REF!</v>
      </c>
      <c r="BH71" s="1">
        <f t="shared" ref="BH71:BH72" si="196">AS71+BH45</f>
        <v>138.969094922737</v>
      </c>
      <c r="BI71" s="1">
        <f t="shared" si="175"/>
      </c>
      <c r="BJ71" s="3" t="e">
        <f t="shared" si="176"/>
        <v>#REF!</v>
      </c>
      <c r="BK71" s="1">
        <f t="shared" ref="BK71:BK72" si="197">AT71+BK45</f>
        <v>65.9028697571743</v>
      </c>
      <c r="BL71" s="1">
        <f t="shared" si="178"/>
      </c>
      <c r="BM71" s="3" t="e">
        <f t="shared" si="179"/>
        <v>#REF!</v>
      </c>
      <c r="BN71" s="1">
        <f t="shared" ref="BN71:BN72" si="198">AU71+BN45</f>
        <v>127.507726269316</v>
      </c>
      <c r="BP71" s="3" t="e">
        <f t="shared" si="181"/>
        <v>#REF!</v>
      </c>
      <c r="BQ71" s="1">
        <f t="shared" ref="BQ71:BQ72" si="199">AV71+BQ45</f>
        <v>104.584988962472</v>
      </c>
      <c r="BS71" s="3" t="e">
        <f t="shared" si="183"/>
        <v>#REF!</v>
      </c>
      <c r="BT71" s="1">
        <f t="shared" ref="BT71:BT72" si="200">AW71+BT45</f>
        <v>81.6622516556291</v>
      </c>
      <c r="BV71" s="3" t="e">
        <f t="shared" si="185"/>
        <v>#REF!</v>
      </c>
      <c r="BW71" s="1">
        <f t="shared" ref="BW71:BW72" si="201">AX71+BW45</f>
        <v>163.324503311258</v>
      </c>
      <c r="BY71" s="3" t="e">
        <f t="shared" si="187"/>
        <v>#REF!</v>
      </c>
    </row>
    <row hidden="1" r="72" ht="14.0" outlineLevel="1">
      <c r="A72" s="27" t="s">
        <v>28</v>
      </c>
      <c r="B72" s="27" t="s">
        <v>98</v>
      </c>
      <c r="C72" s="27" t="s">
        <v>113</v>
      </c>
      <c r="D72" s="27" t="s">
        <v>114</v>
      </c>
      <c r="E72" s="27">
        <v>0.0</v>
      </c>
      <c r="F72" s="27">
        <v>0.0</v>
      </c>
      <c r="G72" s="27">
        <v>0.0</v>
      </c>
      <c r="H72" s="27">
        <v>210.0</v>
      </c>
      <c r="I72" s="27">
        <v>42.0</v>
      </c>
      <c r="J72" s="27">
        <v>0.0</v>
      </c>
      <c r="K72" s="27">
        <v>84.0</v>
      </c>
      <c r="L72" s="27">
        <v>84.0</v>
      </c>
      <c r="M72" s="27">
        <v>126.0</v>
      </c>
      <c r="N72" s="27">
        <v>0.0</v>
      </c>
      <c r="O72" s="27">
        <v>84.0</v>
      </c>
      <c r="P72" s="27">
        <v>42.0</v>
      </c>
      <c r="Q72" s="27">
        <v>42.0</v>
      </c>
      <c r="R72" s="27">
        <v>42.0</v>
      </c>
      <c r="S72" s="27">
        <v>42.0</v>
      </c>
      <c r="T72" s="27">
        <v>42.0</v>
      </c>
      <c r="U72" s="27">
        <v>0.0</v>
      </c>
      <c r="V72" s="27">
        <v>126.0</v>
      </c>
      <c r="W72" s="27">
        <v>0.0</v>
      </c>
      <c r="X72" s="27">
        <v>84.0</v>
      </c>
      <c r="Y72" s="27">
        <v>126.0</v>
      </c>
      <c r="Z72" s="27">
        <v>42.0</v>
      </c>
      <c r="AA72" s="27">
        <v>42.0</v>
      </c>
      <c r="AB72" s="27">
        <v>42.0</v>
      </c>
      <c r="AC72" s="27">
        <v>42.0</v>
      </c>
      <c r="AD72" s="27">
        <v>42.0</v>
      </c>
      <c r="AE72" s="27">
        <v>42.0</v>
      </c>
      <c r="AF72" s="27">
        <v>42.0</v>
      </c>
      <c r="AG72" s="27">
        <v>0.0</v>
      </c>
      <c r="AH72" s="27">
        <v>42.0</v>
      </c>
      <c r="AI72" s="27">
        <v>42.0</v>
      </c>
      <c r="AJ72" s="27">
        <v>0.0</v>
      </c>
      <c r="AK72" s="27">
        <v>84.0</v>
      </c>
      <c r="AL72" s="27">
        <v>42.0</v>
      </c>
      <c r="AM72" s="27">
        <v>0.0</v>
      </c>
      <c r="AN72" s="27">
        <v>84.0</v>
      </c>
      <c r="AO72" s="28">
        <f t="shared" si="159"/>
        <v>462.0</v>
      </c>
      <c r="AP72" s="28">
        <f t="shared" si="160"/>
        <v>210.0</v>
      </c>
      <c r="AQ72" s="28">
        <f t="shared" si="161"/>
        <v>231.0</v>
      </c>
      <c r="AS72" s="3">
        <f t="shared" si="162"/>
        <v>46.2</v>
      </c>
      <c r="AT72" s="3">
        <f t="shared" si="163"/>
        <v>46.2</v>
      </c>
      <c r="AU72" s="3">
        <f t="shared" si="164"/>
        <v>46.2</v>
      </c>
      <c r="AV72" s="3">
        <f t="shared" si="165"/>
        <v>46.2</v>
      </c>
      <c r="AW72" s="3">
        <f t="shared" si="166"/>
        <v>46.2</v>
      </c>
      <c r="AX72" s="3">
        <f t="shared" si="167"/>
        <v>0.0</v>
      </c>
      <c r="AY72" s="28">
        <f t="shared" si="168"/>
        <v>231.0</v>
      </c>
      <c r="AZ72" s="2" t="e">
        <f t="shared" si="169"/>
        <v>#REF!</v>
      </c>
      <c r="BC72" s="3" t="e">
        <f t="shared" si="195"/>
        <v>#REF!</v>
      </c>
      <c r="BD72" s="1">
        <f>VLOOKUP(C72,MOQ,3,FALSE())</f>
        <v>1008.0</v>
      </c>
      <c r="BG72" s="1" t="e">
        <f t="shared" si="173"/>
        <v>#REF!</v>
      </c>
      <c r="BH72" s="1">
        <f t="shared" si="196"/>
        <v>84.7430463576159</v>
      </c>
      <c r="BI72" s="1">
        <f t="shared" si="175"/>
      </c>
      <c r="BJ72" s="3" t="e">
        <f t="shared" si="176"/>
        <v>#REF!</v>
      </c>
      <c r="BK72" s="1">
        <f t="shared" si="197"/>
        <v>64.4781456953642</v>
      </c>
      <c r="BL72" s="1">
        <f t="shared" si="178"/>
      </c>
      <c r="BM72" s="3" t="e">
        <f t="shared" si="179"/>
        <v>#REF!</v>
      </c>
      <c r="BN72" s="1">
        <f t="shared" si="198"/>
        <v>81.564238410596</v>
      </c>
      <c r="BP72" s="3" t="e">
        <f t="shared" si="181"/>
        <v>#REF!</v>
      </c>
      <c r="BQ72" s="1">
        <f t="shared" si="199"/>
        <v>75.2066225165562</v>
      </c>
      <c r="BS72" s="3" t="e">
        <f t="shared" si="183"/>
        <v>#REF!</v>
      </c>
      <c r="BT72" s="1">
        <f t="shared" si="200"/>
        <v>68.8490066225166</v>
      </c>
      <c r="BV72" s="3" t="e">
        <f t="shared" si="185"/>
        <v>#REF!</v>
      </c>
      <c r="BW72" s="1">
        <f t="shared" si="201"/>
        <v>45.2980132450331</v>
      </c>
      <c r="BY72" s="3" t="e">
        <f t="shared" si="187"/>
        <v>#REF!</v>
      </c>
    </row>
    <row hidden="1" r="73" ht="14.0" outlineLevel="1">
      <c r="A73" s="27" t="s">
        <v>28</v>
      </c>
      <c r="B73" s="27" t="s">
        <v>98</v>
      </c>
      <c r="C73" s="27" t="s">
        <v>117</v>
      </c>
      <c r="D73" s="27" t="s">
        <v>118</v>
      </c>
      <c r="E73" s="27">
        <v>42.0</v>
      </c>
      <c r="F73" s="27">
        <v>42.0</v>
      </c>
      <c r="G73" s="27">
        <v>84.0</v>
      </c>
      <c r="H73" s="27">
        <v>84.0</v>
      </c>
      <c r="I73" s="27">
        <v>126.0</v>
      </c>
      <c r="J73" s="27">
        <v>42.0</v>
      </c>
      <c r="K73" s="27">
        <v>42.0</v>
      </c>
      <c r="L73" s="27">
        <v>168.0</v>
      </c>
      <c r="M73" s="27">
        <v>0.0</v>
      </c>
      <c r="N73" s="27">
        <v>462.0</v>
      </c>
      <c r="O73" s="27">
        <v>0.0</v>
      </c>
      <c r="P73" s="27">
        <v>84.0</v>
      </c>
      <c r="Q73" s="27">
        <v>42.0</v>
      </c>
      <c r="R73" s="27">
        <v>42.0</v>
      </c>
      <c r="S73" s="27">
        <v>84.0</v>
      </c>
      <c r="T73" s="27">
        <v>84.0</v>
      </c>
      <c r="U73" s="27">
        <v>84.0</v>
      </c>
      <c r="V73" s="27">
        <v>126.0</v>
      </c>
      <c r="W73" s="27">
        <v>42.0</v>
      </c>
      <c r="X73" s="27">
        <v>168.0</v>
      </c>
      <c r="Y73" s="27">
        <v>84.0</v>
      </c>
      <c r="Z73" s="27">
        <v>84.0</v>
      </c>
      <c r="AA73" s="27">
        <v>42.0</v>
      </c>
      <c r="AB73" s="27">
        <v>0.0</v>
      </c>
      <c r="AC73" s="27">
        <v>210.0</v>
      </c>
      <c r="AD73" s="27">
        <v>42.0</v>
      </c>
      <c r="AE73" s="27">
        <v>84.0</v>
      </c>
      <c r="AF73" s="27">
        <v>84.0</v>
      </c>
      <c r="AG73" s="27">
        <v>42.0</v>
      </c>
      <c r="AH73" s="27">
        <v>0.0</v>
      </c>
      <c r="AI73" s="27">
        <v>84.0</v>
      </c>
      <c r="AJ73" s="27">
        <v>42.0</v>
      </c>
      <c r="AK73" s="27">
        <v>252.0</v>
      </c>
      <c r="AL73" s="27">
        <v>42.0</v>
      </c>
      <c r="AM73" s="27">
        <v>0.0</v>
      </c>
      <c r="AN73" s="27">
        <v>42.0</v>
      </c>
      <c r="AO73" s="28">
        <f t="shared" si="159"/>
        <v>924.0</v>
      </c>
      <c r="AP73" s="28">
        <f t="shared" si="160"/>
        <v>420.0</v>
      </c>
      <c r="AQ73" s="28">
        <f t="shared" si="161"/>
        <v>462.0</v>
      </c>
      <c r="AS73" s="3">
        <f t="shared" si="162"/>
        <v>0.0</v>
      </c>
      <c r="AT73" s="3">
        <f t="shared" si="163"/>
        <v>231.0</v>
      </c>
      <c r="AU73" s="3">
        <f t="shared" si="164"/>
        <v>46.2</v>
      </c>
      <c r="AV73" s="3">
        <f t="shared" si="165"/>
        <v>92.4</v>
      </c>
      <c r="AW73" s="3">
        <f t="shared" si="166"/>
        <v>92.4</v>
      </c>
      <c r="AX73" s="3">
        <f t="shared" si="167"/>
        <v>46.2</v>
      </c>
      <c r="AY73" s="28">
        <f t="shared" si="168"/>
        <v>508.2</v>
      </c>
      <c r="AZ73" s="2" t="e">
        <f t="shared" si="169"/>
        <v>#REF!</v>
      </c>
      <c r="BB73" s="1" t="e">
        <f t="shared" ref="BB73:BB75" si="202">VLOOKUP(C73,CHINAJUNE,3,false)</f>
        <v>#REF!</v>
      </c>
      <c r="BC73" s="3" t="e">
        <f t="shared" ref="BC73:BC75" si="203">AZ73+BA73+BB73-AY73-AY48</f>
        <v>#REF!</v>
      </c>
      <c r="BD73" s="1">
        <f>VLOOKUP(C73,MOQ,3,FALSE())</f>
        <v>1008.0</v>
      </c>
      <c r="BG73" s="1" t="e">
        <f t="shared" si="173"/>
        <v>#REF!</v>
      </c>
      <c r="BH73" s="1">
        <f t="shared" ref="BH73:BH75" si="204">AS73+BH48</f>
        <v>692.275938189845</v>
      </c>
      <c r="BI73" s="1">
        <f t="shared" si="175"/>
      </c>
      <c r="BJ73" s="3" t="e">
        <f t="shared" si="176"/>
        <v>#REF!</v>
      </c>
      <c r="BK73" s="1">
        <f t="shared" ref="BK73:BK75" si="205">AT73+BK48</f>
        <v>559.295805739514</v>
      </c>
      <c r="BL73" s="1" t="e">
        <f t="shared" si="178"/>
        <v>#REF!</v>
      </c>
      <c r="BM73" s="3" t="e">
        <f t="shared" si="179"/>
        <v>#REF!</v>
      </c>
      <c r="BN73" s="1">
        <f t="shared" ref="BN73:BN75" si="206">AU73+BN48</f>
        <v>681.381015452539</v>
      </c>
      <c r="BP73" s="3" t="e">
        <f t="shared" si="181"/>
        <v>#REF!</v>
      </c>
      <c r="BQ73" s="1">
        <f t="shared" ref="BQ73:BQ75" si="207">AV73+BQ48</f>
        <v>613.391169977923</v>
      </c>
      <c r="BS73" s="3" t="e">
        <f t="shared" si="183"/>
        <v>#REF!</v>
      </c>
      <c r="BT73" s="1">
        <f t="shared" ref="BT73:BT75" si="208">AW73+BT48</f>
        <v>499.20132450331</v>
      </c>
      <c r="BV73" s="3" t="e">
        <f t="shared" si="185"/>
        <v>#REF!</v>
      </c>
      <c r="BW73" s="1">
        <f t="shared" ref="BW73:BW75" si="209">AX73+BW48</f>
        <v>859.802649006622</v>
      </c>
      <c r="BY73" s="3" t="e">
        <f t="shared" si="187"/>
        <v>#REF!</v>
      </c>
    </row>
    <row hidden="1" r="74" ht="14.0" outlineLevel="1">
      <c r="A74" s="27" t="s">
        <v>28</v>
      </c>
      <c r="B74" s="27" t="s">
        <v>98</v>
      </c>
      <c r="C74" s="27" t="s">
        <v>119</v>
      </c>
      <c r="D74" s="27" t="s">
        <v>120</v>
      </c>
      <c r="E74" s="27">
        <v>0.0</v>
      </c>
      <c r="F74" s="27">
        <v>0.0</v>
      </c>
      <c r="G74" s="27">
        <v>0.0</v>
      </c>
      <c r="H74" s="27">
        <v>0.0</v>
      </c>
      <c r="I74" s="27">
        <v>0.0</v>
      </c>
      <c r="J74" s="27">
        <v>0.0</v>
      </c>
      <c r="K74" s="27">
        <v>252.0</v>
      </c>
      <c r="L74" s="27">
        <v>252.0</v>
      </c>
      <c r="M74" s="27">
        <v>0.0</v>
      </c>
      <c r="N74" s="27">
        <v>252.0</v>
      </c>
      <c r="O74" s="27">
        <v>0.0</v>
      </c>
      <c r="P74" s="27">
        <v>0.0</v>
      </c>
      <c r="Q74" s="27">
        <v>252.0</v>
      </c>
      <c r="R74" s="27">
        <v>0.0</v>
      </c>
      <c r="S74" s="27">
        <v>0.0</v>
      </c>
      <c r="T74" s="27">
        <v>252.0</v>
      </c>
      <c r="U74" s="27">
        <v>0.0</v>
      </c>
      <c r="V74" s="27">
        <v>252.0</v>
      </c>
      <c r="W74" s="27">
        <v>0.0</v>
      </c>
      <c r="X74" s="27">
        <v>252.0</v>
      </c>
      <c r="Y74" s="27">
        <v>0.0</v>
      </c>
      <c r="Z74" s="27">
        <v>0.0</v>
      </c>
      <c r="AA74" s="27">
        <v>252.0</v>
      </c>
      <c r="AB74" s="27">
        <v>0.0</v>
      </c>
      <c r="AC74" s="27">
        <v>0.0</v>
      </c>
      <c r="AD74" s="27">
        <v>0.0</v>
      </c>
      <c r="AE74" s="27">
        <v>252.0</v>
      </c>
      <c r="AF74" s="27">
        <v>0.0</v>
      </c>
      <c r="AG74" s="27">
        <v>0.0</v>
      </c>
      <c r="AH74" s="27">
        <v>0.0</v>
      </c>
      <c r="AI74" s="27">
        <v>0.0</v>
      </c>
      <c r="AJ74" s="27">
        <v>252.0</v>
      </c>
      <c r="AK74" s="27">
        <v>0.0</v>
      </c>
      <c r="AL74" s="27">
        <v>252.0</v>
      </c>
      <c r="AM74" s="27">
        <v>0.0</v>
      </c>
      <c r="AN74" s="27">
        <v>0.0</v>
      </c>
      <c r="AO74" s="28">
        <f t="shared" si="159"/>
        <v>1008.0</v>
      </c>
      <c r="AP74" s="28">
        <f t="shared" si="160"/>
        <v>504.0</v>
      </c>
      <c r="AQ74" s="28">
        <f t="shared" si="161"/>
        <v>554.4</v>
      </c>
      <c r="AS74" s="3">
        <f t="shared" si="162"/>
        <v>0.0</v>
      </c>
      <c r="AT74" s="3">
        <f t="shared" si="163"/>
        <v>0.0</v>
      </c>
      <c r="AU74" s="3">
        <f t="shared" si="164"/>
        <v>0.0</v>
      </c>
      <c r="AV74" s="3">
        <f t="shared" si="165"/>
        <v>277.2</v>
      </c>
      <c r="AW74" s="3">
        <f t="shared" si="166"/>
        <v>0.0</v>
      </c>
      <c r="AX74" s="3">
        <f t="shared" si="167"/>
        <v>0.0</v>
      </c>
      <c r="AY74" s="28">
        <f t="shared" si="168"/>
        <v>277.2</v>
      </c>
      <c r="AZ74" s="2" t="e">
        <f t="shared" si="169"/>
        <v>#REF!</v>
      </c>
      <c r="BB74" s="1" t="e">
        <f t="shared" si="202"/>
        <v>#REF!</v>
      </c>
      <c r="BC74" s="3" t="e">
        <f t="shared" si="203"/>
        <v>#REF!</v>
      </c>
      <c r="BD74" s="1">
        <f>VLOOKUP(C74,MOQ,3,FALSE())</f>
        <v>1008.0</v>
      </c>
      <c r="BG74" s="1" t="e">
        <f t="shared" si="173"/>
        <v>#REF!</v>
      </c>
      <c r="BH74" s="1">
        <f t="shared" si="204"/>
        <v>271.942604856512</v>
      </c>
      <c r="BI74" s="1">
        <f t="shared" si="175"/>
      </c>
      <c r="BJ74" s="3" t="e">
        <f t="shared" si="176"/>
        <v>#REF!</v>
      </c>
      <c r="BK74" s="1">
        <f t="shared" si="205"/>
        <v>128.962472406181</v>
      </c>
      <c r="BL74" s="1" t="e">
        <f t="shared" si="178"/>
        <v>#REF!</v>
      </c>
      <c r="BM74" s="3" t="e">
        <f t="shared" si="179"/>
        <v>#REF!</v>
      </c>
      <c r="BN74" s="1">
        <f t="shared" si="206"/>
        <v>249.514348785871</v>
      </c>
      <c r="BP74" s="3" t="e">
        <f t="shared" si="181"/>
        <v>#REF!</v>
      </c>
      <c r="BQ74" s="1">
        <f t="shared" si="207"/>
        <v>481.857836644591</v>
      </c>
      <c r="BS74" s="3" t="e">
        <f t="shared" si="183"/>
        <v>#REF!</v>
      </c>
      <c r="BT74" s="1">
        <f t="shared" si="208"/>
        <v>159.801324503311</v>
      </c>
      <c r="BV74" s="3" t="e">
        <f t="shared" si="185"/>
        <v>#REF!</v>
      </c>
      <c r="BW74" s="1">
        <f t="shared" si="209"/>
        <v>319.602649006622</v>
      </c>
      <c r="BY74" s="3" t="e">
        <f t="shared" si="187"/>
        <v>#REF!</v>
      </c>
    </row>
    <row hidden="1" r="75" ht="14.0" outlineLevel="1">
      <c r="A75" s="27" t="s">
        <v>28</v>
      </c>
      <c r="B75" s="27" t="s">
        <v>98</v>
      </c>
      <c r="C75" s="27" t="s">
        <v>121</v>
      </c>
      <c r="D75" s="27" t="s">
        <v>122</v>
      </c>
      <c r="E75" s="27">
        <v>0.0</v>
      </c>
      <c r="F75" s="27">
        <v>0.0</v>
      </c>
      <c r="G75" s="27">
        <v>0.0</v>
      </c>
      <c r="H75" s="27">
        <v>0.0</v>
      </c>
      <c r="I75" s="27">
        <v>0.0</v>
      </c>
      <c r="J75" s="27">
        <v>0.0</v>
      </c>
      <c r="K75" s="27">
        <v>252.0</v>
      </c>
      <c r="L75" s="27">
        <v>252.0</v>
      </c>
      <c r="M75" s="27">
        <v>0.0</v>
      </c>
      <c r="N75" s="27">
        <v>0.0</v>
      </c>
      <c r="O75" s="27">
        <v>0.0</v>
      </c>
      <c r="P75" s="27">
        <v>0.0</v>
      </c>
      <c r="Q75" s="27">
        <v>252.0</v>
      </c>
      <c r="R75" s="27">
        <v>0.0</v>
      </c>
      <c r="S75" s="27">
        <v>252.0</v>
      </c>
      <c r="T75" s="27">
        <v>0.0</v>
      </c>
      <c r="U75" s="27">
        <v>0.0</v>
      </c>
      <c r="V75" s="27">
        <v>252.0</v>
      </c>
      <c r="W75" s="27">
        <v>0.0</v>
      </c>
      <c r="X75" s="27">
        <v>252.0</v>
      </c>
      <c r="Y75" s="27">
        <v>0.0</v>
      </c>
      <c r="Z75" s="27">
        <v>0.0</v>
      </c>
      <c r="AA75" s="27">
        <v>246.0</v>
      </c>
      <c r="AB75" s="27">
        <v>0.0</v>
      </c>
      <c r="AC75" s="27">
        <v>0.0</v>
      </c>
      <c r="AD75" s="27">
        <v>252.0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252.0</v>
      </c>
      <c r="AK75" s="27">
        <v>0.0</v>
      </c>
      <c r="AL75" s="27">
        <v>240.0</v>
      </c>
      <c r="AM75" s="27">
        <v>0.0</v>
      </c>
      <c r="AN75" s="27">
        <v>0.0</v>
      </c>
      <c r="AO75" s="28">
        <f t="shared" si="159"/>
        <v>990.0</v>
      </c>
      <c r="AP75" s="28">
        <f t="shared" si="160"/>
        <v>492.0</v>
      </c>
      <c r="AQ75" s="28">
        <f t="shared" si="161"/>
        <v>541.2</v>
      </c>
      <c r="AS75" s="3">
        <f t="shared" si="162"/>
        <v>0.0</v>
      </c>
      <c r="AT75" s="3">
        <f t="shared" si="163"/>
        <v>0.0</v>
      </c>
      <c r="AU75" s="3">
        <f t="shared" si="164"/>
        <v>277.2</v>
      </c>
      <c r="AV75" s="3">
        <f t="shared" si="165"/>
        <v>0.0</v>
      </c>
      <c r="AW75" s="3">
        <f t="shared" si="166"/>
        <v>0.0</v>
      </c>
      <c r="AX75" s="3">
        <f t="shared" si="167"/>
        <v>0.0</v>
      </c>
      <c r="AY75" s="28">
        <f t="shared" si="168"/>
        <v>277.2</v>
      </c>
      <c r="AZ75" s="2" t="e">
        <f t="shared" si="169"/>
        <v>#REF!</v>
      </c>
      <c r="BB75" s="1" t="e">
        <f t="shared" si="202"/>
        <v>#REF!</v>
      </c>
      <c r="BC75" s="3" t="e">
        <f t="shared" si="203"/>
        <v>#REF!</v>
      </c>
      <c r="BD75" s="1">
        <f>VLOOKUP(C75,MOQ,3,FALSE())</f>
        <v>1008.0</v>
      </c>
      <c r="BG75" s="1" t="e">
        <f t="shared" si="173"/>
        <v>#REF!</v>
      </c>
      <c r="BH75" s="1">
        <f t="shared" si="204"/>
        <v>390.35540838852</v>
      </c>
      <c r="BI75" s="1">
        <f t="shared" si="175"/>
      </c>
      <c r="BJ75" s="3" t="e">
        <f t="shared" si="176"/>
        <v>#REF!</v>
      </c>
      <c r="BK75" s="1">
        <f t="shared" si="205"/>
        <v>185.116997792494</v>
      </c>
      <c r="BL75" s="1" t="e">
        <f t="shared" si="178"/>
        <v>#REF!</v>
      </c>
      <c r="BM75" s="3" t="e">
        <f t="shared" si="179"/>
        <v>#REF!</v>
      </c>
      <c r="BN75" s="1">
        <f t="shared" si="206"/>
        <v>635.36114790287</v>
      </c>
      <c r="BP75" s="3" t="e">
        <f t="shared" si="181"/>
        <v>#REF!</v>
      </c>
      <c r="BQ75" s="1">
        <f t="shared" si="207"/>
        <v>293.772626931567</v>
      </c>
      <c r="BS75" s="3" t="e">
        <f t="shared" si="183"/>
        <v>#REF!</v>
      </c>
      <c r="BT75" s="1">
        <f t="shared" si="208"/>
        <v>229.384105960264</v>
      </c>
      <c r="BV75" s="3" t="e">
        <f t="shared" si="185"/>
        <v>#REF!</v>
      </c>
      <c r="BW75" s="1">
        <f t="shared" si="209"/>
        <v>458.76821192053</v>
      </c>
      <c r="BY75" s="3" t="e">
        <f t="shared" si="187"/>
        <v>#REF!</v>
      </c>
    </row>
    <row r="76" ht="14.0" collapsed="1">
      <c r="A76" s="27" t="s">
        <v>28</v>
      </c>
      <c r="B76" s="27" t="s">
        <v>29</v>
      </c>
      <c r="C76" s="27" t="s">
        <v>30</v>
      </c>
      <c r="D76" s="27" t="s">
        <v>31</v>
      </c>
      <c r="E76" s="27">
        <v>239.0</v>
      </c>
      <c r="F76" s="27">
        <v>180.0</v>
      </c>
      <c r="G76" s="27">
        <v>180.0</v>
      </c>
      <c r="H76" s="27">
        <v>239.0</v>
      </c>
      <c r="I76" s="27">
        <v>240.0</v>
      </c>
      <c r="J76" s="27">
        <v>179.0</v>
      </c>
      <c r="K76" s="27">
        <v>180.0</v>
      </c>
      <c r="L76" s="27">
        <v>600.0</v>
      </c>
      <c r="M76" s="27">
        <v>60.0</v>
      </c>
      <c r="N76" s="27">
        <v>300.0</v>
      </c>
      <c r="O76" s="27">
        <v>420.0</v>
      </c>
      <c r="P76" s="27">
        <v>359.0</v>
      </c>
      <c r="Q76" s="27">
        <v>419.0</v>
      </c>
      <c r="R76" s="27">
        <v>180.0</v>
      </c>
      <c r="S76" s="27">
        <v>240.0</v>
      </c>
      <c r="T76" s="27">
        <v>359.0</v>
      </c>
      <c r="U76" s="27">
        <v>360.0</v>
      </c>
      <c r="V76" s="27">
        <v>240.0</v>
      </c>
      <c r="W76" s="27">
        <v>120.0</v>
      </c>
      <c r="X76" s="27">
        <v>420.0</v>
      </c>
      <c r="Y76" s="27">
        <v>600.0</v>
      </c>
      <c r="Z76" s="27">
        <v>240.0</v>
      </c>
      <c r="AA76" s="27">
        <v>240.0</v>
      </c>
      <c r="AB76" s="27">
        <v>240.0</v>
      </c>
      <c r="AC76" s="27">
        <v>240.0</v>
      </c>
      <c r="AD76" s="27">
        <v>240.0</v>
      </c>
      <c r="AE76" s="27">
        <v>179.0</v>
      </c>
      <c r="AF76" s="27">
        <v>238.0</v>
      </c>
      <c r="AG76" s="27">
        <v>180.0</v>
      </c>
      <c r="AH76" s="27">
        <v>120.0</v>
      </c>
      <c r="AI76" s="27">
        <v>180.0</v>
      </c>
      <c r="AJ76" s="27">
        <v>120.0</v>
      </c>
      <c r="AK76" s="27">
        <v>720.0</v>
      </c>
      <c r="AL76" s="27">
        <v>180.0</v>
      </c>
      <c r="AM76" s="27">
        <v>60.0</v>
      </c>
      <c r="AN76" s="27">
        <v>240.0</v>
      </c>
      <c r="AO76" s="28">
        <f t="shared" si="159"/>
        <v>2937.0</v>
      </c>
      <c r="AP76" s="28">
        <f t="shared" si="160"/>
        <v>1380.0</v>
      </c>
      <c r="AQ76" s="28">
        <f t="shared" si="161"/>
        <v>1518.0</v>
      </c>
      <c r="AS76" s="3">
        <f t="shared" si="162"/>
        <v>264.0</v>
      </c>
      <c r="AT76" s="3">
        <f t="shared" si="163"/>
        <v>264.0</v>
      </c>
      <c r="AU76" s="3">
        <f t="shared" si="164"/>
        <v>264.0</v>
      </c>
      <c r="AV76" s="3">
        <f t="shared" si="165"/>
        <v>196.9</v>
      </c>
      <c r="AW76" s="3">
        <f t="shared" si="166"/>
        <v>261.8</v>
      </c>
      <c r="AX76" s="3">
        <f t="shared" si="167"/>
        <v>198.0</v>
      </c>
      <c r="AY76" s="28">
        <f t="shared" si="168"/>
        <v>1448.7</v>
      </c>
      <c r="AZ76" s="2" t="e">
        <f t="shared" si="169"/>
        <v>#REF!</v>
      </c>
      <c r="BA76" s="1" t="e">
        <f>VLOOKUP(C76,CHINAMAY5,3,false)</f>
        <v>#REF!</v>
      </c>
      <c r="BC76" s="28" t="e">
        <f t="shared" ref="BC76:BC77" si="211">AZ76+BA76+BB76-AY76-AY7</f>
        <v>#REF!</v>
      </c>
      <c r="BD76" s="29">
        <f>VLOOKUP(C76,MOQ,3,FALSE())</f>
        <v>504.0</v>
      </c>
      <c r="BE76" s="30"/>
      <c r="BF76" s="1" t="s">
        <v>5</v>
      </c>
      <c r="BG76" s="1" t="e">
        <f t="shared" si="173"/>
        <v>#REF!</v>
      </c>
      <c r="BH76" s="1">
        <f t="shared" ref="BH76:BH77" si="212">AS76+BH7</f>
        <v>854.783664459161</v>
      </c>
      <c r="BI76" s="1" t="e">
        <f t="shared" si="175"/>
        <v>#REF!</v>
      </c>
      <c r="BJ76" s="3" t="e">
        <f t="shared" si="176"/>
        <v>#REF!</v>
      </c>
      <c r="BK76" s="1">
        <f t="shared" ref="BK76:BK77" si="213">AT76+BK7</f>
        <v>547.32008830022</v>
      </c>
      <c r="BL76" s="1">
        <f t="shared" si="178"/>
      </c>
      <c r="BM76" s="3" t="e">
        <f t="shared" si="179"/>
        <v>#REF!</v>
      </c>
      <c r="BN76" s="1">
        <f t="shared" ref="BN76:BN77" si="214">AU76+BN7</f>
        <v>806.55408388521</v>
      </c>
      <c r="BP76" s="3" t="e">
        <f t="shared" si="181"/>
        <v>#REF!</v>
      </c>
      <c r="BQ76" s="1">
        <f t="shared" ref="BQ76:BQ77" si="215">AV76+BQ7</f>
        <v>642.994922737307</v>
      </c>
      <c r="BS76" s="3" t="e">
        <f t="shared" si="183"/>
        <v>#REF!</v>
      </c>
      <c r="BT76" s="1">
        <f t="shared" ref="BT76:BT77" si="216">AW76+BT7</f>
        <v>611.435761589403</v>
      </c>
      <c r="BV76" s="3" t="e">
        <f t="shared" si="185"/>
        <v>#REF!</v>
      </c>
      <c r="BW76" s="1">
        <f t="shared" ref="BW76:BW77" si="217">AX76+BW7</f>
        <v>891.271523178808</v>
      </c>
      <c r="BY76" s="3" t="e">
        <f t="shared" si="187"/>
        <v>#REF!</v>
      </c>
    </row>
    <row r="77" ht="14.0">
      <c r="A77" s="27" t="s">
        <v>28</v>
      </c>
      <c r="B77" s="27" t="s">
        <v>29</v>
      </c>
      <c r="C77" s="27" t="s">
        <v>33</v>
      </c>
      <c r="D77" s="27" t="s">
        <v>34</v>
      </c>
      <c r="E77" s="27">
        <v>0.0</v>
      </c>
      <c r="F77" s="27">
        <v>0.0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27">
        <v>0.0</v>
      </c>
      <c r="M77" s="27">
        <v>0.0</v>
      </c>
      <c r="N77" s="27">
        <v>0.0</v>
      </c>
      <c r="O77" s="27">
        <v>0.0</v>
      </c>
      <c r="P77" s="27">
        <v>0.0</v>
      </c>
      <c r="Q77" s="27">
        <v>0.0</v>
      </c>
      <c r="R77" s="27">
        <v>0.0</v>
      </c>
      <c r="S77" s="27">
        <v>0.0</v>
      </c>
      <c r="T77" s="27">
        <v>0.0</v>
      </c>
      <c r="U77" s="27">
        <v>0.0</v>
      </c>
      <c r="V77" s="27">
        <v>0.0</v>
      </c>
      <c r="W77" s="27">
        <v>0.0</v>
      </c>
      <c r="X77" s="27">
        <v>0.0</v>
      </c>
      <c r="Y77" s="27">
        <v>0.0</v>
      </c>
      <c r="Z77" s="27">
        <v>0.0</v>
      </c>
      <c r="AA77" s="27">
        <v>0.0</v>
      </c>
      <c r="AB77" s="27">
        <v>0.0</v>
      </c>
      <c r="AC77" s="27">
        <v>0.0</v>
      </c>
      <c r="AD77" s="27">
        <v>336.0</v>
      </c>
      <c r="AE77" s="27">
        <v>24.0</v>
      </c>
      <c r="AF77" s="27">
        <v>0.0</v>
      </c>
      <c r="AG77" s="27">
        <v>72.0</v>
      </c>
      <c r="AH77" s="27">
        <v>72.0</v>
      </c>
      <c r="AI77" s="27">
        <v>72.0</v>
      </c>
      <c r="AJ77" s="27">
        <v>0.0</v>
      </c>
      <c r="AK77" s="27">
        <v>216.0</v>
      </c>
      <c r="AL77" s="27">
        <v>78.0</v>
      </c>
      <c r="AM77" s="27">
        <v>0.0</v>
      </c>
      <c r="AN77" s="27">
        <v>72.0</v>
      </c>
      <c r="AO77" s="28">
        <f t="shared" si="159"/>
        <v>870.0</v>
      </c>
      <c r="AP77" s="28">
        <f t="shared" si="160"/>
        <v>438.0</v>
      </c>
      <c r="AQ77" s="28">
        <f t="shared" si="161"/>
        <v>481.8</v>
      </c>
      <c r="AS77" s="3">
        <f t="shared" si="162"/>
        <v>0.0</v>
      </c>
      <c r="AT77" s="3">
        <f t="shared" si="163"/>
        <v>0.0</v>
      </c>
      <c r="AU77" s="3">
        <f t="shared" si="164"/>
        <v>369.6</v>
      </c>
      <c r="AV77" s="3">
        <f t="shared" si="165"/>
        <v>26.4</v>
      </c>
      <c r="AW77" s="3">
        <f t="shared" si="166"/>
        <v>0.0</v>
      </c>
      <c r="AX77" s="3">
        <f t="shared" si="167"/>
        <v>79.2</v>
      </c>
      <c r="AY77" s="28">
        <f t="shared" si="168"/>
        <v>475.2</v>
      </c>
      <c r="AZ77" s="2" t="e">
        <f t="shared" si="169"/>
        <v>#REF!</v>
      </c>
      <c r="BC77" s="28" t="e">
        <f t="shared" si="211"/>
        <v>#REF!</v>
      </c>
      <c r="BD77" s="29">
        <f>VLOOKUP(C77,MOQ,3,FALSE())</f>
        <v>504.0</v>
      </c>
      <c r="BE77" s="15"/>
      <c r="BF77" s="1" t="s">
        <v>10</v>
      </c>
      <c r="BG77" s="1" t="e">
        <f t="shared" si="173"/>
        <v>#REF!</v>
      </c>
      <c r="BH77" s="1">
        <f t="shared" si="212"/>
        <v>337.4701986755</v>
      </c>
      <c r="BI77" s="1">
        <f t="shared" si="175"/>
      </c>
      <c r="BJ77" s="3" t="e">
        <f t="shared" si="176"/>
        <v>#REF!</v>
      </c>
      <c r="BK77" s="1">
        <f t="shared" si="213"/>
        <v>163.192052980132</v>
      </c>
      <c r="BL77" s="1">
        <f t="shared" si="178"/>
      </c>
      <c r="BM77" s="3" t="e">
        <f t="shared" si="179"/>
        <v>#REF!</v>
      </c>
      <c r="BN77" s="1">
        <f t="shared" si="214"/>
        <v>679.73245033112</v>
      </c>
      <c r="BP77" s="3" t="e">
        <f t="shared" si="181"/>
        <v>#REF!</v>
      </c>
      <c r="BQ77" s="1">
        <f t="shared" si="215"/>
        <v>281.856953642384</v>
      </c>
      <c r="BS77" s="3" t="e">
        <f t="shared" si="183"/>
        <v>#REF!</v>
      </c>
      <c r="BT77" s="1">
        <f t="shared" si="216"/>
        <v>200.781456953642</v>
      </c>
      <c r="BV77" s="3" t="e">
        <f t="shared" si="185"/>
        <v>#REF!</v>
      </c>
      <c r="BW77" s="1">
        <f t="shared" si="217"/>
        <v>474.762913907284</v>
      </c>
      <c r="BY77" s="3" t="e">
        <f t="shared" si="187"/>
        <v>#REF!</v>
      </c>
    </row>
    <row r="78" ht="14.0">
      <c r="A78" s="40" t="s">
        <v>28</v>
      </c>
      <c r="B78" s="40" t="s">
        <v>29</v>
      </c>
      <c r="C78" s="40" t="s">
        <v>60</v>
      </c>
      <c r="D78" s="40" t="s">
        <v>61</v>
      </c>
      <c r="E78" s="34">
        <v>0.0</v>
      </c>
      <c r="F78" s="34">
        <v>0.0</v>
      </c>
      <c r="G78" s="34">
        <v>0.0</v>
      </c>
      <c r="H78" s="34">
        <v>0.0</v>
      </c>
      <c r="I78" s="34">
        <v>0.0</v>
      </c>
      <c r="J78" s="34">
        <v>0.0</v>
      </c>
      <c r="K78" s="34">
        <v>0.0</v>
      </c>
      <c r="L78" s="34">
        <v>0.0</v>
      </c>
      <c r="M78" s="34">
        <v>0.0</v>
      </c>
      <c r="N78" s="34">
        <v>0.0</v>
      </c>
      <c r="O78" s="34">
        <v>0.0</v>
      </c>
      <c r="P78" s="34">
        <v>0.0</v>
      </c>
      <c r="Q78" s="34">
        <v>0.0</v>
      </c>
      <c r="R78" s="34">
        <v>0.0</v>
      </c>
      <c r="S78" s="34">
        <v>0.0</v>
      </c>
      <c r="T78" s="34">
        <v>0.0</v>
      </c>
      <c r="U78" s="34">
        <v>0.0</v>
      </c>
      <c r="V78" s="34">
        <v>0.0</v>
      </c>
      <c r="W78" s="34">
        <v>0.0</v>
      </c>
      <c r="X78" s="34">
        <v>0.0</v>
      </c>
      <c r="Y78" s="34">
        <v>0.0</v>
      </c>
      <c r="Z78" s="34">
        <v>0.0</v>
      </c>
      <c r="AA78" s="34">
        <v>0.0</v>
      </c>
      <c r="AB78" s="34">
        <v>0.0</v>
      </c>
      <c r="AC78" s="34">
        <v>0.0</v>
      </c>
      <c r="AD78" s="34">
        <v>120.0</v>
      </c>
      <c r="AE78" s="34">
        <v>0.0</v>
      </c>
      <c r="AF78" s="34">
        <v>60.0</v>
      </c>
      <c r="AG78" s="34">
        <v>0.0</v>
      </c>
      <c r="AH78" s="34">
        <v>60.0</v>
      </c>
      <c r="AI78" s="34">
        <v>59.0</v>
      </c>
      <c r="AJ78" s="34">
        <v>0.0</v>
      </c>
      <c r="AK78" s="34">
        <v>-2.0</v>
      </c>
      <c r="AL78" s="34">
        <v>11.0</v>
      </c>
      <c r="AM78" s="34">
        <v>0.0</v>
      </c>
      <c r="AN78" s="34">
        <v>0.0</v>
      </c>
      <c r="AO78" s="35">
        <f t="shared" si="159"/>
        <v>308.0</v>
      </c>
      <c r="AP78" s="35">
        <f t="shared" si="160"/>
        <v>128.0</v>
      </c>
      <c r="AQ78" s="35">
        <f t="shared" si="161"/>
        <v>140.8</v>
      </c>
      <c r="AR78" s="36"/>
      <c r="AS78" s="35">
        <f>AB78*1.1+AS76+AS80</f>
        <v>369.6</v>
      </c>
      <c r="AT78" s="35">
        <f>AC78*1.1+AT76+AT80</f>
        <v>475.2</v>
      </c>
      <c r="AU78" s="35">
        <f>AD78*1.1+AU76+AU80</f>
        <v>607.2</v>
      </c>
      <c r="AV78" s="35">
        <f t="shared" ref="AV78:AV79" si="221">AE78*1.1*1.2</f>
        <v>0.0</v>
      </c>
      <c r="AW78" s="35">
        <f t="shared" ref="AW78:AW79" si="222">AF78*1.1*1.2</f>
        <v>79.2</v>
      </c>
      <c r="AX78" s="35">
        <f t="shared" ref="AX78:AX79" si="223">AG78*1.1*1.2</f>
        <v>0.0</v>
      </c>
      <c r="AY78" s="35">
        <f t="shared" si="168"/>
        <v>1531.2</v>
      </c>
      <c r="AZ78" s="36" t="e">
        <f t="shared" si="169"/>
        <v>#REF!</v>
      </c>
      <c r="BA78" s="36"/>
      <c r="BB78" s="36" t="e">
        <f t="shared" ref="BB78:BB79" si="224">VLOOKUP(C78,CHINAJUNE,3,false)</f>
        <v>#REF!</v>
      </c>
      <c r="BC78" s="28" t="e">
        <f>AZ78+BA78+BB78-AY78-AY21</f>
        <v>#REF!</v>
      </c>
      <c r="BD78" s="37">
        <f>VLOOKUP(C78,MOQ,3,FALSE())</f>
        <v>3000.0</v>
      </c>
      <c r="BE78" s="38" t="e">
        <f>BC78*-1</f>
        <v>#REF!</v>
      </c>
      <c r="BF78" s="37" t="s">
        <v>149</v>
      </c>
      <c r="BG78" s="36" t="e">
        <f t="shared" si="173"/>
        <v>#REF!</v>
      </c>
      <c r="BH78" s="36">
        <f>AS78+BH21</f>
        <v>2121.65298013244</v>
      </c>
      <c r="BI78" s="36">
        <f t="shared" si="175"/>
      </c>
      <c r="BJ78" s="35" t="e">
        <f t="shared" si="176"/>
        <v>#REF!</v>
      </c>
      <c r="BK78" s="36">
        <f>AT78+BK21</f>
        <v>1311.08079470199</v>
      </c>
      <c r="BL78" s="36" t="e">
        <f t="shared" si="178"/>
        <v>#REF!</v>
      </c>
      <c r="BM78" s="35" t="e">
        <f t="shared" si="179"/>
        <v>#REF!</v>
      </c>
      <c r="BN78" s="36">
        <f>AU78+BN21</f>
        <v>2221.18675496688</v>
      </c>
      <c r="BO78" s="36"/>
      <c r="BP78" s="35" t="e">
        <f t="shared" si="181"/>
        <v>#REF!</v>
      </c>
      <c r="BQ78" s="36">
        <f>AV78+BQ21</f>
        <v>623.449006622516</v>
      </c>
      <c r="BR78" s="36"/>
      <c r="BS78" s="35" t="e">
        <f t="shared" si="183"/>
        <v>#REF!</v>
      </c>
      <c r="BT78" s="36">
        <f>AW78+BT21</f>
        <v>566.002649006621</v>
      </c>
      <c r="BU78" s="36"/>
      <c r="BV78" s="35" t="e">
        <f t="shared" si="185"/>
        <v>#REF!</v>
      </c>
      <c r="BW78" s="36">
        <f>AX78+BW21</f>
        <v>973.605298013243</v>
      </c>
      <c r="BX78" s="36"/>
      <c r="BY78" s="35" t="e">
        <f t="shared" si="187"/>
        <v>#REF!</v>
      </c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AMG78" s="39"/>
      <c r="AMH78" s="39"/>
      <c r="AMI78" s="39"/>
      <c r="AMJ78" s="39"/>
    </row>
    <row r="79" ht="14.0">
      <c r="A79" s="40" t="s">
        <v>28</v>
      </c>
      <c r="B79" s="40" t="s">
        <v>29</v>
      </c>
      <c r="C79" s="40" t="s">
        <v>65</v>
      </c>
      <c r="D79" s="40" t="s">
        <v>66</v>
      </c>
      <c r="E79" s="34">
        <v>0.0</v>
      </c>
      <c r="F79" s="34">
        <v>0.0</v>
      </c>
      <c r="G79" s="34">
        <v>0.0</v>
      </c>
      <c r="H79" s="34">
        <v>0.0</v>
      </c>
      <c r="I79" s="34">
        <v>0.0</v>
      </c>
      <c r="J79" s="34">
        <v>0.0</v>
      </c>
      <c r="K79" s="34">
        <v>0.0</v>
      </c>
      <c r="L79" s="34">
        <v>0.0</v>
      </c>
      <c r="M79" s="34">
        <v>0.0</v>
      </c>
      <c r="N79" s="34">
        <v>0.0</v>
      </c>
      <c r="O79" s="34">
        <v>0.0</v>
      </c>
      <c r="P79" s="34">
        <v>0.0</v>
      </c>
      <c r="Q79" s="34">
        <v>0.0</v>
      </c>
      <c r="R79" s="34">
        <v>0.0</v>
      </c>
      <c r="S79" s="34">
        <v>0.0</v>
      </c>
      <c r="T79" s="34">
        <v>0.0</v>
      </c>
      <c r="U79" s="34">
        <v>0.0</v>
      </c>
      <c r="V79" s="34">
        <v>0.0</v>
      </c>
      <c r="W79" s="34">
        <v>0.0</v>
      </c>
      <c r="X79" s="34">
        <v>0.0</v>
      </c>
      <c r="Y79" s="34">
        <v>0.0</v>
      </c>
      <c r="Z79" s="34">
        <v>0.0</v>
      </c>
      <c r="AA79" s="34">
        <v>0.0</v>
      </c>
      <c r="AB79" s="34">
        <v>0.0</v>
      </c>
      <c r="AC79" s="34">
        <v>0.0</v>
      </c>
      <c r="AD79" s="34">
        <v>120.0</v>
      </c>
      <c r="AE79" s="34">
        <v>0.0</v>
      </c>
      <c r="AF79" s="34">
        <v>0.0</v>
      </c>
      <c r="AG79" s="34">
        <v>0.0</v>
      </c>
      <c r="AH79" s="34">
        <v>0.0</v>
      </c>
      <c r="AI79" s="34">
        <v>0.0</v>
      </c>
      <c r="AJ79" s="34">
        <v>0.0</v>
      </c>
      <c r="AK79" s="34">
        <v>59.0</v>
      </c>
      <c r="AL79" s="34">
        <v>0.0</v>
      </c>
      <c r="AM79" s="34">
        <v>0.0</v>
      </c>
      <c r="AN79" s="34">
        <v>60.0</v>
      </c>
      <c r="AO79" s="35">
        <f t="shared" si="159"/>
        <v>179.0</v>
      </c>
      <c r="AP79" s="35">
        <f t="shared" si="160"/>
        <v>59.0</v>
      </c>
      <c r="AQ79" s="35">
        <f t="shared" si="161"/>
        <v>64.9</v>
      </c>
      <c r="AR79" s="36"/>
      <c r="AS79" s="35">
        <f t="shared" ref="AS79:AS96" si="233">AB79*1.1</f>
        <v>0.0</v>
      </c>
      <c r="AT79" s="35">
        <f t="shared" ref="AT79:AT96" si="234">AC79*1.1</f>
        <v>0.0</v>
      </c>
      <c r="AU79" s="35">
        <f t="shared" ref="AU79:AU96" si="235">AD79*1.1</f>
        <v>132.0</v>
      </c>
      <c r="AV79" s="35">
        <f t="shared" si="221"/>
        <v>0.0</v>
      </c>
      <c r="AW79" s="35">
        <f t="shared" si="222"/>
        <v>0.0</v>
      </c>
      <c r="AX79" s="35">
        <f t="shared" si="223"/>
        <v>0.0</v>
      </c>
      <c r="AY79" s="35">
        <f t="shared" si="168"/>
        <v>132.0</v>
      </c>
      <c r="AZ79" s="36" t="e">
        <f t="shared" si="169"/>
        <v>#REF!</v>
      </c>
      <c r="BA79" s="36"/>
      <c r="BB79" s="36" t="e">
        <f t="shared" si="224"/>
        <v>#REF!</v>
      </c>
      <c r="BC79" s="28" t="e">
        <f>AZ79+BA79+BB79-AY79-AY23</f>
        <v>#REF!</v>
      </c>
      <c r="BD79" s="37">
        <f>VLOOKUP(C79,MOQ,3,FALSE())</f>
        <v>3000.0</v>
      </c>
      <c r="BE79" s="38">
        <f>BD79</f>
        <v>3000.0</v>
      </c>
      <c r="BF79" s="37" t="s">
        <v>8</v>
      </c>
      <c r="BG79" s="36" t="e">
        <f t="shared" si="173"/>
        <v>#REF!</v>
      </c>
      <c r="BH79" s="36">
        <f>AS79+BH23</f>
        <v>719.710816777045</v>
      </c>
      <c r="BI79" s="36">
        <f t="shared" si="175"/>
      </c>
      <c r="BJ79" s="35" t="e">
        <f t="shared" si="176"/>
        <v>#REF!</v>
      </c>
      <c r="BK79" s="36">
        <f>AT79+BK23</f>
        <v>342.23399558499</v>
      </c>
      <c r="BL79" s="36" t="e">
        <f t="shared" si="178"/>
        <v>#REF!</v>
      </c>
      <c r="BM79" s="35" t="e">
        <f t="shared" si="179"/>
        <v>#REF!</v>
      </c>
      <c r="BN79" s="36">
        <f>AU79+BN23</f>
        <v>927.322295805739</v>
      </c>
      <c r="BO79" s="36"/>
      <c r="BP79" s="35" t="e">
        <f t="shared" si="181"/>
        <v>#REF!</v>
      </c>
      <c r="BQ79" s="36">
        <f>AV79+BQ23</f>
        <v>471.260927152318</v>
      </c>
      <c r="BR79" s="36"/>
      <c r="BS79" s="35" t="e">
        <f t="shared" si="183"/>
        <v>#REF!</v>
      </c>
      <c r="BT79" s="36">
        <f>AW79+BT23</f>
        <v>367.970860927152</v>
      </c>
      <c r="BU79" s="36"/>
      <c r="BV79" s="35" t="e">
        <f t="shared" si="185"/>
        <v>#REF!</v>
      </c>
      <c r="BW79" s="36">
        <f>AX79+BW23</f>
        <v>735.941721854304</v>
      </c>
      <c r="BX79" s="36"/>
      <c r="BY79" s="35" t="e">
        <f t="shared" si="187"/>
        <v>#REF!</v>
      </c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AMG79" s="39"/>
      <c r="AMH79" s="39"/>
      <c r="AMI79" s="39"/>
      <c r="AMJ79" s="39"/>
    </row>
    <row r="80" ht="14.0">
      <c r="A80" s="27" t="s">
        <v>28</v>
      </c>
      <c r="B80" s="27" t="s">
        <v>29</v>
      </c>
      <c r="C80" s="27" t="s">
        <v>69</v>
      </c>
      <c r="D80" s="27" t="s">
        <v>70</v>
      </c>
      <c r="E80" s="27">
        <v>336.0</v>
      </c>
      <c r="F80" s="27">
        <v>92.0</v>
      </c>
      <c r="G80" s="27">
        <v>144.0</v>
      </c>
      <c r="H80" s="27">
        <v>240.0</v>
      </c>
      <c r="I80" s="27">
        <v>240.0</v>
      </c>
      <c r="J80" s="27">
        <v>96.0</v>
      </c>
      <c r="K80" s="27">
        <v>192.0</v>
      </c>
      <c r="L80" s="27">
        <v>768.0</v>
      </c>
      <c r="M80" s="27">
        <v>143.0</v>
      </c>
      <c r="N80" s="27">
        <v>144.0</v>
      </c>
      <c r="O80" s="27">
        <v>144.0</v>
      </c>
      <c r="P80" s="27">
        <v>286.0</v>
      </c>
      <c r="Q80" s="27">
        <v>288.0</v>
      </c>
      <c r="R80" s="27">
        <v>144.0</v>
      </c>
      <c r="S80" s="27">
        <v>192.0</v>
      </c>
      <c r="T80" s="27">
        <v>240.0</v>
      </c>
      <c r="U80" s="27">
        <v>240.0</v>
      </c>
      <c r="V80" s="27">
        <v>192.0</v>
      </c>
      <c r="W80" s="27">
        <v>144.0</v>
      </c>
      <c r="X80" s="27">
        <v>278.0</v>
      </c>
      <c r="Y80" s="27">
        <v>528.0</v>
      </c>
      <c r="Z80" s="27">
        <v>0.0</v>
      </c>
      <c r="AA80" s="27">
        <v>336.0</v>
      </c>
      <c r="AB80" s="27">
        <v>96.0</v>
      </c>
      <c r="AC80" s="27">
        <v>192.0</v>
      </c>
      <c r="AD80" s="27">
        <v>192.0</v>
      </c>
      <c r="AE80" s="27">
        <v>240.0</v>
      </c>
      <c r="AF80" s="27">
        <v>87.0</v>
      </c>
      <c r="AG80" s="27">
        <v>192.0</v>
      </c>
      <c r="AH80" s="27">
        <v>96.0</v>
      </c>
      <c r="AI80" s="27">
        <v>191.0</v>
      </c>
      <c r="AJ80" s="27">
        <v>144.0</v>
      </c>
      <c r="AK80" s="27">
        <v>575.0</v>
      </c>
      <c r="AL80" s="27">
        <v>48.0</v>
      </c>
      <c r="AM80" s="27">
        <v>96.0</v>
      </c>
      <c r="AN80" s="27">
        <v>144.0</v>
      </c>
      <c r="AO80" s="28">
        <f t="shared" si="159"/>
        <v>2485.0</v>
      </c>
      <c r="AP80" s="28">
        <f t="shared" si="160"/>
        <v>1150.0</v>
      </c>
      <c r="AQ80" s="28">
        <f t="shared" si="161"/>
        <v>1265.0</v>
      </c>
      <c r="AS80" s="3">
        <f t="shared" si="233"/>
        <v>105.6</v>
      </c>
      <c r="AT80" s="3">
        <f t="shared" si="234"/>
        <v>211.2</v>
      </c>
      <c r="AU80" s="3">
        <f t="shared" si="235"/>
        <v>211.2</v>
      </c>
      <c r="AV80" s="3">
        <f t="shared" ref="AV80:AV96" si="244">AE80*1.1</f>
        <v>264.0</v>
      </c>
      <c r="AW80" s="3">
        <f t="shared" ref="AW80:AW96" si="245">AF80*1.1</f>
        <v>95.7</v>
      </c>
      <c r="AX80" s="3">
        <f t="shared" ref="AX80:AX96" si="246">AG80*1.1</f>
        <v>211.2</v>
      </c>
      <c r="AY80" s="28">
        <f t="shared" si="168"/>
        <v>1098.9</v>
      </c>
      <c r="AZ80" s="2" t="e">
        <f t="shared" si="169"/>
        <v>#REF!</v>
      </c>
      <c r="BC80" s="28" t="e">
        <f>AZ80+BA80+BB80-AY80-AY25</f>
        <v>#REF!</v>
      </c>
      <c r="BD80" s="29">
        <f>VLOOKUP(C80,MOQ,3,FALSE())</f>
        <v>1620.0</v>
      </c>
      <c r="BE80" s="30"/>
      <c r="BF80" s="1" t="s">
        <v>7</v>
      </c>
      <c r="BG80" s="1" t="e">
        <f t="shared" si="173"/>
        <v>#REF!</v>
      </c>
      <c r="BH80" s="1">
        <f>AS80+BH25</f>
        <v>576.520529801324</v>
      </c>
      <c r="BI80" s="1">
        <f t="shared" si="175"/>
      </c>
      <c r="BJ80" s="3" t="e">
        <f t="shared" si="176"/>
        <v>#REF!</v>
      </c>
      <c r="BK80" s="1">
        <f>AT80+BK25</f>
        <v>436.37880794702</v>
      </c>
      <c r="BL80" s="1">
        <f t="shared" si="178"/>
      </c>
      <c r="BM80" s="3" t="e">
        <f t="shared" si="179"/>
        <v>#REF!</v>
      </c>
      <c r="BN80" s="1">
        <f>AU80+BN25</f>
        <v>649.219867549669</v>
      </c>
      <c r="BP80" s="3" t="e">
        <f t="shared" si="181"/>
        <v>#REF!</v>
      </c>
      <c r="BQ80" s="1">
        <f>AV80+BQ25</f>
        <v>624.21854304636</v>
      </c>
      <c r="BS80" s="3" t="e">
        <f t="shared" si="183"/>
        <v>#REF!</v>
      </c>
      <c r="BT80" s="1">
        <f>AW80+BT25</f>
        <v>378.117218543046</v>
      </c>
      <c r="BV80" s="3" t="e">
        <f t="shared" si="185"/>
        <v>#REF!</v>
      </c>
      <c r="BW80" s="1">
        <f>AX80+BW25</f>
        <v>764.034437086091</v>
      </c>
      <c r="BY80" s="3" t="e">
        <f t="shared" si="187"/>
        <v>#REF!</v>
      </c>
    </row>
    <row hidden="1" r="81" ht="14.0" outlineLevel="1">
      <c r="A81" s="27" t="s">
        <v>28</v>
      </c>
      <c r="B81" s="27" t="s">
        <v>29</v>
      </c>
      <c r="C81" s="27" t="s">
        <v>80</v>
      </c>
      <c r="D81" s="27" t="s">
        <v>81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0.0</v>
      </c>
      <c r="AC81" s="27">
        <v>0.0</v>
      </c>
      <c r="AD81" s="27">
        <v>360.0</v>
      </c>
      <c r="AE81" s="27">
        <v>0.0</v>
      </c>
      <c r="AF81" s="27">
        <v>60.0</v>
      </c>
      <c r="AG81" s="27">
        <v>60.0</v>
      </c>
      <c r="AH81" s="27">
        <v>60.0</v>
      </c>
      <c r="AI81" s="27">
        <v>120.0</v>
      </c>
      <c r="AJ81" s="27">
        <v>60.0</v>
      </c>
      <c r="AK81" s="27">
        <v>180.0</v>
      </c>
      <c r="AL81" s="27">
        <v>120.0</v>
      </c>
      <c r="AM81" s="27">
        <v>60.0</v>
      </c>
      <c r="AN81" s="27">
        <v>120.0</v>
      </c>
      <c r="AO81" s="28">
        <f t="shared" si="159"/>
        <v>1080.0</v>
      </c>
      <c r="AP81" s="28">
        <f t="shared" si="160"/>
        <v>600.0</v>
      </c>
      <c r="AQ81" s="28">
        <f t="shared" si="161"/>
        <v>660.0</v>
      </c>
      <c r="AS81" s="3">
        <f t="shared" si="233"/>
        <v>0.0</v>
      </c>
      <c r="AT81" s="3">
        <f t="shared" si="234"/>
        <v>0.0</v>
      </c>
      <c r="AU81" s="3">
        <f t="shared" si="235"/>
        <v>396.0</v>
      </c>
      <c r="AV81" s="3">
        <f t="shared" si="244"/>
        <v>0.0</v>
      </c>
      <c r="AW81" s="3">
        <f t="shared" si="245"/>
        <v>66.0</v>
      </c>
      <c r="AX81" s="3">
        <f t="shared" si="246"/>
        <v>66.0</v>
      </c>
      <c r="AY81" s="28">
        <f t="shared" si="168"/>
        <v>528.0</v>
      </c>
      <c r="AZ81" s="2" t="e">
        <f t="shared" si="169"/>
        <v>#REF!</v>
      </c>
      <c r="BC81" s="3" t="e">
        <f>AZ81+BA81+BB81-AY81-AY30</f>
        <v>#REF!</v>
      </c>
      <c r="BD81" s="1">
        <f>VLOOKUP(C81,MOQ,3,FALSE())</f>
        <v>3000.0</v>
      </c>
      <c r="BG81" s="1" t="e">
        <f t="shared" si="173"/>
        <v>#REF!</v>
      </c>
      <c r="BH81" s="1">
        <f>AS81+BH30</f>
        <v>723.172185430463</v>
      </c>
      <c r="BI81" s="1">
        <f t="shared" si="175"/>
      </c>
      <c r="BJ81" s="3" t="e">
        <f t="shared" si="176"/>
        <v>#REF!</v>
      </c>
      <c r="BK81" s="1">
        <f>AT81+BK30</f>
        <v>339.11258278146</v>
      </c>
      <c r="BL81" s="1">
        <f t="shared" si="178"/>
      </c>
      <c r="BM81" s="3" t="e">
        <f t="shared" si="179"/>
        <v>#REF!</v>
      </c>
      <c r="BN81" s="1">
        <f>AU81+BN30</f>
        <v>1054.45695364238</v>
      </c>
      <c r="BP81" s="3" t="e">
        <f t="shared" si="181"/>
        <v>#REF!</v>
      </c>
      <c r="BQ81" s="1">
        <f>AV81+BQ30</f>
        <v>541.026490066225</v>
      </c>
      <c r="BS81" s="3" t="e">
        <f t="shared" si="183"/>
        <v>#REF!</v>
      </c>
      <c r="BT81" s="1">
        <f>AW81+BT30</f>
        <v>489.596026490066</v>
      </c>
      <c r="BV81" s="3" t="e">
        <f t="shared" si="185"/>
        <v>#REF!</v>
      </c>
      <c r="BW81" s="1">
        <f>AX81+BW30</f>
        <v>913.192052980132</v>
      </c>
      <c r="BY81" s="3" t="e">
        <f t="shared" si="187"/>
        <v>#REF!</v>
      </c>
    </row>
    <row hidden="1" r="82" ht="14.0" outlineLevel="1">
      <c r="A82" s="27" t="s">
        <v>28</v>
      </c>
      <c r="B82" s="27" t="s">
        <v>29</v>
      </c>
      <c r="C82" s="27" t="s">
        <v>86</v>
      </c>
      <c r="D82" s="27" t="s">
        <v>87</v>
      </c>
      <c r="E82" s="27">
        <v>0.0</v>
      </c>
      <c r="F82" s="27">
        <v>0.0</v>
      </c>
      <c r="G82" s="27">
        <v>0.0</v>
      </c>
      <c r="H82" s="27">
        <v>0.0</v>
      </c>
      <c r="I82" s="27">
        <v>0.0</v>
      </c>
      <c r="J82" s="27">
        <v>0.0</v>
      </c>
      <c r="K82" s="27">
        <v>0.0</v>
      </c>
      <c r="L82" s="27">
        <v>0.0</v>
      </c>
      <c r="M82" s="27">
        <v>0.0</v>
      </c>
      <c r="N82" s="27">
        <v>0.0</v>
      </c>
      <c r="O82" s="27">
        <v>0.0</v>
      </c>
      <c r="P82" s="27">
        <v>0.0</v>
      </c>
      <c r="Q82" s="27">
        <v>0.0</v>
      </c>
      <c r="R82" s="27">
        <v>0.0</v>
      </c>
      <c r="S82" s="27">
        <v>0.0</v>
      </c>
      <c r="T82" s="27">
        <v>0.0</v>
      </c>
      <c r="U82" s="27">
        <v>0.0</v>
      </c>
      <c r="V82" s="27">
        <v>0.0</v>
      </c>
      <c r="W82" s="27">
        <v>0.0</v>
      </c>
      <c r="X82" s="27">
        <v>0.0</v>
      </c>
      <c r="Y82" s="27">
        <v>0.0</v>
      </c>
      <c r="Z82" s="27">
        <v>0.0</v>
      </c>
      <c r="AA82" s="27">
        <v>0.0</v>
      </c>
      <c r="AB82" s="27">
        <v>0.0</v>
      </c>
      <c r="AC82" s="27">
        <v>0.0</v>
      </c>
      <c r="AD82" s="27">
        <v>324.0</v>
      </c>
      <c r="AE82" s="27">
        <v>0.0</v>
      </c>
      <c r="AF82" s="27">
        <v>60.0</v>
      </c>
      <c r="AG82" s="27">
        <v>60.0</v>
      </c>
      <c r="AH82" s="27">
        <v>60.0</v>
      </c>
      <c r="AI82" s="27">
        <v>60.0</v>
      </c>
      <c r="AJ82" s="27">
        <v>60.0</v>
      </c>
      <c r="AK82" s="27">
        <v>240.0</v>
      </c>
      <c r="AL82" s="27">
        <v>60.0</v>
      </c>
      <c r="AM82" s="27">
        <v>60.0</v>
      </c>
      <c r="AN82" s="27">
        <v>60.0</v>
      </c>
      <c r="AO82" s="28">
        <f t="shared" si="159"/>
        <v>984.0</v>
      </c>
      <c r="AP82" s="28">
        <f t="shared" si="160"/>
        <v>540.0</v>
      </c>
      <c r="AQ82" s="28">
        <f t="shared" si="161"/>
        <v>594.0</v>
      </c>
      <c r="AS82" s="3">
        <f t="shared" si="233"/>
        <v>0.0</v>
      </c>
      <c r="AT82" s="3">
        <f t="shared" si="234"/>
        <v>0.0</v>
      </c>
      <c r="AU82" s="3">
        <f t="shared" si="235"/>
        <v>356.4</v>
      </c>
      <c r="AV82" s="3">
        <f t="shared" si="244"/>
        <v>0.0</v>
      </c>
      <c r="AW82" s="3">
        <f t="shared" si="245"/>
        <v>66.0</v>
      </c>
      <c r="AX82" s="3">
        <f t="shared" si="246"/>
        <v>66.0</v>
      </c>
      <c r="AY82" s="28">
        <f t="shared" si="168"/>
        <v>488.4</v>
      </c>
      <c r="AZ82" s="2" t="e">
        <f t="shared" si="169"/>
        <v>#REF!</v>
      </c>
      <c r="BC82" s="3" t="e">
        <f t="shared" ref="BC82:BC83" si="261">AZ82+BA82+BB82-AY82-AY33</f>
        <v>#REF!</v>
      </c>
      <c r="BD82" s="1">
        <f>VLOOKUP(C82,MOQ,3,FALSE())</f>
        <v>3000.0</v>
      </c>
      <c r="BG82" s="1" t="e">
        <f t="shared" si="173"/>
        <v>#REF!</v>
      </c>
      <c r="BH82" s="1">
        <f t="shared" ref="BH82:BH83" si="262">AS82+BH33</f>
        <v>584.386313465783</v>
      </c>
      <c r="BI82" s="1">
        <f t="shared" si="175"/>
      </c>
      <c r="BJ82" s="3" t="e">
        <f t="shared" si="176"/>
        <v>#REF!</v>
      </c>
      <c r="BK82" s="1">
        <f t="shared" ref="BK82:BK83" si="263">AT82+BK33</f>
        <v>275.21412803532</v>
      </c>
      <c r="BL82" s="1">
        <f t="shared" si="178"/>
      </c>
      <c r="BM82" s="3" t="e">
        <f t="shared" si="179"/>
        <v>#REF!</v>
      </c>
      <c r="BN82" s="1">
        <f t="shared" ref="BN82:BN83" si="264">AU82+BN33</f>
        <v>890.053421633554</v>
      </c>
      <c r="BP82" s="3" t="e">
        <f t="shared" si="181"/>
        <v>#REF!</v>
      </c>
      <c r="BQ82" s="1">
        <f t="shared" ref="BQ82:BQ83" si="265">AV82+BQ33</f>
        <v>438.187637969094</v>
      </c>
      <c r="BS82" s="3" t="e">
        <f t="shared" si="183"/>
        <v>#REF!</v>
      </c>
      <c r="BT82" s="1">
        <f t="shared" ref="BT82:BT83" si="266">AW82+BT33</f>
        <v>408.721854304636</v>
      </c>
      <c r="BV82" s="3" t="e">
        <f t="shared" si="185"/>
        <v>#REF!</v>
      </c>
      <c r="BW82" s="1">
        <f t="shared" ref="BW82:BW83" si="267">AX82+BW33</f>
        <v>751.443708609271</v>
      </c>
      <c r="BY82" s="3" t="e">
        <f t="shared" si="187"/>
        <v>#REF!</v>
      </c>
    </row>
    <row hidden="1" r="83" ht="14.0" outlineLevel="1">
      <c r="A83" s="27" t="s">
        <v>28</v>
      </c>
      <c r="B83" s="27" t="s">
        <v>29</v>
      </c>
      <c r="C83" s="27" t="s">
        <v>88</v>
      </c>
      <c r="D83" s="27" t="s">
        <v>89</v>
      </c>
      <c r="E83" s="27">
        <v>0.0</v>
      </c>
      <c r="F83" s="27">
        <v>0.0</v>
      </c>
      <c r="G83" s="27">
        <v>0.0</v>
      </c>
      <c r="H83" s="27">
        <v>0.0</v>
      </c>
      <c r="I83" s="27">
        <v>0.0</v>
      </c>
      <c r="J83" s="27">
        <v>0.0</v>
      </c>
      <c r="K83" s="27">
        <v>0.0</v>
      </c>
      <c r="L83" s="27">
        <v>0.0</v>
      </c>
      <c r="M83" s="27">
        <v>0.0</v>
      </c>
      <c r="N83" s="27">
        <v>0.0</v>
      </c>
      <c r="O83" s="27">
        <v>0.0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0.0</v>
      </c>
      <c r="V83" s="27">
        <v>0.0</v>
      </c>
      <c r="W83" s="27">
        <v>0.0</v>
      </c>
      <c r="X83" s="27">
        <v>0.0</v>
      </c>
      <c r="Y83" s="27">
        <v>0.0</v>
      </c>
      <c r="Z83" s="27">
        <v>0.0</v>
      </c>
      <c r="AA83" s="27">
        <v>0.0</v>
      </c>
      <c r="AB83" s="27">
        <v>0.0</v>
      </c>
      <c r="AC83" s="27">
        <v>0.0</v>
      </c>
      <c r="AD83" s="27">
        <v>324.0</v>
      </c>
      <c r="AE83" s="27">
        <v>0.0</v>
      </c>
      <c r="AF83" s="27">
        <v>0.0</v>
      </c>
      <c r="AG83" s="27">
        <v>0.0</v>
      </c>
      <c r="AH83" s="27">
        <v>60.0</v>
      </c>
      <c r="AI83" s="27">
        <v>120.0</v>
      </c>
      <c r="AJ83" s="27">
        <v>60.0</v>
      </c>
      <c r="AK83" s="27">
        <v>120.0</v>
      </c>
      <c r="AL83" s="27">
        <v>60.0</v>
      </c>
      <c r="AM83" s="27">
        <v>66.0</v>
      </c>
      <c r="AN83" s="27">
        <v>60.0</v>
      </c>
      <c r="AO83" s="28">
        <f t="shared" si="159"/>
        <v>810.0</v>
      </c>
      <c r="AP83" s="28">
        <f t="shared" si="160"/>
        <v>486.0</v>
      </c>
      <c r="AQ83" s="28">
        <f t="shared" si="161"/>
        <v>534.6</v>
      </c>
      <c r="AS83" s="3">
        <f t="shared" si="233"/>
        <v>0.0</v>
      </c>
      <c r="AT83" s="3">
        <f t="shared" si="234"/>
        <v>0.0</v>
      </c>
      <c r="AU83" s="3">
        <f t="shared" si="235"/>
        <v>356.4</v>
      </c>
      <c r="AV83" s="3">
        <f t="shared" si="244"/>
        <v>0.0</v>
      </c>
      <c r="AW83" s="3">
        <f t="shared" si="245"/>
        <v>0.0</v>
      </c>
      <c r="AX83" s="3">
        <f t="shared" si="246"/>
        <v>0.0</v>
      </c>
      <c r="AY83" s="28">
        <f t="shared" si="168"/>
        <v>356.4</v>
      </c>
      <c r="AZ83" s="2" t="e">
        <f t="shared" si="169"/>
        <v>#REF!</v>
      </c>
      <c r="BC83" s="3" t="e">
        <f t="shared" si="261"/>
        <v>#REF!</v>
      </c>
      <c r="BD83" s="1">
        <f>VLOOKUP(C83,MOQ,3,FALSE())</f>
        <v>3000.0</v>
      </c>
      <c r="BG83" s="1" t="e">
        <f t="shared" si="173"/>
        <v>#REF!</v>
      </c>
      <c r="BH83" s="1">
        <f t="shared" si="262"/>
        <v>468.757174392936</v>
      </c>
      <c r="BI83" s="1">
        <f t="shared" si="175"/>
      </c>
      <c r="BJ83" s="3" t="e">
        <f t="shared" si="176"/>
        <v>#REF!</v>
      </c>
      <c r="BK83" s="1">
        <f t="shared" si="263"/>
        <v>220.379690949227</v>
      </c>
      <c r="BL83" s="1">
        <f t="shared" si="178"/>
      </c>
      <c r="BM83" s="3" t="e">
        <f t="shared" si="179"/>
        <v>#REF!</v>
      </c>
      <c r="BN83" s="1">
        <f t="shared" si="264"/>
        <v>783.960706401766</v>
      </c>
      <c r="BP83" s="3" t="e">
        <f t="shared" si="181"/>
        <v>#REF!</v>
      </c>
      <c r="BQ83" s="1">
        <f t="shared" si="265"/>
        <v>351.167770419426</v>
      </c>
      <c r="BS83" s="3" t="e">
        <f t="shared" si="183"/>
        <v>#REF!</v>
      </c>
      <c r="BT83" s="1">
        <f t="shared" si="266"/>
        <v>274.774834437086</v>
      </c>
      <c r="BV83" s="3" t="e">
        <f t="shared" si="185"/>
        <v>#REF!</v>
      </c>
      <c r="BW83" s="1">
        <f t="shared" si="267"/>
        <v>549.549668874172</v>
      </c>
      <c r="BY83" s="3" t="e">
        <f t="shared" si="187"/>
        <v>#REF!</v>
      </c>
    </row>
    <row hidden="1" r="84" ht="14.0" outlineLevel="1">
      <c r="A84" s="27" t="s">
        <v>28</v>
      </c>
      <c r="B84" s="27" t="s">
        <v>29</v>
      </c>
      <c r="C84" s="27" t="s">
        <v>94</v>
      </c>
      <c r="D84" s="27" t="s">
        <v>95</v>
      </c>
      <c r="E84" s="27">
        <v>0.0</v>
      </c>
      <c r="F84" s="27">
        <v>0.0</v>
      </c>
      <c r="G84" s="27">
        <v>0.0</v>
      </c>
      <c r="H84" s="27">
        <v>0.0</v>
      </c>
      <c r="I84" s="27">
        <v>0.0</v>
      </c>
      <c r="J84" s="27">
        <v>0.0</v>
      </c>
      <c r="K84" s="27">
        <v>0.0</v>
      </c>
      <c r="L84" s="27">
        <v>0.0</v>
      </c>
      <c r="M84" s="27">
        <v>0.0</v>
      </c>
      <c r="N84" s="27">
        <v>0.0</v>
      </c>
      <c r="O84" s="27">
        <v>0.0</v>
      </c>
      <c r="P84" s="27">
        <v>0.0</v>
      </c>
      <c r="Q84" s="27">
        <v>0.0</v>
      </c>
      <c r="R84" s="27">
        <v>0.0</v>
      </c>
      <c r="S84" s="27">
        <v>0.0</v>
      </c>
      <c r="T84" s="27">
        <v>0.0</v>
      </c>
      <c r="U84" s="27">
        <v>0.0</v>
      </c>
      <c r="V84" s="27">
        <v>0.0</v>
      </c>
      <c r="W84" s="27">
        <v>0.0</v>
      </c>
      <c r="X84" s="27">
        <v>0.0</v>
      </c>
      <c r="Y84" s="27">
        <v>0.0</v>
      </c>
      <c r="Z84" s="27">
        <v>0.0</v>
      </c>
      <c r="AA84" s="27">
        <v>0.0</v>
      </c>
      <c r="AB84" s="27">
        <v>0.0</v>
      </c>
      <c r="AC84" s="27">
        <v>0.0</v>
      </c>
      <c r="AD84" s="27">
        <v>36.0</v>
      </c>
      <c r="AE84" s="27">
        <v>0.0</v>
      </c>
      <c r="AF84" s="27">
        <v>0.0</v>
      </c>
      <c r="AG84" s="27">
        <v>0.0</v>
      </c>
      <c r="AH84" s="27">
        <v>0.0</v>
      </c>
      <c r="AI84" s="27">
        <v>0.0</v>
      </c>
      <c r="AJ84" s="27">
        <v>0.0</v>
      </c>
      <c r="AK84" s="27">
        <v>120.0</v>
      </c>
      <c r="AL84" s="27">
        <v>0.0</v>
      </c>
      <c r="AM84" s="27">
        <v>0.0</v>
      </c>
      <c r="AN84" s="27">
        <v>0.0</v>
      </c>
      <c r="AO84" s="28">
        <f t="shared" si="159"/>
        <v>156.0</v>
      </c>
      <c r="AP84" s="28">
        <f t="shared" si="160"/>
        <v>120.0</v>
      </c>
      <c r="AQ84" s="28">
        <f t="shared" si="161"/>
        <v>132.0</v>
      </c>
      <c r="AS84" s="3">
        <f t="shared" si="233"/>
        <v>0.0</v>
      </c>
      <c r="AT84" s="3">
        <f t="shared" si="234"/>
        <v>0.0</v>
      </c>
      <c r="AU84" s="3">
        <f t="shared" si="235"/>
        <v>39.6</v>
      </c>
      <c r="AV84" s="3">
        <f t="shared" si="244"/>
        <v>0.0</v>
      </c>
      <c r="AW84" s="3">
        <f t="shared" si="245"/>
        <v>0.0</v>
      </c>
      <c r="AX84" s="3">
        <f t="shared" si="246"/>
        <v>0.0</v>
      </c>
      <c r="AY84" s="28">
        <f t="shared" si="168"/>
        <v>39.6</v>
      </c>
      <c r="AZ84" s="2" t="e">
        <f t="shared" si="169"/>
        <v>#REF!</v>
      </c>
      <c r="BB84" s="1" t="e">
        <f>VLOOKUP(C84,CHINAJUNE,3,false)</f>
        <v>#REF!</v>
      </c>
      <c r="BC84" s="3" t="e">
        <f>AZ84+BA84+BB84-AY84-AY37</f>
        <v>#REF!</v>
      </c>
      <c r="BD84" s="1">
        <f>VLOOKUP(C84,MOQ,3,FALSE())</f>
        <v>480.0</v>
      </c>
      <c r="BG84" s="1" t="e">
        <f t="shared" si="173"/>
        <v>#REF!</v>
      </c>
      <c r="BH84" s="1">
        <f>AS84+BH37</f>
        <v>208.774834437086</v>
      </c>
      <c r="BI84" s="1">
        <f t="shared" si="175"/>
      </c>
      <c r="BJ84" s="3" t="e">
        <f t="shared" si="176"/>
        <v>#REF!</v>
      </c>
      <c r="BK84" s="1">
        <f>AT84+BK37</f>
        <v>99.0066225165562</v>
      </c>
      <c r="BL84" s="1" t="e">
        <f t="shared" si="178"/>
        <v>#REF!</v>
      </c>
      <c r="BM84" s="3" t="e">
        <f t="shared" si="179"/>
        <v>#REF!</v>
      </c>
      <c r="BN84" s="1">
        <f>AU84+BN37</f>
        <v>231.156291390728</v>
      </c>
      <c r="BP84" s="3" t="e">
        <f t="shared" si="181"/>
        <v>#REF!</v>
      </c>
      <c r="BQ84" s="1">
        <f>AV84+BQ37</f>
        <v>157.119205298013</v>
      </c>
      <c r="BS84" s="3" t="e">
        <f t="shared" si="183"/>
        <v>#REF!</v>
      </c>
      <c r="BT84" s="1">
        <f>AW84+BT37</f>
        <v>122.682119205298</v>
      </c>
      <c r="BV84" s="3" t="e">
        <f t="shared" si="185"/>
        <v>#REF!</v>
      </c>
      <c r="BW84" s="1">
        <f>AX84+BW37</f>
        <v>245.364238410596</v>
      </c>
      <c r="BY84" s="3" t="e">
        <f t="shared" si="187"/>
        <v>#REF!</v>
      </c>
    </row>
    <row hidden="1" r="85" ht="14.0" outlineLevel="1">
      <c r="A85" s="27" t="s">
        <v>150</v>
      </c>
      <c r="B85" s="27" t="s">
        <v>151</v>
      </c>
      <c r="C85" s="27" t="s">
        <v>152</v>
      </c>
      <c r="D85" s="27" t="s">
        <v>153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7">
        <v>400.0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0.0</v>
      </c>
      <c r="AC85" s="27">
        <v>0.0</v>
      </c>
      <c r="AD85" s="27">
        <v>0.0</v>
      </c>
      <c r="AE85" s="27">
        <v>0.0</v>
      </c>
      <c r="AF85" s="27">
        <v>0.0</v>
      </c>
      <c r="AG85" s="27">
        <v>0.0</v>
      </c>
      <c r="AH85" s="27">
        <v>0.0</v>
      </c>
      <c r="AI85" s="27">
        <v>0.0</v>
      </c>
      <c r="AJ85" s="27">
        <v>0.0</v>
      </c>
      <c r="AK85" s="27">
        <v>0.0</v>
      </c>
      <c r="AL85" s="27">
        <v>0.0</v>
      </c>
      <c r="AM85" s="27">
        <v>0.0</v>
      </c>
      <c r="AN85" s="27">
        <v>0.0</v>
      </c>
      <c r="AO85" s="28">
        <f t="shared" si="159"/>
        <v>0.0</v>
      </c>
      <c r="AP85" s="28">
        <f t="shared" si="160"/>
        <v>0.0</v>
      </c>
      <c r="AQ85" s="28">
        <f t="shared" si="161"/>
        <v>0.0</v>
      </c>
      <c r="AS85" s="3">
        <f t="shared" si="233"/>
        <v>0.0</v>
      </c>
      <c r="AT85" s="3">
        <f t="shared" si="234"/>
        <v>0.0</v>
      </c>
      <c r="AU85" s="3">
        <f t="shared" si="235"/>
        <v>0.0</v>
      </c>
      <c r="AV85" s="3">
        <f t="shared" si="244"/>
        <v>0.0</v>
      </c>
      <c r="AW85" s="3">
        <f t="shared" si="245"/>
        <v>0.0</v>
      </c>
      <c r="AX85" s="3">
        <f t="shared" si="246"/>
        <v>0.0</v>
      </c>
      <c r="AY85" s="28">
        <f t="shared" si="168"/>
        <v>0.0</v>
      </c>
      <c r="AZ85" s="2" t="e">
        <f t="shared" si="169"/>
        <v>#REF!</v>
      </c>
      <c r="BC85" s="3" t="e">
        <f t="shared" ref="BC85:BC96" si="276">AZ85+BA85+BB85-AY85</f>
        <v>#REF!</v>
      </c>
      <c r="BD85" s="1">
        <f>VLOOKUP(C85,MOQ,3,FALSE())</f>
        <v>1000.0</v>
      </c>
      <c r="BG85" s="1" t="e">
        <f t="shared" si="173"/>
        <v>#REF!</v>
      </c>
      <c r="BH85" s="1">
        <f t="shared" ref="BH85:BH96" si="277">AS85</f>
        <v>0.0</v>
      </c>
      <c r="BI85" s="1">
        <f t="shared" si="175"/>
      </c>
      <c r="BJ85" s="3" t="e">
        <f t="shared" si="176"/>
        <v>#REF!</v>
      </c>
      <c r="BK85" s="1">
        <f t="shared" ref="BK85:BK96" si="278">AT85</f>
        <v>0.0</v>
      </c>
      <c r="BL85" s="1">
        <f t="shared" si="178"/>
      </c>
      <c r="BM85" s="3" t="e">
        <f t="shared" si="179"/>
        <v>#REF!</v>
      </c>
      <c r="BN85" s="1">
        <f t="shared" ref="BN85:BN96" si="279">AU85</f>
        <v>0.0</v>
      </c>
      <c r="BP85" s="3" t="e">
        <f t="shared" si="181"/>
        <v>#REF!</v>
      </c>
      <c r="BQ85" s="1">
        <f t="shared" ref="BQ85:BQ96" si="280">AV85</f>
        <v>0.0</v>
      </c>
      <c r="BS85" s="3" t="e">
        <f t="shared" si="183"/>
        <v>#REF!</v>
      </c>
      <c r="BT85" s="1">
        <f t="shared" ref="BT85:BT96" si="281">AW85</f>
        <v>0.0</v>
      </c>
      <c r="BV85" s="3" t="e">
        <f t="shared" si="185"/>
        <v>#REF!</v>
      </c>
      <c r="BW85" s="1">
        <f t="shared" ref="BW85:BW96" si="282">AX85</f>
        <v>0.0</v>
      </c>
      <c r="BY85" s="3" t="e">
        <f t="shared" si="187"/>
        <v>#REF!</v>
      </c>
    </row>
    <row hidden="1" r="86" ht="14.0" outlineLevel="1">
      <c r="A86" s="27" t="s">
        <v>45</v>
      </c>
      <c r="B86" s="27" t="s">
        <v>151</v>
      </c>
      <c r="C86" s="27" t="s">
        <v>154</v>
      </c>
      <c r="D86" s="27" t="s">
        <v>155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7">
        <v>192.0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0.0</v>
      </c>
      <c r="AE86" s="27">
        <v>0.0</v>
      </c>
      <c r="AF86" s="27">
        <v>0.0</v>
      </c>
      <c r="AG86" s="27">
        <v>0.0</v>
      </c>
      <c r="AH86" s="27">
        <v>0.0</v>
      </c>
      <c r="AI86" s="27">
        <v>0.0</v>
      </c>
      <c r="AJ86" s="27">
        <v>0.0</v>
      </c>
      <c r="AK86" s="27">
        <v>0.0</v>
      </c>
      <c r="AL86" s="27">
        <v>0.0</v>
      </c>
      <c r="AM86" s="27">
        <v>0.0</v>
      </c>
      <c r="AN86" s="27">
        <v>0.0</v>
      </c>
      <c r="AO86" s="28">
        <f t="shared" si="159"/>
        <v>0.0</v>
      </c>
      <c r="AP86" s="28">
        <f t="shared" si="160"/>
        <v>0.0</v>
      </c>
      <c r="AQ86" s="28">
        <f t="shared" si="161"/>
        <v>0.0</v>
      </c>
      <c r="AS86" s="3">
        <f t="shared" si="233"/>
        <v>0.0</v>
      </c>
      <c r="AT86" s="3">
        <f t="shared" si="234"/>
        <v>0.0</v>
      </c>
      <c r="AU86" s="3">
        <f t="shared" si="235"/>
        <v>0.0</v>
      </c>
      <c r="AV86" s="3">
        <f t="shared" si="244"/>
        <v>0.0</v>
      </c>
      <c r="AW86" s="3">
        <f t="shared" si="245"/>
        <v>0.0</v>
      </c>
      <c r="AX86" s="3">
        <f t="shared" si="246"/>
        <v>0.0</v>
      </c>
      <c r="AY86" s="28">
        <f t="shared" si="168"/>
        <v>0.0</v>
      </c>
      <c r="AZ86" s="2" t="e">
        <f t="shared" si="169"/>
        <v>#REF!</v>
      </c>
      <c r="BC86" s="3" t="e">
        <f t="shared" si="276"/>
        <v>#REF!</v>
      </c>
      <c r="BD86" s="1">
        <f>VLOOKUP(C86,MOQ,3,FALSE())</f>
        <v>1008.0</v>
      </c>
      <c r="BE86" s="31"/>
      <c r="BG86" s="1" t="e">
        <f t="shared" si="173"/>
        <v>#REF!</v>
      </c>
      <c r="BH86" s="1">
        <f t="shared" si="277"/>
        <v>0.0</v>
      </c>
      <c r="BI86" s="1">
        <f t="shared" si="175"/>
      </c>
      <c r="BJ86" s="3" t="e">
        <f t="shared" si="176"/>
        <v>#REF!</v>
      </c>
      <c r="BK86" s="1">
        <f t="shared" si="278"/>
        <v>0.0</v>
      </c>
      <c r="BL86" s="1">
        <f t="shared" si="178"/>
      </c>
      <c r="BM86" s="3" t="e">
        <f t="shared" si="179"/>
        <v>#REF!</v>
      </c>
      <c r="BN86" s="1">
        <f t="shared" si="279"/>
        <v>0.0</v>
      </c>
      <c r="BP86" s="3" t="e">
        <f t="shared" si="181"/>
        <v>#REF!</v>
      </c>
      <c r="BQ86" s="1">
        <f t="shared" si="280"/>
        <v>0.0</v>
      </c>
      <c r="BS86" s="3" t="e">
        <f t="shared" si="183"/>
        <v>#REF!</v>
      </c>
      <c r="BT86" s="1">
        <f t="shared" si="281"/>
        <v>0.0</v>
      </c>
      <c r="BV86" s="3" t="e">
        <f t="shared" si="185"/>
        <v>#REF!</v>
      </c>
      <c r="BW86" s="1">
        <f t="shared" si="282"/>
        <v>0.0</v>
      </c>
      <c r="BY86" s="3" t="e">
        <f t="shared" si="187"/>
        <v>#REF!</v>
      </c>
    </row>
    <row hidden="1" r="87" ht="14.0" outlineLevel="1">
      <c r="A87" s="27" t="s">
        <v>45</v>
      </c>
      <c r="B87" s="27" t="s">
        <v>151</v>
      </c>
      <c r="C87" s="27" t="s">
        <v>156</v>
      </c>
      <c r="D87" s="27" t="s">
        <v>157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240.0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168.0</v>
      </c>
      <c r="AE87" s="27">
        <v>0.0</v>
      </c>
      <c r="AF87" s="27">
        <v>48.0</v>
      </c>
      <c r="AG87" s="27">
        <v>0.0</v>
      </c>
      <c r="AH87" s="27">
        <v>0.0</v>
      </c>
      <c r="AI87" s="27">
        <v>0.0</v>
      </c>
      <c r="AJ87" s="27">
        <v>0.0</v>
      </c>
      <c r="AK87" s="27">
        <v>0.0</v>
      </c>
      <c r="AL87" s="27">
        <v>0.0</v>
      </c>
      <c r="AM87" s="27">
        <v>0.0</v>
      </c>
      <c r="AN87" s="27">
        <v>0.0</v>
      </c>
      <c r="AO87" s="28">
        <f t="shared" si="159"/>
        <v>216.0</v>
      </c>
      <c r="AP87" s="28">
        <f t="shared" si="160"/>
        <v>0.0</v>
      </c>
      <c r="AQ87" s="28">
        <f t="shared" si="161"/>
        <v>0.0</v>
      </c>
      <c r="AS87" s="3">
        <f t="shared" si="233"/>
        <v>0.0</v>
      </c>
      <c r="AT87" s="3">
        <f t="shared" si="234"/>
        <v>0.0</v>
      </c>
      <c r="AU87" s="3">
        <f t="shared" si="235"/>
        <v>184.8</v>
      </c>
      <c r="AV87" s="3">
        <f t="shared" si="244"/>
        <v>0.0</v>
      </c>
      <c r="AW87" s="3">
        <f t="shared" si="245"/>
        <v>52.8</v>
      </c>
      <c r="AX87" s="3">
        <f t="shared" si="246"/>
        <v>0.0</v>
      </c>
      <c r="AY87" s="28">
        <f t="shared" si="168"/>
        <v>237.6</v>
      </c>
      <c r="AZ87" s="2" t="e">
        <f t="shared" si="169"/>
        <v>#REF!</v>
      </c>
      <c r="BC87" s="3" t="e">
        <f t="shared" si="276"/>
        <v>#REF!</v>
      </c>
      <c r="BD87" s="1">
        <f>VLOOKUP(C87,MOQ,3,FALSE())</f>
        <v>1008.0</v>
      </c>
      <c r="BE87" s="31">
        <f>BD87</f>
        <v>1008.0</v>
      </c>
      <c r="BF87" s="1" t="s">
        <v>7</v>
      </c>
      <c r="BG87" s="1" t="e">
        <f t="shared" si="173"/>
        <v>#REF!</v>
      </c>
      <c r="BH87" s="1">
        <f t="shared" si="277"/>
        <v>0.0</v>
      </c>
      <c r="BI87" s="1">
        <f t="shared" si="175"/>
      </c>
      <c r="BJ87" s="3" t="e">
        <f t="shared" si="176"/>
        <v>#REF!</v>
      </c>
      <c r="BK87" s="1">
        <f t="shared" si="278"/>
        <v>0.0</v>
      </c>
      <c r="BL87" s="1">
        <f t="shared" si="178"/>
      </c>
      <c r="BM87" s="3" t="e">
        <f t="shared" si="179"/>
        <v>#REF!</v>
      </c>
      <c r="BN87" s="1">
        <f t="shared" si="279"/>
        <v>184.8</v>
      </c>
      <c r="BP87" s="3" t="e">
        <f t="shared" si="181"/>
        <v>#REF!</v>
      </c>
      <c r="BQ87" s="1">
        <f t="shared" si="280"/>
        <v>0.0</v>
      </c>
      <c r="BS87" s="3" t="e">
        <f t="shared" si="183"/>
        <v>#REF!</v>
      </c>
      <c r="BT87" s="1">
        <f t="shared" si="281"/>
        <v>52.8</v>
      </c>
      <c r="BV87" s="3" t="e">
        <f t="shared" si="185"/>
        <v>#REF!</v>
      </c>
      <c r="BW87" s="1">
        <f t="shared" si="282"/>
        <v>0.0</v>
      </c>
      <c r="BY87" s="3" t="e">
        <f t="shared" si="187"/>
        <v>#REF!</v>
      </c>
    </row>
    <row hidden="1" r="88" ht="14.0" outlineLevel="1">
      <c r="A88" s="27" t="s">
        <v>45</v>
      </c>
      <c r="B88" s="27" t="s">
        <v>151</v>
      </c>
      <c r="C88" s="27" t="s">
        <v>158</v>
      </c>
      <c r="D88" s="27" t="s">
        <v>159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144.0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0.0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0.0</v>
      </c>
      <c r="AK88" s="27">
        <v>0.0</v>
      </c>
      <c r="AL88" s="27">
        <v>0.0</v>
      </c>
      <c r="AM88" s="27">
        <v>0.0</v>
      </c>
      <c r="AN88" s="27">
        <v>0.0</v>
      </c>
      <c r="AO88" s="28">
        <f t="shared" si="159"/>
        <v>0.0</v>
      </c>
      <c r="AP88" s="28">
        <f t="shared" si="160"/>
        <v>0.0</v>
      </c>
      <c r="AQ88" s="28">
        <f t="shared" si="161"/>
        <v>0.0</v>
      </c>
      <c r="AS88" s="3">
        <f t="shared" si="233"/>
        <v>0.0</v>
      </c>
      <c r="AT88" s="3">
        <f t="shared" si="234"/>
        <v>0.0</v>
      </c>
      <c r="AU88" s="3">
        <f t="shared" si="235"/>
        <v>0.0</v>
      </c>
      <c r="AV88" s="3">
        <f t="shared" si="244"/>
        <v>0.0</v>
      </c>
      <c r="AW88" s="3">
        <f t="shared" si="245"/>
        <v>0.0</v>
      </c>
      <c r="AX88" s="3">
        <f t="shared" si="246"/>
        <v>0.0</v>
      </c>
      <c r="AY88" s="28">
        <f t="shared" si="168"/>
        <v>0.0</v>
      </c>
      <c r="AZ88" s="2" t="e">
        <f t="shared" si="169"/>
        <v>#REF!</v>
      </c>
      <c r="BC88" s="3" t="e">
        <f t="shared" si="276"/>
        <v>#REF!</v>
      </c>
      <c r="BD88" s="1">
        <v>1008.0</v>
      </c>
      <c r="BE88" s="31"/>
      <c r="BG88" s="1" t="e">
        <f t="shared" si="173"/>
        <v>#REF!</v>
      </c>
      <c r="BH88" s="1">
        <f t="shared" si="277"/>
        <v>0.0</v>
      </c>
      <c r="BI88" s="1">
        <f t="shared" si="175"/>
      </c>
      <c r="BJ88" s="3" t="e">
        <f t="shared" si="176"/>
        <v>#REF!</v>
      </c>
      <c r="BK88" s="1">
        <f t="shared" si="278"/>
        <v>0.0</v>
      </c>
      <c r="BL88" s="1">
        <f t="shared" si="178"/>
      </c>
      <c r="BM88" s="3" t="e">
        <f t="shared" si="179"/>
        <v>#REF!</v>
      </c>
      <c r="BN88" s="1">
        <f t="shared" si="279"/>
        <v>0.0</v>
      </c>
      <c r="BP88" s="3" t="e">
        <f t="shared" si="181"/>
        <v>#REF!</v>
      </c>
      <c r="BQ88" s="1">
        <f t="shared" si="280"/>
        <v>0.0</v>
      </c>
      <c r="BS88" s="3" t="e">
        <f t="shared" si="183"/>
        <v>#REF!</v>
      </c>
      <c r="BT88" s="1">
        <f t="shared" si="281"/>
        <v>0.0</v>
      </c>
      <c r="BV88" s="3" t="e">
        <f t="shared" si="185"/>
        <v>#REF!</v>
      </c>
      <c r="BW88" s="1">
        <f t="shared" si="282"/>
        <v>0.0</v>
      </c>
      <c r="BY88" s="3" t="e">
        <f t="shared" si="187"/>
        <v>#REF!</v>
      </c>
    </row>
    <row hidden="1" r="89" ht="14.0" outlineLevel="1">
      <c r="A89" s="27" t="s">
        <v>45</v>
      </c>
      <c r="B89" s="27" t="s">
        <v>151</v>
      </c>
      <c r="C89" s="27" t="s">
        <v>160</v>
      </c>
      <c r="D89" s="27" t="s">
        <v>161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144.0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0.0</v>
      </c>
      <c r="AE89" s="27">
        <v>47.0</v>
      </c>
      <c r="AF89" s="27">
        <v>-1.0</v>
      </c>
      <c r="AG89" s="27">
        <v>0.0</v>
      </c>
      <c r="AH89" s="27">
        <v>16.0</v>
      </c>
      <c r="AI89" s="27">
        <v>16.0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8">
        <f t="shared" si="159"/>
        <v>78.0</v>
      </c>
      <c r="AP89" s="28">
        <f t="shared" si="160"/>
        <v>32.0</v>
      </c>
      <c r="AQ89" s="28">
        <f t="shared" si="161"/>
        <v>35.2</v>
      </c>
      <c r="AS89" s="3">
        <f t="shared" si="233"/>
        <v>0.0</v>
      </c>
      <c r="AT89" s="3">
        <f t="shared" si="234"/>
        <v>0.0</v>
      </c>
      <c r="AU89" s="3">
        <f t="shared" si="235"/>
        <v>0.0</v>
      </c>
      <c r="AV89" s="3">
        <f t="shared" si="244"/>
        <v>51.7</v>
      </c>
      <c r="AW89" s="3">
        <f t="shared" si="245"/>
        <v>-1.1</v>
      </c>
      <c r="AX89" s="3">
        <f t="shared" si="246"/>
        <v>0.0</v>
      </c>
      <c r="AY89" s="28">
        <f t="shared" si="168"/>
        <v>50.6</v>
      </c>
      <c r="AZ89" s="2" t="e">
        <f t="shared" si="169"/>
        <v>#REF!</v>
      </c>
      <c r="BC89" s="3" t="e">
        <f t="shared" si="276"/>
        <v>#REF!</v>
      </c>
      <c r="BD89" s="1">
        <f>VLOOKUP(C89,MOQ,3,FALSE())</f>
        <v>1000.0</v>
      </c>
      <c r="BE89" s="31">
        <f>BD89</f>
        <v>1000.0</v>
      </c>
      <c r="BF89" s="1" t="s">
        <v>8</v>
      </c>
      <c r="BG89" s="1" t="e">
        <f t="shared" si="173"/>
        <v>#REF!</v>
      </c>
      <c r="BH89" s="1">
        <f t="shared" si="277"/>
        <v>0.0</v>
      </c>
      <c r="BI89" s="1">
        <f t="shared" si="175"/>
      </c>
      <c r="BJ89" s="3" t="e">
        <f t="shared" si="176"/>
        <v>#REF!</v>
      </c>
      <c r="BK89" s="1">
        <f t="shared" si="278"/>
        <v>0.0</v>
      </c>
      <c r="BL89" s="1">
        <f t="shared" si="178"/>
      </c>
      <c r="BM89" s="3" t="e">
        <f t="shared" si="179"/>
        <v>#REF!</v>
      </c>
      <c r="BN89" s="1">
        <f t="shared" si="279"/>
        <v>0.0</v>
      </c>
      <c r="BP89" s="3" t="e">
        <f t="shared" si="181"/>
        <v>#REF!</v>
      </c>
      <c r="BQ89" s="1">
        <f t="shared" si="280"/>
        <v>51.7</v>
      </c>
      <c r="BS89" s="3" t="e">
        <f t="shared" si="183"/>
        <v>#REF!</v>
      </c>
      <c r="BT89" s="1">
        <f t="shared" si="281"/>
        <v>-1.1</v>
      </c>
      <c r="BV89" s="3" t="e">
        <f t="shared" si="185"/>
        <v>#REF!</v>
      </c>
      <c r="BW89" s="1">
        <f t="shared" si="282"/>
        <v>0.0</v>
      </c>
      <c r="BY89" s="3" t="e">
        <f t="shared" si="187"/>
        <v>#REF!</v>
      </c>
    </row>
    <row hidden="1" r="90" ht="14.0" outlineLevel="1">
      <c r="A90" s="27" t="s">
        <v>150</v>
      </c>
      <c r="B90" s="27" t="s">
        <v>151</v>
      </c>
      <c r="C90" s="27" t="s">
        <v>162</v>
      </c>
      <c r="D90" s="27" t="s">
        <v>163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144.0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0.0</v>
      </c>
      <c r="AE90" s="27">
        <v>31.0</v>
      </c>
      <c r="AF90" s="27">
        <v>0.0</v>
      </c>
      <c r="AG90" s="27">
        <v>0.0</v>
      </c>
      <c r="AH90" s="27">
        <v>0.0</v>
      </c>
      <c r="AI90" s="27">
        <v>8.0</v>
      </c>
      <c r="AJ90" s="27">
        <v>8.0</v>
      </c>
      <c r="AK90" s="27">
        <v>24.0</v>
      </c>
      <c r="AL90" s="27">
        <v>0.0</v>
      </c>
      <c r="AM90" s="27">
        <v>0.0</v>
      </c>
      <c r="AN90" s="27">
        <v>0.0</v>
      </c>
      <c r="AO90" s="28">
        <f t="shared" si="159"/>
        <v>71.0</v>
      </c>
      <c r="AP90" s="28">
        <f t="shared" si="160"/>
        <v>40.0</v>
      </c>
      <c r="AQ90" s="28">
        <f t="shared" si="161"/>
        <v>44.0</v>
      </c>
      <c r="AS90" s="3">
        <f t="shared" si="233"/>
        <v>0.0</v>
      </c>
      <c r="AT90" s="3">
        <f t="shared" si="234"/>
        <v>0.0</v>
      </c>
      <c r="AU90" s="3">
        <f t="shared" si="235"/>
        <v>0.0</v>
      </c>
      <c r="AV90" s="3">
        <f t="shared" si="244"/>
        <v>34.1</v>
      </c>
      <c r="AW90" s="3">
        <f t="shared" si="245"/>
        <v>0.0</v>
      </c>
      <c r="AX90" s="3">
        <f t="shared" si="246"/>
        <v>0.0</v>
      </c>
      <c r="AY90" s="28">
        <f t="shared" si="168"/>
        <v>34.1</v>
      </c>
      <c r="AZ90" s="2" t="e">
        <f t="shared" si="169"/>
        <v>#REF!</v>
      </c>
      <c r="BC90" s="3" t="e">
        <f t="shared" si="276"/>
        <v>#REF!</v>
      </c>
      <c r="BD90" s="1">
        <f>VLOOKUP(C90,MOQ,3,FALSE())</f>
        <v>1008.0</v>
      </c>
      <c r="BG90" s="1" t="e">
        <f t="shared" si="173"/>
        <v>#REF!</v>
      </c>
      <c r="BH90" s="1">
        <f t="shared" si="277"/>
        <v>0.0</v>
      </c>
      <c r="BI90" s="1">
        <f t="shared" si="175"/>
      </c>
      <c r="BJ90" s="3" t="e">
        <f t="shared" si="176"/>
        <v>#REF!</v>
      </c>
      <c r="BK90" s="1">
        <f t="shared" si="278"/>
        <v>0.0</v>
      </c>
      <c r="BL90" s="1">
        <f t="shared" si="178"/>
      </c>
      <c r="BM90" s="3" t="e">
        <f t="shared" si="179"/>
        <v>#REF!</v>
      </c>
      <c r="BN90" s="1">
        <f t="shared" si="279"/>
        <v>0.0</v>
      </c>
      <c r="BP90" s="3" t="e">
        <f t="shared" si="181"/>
        <v>#REF!</v>
      </c>
      <c r="BQ90" s="1">
        <f t="shared" si="280"/>
        <v>34.1</v>
      </c>
      <c r="BS90" s="3" t="e">
        <f t="shared" si="183"/>
        <v>#REF!</v>
      </c>
      <c r="BT90" s="1">
        <f t="shared" si="281"/>
        <v>0.0</v>
      </c>
      <c r="BV90" s="3" t="e">
        <f t="shared" si="185"/>
        <v>#REF!</v>
      </c>
      <c r="BW90" s="1">
        <f t="shared" si="282"/>
        <v>0.0</v>
      </c>
      <c r="BY90" s="3" t="e">
        <f t="shared" si="187"/>
        <v>#REF!</v>
      </c>
    </row>
    <row hidden="1" r="91" ht="14.0" outlineLevel="1">
      <c r="A91" s="27" t="s">
        <v>45</v>
      </c>
      <c r="B91" s="27" t="s">
        <v>151</v>
      </c>
      <c r="C91" s="27" t="s">
        <v>164</v>
      </c>
      <c r="D91" s="27" t="s">
        <v>165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0.0</v>
      </c>
      <c r="AE91" s="27">
        <v>0.0</v>
      </c>
      <c r="AF91" s="27">
        <v>1.0</v>
      </c>
      <c r="AG91" s="27">
        <v>224.0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8">
        <f t="shared" si="159"/>
        <v>225.0</v>
      </c>
      <c r="AP91" s="28">
        <f t="shared" si="160"/>
        <v>0.0</v>
      </c>
      <c r="AQ91" s="28">
        <f t="shared" si="161"/>
        <v>0.0</v>
      </c>
      <c r="AS91" s="3">
        <f t="shared" si="233"/>
        <v>0.0</v>
      </c>
      <c r="AT91" s="3">
        <f t="shared" si="234"/>
        <v>0.0</v>
      </c>
      <c r="AU91" s="3">
        <f t="shared" si="235"/>
        <v>0.0</v>
      </c>
      <c r="AV91" s="3">
        <f t="shared" si="244"/>
        <v>0.0</v>
      </c>
      <c r="AW91" s="3">
        <f t="shared" si="245"/>
        <v>1.1</v>
      </c>
      <c r="AX91" s="3">
        <f t="shared" si="246"/>
        <v>246.4</v>
      </c>
      <c r="AY91" s="28">
        <f t="shared" si="168"/>
        <v>247.5</v>
      </c>
      <c r="AZ91" s="2" t="e">
        <f t="shared" si="169"/>
        <v>#REF!</v>
      </c>
      <c r="BC91" s="3" t="e">
        <f t="shared" si="276"/>
        <v>#REF!</v>
      </c>
      <c r="BD91" s="1">
        <f>VLOOKUP(C91,MOQ,3,FALSE())</f>
        <v>1002.0</v>
      </c>
      <c r="BE91" s="31">
        <f>BD91</f>
        <v>1002.0</v>
      </c>
      <c r="BF91" s="1" t="s">
        <v>10</v>
      </c>
      <c r="BG91" s="1" t="e">
        <f t="shared" si="173"/>
        <v>#REF!</v>
      </c>
      <c r="BH91" s="1">
        <f t="shared" si="277"/>
        <v>0.0</v>
      </c>
      <c r="BI91" s="1">
        <f t="shared" si="175"/>
      </c>
      <c r="BJ91" s="3" t="e">
        <f t="shared" si="176"/>
        <v>#REF!</v>
      </c>
      <c r="BK91" s="1">
        <f t="shared" si="278"/>
        <v>0.0</v>
      </c>
      <c r="BL91" s="1">
        <f t="shared" si="178"/>
      </c>
      <c r="BM91" s="3" t="e">
        <f t="shared" si="179"/>
        <v>#REF!</v>
      </c>
      <c r="BN91" s="1">
        <f t="shared" si="279"/>
        <v>0.0</v>
      </c>
      <c r="BP91" s="3" t="e">
        <f t="shared" si="181"/>
        <v>#REF!</v>
      </c>
      <c r="BQ91" s="1">
        <f t="shared" si="280"/>
        <v>0.0</v>
      </c>
      <c r="BS91" s="3" t="e">
        <f t="shared" si="183"/>
        <v>#REF!</v>
      </c>
      <c r="BT91" s="1">
        <f t="shared" si="281"/>
        <v>1.1</v>
      </c>
      <c r="BV91" s="3" t="e">
        <f t="shared" si="185"/>
        <v>#REF!</v>
      </c>
      <c r="BW91" s="1">
        <f t="shared" si="282"/>
        <v>246.4</v>
      </c>
      <c r="BY91" s="3" t="e">
        <f t="shared" si="187"/>
        <v>#REF!</v>
      </c>
    </row>
    <row hidden="1" r="92" ht="14.0" outlineLevel="1">
      <c r="A92" s="27" t="s">
        <v>150</v>
      </c>
      <c r="B92" s="27" t="s">
        <v>166</v>
      </c>
      <c r="C92" s="27" t="s">
        <v>167</v>
      </c>
      <c r="D92" s="27" t="s">
        <v>168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0.0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1.0</v>
      </c>
      <c r="AG92" s="27">
        <v>60.0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8">
        <f t="shared" si="159"/>
        <v>61.0</v>
      </c>
      <c r="AP92" s="28">
        <f t="shared" si="160"/>
        <v>0.0</v>
      </c>
      <c r="AQ92" s="28">
        <f t="shared" si="161"/>
        <v>0.0</v>
      </c>
      <c r="AS92" s="3">
        <f t="shared" si="233"/>
        <v>0.0</v>
      </c>
      <c r="AT92" s="3">
        <f t="shared" si="234"/>
        <v>0.0</v>
      </c>
      <c r="AU92" s="3">
        <f t="shared" si="235"/>
        <v>0.0</v>
      </c>
      <c r="AV92" s="3">
        <f t="shared" si="244"/>
        <v>0.0</v>
      </c>
      <c r="AW92" s="3">
        <f t="shared" si="245"/>
        <v>1.1</v>
      </c>
      <c r="AX92" s="3">
        <f t="shared" si="246"/>
        <v>66.0</v>
      </c>
      <c r="AY92" s="28">
        <f t="shared" si="168"/>
        <v>67.1</v>
      </c>
      <c r="AZ92" s="2" t="e">
        <f t="shared" si="169"/>
        <v>#REF!</v>
      </c>
      <c r="BC92" s="3" t="e">
        <f t="shared" si="276"/>
        <v>#REF!</v>
      </c>
      <c r="BD92" s="1">
        <v>1002.0</v>
      </c>
      <c r="BG92" s="1" t="e">
        <f t="shared" si="173"/>
        <v>#REF!</v>
      </c>
      <c r="BH92" s="1">
        <f t="shared" si="277"/>
        <v>0.0</v>
      </c>
      <c r="BI92" s="1">
        <f t="shared" si="175"/>
      </c>
      <c r="BJ92" s="3" t="e">
        <f t="shared" si="176"/>
        <v>#REF!</v>
      </c>
      <c r="BK92" s="1">
        <f t="shared" si="278"/>
        <v>0.0</v>
      </c>
      <c r="BL92" s="1">
        <f t="shared" si="178"/>
      </c>
      <c r="BM92" s="3" t="e">
        <f t="shared" si="179"/>
        <v>#REF!</v>
      </c>
      <c r="BN92" s="1">
        <f t="shared" si="279"/>
        <v>0.0</v>
      </c>
      <c r="BP92" s="3" t="e">
        <f t="shared" si="181"/>
        <v>#REF!</v>
      </c>
      <c r="BQ92" s="1">
        <f t="shared" si="280"/>
        <v>0.0</v>
      </c>
      <c r="BS92" s="3" t="e">
        <f t="shared" si="183"/>
        <v>#REF!</v>
      </c>
      <c r="BT92" s="1">
        <f t="shared" si="281"/>
        <v>1.1</v>
      </c>
      <c r="BV92" s="3" t="e">
        <f t="shared" si="185"/>
        <v>#REF!</v>
      </c>
      <c r="BW92" s="1">
        <f t="shared" si="282"/>
        <v>66.0</v>
      </c>
      <c r="BY92" s="3" t="e">
        <f t="shared" si="187"/>
        <v>#REF!</v>
      </c>
    </row>
    <row hidden="1" r="93" ht="14.0" outlineLevel="1">
      <c r="A93" s="27" t="s">
        <v>169</v>
      </c>
      <c r="B93" s="27" t="s">
        <v>170</v>
      </c>
      <c r="C93" s="27" t="s">
        <v>171</v>
      </c>
      <c r="D93" s="27" t="s">
        <v>172</v>
      </c>
      <c r="E93" s="27">
        <v>24.0</v>
      </c>
      <c r="F93" s="27">
        <v>0.0</v>
      </c>
      <c r="G93" s="27">
        <v>192.0</v>
      </c>
      <c r="H93" s="27">
        <v>21.0</v>
      </c>
      <c r="I93" s="27">
        <v>24.0</v>
      </c>
      <c r="J93" s="27">
        <v>0.0</v>
      </c>
      <c r="K93" s="27">
        <v>24.0</v>
      </c>
      <c r="L93" s="27">
        <v>24.0</v>
      </c>
      <c r="M93" s="27">
        <v>48.0</v>
      </c>
      <c r="N93" s="27">
        <v>24.0</v>
      </c>
      <c r="O93" s="27">
        <v>0.0</v>
      </c>
      <c r="P93" s="27">
        <v>24.0</v>
      </c>
      <c r="Q93" s="27">
        <v>24.0</v>
      </c>
      <c r="R93" s="27">
        <v>24.0</v>
      </c>
      <c r="S93" s="27">
        <v>192.0</v>
      </c>
      <c r="T93" s="27">
        <v>0.0</v>
      </c>
      <c r="U93" s="27">
        <v>48.0</v>
      </c>
      <c r="V93" s="27">
        <v>0.0</v>
      </c>
      <c r="W93" s="27">
        <v>24.0</v>
      </c>
      <c r="X93" s="27">
        <v>24.0</v>
      </c>
      <c r="Y93" s="27">
        <v>24.0</v>
      </c>
      <c r="Z93" s="27">
        <v>24.0</v>
      </c>
      <c r="AA93" s="27">
        <v>0.0</v>
      </c>
      <c r="AB93" s="27">
        <v>24.0</v>
      </c>
      <c r="AC93" s="27">
        <v>24.0</v>
      </c>
      <c r="AD93" s="27">
        <v>0.0</v>
      </c>
      <c r="AE93" s="27">
        <v>24.0</v>
      </c>
      <c r="AF93" s="27">
        <v>168.0</v>
      </c>
      <c r="AG93" s="27">
        <v>120.0</v>
      </c>
      <c r="AH93" s="27">
        <v>24.0</v>
      </c>
      <c r="AI93" s="27">
        <v>48.0</v>
      </c>
      <c r="AJ93" s="27">
        <v>72.0</v>
      </c>
      <c r="AK93" s="27">
        <v>144.0</v>
      </c>
      <c r="AL93" s="27">
        <v>24.0</v>
      </c>
      <c r="AM93" s="27">
        <v>24.0</v>
      </c>
      <c r="AN93" s="27">
        <v>24.0</v>
      </c>
      <c r="AO93" s="28">
        <f t="shared" si="159"/>
        <v>696.0</v>
      </c>
      <c r="AP93" s="28">
        <f t="shared" si="160"/>
        <v>336.0</v>
      </c>
      <c r="AQ93" s="28">
        <f t="shared" si="161"/>
        <v>369.6</v>
      </c>
      <c r="AS93" s="3">
        <f t="shared" si="233"/>
        <v>26.4</v>
      </c>
      <c r="AT93" s="3">
        <f t="shared" si="234"/>
        <v>26.4</v>
      </c>
      <c r="AU93" s="3">
        <f t="shared" si="235"/>
        <v>0.0</v>
      </c>
      <c r="AV93" s="3">
        <f t="shared" si="244"/>
        <v>26.4</v>
      </c>
      <c r="AW93" s="3">
        <f t="shared" si="245"/>
        <v>184.8</v>
      </c>
      <c r="AX93" s="3">
        <f t="shared" si="246"/>
        <v>132.0</v>
      </c>
      <c r="AY93" s="28">
        <f t="shared" si="168"/>
        <v>396.0</v>
      </c>
      <c r="AZ93" s="2" t="e">
        <f t="shared" si="169"/>
        <v>#REF!</v>
      </c>
      <c r="BA93" s="1" t="e">
        <f t="shared" ref="BA93:BA96" si="287">VLOOKUP(C93,FYTM1,3,false)</f>
        <v>#REF!</v>
      </c>
      <c r="BB93" s="1" t="e">
        <f t="shared" ref="BB93:BB94" si="288">VLOOKUP(C93,FYTM2,3,false)</f>
        <v>#REF!</v>
      </c>
      <c r="BC93" s="3" t="e">
        <f t="shared" si="276"/>
        <v>#REF!</v>
      </c>
      <c r="BD93" s="1">
        <f>VLOOKUP(C93,MOQ,3,FALSE())</f>
        <v>200.0</v>
      </c>
      <c r="BG93" s="1" t="e">
        <f t="shared" si="173"/>
        <v>#REF!</v>
      </c>
      <c r="BH93" s="1">
        <f t="shared" si="277"/>
        <v>26.4</v>
      </c>
      <c r="BI93" s="1" t="e">
        <f t="shared" si="175"/>
        <v>#REF!</v>
      </c>
      <c r="BJ93" s="3" t="e">
        <f t="shared" si="176"/>
        <v>#REF!</v>
      </c>
      <c r="BK93" s="1">
        <f t="shared" si="278"/>
        <v>26.4</v>
      </c>
      <c r="BL93" s="1" t="e">
        <f t="shared" si="178"/>
        <v>#REF!</v>
      </c>
      <c r="BM93" s="3" t="e">
        <f t="shared" si="179"/>
        <v>#REF!</v>
      </c>
      <c r="BN93" s="1">
        <f t="shared" si="279"/>
        <v>0.0</v>
      </c>
      <c r="BP93" s="3" t="e">
        <f t="shared" si="181"/>
        <v>#REF!</v>
      </c>
      <c r="BQ93" s="1">
        <f t="shared" si="280"/>
        <v>26.4</v>
      </c>
      <c r="BS93" s="3" t="e">
        <f t="shared" si="183"/>
        <v>#REF!</v>
      </c>
      <c r="BT93" s="1">
        <f t="shared" si="281"/>
        <v>184.8</v>
      </c>
      <c r="BV93" s="3" t="e">
        <f t="shared" si="185"/>
        <v>#REF!</v>
      </c>
      <c r="BW93" s="1">
        <f t="shared" si="282"/>
        <v>132.0</v>
      </c>
      <c r="BY93" s="3" t="e">
        <f t="shared" si="187"/>
        <v>#REF!</v>
      </c>
    </row>
    <row hidden="1" r="94" ht="14.0" outlineLevel="1">
      <c r="A94" s="27" t="s">
        <v>169</v>
      </c>
      <c r="B94" s="27" t="s">
        <v>170</v>
      </c>
      <c r="C94" s="27" t="s">
        <v>173</v>
      </c>
      <c r="D94" s="27" t="s">
        <v>174</v>
      </c>
      <c r="E94" s="27">
        <v>24.0</v>
      </c>
      <c r="F94" s="27">
        <v>24.0</v>
      </c>
      <c r="G94" s="27">
        <v>192.0</v>
      </c>
      <c r="H94" s="27">
        <v>0.0</v>
      </c>
      <c r="I94" s="27">
        <v>24.0</v>
      </c>
      <c r="J94" s="27">
        <v>0.0</v>
      </c>
      <c r="K94" s="27">
        <v>24.0</v>
      </c>
      <c r="L94" s="27">
        <v>72.0</v>
      </c>
      <c r="M94" s="27">
        <v>24.0</v>
      </c>
      <c r="N94" s="27">
        <v>24.0</v>
      </c>
      <c r="O94" s="27">
        <v>24.0</v>
      </c>
      <c r="P94" s="27">
        <v>24.0</v>
      </c>
      <c r="Q94" s="27">
        <v>24.0</v>
      </c>
      <c r="R94" s="27">
        <v>24.0</v>
      </c>
      <c r="S94" s="27">
        <v>192.0</v>
      </c>
      <c r="T94" s="27">
        <v>0.0</v>
      </c>
      <c r="U94" s="27">
        <v>24.0</v>
      </c>
      <c r="V94" s="27">
        <v>0.0</v>
      </c>
      <c r="W94" s="27">
        <v>24.0</v>
      </c>
      <c r="X94" s="27">
        <v>24.0</v>
      </c>
      <c r="Y94" s="27">
        <v>48.0</v>
      </c>
      <c r="Z94" s="27">
        <v>24.0</v>
      </c>
      <c r="AA94" s="27">
        <v>0.0</v>
      </c>
      <c r="AB94" s="27">
        <v>24.0</v>
      </c>
      <c r="AC94" s="27">
        <v>24.0</v>
      </c>
      <c r="AD94" s="27">
        <v>24.0</v>
      </c>
      <c r="AE94" s="27">
        <v>0.0</v>
      </c>
      <c r="AF94" s="27">
        <v>120.0</v>
      </c>
      <c r="AG94" s="27">
        <v>48.0</v>
      </c>
      <c r="AH94" s="27">
        <v>24.0</v>
      </c>
      <c r="AI94" s="27">
        <v>24.0</v>
      </c>
      <c r="AJ94" s="27">
        <v>48.0</v>
      </c>
      <c r="AK94" s="27">
        <v>96.0</v>
      </c>
      <c r="AL94" s="27">
        <v>0.0</v>
      </c>
      <c r="AM94" s="27">
        <v>24.0</v>
      </c>
      <c r="AN94" s="27">
        <v>0.0</v>
      </c>
      <c r="AO94" s="28">
        <f t="shared" si="159"/>
        <v>456.0</v>
      </c>
      <c r="AP94" s="28">
        <f t="shared" si="160"/>
        <v>216.0</v>
      </c>
      <c r="AQ94" s="28">
        <f t="shared" si="161"/>
        <v>237.6</v>
      </c>
      <c r="AS94" s="3">
        <f t="shared" si="233"/>
        <v>26.4</v>
      </c>
      <c r="AT94" s="3">
        <f t="shared" si="234"/>
        <v>26.4</v>
      </c>
      <c r="AU94" s="3">
        <f t="shared" si="235"/>
        <v>26.4</v>
      </c>
      <c r="AV94" s="3">
        <f t="shared" si="244"/>
        <v>0.0</v>
      </c>
      <c r="AW94" s="3">
        <f t="shared" si="245"/>
        <v>132.0</v>
      </c>
      <c r="AX94" s="3">
        <f t="shared" si="246"/>
        <v>52.8</v>
      </c>
      <c r="AY94" s="28">
        <f t="shared" si="168"/>
        <v>264.0</v>
      </c>
      <c r="AZ94" s="2" t="e">
        <f t="shared" si="169"/>
        <v>#REF!</v>
      </c>
      <c r="BA94" s="1" t="e">
        <f t="shared" si="287"/>
        <v>#REF!</v>
      </c>
      <c r="BB94" s="1" t="e">
        <f t="shared" si="288"/>
        <v>#REF!</v>
      </c>
      <c r="BC94" s="3" t="e">
        <f t="shared" si="276"/>
        <v>#REF!</v>
      </c>
      <c r="BD94" s="1">
        <f>VLOOKUP(C94,MOQ,3,FALSE())</f>
        <v>200.0</v>
      </c>
      <c r="BG94" s="1" t="e">
        <f t="shared" si="173"/>
        <v>#REF!</v>
      </c>
      <c r="BH94" s="1">
        <f t="shared" si="277"/>
        <v>26.4</v>
      </c>
      <c r="BI94" s="1" t="e">
        <f t="shared" si="175"/>
        <v>#REF!</v>
      </c>
      <c r="BJ94" s="3" t="e">
        <f t="shared" si="176"/>
        <v>#REF!</v>
      </c>
      <c r="BK94" s="1">
        <f t="shared" si="278"/>
        <v>26.4</v>
      </c>
      <c r="BL94" s="1" t="e">
        <f t="shared" si="178"/>
        <v>#REF!</v>
      </c>
      <c r="BM94" s="3" t="e">
        <f t="shared" si="179"/>
        <v>#REF!</v>
      </c>
      <c r="BN94" s="1">
        <f t="shared" si="279"/>
        <v>26.4</v>
      </c>
      <c r="BP94" s="3" t="e">
        <f t="shared" si="181"/>
        <v>#REF!</v>
      </c>
      <c r="BQ94" s="1">
        <f t="shared" si="280"/>
        <v>0.0</v>
      </c>
      <c r="BS94" s="3" t="e">
        <f t="shared" si="183"/>
        <v>#REF!</v>
      </c>
      <c r="BT94" s="1">
        <f t="shared" si="281"/>
        <v>132.0</v>
      </c>
      <c r="BV94" s="3" t="e">
        <f t="shared" si="185"/>
        <v>#REF!</v>
      </c>
      <c r="BW94" s="1">
        <f t="shared" si="282"/>
        <v>52.8</v>
      </c>
      <c r="BY94" s="3" t="e">
        <f t="shared" si="187"/>
        <v>#REF!</v>
      </c>
    </row>
    <row hidden="1" r="95" ht="14.0" outlineLevel="1">
      <c r="A95" s="27" t="s">
        <v>169</v>
      </c>
      <c r="B95" s="27" t="s">
        <v>170</v>
      </c>
      <c r="C95" s="27" t="s">
        <v>175</v>
      </c>
      <c r="D95" s="27" t="s">
        <v>176</v>
      </c>
      <c r="E95" s="27">
        <v>23.0</v>
      </c>
      <c r="F95" s="27">
        <v>24.0</v>
      </c>
      <c r="G95" s="27">
        <v>24.0</v>
      </c>
      <c r="H95" s="27">
        <v>24.0</v>
      </c>
      <c r="I95" s="27">
        <v>24.0</v>
      </c>
      <c r="J95" s="27">
        <v>24.0</v>
      </c>
      <c r="K95" s="27">
        <v>0.0</v>
      </c>
      <c r="L95" s="27">
        <v>96.0</v>
      </c>
      <c r="M95" s="27">
        <v>24.0</v>
      </c>
      <c r="N95" s="27">
        <v>48.0</v>
      </c>
      <c r="O95" s="27">
        <v>24.0</v>
      </c>
      <c r="P95" s="27">
        <v>216.0</v>
      </c>
      <c r="Q95" s="27">
        <v>24.0</v>
      </c>
      <c r="R95" s="27">
        <v>24.0</v>
      </c>
      <c r="S95" s="27">
        <v>24.0</v>
      </c>
      <c r="T95" s="27">
        <v>24.0</v>
      </c>
      <c r="U95" s="27">
        <v>24.0</v>
      </c>
      <c r="V95" s="27">
        <v>24.0</v>
      </c>
      <c r="W95" s="27">
        <v>24.0</v>
      </c>
      <c r="X95" s="27">
        <v>96.0</v>
      </c>
      <c r="Y95" s="27">
        <v>48.0</v>
      </c>
      <c r="Z95" s="27">
        <v>24.0</v>
      </c>
      <c r="AA95" s="27">
        <v>240.0</v>
      </c>
      <c r="AB95" s="27">
        <v>0.0</v>
      </c>
      <c r="AC95" s="27">
        <v>0.0</v>
      </c>
      <c r="AD95" s="27">
        <v>24.0</v>
      </c>
      <c r="AE95" s="27">
        <v>0.0</v>
      </c>
      <c r="AF95" s="27">
        <v>48.0</v>
      </c>
      <c r="AG95" s="27">
        <v>24.0</v>
      </c>
      <c r="AH95" s="27">
        <v>24.0</v>
      </c>
      <c r="AI95" s="27">
        <v>24.0</v>
      </c>
      <c r="AJ95" s="27">
        <v>72.0</v>
      </c>
      <c r="AK95" s="27">
        <v>144.0</v>
      </c>
      <c r="AL95" s="27">
        <v>12.0</v>
      </c>
      <c r="AM95" s="27">
        <v>24.0</v>
      </c>
      <c r="AN95" s="27">
        <v>216.0</v>
      </c>
      <c r="AO95" s="28">
        <f t="shared" si="159"/>
        <v>636.0</v>
      </c>
      <c r="AP95" s="28">
        <f t="shared" si="160"/>
        <v>300.0</v>
      </c>
      <c r="AQ95" s="28">
        <f t="shared" si="161"/>
        <v>330.0</v>
      </c>
      <c r="AS95" s="3">
        <f t="shared" si="233"/>
        <v>0.0</v>
      </c>
      <c r="AT95" s="3">
        <f t="shared" si="234"/>
        <v>0.0</v>
      </c>
      <c r="AU95" s="3">
        <f t="shared" si="235"/>
        <v>26.4</v>
      </c>
      <c r="AV95" s="3">
        <f t="shared" si="244"/>
        <v>0.0</v>
      </c>
      <c r="AW95" s="3">
        <f t="shared" si="245"/>
        <v>52.8</v>
      </c>
      <c r="AX95" s="3">
        <f t="shared" si="246"/>
        <v>26.4</v>
      </c>
      <c r="AY95" s="28">
        <f t="shared" si="168"/>
        <v>105.6</v>
      </c>
      <c r="AZ95" s="2" t="e">
        <f t="shared" si="169"/>
        <v>#REF!</v>
      </c>
      <c r="BA95" s="1" t="e">
        <f t="shared" si="287"/>
        <v>#REF!</v>
      </c>
      <c r="BC95" s="3" t="e">
        <f t="shared" si="276"/>
        <v>#REF!</v>
      </c>
      <c r="BD95" s="1">
        <f>VLOOKUP(C95,MOQ,3,FALSE())</f>
        <v>120.0</v>
      </c>
      <c r="BG95" s="1" t="e">
        <f t="shared" si="173"/>
        <v>#REF!</v>
      </c>
      <c r="BH95" s="1">
        <f t="shared" si="277"/>
        <v>0.0</v>
      </c>
      <c r="BI95" s="1" t="e">
        <f t="shared" si="175"/>
        <v>#REF!</v>
      </c>
      <c r="BJ95" s="3" t="e">
        <f t="shared" si="176"/>
        <v>#REF!</v>
      </c>
      <c r="BK95" s="1">
        <f t="shared" si="278"/>
        <v>0.0</v>
      </c>
      <c r="BL95" s="1">
        <f t="shared" si="178"/>
      </c>
      <c r="BM95" s="3" t="e">
        <f t="shared" si="179"/>
        <v>#REF!</v>
      </c>
      <c r="BN95" s="1">
        <f t="shared" si="279"/>
        <v>26.4</v>
      </c>
      <c r="BP95" s="3" t="e">
        <f t="shared" si="181"/>
        <v>#REF!</v>
      </c>
      <c r="BQ95" s="1">
        <f t="shared" si="280"/>
        <v>0.0</v>
      </c>
      <c r="BS95" s="3" t="e">
        <f t="shared" si="183"/>
        <v>#REF!</v>
      </c>
      <c r="BT95" s="1">
        <f t="shared" si="281"/>
        <v>52.8</v>
      </c>
      <c r="BV95" s="3" t="e">
        <f t="shared" si="185"/>
        <v>#REF!</v>
      </c>
      <c r="BW95" s="1">
        <f t="shared" si="282"/>
        <v>26.4</v>
      </c>
      <c r="BY95" s="3" t="e">
        <f t="shared" si="187"/>
        <v>#REF!</v>
      </c>
    </row>
    <row hidden="1" r="96" ht="14.0" outlineLevel="1">
      <c r="A96" s="27" t="s">
        <v>169</v>
      </c>
      <c r="B96" s="27" t="s">
        <v>170</v>
      </c>
      <c r="C96" s="27" t="s">
        <v>177</v>
      </c>
      <c r="D96" s="27" t="s">
        <v>178</v>
      </c>
      <c r="E96" s="27">
        <v>24.0</v>
      </c>
      <c r="F96" s="27">
        <v>24.0</v>
      </c>
      <c r="G96" s="27">
        <v>0.0</v>
      </c>
      <c r="H96" s="27">
        <v>24.0</v>
      </c>
      <c r="I96" s="27">
        <v>24.0</v>
      </c>
      <c r="J96" s="27">
        <v>24.0</v>
      </c>
      <c r="K96" s="27">
        <v>24.0</v>
      </c>
      <c r="L96" s="27">
        <v>72.0</v>
      </c>
      <c r="M96" s="27">
        <v>48.0</v>
      </c>
      <c r="N96" s="27">
        <v>48.0</v>
      </c>
      <c r="O96" s="27">
        <v>24.0</v>
      </c>
      <c r="P96" s="27">
        <v>240.0</v>
      </c>
      <c r="Q96" s="27">
        <v>48.0</v>
      </c>
      <c r="R96" s="27">
        <v>24.0</v>
      </c>
      <c r="S96" s="27">
        <v>24.0</v>
      </c>
      <c r="T96" s="27">
        <v>24.0</v>
      </c>
      <c r="U96" s="27">
        <v>48.0</v>
      </c>
      <c r="V96" s="27">
        <v>24.0</v>
      </c>
      <c r="W96" s="27">
        <v>0.0</v>
      </c>
      <c r="X96" s="27">
        <v>72.0</v>
      </c>
      <c r="Y96" s="27">
        <v>48.0</v>
      </c>
      <c r="Z96" s="27">
        <v>72.0</v>
      </c>
      <c r="AA96" s="27">
        <v>240.0</v>
      </c>
      <c r="AB96" s="27">
        <v>0.0</v>
      </c>
      <c r="AC96" s="27">
        <v>24.0</v>
      </c>
      <c r="AD96" s="27">
        <v>0.0</v>
      </c>
      <c r="AE96" s="27">
        <v>48.0</v>
      </c>
      <c r="AF96" s="27">
        <v>24.0</v>
      </c>
      <c r="AG96" s="27">
        <v>72.0</v>
      </c>
      <c r="AH96" s="27">
        <v>24.0</v>
      </c>
      <c r="AI96" s="27">
        <v>48.0</v>
      </c>
      <c r="AJ96" s="27">
        <v>120.0</v>
      </c>
      <c r="AK96" s="27">
        <v>120.0</v>
      </c>
      <c r="AL96" s="27">
        <v>72.0</v>
      </c>
      <c r="AM96" s="27">
        <v>0.0</v>
      </c>
      <c r="AN96" s="27">
        <v>264.0</v>
      </c>
      <c r="AO96" s="28">
        <f t="shared" si="159"/>
        <v>792.0</v>
      </c>
      <c r="AP96" s="28">
        <f t="shared" si="160"/>
        <v>384.0</v>
      </c>
      <c r="AQ96" s="28">
        <f t="shared" si="161"/>
        <v>422.4</v>
      </c>
      <c r="AS96" s="3">
        <f t="shared" si="233"/>
        <v>0.0</v>
      </c>
      <c r="AT96" s="3">
        <f t="shared" si="234"/>
        <v>26.4</v>
      </c>
      <c r="AU96" s="3">
        <f t="shared" si="235"/>
        <v>0.0</v>
      </c>
      <c r="AV96" s="3">
        <f t="shared" si="244"/>
        <v>52.8</v>
      </c>
      <c r="AW96" s="3">
        <f t="shared" si="245"/>
        <v>26.4</v>
      </c>
      <c r="AX96" s="3">
        <f t="shared" si="246"/>
        <v>79.2</v>
      </c>
      <c r="AY96" s="28">
        <f t="shared" si="168"/>
        <v>184.8</v>
      </c>
      <c r="AZ96" s="2" t="e">
        <f t="shared" si="169"/>
        <v>#REF!</v>
      </c>
      <c r="BA96" s="1" t="e">
        <f t="shared" si="287"/>
        <v>#REF!</v>
      </c>
      <c r="BB96" s="1" t="e">
        <f>VLOOKUP(C96,FYTM2,3,false)</f>
        <v>#REF!</v>
      </c>
      <c r="BC96" s="3" t="e">
        <f t="shared" si="276"/>
        <v>#REF!</v>
      </c>
      <c r="BD96" s="1">
        <f>VLOOKUP(C96,MOQ,3,FALSE())</f>
        <v>120.0</v>
      </c>
      <c r="BG96" s="1" t="e">
        <f t="shared" si="173"/>
        <v>#REF!</v>
      </c>
      <c r="BH96" s="1">
        <f t="shared" si="277"/>
        <v>0.0</v>
      </c>
      <c r="BI96" s="1" t="e">
        <f t="shared" si="175"/>
        <v>#REF!</v>
      </c>
      <c r="BJ96" s="3" t="e">
        <f t="shared" si="176"/>
        <v>#REF!</v>
      </c>
      <c r="BK96" s="1">
        <f t="shared" si="278"/>
        <v>26.4</v>
      </c>
      <c r="BL96" s="1" t="e">
        <f t="shared" si="178"/>
        <v>#REF!</v>
      </c>
      <c r="BM96" s="3" t="e">
        <f t="shared" si="179"/>
        <v>#REF!</v>
      </c>
      <c r="BN96" s="1">
        <f t="shared" si="279"/>
        <v>0.0</v>
      </c>
      <c r="BP96" s="3" t="e">
        <f t="shared" si="181"/>
        <v>#REF!</v>
      </c>
      <c r="BQ96" s="1">
        <f t="shared" si="280"/>
        <v>52.8</v>
      </c>
      <c r="BS96" s="3" t="e">
        <f t="shared" si="183"/>
        <v>#REF!</v>
      </c>
      <c r="BT96" s="1">
        <f t="shared" si="281"/>
        <v>26.4</v>
      </c>
      <c r="BV96" s="3" t="e">
        <f t="shared" si="185"/>
        <v>#REF!</v>
      </c>
      <c r="BW96" s="1">
        <f t="shared" si="282"/>
        <v>79.2</v>
      </c>
      <c r="BY96" s="3" t="e">
        <f t="shared" si="187"/>
        <v>#REF!</v>
      </c>
    </row>
    <row r="97" collapsed="1"/>
    <row r="99">
      <c r="BE99" s="48"/>
    </row>
    <row r="100">
      <c r="BE100" s="15"/>
    </row>
  </sheetData>
  <mergeCells count="12">
    <mergeCell ref="BN5:BP5"/>
    <mergeCell ref="BN67:BP67"/>
    <mergeCell ref="BQ5:BS5"/>
    <mergeCell ref="BT67:BV67"/>
    <mergeCell ref="BQ67:BS67"/>
    <mergeCell ref="BT5:BV5"/>
    <mergeCell ref="BW67:BY67"/>
    <mergeCell ref="BH67:BJ67"/>
    <mergeCell ref="BW5:BY5"/>
    <mergeCell ref="BH5:BJ5"/>
    <mergeCell ref="BK67:BM67"/>
    <mergeCell ref="BK5:BM5"/>
  </mergeCells>
  <conditionalFormatting sqref="E7:AN62">
    <cfRule dxfId="0" operator="equal" type="cellIs" priority="1">
      <formula>0</formula>
    </cfRule>
  </conditionalFormatting>
  <conditionalFormatting sqref="C69:AN96 E66:AA66">
    <cfRule dxfId="0" operator="equal" type="cellIs" priority="2">
      <formula>0</formula>
    </cfRule>
  </conditionalFormatting>
  <conditionalFormatting sqref="C1:C262138">
    <cfRule dxfId="1" operator="containsText" type="containsText" priority="3" text="set up">
      <formula>NOT(ISERROR(SEARCH("set up",C1)))</formula>
    </cfRule>
  </conditionalFormatting>
  <conditionalFormatting sqref="BC97:BC262138 BC1:BC8 BC21:BC68">
    <cfRule dxfId="2" operator="lessThan" type="cellIs" priority="4">
      <formula>0</formula>
    </cfRule>
  </conditionalFormatting>
  <conditionalFormatting sqref="BG7:BY62">
    <cfRule dxfId="3" operator="lessThan" type="cellIs" priority="5">
      <formula>0</formula>
    </cfRule>
  </conditionalFormatting>
  <conditionalFormatting sqref="BJ69:BK96 BM69:BY96 BG69:BH96">
    <cfRule dxfId="3" operator="lessThan" type="cellIs" priority="6">
      <formula>0</formula>
    </cfRule>
  </conditionalFormatting>
  <conditionalFormatting sqref="BI69:BI96">
    <cfRule dxfId="3" operator="lessThan" type="cellIs" priority="7">
      <formula>0</formula>
    </cfRule>
  </conditionalFormatting>
  <conditionalFormatting sqref="BL69:BL96">
    <cfRule dxfId="3" operator="lessThan" type="cellIs" priority="8">
      <formula>0</formula>
    </cfRule>
  </conditionalFormatting>
  <conditionalFormatting sqref="BC69:BC96">
    <cfRule dxfId="2" operator="lessThan" type="cellIs" priority="9">
      <formula>0</formula>
    </cfRule>
  </conditionalFormatting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J105"/>
  <sheetViews>
    <sheetView workbookViewId="0">
      <pane xSplit="4" ySplit="6" topLeftCell="E7" state="frozen"/>
    </sheetView>
  </sheetViews>
  <sheetFormatPr defaultRowHeight="14.0" customHeight="1"/>
  <cols>
    <col min="1" max="1" style="49" width="16.56"/>
    <col min="2" max="2" style="49" width="17.09"/>
    <col min="3" max="3" style="49" width="47.69"/>
    <col min="4" max="4" style="50" width="10.46"/>
    <col min="5" max="5" hidden="1" style="49" width="0.0" outlineLevel="1"/>
    <col min="6" max="6" hidden="1" style="49" width="0.0" outlineLevel="1"/>
    <col min="7" max="7" hidden="1" style="49" width="0.0" outlineLevel="1"/>
    <col min="8" max="8" hidden="1" style="49" width="0.0" outlineLevel="1"/>
    <col min="9" max="9" hidden="1" style="49" width="0.0" outlineLevel="1"/>
    <col min="10" max="10" hidden="1" style="49" width="0.0" outlineLevel="1"/>
    <col min="11" max="11" hidden="1" style="49" width="0.0" outlineLevel="1"/>
    <col min="12" max="12" hidden="1" style="49" width="0.0" outlineLevel="1"/>
    <col min="13" max="13" hidden="1" style="49" width="0.0" outlineLevel="1"/>
    <col min="14" max="14" hidden="1" style="49" width="0.0" outlineLevel="1"/>
    <col min="15" max="15" hidden="1" style="49" width="0.0" outlineLevel="1"/>
    <col min="16" max="16" hidden="1" style="49" width="0.0" outlineLevel="1"/>
    <col min="17" max="17" hidden="1" style="49" width="0.0" outlineLevel="1"/>
    <col min="18" max="18" hidden="1" style="49" width="0.0" outlineLevel="1"/>
    <col min="19" max="19" hidden="1" style="49" width="0.0" outlineLevel="1"/>
    <col min="20" max="20" hidden="1" style="49" width="0.0" outlineLevel="1"/>
    <col min="21" max="21" hidden="1" style="49" width="0.0" outlineLevel="1"/>
    <col min="22" max="22" hidden="1" style="49" width="0.0" outlineLevel="1"/>
    <col min="23" max="23" hidden="1" style="49" width="0.0" outlineLevel="1"/>
    <col min="24" max="24" hidden="1" style="49" width="0.0" outlineLevel="1"/>
    <col min="25" max="25" hidden="1" style="49" width="0.0" outlineLevel="1"/>
    <col min="26" max="26" hidden="1" style="49" width="0.0" outlineLevel="1"/>
    <col min="27" max="27" hidden="1" style="49" width="0.0" outlineLevel="1"/>
    <col min="28" max="28" hidden="1" style="49" width="0.0" outlineLevel="1"/>
    <col min="29" max="30" hidden="1" style="49" width="0.0" outlineLevel="1"/>
    <col min="31" max="31" hidden="1" style="49" width="0.0" outlineLevel="1"/>
    <col min="32" max="32" style="49" width="8.34" collapsed="1"/>
    <col min="33" max="39" style="49" width="8.34"/>
    <col min="40" max="43" style="49" width="8.08"/>
    <col min="44" max="46" style="49" width="12.85"/>
    <col min="47" max="47" style="49" width="8.08"/>
    <col min="48" max="48" style="49" width="7.81"/>
    <col min="49" max="49" style="49" width="7.55"/>
    <col min="50" max="50" style="49" width="8.08"/>
    <col min="51" max="51" style="49" width="7.94"/>
    <col min="52" max="52" style="49" width="7.68"/>
    <col min="53" max="53" style="51" width="9.67"/>
    <col min="54" max="54" style="49" width="12.32"/>
    <col min="55" max="55" style="52" width="12.05"/>
    <col min="56" max="56" style="53" width="16.29"/>
    <col min="57" max="57" style="49" width="13.24"/>
    <col min="58" max="58" style="49" width="13.24"/>
    <col min="59" max="59" style="49" width="10.99"/>
    <col min="60" max="60" style="49" width="7.81"/>
    <col min="61" max="61" style="49" width="9.14"/>
    <col min="62" max="62" style="49" width="19.47"/>
    <col min="63" max="63" style="49" width="5.82"/>
    <col min="64" max="65" style="49" width="5.96"/>
    <col min="66" max="66" style="49" width="5.43"/>
    <col min="67" max="67" style="49" width="7.55"/>
    <col min="68" max="68" style="54" width="12.32"/>
    <col min="69" max="69" style="49" width="5.96"/>
    <col min="70" max="70" style="49" width="5.43"/>
    <col min="71" max="71" style="49" width="7.55"/>
    <col min="72" max="72" style="55" width="12.32"/>
    <col min="73" max="73" style="49" width="5.96"/>
    <col min="74" max="74" style="49" width="5.43"/>
    <col min="75" max="75" style="49" width="7.55"/>
    <col min="76" max="76" style="55" width="12.32"/>
    <col min="77" max="77" style="49" width="5.96"/>
    <col min="78" max="78" style="49" width="3.84"/>
    <col min="79" max="79" style="49" width="7.55"/>
    <col min="80" max="80" style="55" width="12.32"/>
    <col min="81" max="81" style="49" width="5.96"/>
    <col min="82" max="82" style="49" width="3.84"/>
    <col min="83" max="83" style="49" width="7.55"/>
    <col min="84" max="84" style="55" width="12.32"/>
    <col min="85" max="85" style="49" width="5.96"/>
    <col min="86" max="86" style="49" width="3.84"/>
    <col min="87" max="87" style="49" width="7.55"/>
    <col min="88" max="88" style="55" width="13.24"/>
    <col min="89" max="1034" style="49" width="13.24"/>
    <col min="1035" max="2048" style="49" width="13.24"/>
  </cols>
  <sheetData>
    <row r="1" ht="14.0" customFormat="1" s="49">
      <c r="A1" s="56"/>
      <c r="B1" s="56"/>
      <c r="C1" s="56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R1" s="51"/>
      <c r="AS1" s="51"/>
      <c r="AT1" s="51"/>
      <c r="AU1" s="51"/>
      <c r="AV1" s="51"/>
      <c r="AW1" s="51">
        <v>4.0</v>
      </c>
      <c r="AX1" s="51">
        <v>7.0</v>
      </c>
      <c r="AY1" s="51">
        <v>14.0</v>
      </c>
      <c r="AZ1" s="51">
        <v>19.0</v>
      </c>
      <c r="BA1" s="51">
        <v>40.0</v>
      </c>
      <c r="BB1" s="51">
        <v>52.0</v>
      </c>
      <c r="BC1" s="52"/>
      <c r="BD1" s="53"/>
      <c r="BE1" s="51"/>
      <c r="BF1" s="51"/>
      <c r="BG1" s="51"/>
      <c r="BH1" s="51"/>
      <c r="BI1" s="51"/>
      <c r="BJ1" s="59"/>
      <c r="BK1" s="51"/>
      <c r="BL1" s="51"/>
      <c r="BM1" s="51"/>
      <c r="BN1" s="51"/>
      <c r="BO1" s="51"/>
      <c r="BP1" s="60"/>
      <c r="BQ1" s="51"/>
      <c r="BR1" s="51"/>
      <c r="BS1" s="51"/>
      <c r="BT1" s="54"/>
      <c r="BU1" s="51"/>
      <c r="BV1" s="51"/>
      <c r="BW1" s="51"/>
      <c r="BX1" s="54"/>
      <c r="BY1" s="51"/>
      <c r="BZ1" s="51"/>
      <c r="CA1" s="51"/>
      <c r="CB1" s="54"/>
      <c r="CC1" s="51"/>
      <c r="CD1" s="51"/>
      <c r="CE1" s="51"/>
      <c r="CF1" s="54"/>
      <c r="CG1" s="51"/>
      <c r="CH1" s="51"/>
      <c r="CI1" s="51"/>
      <c r="CJ1" s="54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</row>
    <row r="2" customFormat="1" s="49">
      <c r="A2" s="56"/>
      <c r="B2" s="56"/>
      <c r="C2" s="56"/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2"/>
      <c r="BD2" s="53"/>
      <c r="BE2" s="51"/>
      <c r="BF2" s="51"/>
      <c r="BG2" s="51"/>
      <c r="BH2" s="51"/>
      <c r="BI2" s="51"/>
      <c r="BJ2" s="59"/>
      <c r="BK2" s="51"/>
      <c r="BL2" s="51"/>
      <c r="BM2" s="51"/>
      <c r="BN2" s="51"/>
      <c r="BO2" s="51"/>
      <c r="BP2" s="60"/>
      <c r="BQ2" s="51"/>
      <c r="BR2" s="51"/>
      <c r="BS2" s="51"/>
      <c r="BT2" s="54"/>
      <c r="BU2" s="51"/>
      <c r="BV2" s="51"/>
      <c r="BW2" s="51"/>
      <c r="BX2" s="54"/>
      <c r="BY2" s="51"/>
      <c r="BZ2" s="51"/>
      <c r="CA2" s="51"/>
      <c r="CB2" s="54"/>
      <c r="CC2" s="51"/>
      <c r="CD2" s="51"/>
      <c r="CE2" s="51"/>
      <c r="CF2" s="54"/>
      <c r="CG2" s="51"/>
      <c r="CH2" s="51"/>
      <c r="CI2" s="51"/>
      <c r="CJ2" s="54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</row>
    <row r="3" ht="14.0" customFormat="1" s="49">
      <c r="A3" s="56"/>
      <c r="B3" s="56"/>
      <c r="C3" s="56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L3" s="58"/>
      <c r="AM3" s="58"/>
      <c r="AN3" s="58"/>
      <c r="AO3" s="58"/>
      <c r="AP3" s="58"/>
      <c r="AQ3" s="58"/>
      <c r="AR3" s="51"/>
      <c r="AS3" s="61">
        <f>SUM(AL4:AQ4)</f>
        <v>0.56</v>
      </c>
      <c r="AT3" s="62">
        <f t="shared" ref="AT3:AT4" si="1">AS3*1.1</f>
        <v>0.616</v>
      </c>
      <c r="AU3" s="51"/>
      <c r="AV3" s="51"/>
      <c r="AW3" s="51"/>
      <c r="AX3" s="51"/>
      <c r="AY3" s="51"/>
      <c r="AZ3" s="51"/>
      <c r="BA3" s="51"/>
      <c r="BB3" s="51"/>
      <c r="BC3" s="52"/>
      <c r="BD3" s="53"/>
      <c r="BE3" s="51"/>
      <c r="BF3" s="51"/>
      <c r="BG3" s="51"/>
      <c r="BH3" s="51"/>
      <c r="BI3" s="51"/>
      <c r="BJ3" s="59"/>
      <c r="BK3" s="51"/>
      <c r="BL3" s="51"/>
      <c r="BM3" s="51"/>
      <c r="BN3" s="51"/>
      <c r="BO3" s="51"/>
      <c r="BP3" s="60"/>
      <c r="BQ3" s="51"/>
      <c r="BR3" s="51"/>
      <c r="BS3" s="51"/>
      <c r="BT3" s="54"/>
      <c r="BU3" s="51"/>
      <c r="BV3" s="51"/>
      <c r="BW3" s="51"/>
      <c r="BX3" s="54"/>
      <c r="BY3" s="51"/>
      <c r="BZ3" s="51"/>
      <c r="CA3" s="51"/>
      <c r="CB3" s="54"/>
      <c r="CC3" s="51"/>
      <c r="CD3" s="51"/>
      <c r="CE3" s="51"/>
      <c r="CF3" s="54"/>
      <c r="CG3" s="51"/>
      <c r="CH3" s="51"/>
      <c r="CI3" s="51"/>
      <c r="CJ3" s="54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</row>
    <row r="4" ht="17.0" customFormat="1" s="49">
      <c r="A4" s="56"/>
      <c r="B4" s="56"/>
      <c r="C4" s="63" t="s">
        <v>179</v>
      </c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6"/>
      <c r="Z4" s="66"/>
      <c r="AA4" s="67"/>
      <c r="AB4" s="67"/>
      <c r="AC4" s="68">
        <v>0.115</v>
      </c>
      <c r="AD4" s="68">
        <v>0.095</v>
      </c>
      <c r="AE4" s="68">
        <v>0.052</v>
      </c>
      <c r="AF4" s="67">
        <v>0.065</v>
      </c>
      <c r="AG4" s="67">
        <v>0.07</v>
      </c>
      <c r="AH4" s="67">
        <v>0.097</v>
      </c>
      <c r="AI4" s="67">
        <v>0.046</v>
      </c>
      <c r="AJ4" s="67">
        <v>0.089</v>
      </c>
      <c r="AK4" s="69">
        <v>0.073</v>
      </c>
      <c r="AL4" s="67">
        <v>0.057</v>
      </c>
      <c r="AM4" s="67">
        <v>0.114</v>
      </c>
      <c r="AN4" s="67">
        <v>0.127</v>
      </c>
      <c r="AO4" s="67">
        <v>0.115</v>
      </c>
      <c r="AP4" s="67">
        <v>0.095</v>
      </c>
      <c r="AQ4" s="67">
        <v>0.052</v>
      </c>
      <c r="AR4" s="51">
        <f>SUM(AF4:AQ4)</f>
        <v>1.0</v>
      </c>
      <c r="AS4" s="51">
        <f>SUM(AF4:AK4)</f>
        <v>0.44</v>
      </c>
      <c r="AT4" s="70">
        <f t="shared" si="1"/>
        <v>0.484</v>
      </c>
      <c r="AU4" s="67">
        <v>0.065</v>
      </c>
      <c r="AV4" s="67">
        <v>0.07</v>
      </c>
      <c r="AW4" s="67">
        <v>0.097</v>
      </c>
      <c r="AX4" s="67">
        <v>0.046</v>
      </c>
      <c r="AY4" s="67">
        <v>0.089</v>
      </c>
      <c r="AZ4" s="69">
        <v>0.073</v>
      </c>
      <c r="BA4" s="51"/>
      <c r="BB4" s="51"/>
      <c r="BC4" s="52"/>
      <c r="BD4" s="53"/>
      <c r="BE4" s="51"/>
      <c r="BF4" s="51"/>
      <c r="BG4" s="51"/>
      <c r="BH4" s="51"/>
      <c r="BI4" s="51"/>
      <c r="BJ4" s="59"/>
      <c r="BK4" s="51"/>
      <c r="BL4" s="51"/>
      <c r="BM4" s="51"/>
      <c r="BN4" s="51"/>
      <c r="BO4" s="51"/>
      <c r="BP4" s="60"/>
      <c r="BQ4" s="51"/>
      <c r="BR4" s="51"/>
      <c r="BS4" s="51"/>
      <c r="BT4" s="54"/>
      <c r="BU4" s="51"/>
      <c r="BV4" s="51"/>
      <c r="BW4" s="51"/>
      <c r="BX4" s="54"/>
      <c r="BY4" s="51"/>
      <c r="BZ4" s="51"/>
      <c r="CA4" s="51"/>
      <c r="CB4" s="54"/>
      <c r="CC4" s="51"/>
      <c r="CD4" s="51"/>
      <c r="CE4" s="51"/>
      <c r="CF4" s="54"/>
      <c r="CG4" s="51"/>
      <c r="CH4" s="51"/>
      <c r="CI4" s="51"/>
      <c r="CJ4" s="54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</row>
    <row r="5" ht="17.0" customFormat="1" s="49">
      <c r="E5" s="71">
        <v>46013</v>
      </c>
      <c r="F5" s="71">
        <v>45680</v>
      </c>
      <c r="G5" s="71">
        <v>45711</v>
      </c>
      <c r="H5" s="71">
        <v>45739</v>
      </c>
      <c r="I5" s="71">
        <v>45770</v>
      </c>
      <c r="J5" s="71">
        <v>45800</v>
      </c>
      <c r="K5" s="71">
        <v>45831</v>
      </c>
      <c r="L5" s="71">
        <v>45861</v>
      </c>
      <c r="M5" s="71">
        <v>45892</v>
      </c>
      <c r="N5" s="71">
        <v>45923</v>
      </c>
      <c r="O5" s="71">
        <v>45953</v>
      </c>
      <c r="P5" s="71">
        <v>45984</v>
      </c>
      <c r="Q5" s="71">
        <v>46014</v>
      </c>
      <c r="R5" s="71">
        <v>45681</v>
      </c>
      <c r="S5" s="72">
        <v>45712</v>
      </c>
      <c r="T5" s="72">
        <v>45740</v>
      </c>
      <c r="U5" s="72">
        <v>45771</v>
      </c>
      <c r="V5" s="72">
        <v>45801</v>
      </c>
      <c r="W5" s="72">
        <v>45832</v>
      </c>
      <c r="X5" s="72">
        <v>45862</v>
      </c>
      <c r="Y5" s="72">
        <v>45893</v>
      </c>
      <c r="Z5" s="72">
        <v>45924</v>
      </c>
      <c r="AA5" s="72">
        <v>45954</v>
      </c>
      <c r="AB5" s="72">
        <v>45985</v>
      </c>
      <c r="AC5" s="72">
        <v>46015</v>
      </c>
      <c r="AD5" s="72">
        <v>45682</v>
      </c>
      <c r="AE5" s="58">
        <v>45713</v>
      </c>
      <c r="AF5" s="73">
        <v>45741</v>
      </c>
      <c r="AG5" s="73">
        <v>45772</v>
      </c>
      <c r="AH5" s="73">
        <v>45802</v>
      </c>
      <c r="AI5" s="73">
        <v>45833</v>
      </c>
      <c r="AJ5" s="73">
        <v>45863</v>
      </c>
      <c r="AK5" s="73">
        <v>45894</v>
      </c>
      <c r="AL5" s="73">
        <v>45925</v>
      </c>
      <c r="AM5" s="73">
        <v>45955</v>
      </c>
      <c r="AN5" s="73">
        <v>45986</v>
      </c>
      <c r="AO5" s="73">
        <v>46016</v>
      </c>
      <c r="AP5" s="73">
        <v>46048</v>
      </c>
      <c r="AQ5" s="73">
        <v>46079</v>
      </c>
      <c r="AR5" s="59" t="s">
        <v>1</v>
      </c>
      <c r="AS5" s="59" t="s">
        <v>180</v>
      </c>
      <c r="AT5" s="59" t="s">
        <v>180</v>
      </c>
      <c r="AU5" s="73">
        <v>46107</v>
      </c>
      <c r="AV5" s="73">
        <v>46138</v>
      </c>
      <c r="AW5" s="73">
        <v>46168</v>
      </c>
      <c r="AX5" s="73">
        <v>45833</v>
      </c>
      <c r="AY5" s="73">
        <v>45863</v>
      </c>
      <c r="AZ5" s="73">
        <v>45894</v>
      </c>
      <c r="BA5" s="74" t="s">
        <v>3</v>
      </c>
      <c r="BB5" s="74" t="s">
        <v>3</v>
      </c>
      <c r="BC5" s="75"/>
      <c r="BD5" s="76"/>
      <c r="BE5" s="74" t="s">
        <v>3</v>
      </c>
      <c r="BF5" s="74" t="s">
        <v>3</v>
      </c>
      <c r="BG5" s="77" t="s">
        <v>3</v>
      </c>
      <c r="BH5" s="74" t="s">
        <v>3</v>
      </c>
      <c r="BI5" s="78" t="s">
        <v>3</v>
      </c>
      <c r="BJ5" s="59"/>
      <c r="BK5" s="59" t="s">
        <v>181</v>
      </c>
      <c r="BL5" s="59"/>
      <c r="BM5" s="79" t="s">
        <v>182</v>
      </c>
      <c r="BN5" s="59"/>
      <c r="BO5" s="59"/>
      <c r="BP5" s="80"/>
      <c r="BQ5" s="79" t="s">
        <v>4</v>
      </c>
      <c r="BR5" s="59"/>
      <c r="BS5" s="59"/>
      <c r="BT5" s="80"/>
      <c r="BU5" s="79" t="s">
        <v>5</v>
      </c>
      <c r="BV5" s="59"/>
      <c r="BW5" s="59"/>
      <c r="BX5" s="80"/>
      <c r="BY5" s="79" t="s">
        <v>6</v>
      </c>
      <c r="BZ5" s="59"/>
      <c r="CA5" s="59"/>
      <c r="CB5" s="80"/>
      <c r="CC5" s="79" t="s">
        <v>7</v>
      </c>
      <c r="CD5" s="59"/>
      <c r="CE5" s="59"/>
      <c r="CF5" s="80"/>
      <c r="CG5" s="79" t="s">
        <v>8</v>
      </c>
      <c r="CH5" s="59"/>
      <c r="CI5" s="59"/>
      <c r="CJ5" s="54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</row>
    <row r="6" ht="33.0" customFormat="1" s="49">
      <c r="A6" s="81" t="s">
        <v>11</v>
      </c>
      <c r="B6" s="81" t="s">
        <v>12</v>
      </c>
      <c r="C6" s="81" t="s">
        <v>13</v>
      </c>
      <c r="D6" s="82" t="s">
        <v>14</v>
      </c>
      <c r="E6" s="83" t="s">
        <v>15</v>
      </c>
      <c r="F6" s="83" t="s">
        <v>15</v>
      </c>
      <c r="G6" s="83" t="s">
        <v>15</v>
      </c>
      <c r="H6" s="83" t="s">
        <v>15</v>
      </c>
      <c r="I6" s="83" t="s">
        <v>15</v>
      </c>
      <c r="J6" s="83" t="s">
        <v>15</v>
      </c>
      <c r="K6" s="83" t="s">
        <v>15</v>
      </c>
      <c r="L6" s="83" t="s">
        <v>15</v>
      </c>
      <c r="M6" s="83" t="s">
        <v>15</v>
      </c>
      <c r="N6" s="83" t="s">
        <v>15</v>
      </c>
      <c r="O6" s="83" t="s">
        <v>15</v>
      </c>
      <c r="P6" s="83" t="s">
        <v>15</v>
      </c>
      <c r="Q6" s="83" t="s">
        <v>15</v>
      </c>
      <c r="R6" s="83" t="s">
        <v>15</v>
      </c>
      <c r="S6" s="83" t="s">
        <v>15</v>
      </c>
      <c r="T6" s="83" t="s">
        <v>15</v>
      </c>
      <c r="U6" s="83" t="s">
        <v>15</v>
      </c>
      <c r="V6" s="83" t="s">
        <v>15</v>
      </c>
      <c r="W6" s="83" t="s">
        <v>15</v>
      </c>
      <c r="X6" s="83" t="s">
        <v>15</v>
      </c>
      <c r="Y6" s="83" t="s">
        <v>15</v>
      </c>
      <c r="Z6" s="83" t="s">
        <v>15</v>
      </c>
      <c r="AA6" s="83" t="s">
        <v>15</v>
      </c>
      <c r="AB6" s="83" t="s">
        <v>15</v>
      </c>
      <c r="AC6" s="83" t="s">
        <v>15</v>
      </c>
      <c r="AD6" s="83" t="s">
        <v>15</v>
      </c>
      <c r="AE6" s="83" t="s">
        <v>15</v>
      </c>
      <c r="AF6" s="83" t="s">
        <v>15</v>
      </c>
      <c r="AG6" s="83" t="s">
        <v>15</v>
      </c>
      <c r="AH6" s="83" t="s">
        <v>15</v>
      </c>
      <c r="AI6" s="83" t="s">
        <v>15</v>
      </c>
      <c r="AJ6" s="83" t="s">
        <v>15</v>
      </c>
      <c r="AK6" s="83" t="s">
        <v>15</v>
      </c>
      <c r="AL6" s="83" t="s">
        <v>15</v>
      </c>
      <c r="AM6" s="83" t="s">
        <v>15</v>
      </c>
      <c r="AN6" s="83" t="s">
        <v>15</v>
      </c>
      <c r="AO6" s="83" t="s">
        <v>15</v>
      </c>
      <c r="AP6" s="83" t="s">
        <v>15</v>
      </c>
      <c r="AQ6" s="83" t="s">
        <v>15</v>
      </c>
      <c r="AR6" s="84" t="s">
        <v>3</v>
      </c>
      <c r="AS6" s="84" t="s">
        <v>3</v>
      </c>
      <c r="AT6" s="84" t="s">
        <v>16</v>
      </c>
      <c r="AU6" s="85" t="s">
        <v>17</v>
      </c>
      <c r="AV6" s="85" t="s">
        <v>17</v>
      </c>
      <c r="AW6" s="85" t="s">
        <v>17</v>
      </c>
      <c r="AX6" s="85" t="s">
        <v>17</v>
      </c>
      <c r="AY6" s="85" t="s">
        <v>17</v>
      </c>
      <c r="AZ6" s="85" t="s">
        <v>17</v>
      </c>
      <c r="BA6" s="86" t="s">
        <v>17</v>
      </c>
      <c r="BB6" s="87" t="s">
        <v>183</v>
      </c>
      <c r="BC6" s="88" t="s">
        <v>184</v>
      </c>
      <c r="BD6" s="89" t="s">
        <v>185</v>
      </c>
      <c r="BE6" s="90" t="s">
        <v>186</v>
      </c>
      <c r="BF6" s="90" t="s">
        <v>187</v>
      </c>
      <c r="BG6" s="91" t="s">
        <v>21</v>
      </c>
      <c r="BH6" s="87" t="s">
        <v>22</v>
      </c>
      <c r="BI6" s="92" t="s">
        <v>23</v>
      </c>
      <c r="BJ6" s="93" t="s">
        <v>188</v>
      </c>
      <c r="BK6" s="93" t="s">
        <v>25</v>
      </c>
      <c r="BL6" s="93" t="s">
        <v>26</v>
      </c>
      <c r="BM6" s="93" t="s">
        <v>17</v>
      </c>
      <c r="BN6" s="93" t="s">
        <v>26</v>
      </c>
      <c r="BO6" s="93" t="s">
        <v>27</v>
      </c>
      <c r="BP6" s="94" t="s">
        <v>185</v>
      </c>
      <c r="BQ6" s="93" t="s">
        <v>17</v>
      </c>
      <c r="BR6" s="93" t="s">
        <v>26</v>
      </c>
      <c r="BS6" s="93" t="s">
        <v>27</v>
      </c>
      <c r="BT6" s="94" t="s">
        <v>185</v>
      </c>
      <c r="BU6" s="93" t="s">
        <v>17</v>
      </c>
      <c r="BV6" s="93" t="s">
        <v>26</v>
      </c>
      <c r="BW6" s="93" t="s">
        <v>27</v>
      </c>
      <c r="BX6" s="94" t="s">
        <v>185</v>
      </c>
      <c r="BY6" s="93" t="s">
        <v>17</v>
      </c>
      <c r="BZ6" s="93" t="s">
        <v>26</v>
      </c>
      <c r="CA6" s="93" t="s">
        <v>27</v>
      </c>
      <c r="CB6" s="94" t="s">
        <v>185</v>
      </c>
      <c r="CC6" s="93" t="s">
        <v>17</v>
      </c>
      <c r="CD6" s="93" t="s">
        <v>26</v>
      </c>
      <c r="CE6" s="93" t="s">
        <v>27</v>
      </c>
      <c r="CF6" s="94" t="s">
        <v>185</v>
      </c>
      <c r="CG6" s="93" t="s">
        <v>17</v>
      </c>
      <c r="CH6" s="93" t="s">
        <v>26</v>
      </c>
      <c r="CI6" s="93" t="s">
        <v>27</v>
      </c>
      <c r="CJ6" s="94" t="s">
        <v>185</v>
      </c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</row>
    <row r="7" ht="14.0" customFormat="1" s="49">
      <c r="A7" s="96" t="s">
        <v>28</v>
      </c>
      <c r="B7" s="96" t="s">
        <v>29</v>
      </c>
      <c r="C7" s="96" t="s">
        <v>35</v>
      </c>
      <c r="D7" s="97" t="s">
        <v>36</v>
      </c>
      <c r="E7" s="96">
        <v>0.0</v>
      </c>
      <c r="F7" s="96">
        <v>0.0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6">
        <v>0.0</v>
      </c>
      <c r="S7" s="96">
        <v>0.0</v>
      </c>
      <c r="T7" s="96">
        <v>168.0</v>
      </c>
      <c r="U7" s="96">
        <v>78.0</v>
      </c>
      <c r="V7" s="96">
        <v>58.0</v>
      </c>
      <c r="W7" s="96">
        <v>53.0</v>
      </c>
      <c r="X7" s="96">
        <v>38.0</v>
      </c>
      <c r="Y7" s="96">
        <v>35.0</v>
      </c>
      <c r="Z7" s="96">
        <v>27.0</v>
      </c>
      <c r="AA7" s="96">
        <v>28.0</v>
      </c>
      <c r="AB7" s="96">
        <v>42.0</v>
      </c>
      <c r="AC7" s="96">
        <v>95.0</v>
      </c>
      <c r="AD7" s="96">
        <v>65.0</v>
      </c>
      <c r="AE7" s="96">
        <v>31.0</v>
      </c>
      <c r="AF7" s="96">
        <v>34.0</v>
      </c>
      <c r="AG7" s="96">
        <v>47.0</v>
      </c>
      <c r="AH7" s="96">
        <v>35.0</v>
      </c>
      <c r="AI7" s="96">
        <v>40.0</v>
      </c>
      <c r="AJ7" s="96">
        <v>22.0</v>
      </c>
      <c r="AK7" s="49">
        <v>101.0</v>
      </c>
      <c r="AL7" s="49">
        <v>17.0</v>
      </c>
      <c r="AM7" s="49">
        <v>84.0</v>
      </c>
      <c r="AN7" s="49">
        <v>173.0</v>
      </c>
      <c r="AO7" s="49">
        <v>71.0</v>
      </c>
      <c r="AP7" s="49">
        <v>54.0</v>
      </c>
      <c r="AQ7" s="49">
        <v>72.0</v>
      </c>
      <c r="AR7" s="98">
        <f t="shared" ref="AR7:AR71" si="4">SUM(AF7:AQ7)</f>
        <v>750.0</v>
      </c>
      <c r="AS7" s="98">
        <f t="shared" ref="AS7:AS12" si="5">SUM(AE7:AJ7)</f>
        <v>209.0</v>
      </c>
      <c r="AT7" s="98">
        <f t="shared" ref="AT7:AT73" si="6">AS7*1.1</f>
        <v>229.9</v>
      </c>
      <c r="AU7" s="49">
        <f t="shared" ref="AU7:AU11" si="7">AT7*$AU$4/$AT$4+6*$AU$12+6*$AU$12</f>
        <v>29.102272727272</v>
      </c>
      <c r="AV7" s="49">
        <f t="shared" ref="AV7:AV11" si="8">AT7*$AV$4/$AT$4+6*$AV$12</f>
        <v>32.2954545454546</v>
      </c>
      <c r="AW7" s="49">
        <f t="shared" ref="AW7:AW11" si="9">AT7*$AW$4/$AT$4+6*$AW$12</f>
        <v>44.752272727272</v>
      </c>
      <c r="AX7" s="49">
        <f t="shared" ref="AX7:AX11" si="10">AT7*$AX$4/$AT$4+6*$AX$12</f>
        <v>21.2227272727272</v>
      </c>
      <c r="AY7" s="49">
        <f t="shared" ref="AY7:AY11" si="11">AT7*$AY$4/$AT$4+6*$AY$12</f>
        <v>41.0613636363636</v>
      </c>
      <c r="AZ7" s="49">
        <f t="shared" ref="AZ7:AZ11" si="12">AT7*$AZ$4/$AT$4+6*$AZ$12</f>
        <v>33.6795454545454</v>
      </c>
      <c r="BA7" s="51">
        <f t="shared" ref="BA7:BA71" si="13">SUM(AU7:AZ7)</f>
        <v>202.113636363634</v>
      </c>
      <c r="BB7" s="51">
        <f>VLOOKUP(D7,FEB23SOH,2,false)</f>
        <v>879.0</v>
      </c>
      <c r="BC7" s="99">
        <f>VLOOKUP(C7,UNITVALUE,5,false)</f>
        <v>5.3173</v>
      </c>
      <c r="BD7" s="53">
        <f t="shared" ref="BD7:BD71" si="16">BC7*BB7</f>
        <v>4673.9067</v>
      </c>
      <c r="BG7" s="98">
        <f t="shared" ref="BG7:BG11" si="17">BB7+BE7+BF7-BA7</f>
        <v>676.886363636366</v>
      </c>
      <c r="BH7" s="49">
        <f>VLOOKUP(C7,MOQ,3,false)</f>
        <v>1000.0</v>
      </c>
      <c r="BI7" s="51"/>
      <c r="BJ7" s="50"/>
      <c r="BK7" s="49">
        <f t="shared" ref="BK7:BK11" si="19">BB7</f>
        <v>879.0</v>
      </c>
      <c r="BM7" s="49">
        <f t="shared" ref="BM7:BM11" si="20">AU7</f>
        <v>29.102272727272</v>
      </c>
      <c r="BN7" s="49">
        <f t="shared" ref="BN7:BN12" si="21">BE7</f>
      </c>
      <c r="BO7" s="100">
        <f t="shared" ref="BO7:BO12" si="22">BK7+BN7-BM7+BL7</f>
        <v>849.897727272728</v>
      </c>
      <c r="BP7" s="101">
        <f t="shared" ref="BP7:BP12" si="23">BO7*BC7</f>
        <v>4519.16118522728</v>
      </c>
      <c r="BQ7" s="49">
        <f t="shared" ref="BQ7:BQ11" si="24">AV7</f>
        <v>32.2954545454546</v>
      </c>
      <c r="BR7" s="49">
        <f t="shared" ref="BR7:BR12" si="25">BF7</f>
      </c>
      <c r="BS7" s="100">
        <f t="shared" ref="BS7:BS11" si="26">BO7+BR7-BQ7</f>
        <v>817.602272727273</v>
      </c>
      <c r="BT7" s="102">
        <f t="shared" ref="BT7:BT12" si="27">BS7*BC7</f>
        <v>4347.43656477272</v>
      </c>
      <c r="BU7" s="49">
        <f t="shared" ref="BU7:BU11" si="28">AW7</f>
        <v>44.752272727272</v>
      </c>
      <c r="BW7" s="100">
        <f t="shared" ref="BW7:BW11" si="29">BS7+BV7-BU7</f>
        <v>772.85</v>
      </c>
      <c r="BX7" s="102">
        <f t="shared" ref="BX7:BX12" si="30">BW7*BC7</f>
        <v>4109.475305</v>
      </c>
      <c r="BY7" s="49">
        <f t="shared" ref="BY7:BY11" si="31">AX7</f>
        <v>21.2227272727272</v>
      </c>
      <c r="CA7" s="100">
        <f t="shared" ref="CA7:CA11" si="32">BW7+BZ7-BY7</f>
        <v>751.627272727272</v>
      </c>
      <c r="CB7" s="102">
        <f t="shared" ref="CB7:CB12" si="33">CA7*BC7</f>
        <v>3996.62769727272</v>
      </c>
      <c r="CC7" s="49">
        <f t="shared" ref="CC7:CC11" si="34">AY7</f>
        <v>41.0613636363636</v>
      </c>
      <c r="CE7" s="100">
        <f t="shared" ref="CE7:CE11" si="35">CA7+CD7-CC7</f>
        <v>710.565909090909</v>
      </c>
      <c r="CF7" s="102">
        <f t="shared" ref="CF7:CF12" si="36">CE7*BC7</f>
        <v>3778.29210840909</v>
      </c>
      <c r="CG7" s="49">
        <f t="shared" ref="CG7:CG11" si="37">AZ7</f>
        <v>33.6795454545454</v>
      </c>
      <c r="CI7" s="100">
        <f t="shared" ref="CI7:CI11" si="38">CE7+CH7-CG7</f>
        <v>676.886363636363</v>
      </c>
      <c r="CJ7" s="55">
        <f t="shared" ref="CJ7:CJ12" si="39">CI7*BC7</f>
        <v>3599.20786136363</v>
      </c>
    </row>
    <row r="8" ht="14.0">
      <c r="A8" s="96" t="s">
        <v>28</v>
      </c>
      <c r="B8" s="96" t="s">
        <v>29</v>
      </c>
      <c r="C8" s="96" t="s">
        <v>37</v>
      </c>
      <c r="D8" s="97" t="s">
        <v>38</v>
      </c>
      <c r="E8" s="96">
        <v>0.0</v>
      </c>
      <c r="F8" s="96">
        <v>0.0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  <c r="M8" s="96">
        <v>0.0</v>
      </c>
      <c r="N8" s="96">
        <v>0.0</v>
      </c>
      <c r="O8" s="96">
        <v>0.0</v>
      </c>
      <c r="P8" s="96">
        <v>0.0</v>
      </c>
      <c r="Q8" s="96">
        <v>0.0</v>
      </c>
      <c r="R8" s="96">
        <v>0.0</v>
      </c>
      <c r="S8" s="96">
        <v>0.0</v>
      </c>
      <c r="T8" s="96">
        <v>288.0</v>
      </c>
      <c r="U8" s="96">
        <v>150.0</v>
      </c>
      <c r="V8" s="96">
        <v>104.0</v>
      </c>
      <c r="W8" s="96">
        <v>130.0</v>
      </c>
      <c r="X8" s="96">
        <v>90.0</v>
      </c>
      <c r="Y8" s="96">
        <v>23.0</v>
      </c>
      <c r="Z8" s="96">
        <v>51.0</v>
      </c>
      <c r="AA8" s="96">
        <v>91.0</v>
      </c>
      <c r="AB8" s="96">
        <v>130.0</v>
      </c>
      <c r="AC8" s="96">
        <v>74.0</v>
      </c>
      <c r="AD8" s="96">
        <v>53.0</v>
      </c>
      <c r="AE8" s="96">
        <v>36.0</v>
      </c>
      <c r="AF8" s="96">
        <v>53.0</v>
      </c>
      <c r="AG8" s="96">
        <v>69.0</v>
      </c>
      <c r="AH8" s="96">
        <v>44.0</v>
      </c>
      <c r="AI8" s="96">
        <v>34.0</v>
      </c>
      <c r="AJ8" s="96">
        <v>54.0</v>
      </c>
      <c r="AK8" s="49">
        <v>114.0</v>
      </c>
      <c r="AL8" s="49">
        <v>39.0</v>
      </c>
      <c r="AM8" s="49">
        <v>65.0</v>
      </c>
      <c r="AN8" s="49">
        <v>265.0</v>
      </c>
      <c r="AO8" s="49">
        <v>102.0</v>
      </c>
      <c r="AP8" s="49">
        <v>44.0</v>
      </c>
      <c r="AQ8" s="49">
        <v>150.0</v>
      </c>
      <c r="AR8" s="98">
        <f t="shared" si="4"/>
        <v>1033.0</v>
      </c>
      <c r="AS8" s="98">
        <f t="shared" si="5"/>
        <v>290.0</v>
      </c>
      <c r="AT8" s="98">
        <f t="shared" si="6"/>
        <v>319.0</v>
      </c>
      <c r="AU8" s="49">
        <f t="shared" si="7"/>
        <v>41.0681818181817</v>
      </c>
      <c r="AV8" s="49">
        <f t="shared" si="8"/>
        <v>45.1818181818181</v>
      </c>
      <c r="AW8" s="49">
        <f t="shared" si="9"/>
        <v>62.6090909090909</v>
      </c>
      <c r="AX8" s="49">
        <f t="shared" si="10"/>
        <v>29.690909090909</v>
      </c>
      <c r="AY8" s="49">
        <f t="shared" si="11"/>
        <v>57.4454545454545</v>
      </c>
      <c r="AZ8" s="49">
        <f t="shared" si="12"/>
        <v>47.118181818181</v>
      </c>
      <c r="BA8" s="51">
        <f t="shared" si="13"/>
        <v>283.113636363635</v>
      </c>
      <c r="BB8" s="51">
        <f>VLOOKUP(D8,FEB23SOH,2,false)</f>
        <v>666.0</v>
      </c>
      <c r="BC8" s="99">
        <f>VLOOKUP(C8,UNITVALUE,5,false)</f>
        <v>5.1731</v>
      </c>
      <c r="BD8" s="53">
        <f t="shared" si="16"/>
        <v>3445.2846</v>
      </c>
      <c r="BG8" s="98">
        <f t="shared" si="17"/>
        <v>382.886363636365</v>
      </c>
      <c r="BH8" s="49">
        <f>VLOOKUP(C8,MOQ,3,false)</f>
        <v>1000.0</v>
      </c>
      <c r="BI8" s="51"/>
      <c r="BJ8" s="50"/>
      <c r="BK8" s="49">
        <f t="shared" si="19"/>
        <v>666.0</v>
      </c>
      <c r="BM8" s="49">
        <f t="shared" si="20"/>
        <v>41.0681818181817</v>
      </c>
      <c r="BN8" s="49">
        <f t="shared" si="21"/>
      </c>
      <c r="BO8" s="100">
        <f t="shared" si="22"/>
        <v>624.931818181818</v>
      </c>
      <c r="BP8" s="101">
        <f t="shared" si="23"/>
        <v>3232.83478863636</v>
      </c>
      <c r="BQ8" s="49">
        <f t="shared" si="24"/>
        <v>45.1818181818181</v>
      </c>
      <c r="BR8" s="49">
        <f t="shared" si="25"/>
      </c>
      <c r="BS8" s="100">
        <f t="shared" si="26"/>
        <v>579.75</v>
      </c>
      <c r="BT8" s="102">
        <f t="shared" si="27"/>
        <v>2999.104725</v>
      </c>
      <c r="BU8" s="49">
        <f t="shared" si="28"/>
        <v>62.6090909090909</v>
      </c>
      <c r="BW8" s="100">
        <f t="shared" si="29"/>
        <v>517.140909090909</v>
      </c>
      <c r="BX8" s="102">
        <f t="shared" si="30"/>
        <v>2675.22163681818</v>
      </c>
      <c r="BY8" s="49">
        <f t="shared" si="31"/>
        <v>29.690909090909</v>
      </c>
      <c r="CA8" s="100">
        <f t="shared" si="32"/>
        <v>487.45</v>
      </c>
      <c r="CB8" s="102">
        <f t="shared" si="33"/>
        <v>2521.627595</v>
      </c>
      <c r="CC8" s="49">
        <f t="shared" si="34"/>
        <v>57.4454545454545</v>
      </c>
      <c r="CE8" s="100">
        <f t="shared" si="35"/>
        <v>430.004545454546</v>
      </c>
      <c r="CF8" s="102">
        <f t="shared" si="36"/>
        <v>2224.45651409091</v>
      </c>
      <c r="CG8" s="49">
        <f t="shared" si="37"/>
        <v>47.118181818181</v>
      </c>
      <c r="CI8" s="100">
        <f t="shared" si="38"/>
        <v>382.886363636365</v>
      </c>
      <c r="CJ8" s="55">
        <f t="shared" si="39"/>
        <v>1980.70944772728</v>
      </c>
    </row>
    <row r="9" ht="14.0">
      <c r="A9" s="96" t="s">
        <v>28</v>
      </c>
      <c r="B9" s="96" t="s">
        <v>29</v>
      </c>
      <c r="C9" s="96" t="s">
        <v>39</v>
      </c>
      <c r="D9" s="97" t="s">
        <v>40</v>
      </c>
      <c r="E9" s="96">
        <v>0.0</v>
      </c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6">
        <v>0.0</v>
      </c>
      <c r="S9" s="96">
        <v>0.0</v>
      </c>
      <c r="T9" s="96">
        <v>175.0</v>
      </c>
      <c r="U9" s="96">
        <v>102.0</v>
      </c>
      <c r="V9" s="96">
        <v>58.0</v>
      </c>
      <c r="W9" s="96">
        <v>63.0</v>
      </c>
      <c r="X9" s="96">
        <v>30.0</v>
      </c>
      <c r="Y9" s="96">
        <v>50.0</v>
      </c>
      <c r="Z9" s="96">
        <v>42.0</v>
      </c>
      <c r="AA9" s="96">
        <v>73.0</v>
      </c>
      <c r="AB9" s="96">
        <v>101.0</v>
      </c>
      <c r="AC9" s="96">
        <v>94.0</v>
      </c>
      <c r="AD9" s="96">
        <v>34.0</v>
      </c>
      <c r="AE9" s="96">
        <v>48.0</v>
      </c>
      <c r="AF9" s="96">
        <v>66.0</v>
      </c>
      <c r="AG9" s="96">
        <v>42.0</v>
      </c>
      <c r="AH9" s="96">
        <v>51.0</v>
      </c>
      <c r="AI9" s="96">
        <v>48.0</v>
      </c>
      <c r="AJ9" s="96">
        <v>26.0</v>
      </c>
      <c r="AK9" s="49">
        <v>100.0</v>
      </c>
      <c r="AL9" s="49">
        <v>41.0</v>
      </c>
      <c r="AM9" s="49">
        <v>72.0</v>
      </c>
      <c r="AN9" s="49">
        <v>115.0</v>
      </c>
      <c r="AO9" s="49">
        <v>84.0</v>
      </c>
      <c r="AP9" s="49">
        <v>46.0</v>
      </c>
      <c r="AQ9" s="49">
        <v>57.0</v>
      </c>
      <c r="AR9" s="98">
        <f t="shared" si="4"/>
        <v>748.0</v>
      </c>
      <c r="AS9" s="98">
        <f t="shared" si="5"/>
        <v>281.0</v>
      </c>
      <c r="AT9" s="98">
        <f t="shared" si="6"/>
        <v>309.1</v>
      </c>
      <c r="AU9" s="49">
        <f t="shared" si="7"/>
        <v>39.7386363636363</v>
      </c>
      <c r="AV9" s="49">
        <f t="shared" si="8"/>
        <v>43.75</v>
      </c>
      <c r="AW9" s="49">
        <f t="shared" si="9"/>
        <v>60.625</v>
      </c>
      <c r="AX9" s="49">
        <f t="shared" si="10"/>
        <v>28.75</v>
      </c>
      <c r="AY9" s="49">
        <f t="shared" si="11"/>
        <v>55.6249999999999</v>
      </c>
      <c r="AZ9" s="49">
        <f t="shared" si="12"/>
        <v>45.625</v>
      </c>
      <c r="BA9" s="51">
        <f t="shared" si="13"/>
        <v>274.113636363636</v>
      </c>
      <c r="BB9" s="51">
        <f>VLOOKUP(D9,FEB23SOH,2,false)</f>
        <v>769.0</v>
      </c>
      <c r="BC9" s="99">
        <f>VLOOKUP(C9,UNITVALUE,5,false)</f>
        <v>5.0908</v>
      </c>
      <c r="BD9" s="53">
        <f t="shared" si="16"/>
        <v>3914.8252</v>
      </c>
      <c r="BG9" s="98">
        <f t="shared" si="17"/>
        <v>494.886363636364</v>
      </c>
      <c r="BH9" s="49">
        <f>VLOOKUP(C9,MOQ,3,false)</f>
        <v>1000.0</v>
      </c>
      <c r="BI9" s="51"/>
      <c r="BJ9" s="50"/>
      <c r="BK9" s="49">
        <f t="shared" si="19"/>
        <v>769.0</v>
      </c>
      <c r="BM9" s="49">
        <f t="shared" si="20"/>
        <v>39.7386363636363</v>
      </c>
      <c r="BN9" s="49">
        <f t="shared" si="21"/>
      </c>
      <c r="BO9" s="100">
        <f t="shared" si="22"/>
        <v>729.261363636363</v>
      </c>
      <c r="BP9" s="101">
        <f t="shared" si="23"/>
        <v>3712.52375</v>
      </c>
      <c r="BQ9" s="49">
        <f t="shared" si="24"/>
        <v>43.75</v>
      </c>
      <c r="BR9" s="49">
        <f t="shared" si="25"/>
      </c>
      <c r="BS9" s="100">
        <f t="shared" si="26"/>
        <v>685.511363636363</v>
      </c>
      <c r="BT9" s="102">
        <f t="shared" si="27"/>
        <v>3489.80125</v>
      </c>
      <c r="BU9" s="49">
        <f t="shared" si="28"/>
        <v>60.625</v>
      </c>
      <c r="BW9" s="100">
        <f t="shared" si="29"/>
        <v>624.886363636363</v>
      </c>
      <c r="BX9" s="102">
        <f t="shared" si="30"/>
        <v>3181.1715</v>
      </c>
      <c r="BY9" s="49">
        <f t="shared" si="31"/>
        <v>28.75</v>
      </c>
      <c r="CA9" s="100">
        <f t="shared" si="32"/>
        <v>596.136363636363</v>
      </c>
      <c r="CB9" s="102">
        <f t="shared" si="33"/>
        <v>3034.811</v>
      </c>
      <c r="CC9" s="49">
        <f t="shared" si="34"/>
        <v>55.6249999999999</v>
      </c>
      <c r="CE9" s="100">
        <f t="shared" si="35"/>
        <v>540.511363636363</v>
      </c>
      <c r="CF9" s="102">
        <f t="shared" si="36"/>
        <v>2751.63525</v>
      </c>
      <c r="CG9" s="49">
        <f t="shared" si="37"/>
        <v>45.625</v>
      </c>
      <c r="CI9" s="100">
        <f t="shared" si="38"/>
        <v>494.886363636362</v>
      </c>
      <c r="CJ9" s="55">
        <f t="shared" si="39"/>
        <v>2519.36749999999</v>
      </c>
    </row>
    <row r="10" ht="14.0">
      <c r="A10" s="96" t="s">
        <v>28</v>
      </c>
      <c r="B10" s="96" t="s">
        <v>29</v>
      </c>
      <c r="C10" s="96" t="s">
        <v>41</v>
      </c>
      <c r="D10" s="97" t="s">
        <v>42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  <c r="M10" s="96">
        <v>0.0</v>
      </c>
      <c r="N10" s="96">
        <v>0.0</v>
      </c>
      <c r="O10" s="96">
        <v>0.0</v>
      </c>
      <c r="P10" s="96">
        <v>0.0</v>
      </c>
      <c r="Q10" s="96">
        <v>0.0</v>
      </c>
      <c r="R10" s="96">
        <v>0.0</v>
      </c>
      <c r="S10" s="96">
        <v>0.0</v>
      </c>
      <c r="T10" s="96">
        <v>168.0</v>
      </c>
      <c r="U10" s="96">
        <v>69.0</v>
      </c>
      <c r="V10" s="96">
        <v>43.0</v>
      </c>
      <c r="W10" s="96">
        <v>30.0</v>
      </c>
      <c r="X10" s="96">
        <v>19.0</v>
      </c>
      <c r="Y10" s="96">
        <v>19.0</v>
      </c>
      <c r="Z10" s="96">
        <v>12.0</v>
      </c>
      <c r="AA10" s="96">
        <v>27.0</v>
      </c>
      <c r="AB10" s="96">
        <v>30.0</v>
      </c>
      <c r="AC10" s="96">
        <v>33.0</v>
      </c>
      <c r="AD10" s="96">
        <v>34.0</v>
      </c>
      <c r="AE10" s="96">
        <v>38.0</v>
      </c>
      <c r="AF10" s="96">
        <v>47.0</v>
      </c>
      <c r="AG10" s="96">
        <v>35.0</v>
      </c>
      <c r="AH10" s="96">
        <v>17.0</v>
      </c>
      <c r="AI10" s="96">
        <v>29.0</v>
      </c>
      <c r="AJ10" s="96">
        <v>24.0</v>
      </c>
      <c r="AK10" s="49">
        <v>47.0</v>
      </c>
      <c r="AL10" s="49">
        <v>23.0</v>
      </c>
      <c r="AM10" s="49">
        <v>53.0</v>
      </c>
      <c r="AN10" s="49">
        <v>42.0</v>
      </c>
      <c r="AO10" s="49">
        <v>54.0</v>
      </c>
      <c r="AP10" s="49">
        <v>24.0</v>
      </c>
      <c r="AQ10" s="49">
        <v>94.0</v>
      </c>
      <c r="AR10" s="98">
        <f t="shared" si="4"/>
        <v>489.0</v>
      </c>
      <c r="AS10" s="98">
        <f t="shared" si="5"/>
        <v>190.0</v>
      </c>
      <c r="AT10" s="98">
        <f t="shared" si="6"/>
        <v>209.0</v>
      </c>
      <c r="AU10" s="49">
        <f t="shared" si="7"/>
        <v>26.2954545454544</v>
      </c>
      <c r="AV10" s="49">
        <f t="shared" si="8"/>
        <v>29.2727272727272</v>
      </c>
      <c r="AW10" s="49">
        <f t="shared" si="9"/>
        <v>40.5636363636363</v>
      </c>
      <c r="AX10" s="49">
        <f t="shared" si="10"/>
        <v>19.2363636363636</v>
      </c>
      <c r="AY10" s="49">
        <f t="shared" si="11"/>
        <v>37.2181818181817</v>
      </c>
      <c r="AZ10" s="49">
        <f t="shared" si="12"/>
        <v>30.5272727272727</v>
      </c>
      <c r="BA10" s="51">
        <f t="shared" si="13"/>
        <v>183.113636363636</v>
      </c>
      <c r="BB10" s="51">
        <f>VLOOKUP(D10,FEB23SOH,2,false)</f>
        <v>1250.0</v>
      </c>
      <c r="BC10" s="99">
        <f>VLOOKUP(C10,UNITVALUE,5,false)</f>
        <v>5.1623</v>
      </c>
      <c r="BD10" s="53">
        <f t="shared" si="16"/>
        <v>6452.875</v>
      </c>
      <c r="BG10" s="98">
        <f t="shared" si="17"/>
        <v>1066.88636363636</v>
      </c>
      <c r="BH10" s="49">
        <f>VLOOKUP(C10,MOQ,3,false)</f>
        <v>1000.0</v>
      </c>
      <c r="BI10" s="51"/>
      <c r="BJ10" s="50"/>
      <c r="BK10" s="49">
        <f t="shared" si="19"/>
        <v>1250.0</v>
      </c>
      <c r="BM10" s="49">
        <f t="shared" si="20"/>
        <v>26.2954545454544</v>
      </c>
      <c r="BN10" s="49">
        <f t="shared" si="21"/>
      </c>
      <c r="BO10" s="100">
        <f t="shared" si="22"/>
        <v>1223.70454545454</v>
      </c>
      <c r="BP10" s="101">
        <f t="shared" si="23"/>
        <v>6317.12997499997</v>
      </c>
      <c r="BQ10" s="49">
        <f t="shared" si="24"/>
        <v>29.2727272727272</v>
      </c>
      <c r="BR10" s="49">
        <f t="shared" si="25"/>
      </c>
      <c r="BS10" s="100">
        <f t="shared" si="26"/>
        <v>1194.43181818181</v>
      </c>
      <c r="BT10" s="102">
        <f t="shared" si="27"/>
        <v>6166.01537499996</v>
      </c>
      <c r="BU10" s="49">
        <f t="shared" si="28"/>
        <v>40.5636363636363</v>
      </c>
      <c r="BW10" s="100">
        <f t="shared" si="29"/>
        <v>1153.86818181817</v>
      </c>
      <c r="BX10" s="102">
        <f t="shared" si="30"/>
        <v>5956.61371499993</v>
      </c>
      <c r="BY10" s="49">
        <f t="shared" si="31"/>
        <v>19.2363636363636</v>
      </c>
      <c r="CA10" s="100">
        <f t="shared" si="32"/>
        <v>1134.6318181818</v>
      </c>
      <c r="CB10" s="102">
        <f t="shared" si="33"/>
        <v>5857.3098349999</v>
      </c>
      <c r="CC10" s="49">
        <f t="shared" si="34"/>
        <v>37.2181818181817</v>
      </c>
      <c r="CE10" s="100">
        <f t="shared" si="35"/>
        <v>1097.41363636361</v>
      </c>
      <c r="CF10" s="102">
        <f t="shared" si="36"/>
        <v>5665.17841499987</v>
      </c>
      <c r="CG10" s="49">
        <f t="shared" si="37"/>
        <v>30.5272727272727</v>
      </c>
      <c r="CI10" s="100">
        <f t="shared" si="38"/>
        <v>1066.88636363633</v>
      </c>
      <c r="CJ10" s="55">
        <f t="shared" si="39"/>
        <v>5507.58747499982</v>
      </c>
    </row>
    <row r="11" ht="14.0">
      <c r="A11" s="96" t="s">
        <v>28</v>
      </c>
      <c r="B11" s="96" t="s">
        <v>29</v>
      </c>
      <c r="C11" s="96" t="s">
        <v>43</v>
      </c>
      <c r="D11" s="97" t="s">
        <v>44</v>
      </c>
      <c r="E11" s="96">
        <v>0.0</v>
      </c>
      <c r="F11" s="96">
        <v>0.0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  <c r="M11" s="96">
        <v>0.0</v>
      </c>
      <c r="N11" s="96">
        <v>0.0</v>
      </c>
      <c r="O11" s="96">
        <v>0.0</v>
      </c>
      <c r="P11" s="96">
        <v>0.0</v>
      </c>
      <c r="Q11" s="96">
        <v>0.0</v>
      </c>
      <c r="R11" s="96">
        <v>0.0</v>
      </c>
      <c r="S11" s="96">
        <v>0.0</v>
      </c>
      <c r="T11" s="96">
        <v>234.0</v>
      </c>
      <c r="U11" s="96">
        <v>144.0</v>
      </c>
      <c r="V11" s="96">
        <v>112.0</v>
      </c>
      <c r="W11" s="96">
        <v>89.0</v>
      </c>
      <c r="X11" s="96">
        <v>72.0</v>
      </c>
      <c r="Y11" s="96">
        <v>39.0</v>
      </c>
      <c r="Z11" s="96">
        <v>61.0</v>
      </c>
      <c r="AA11" s="96">
        <v>103.0</v>
      </c>
      <c r="AB11" s="96">
        <v>114.0</v>
      </c>
      <c r="AC11" s="96">
        <v>146.0</v>
      </c>
      <c r="AD11" s="96">
        <v>74.0</v>
      </c>
      <c r="AE11" s="96">
        <v>45.0</v>
      </c>
      <c r="AF11" s="96">
        <v>82.0</v>
      </c>
      <c r="AG11" s="96">
        <v>59.0</v>
      </c>
      <c r="AH11" s="96">
        <v>89.0</v>
      </c>
      <c r="AI11" s="96">
        <v>53.0</v>
      </c>
      <c r="AJ11" s="96">
        <v>38.0</v>
      </c>
      <c r="AK11" s="49">
        <v>119.0</v>
      </c>
      <c r="AL11" s="49">
        <v>42.0</v>
      </c>
      <c r="AM11" s="49">
        <v>90.0</v>
      </c>
      <c r="AN11" s="49">
        <v>252.0</v>
      </c>
      <c r="AO11" s="49">
        <v>107.0</v>
      </c>
      <c r="AP11" s="49">
        <v>25.0</v>
      </c>
      <c r="AQ11" s="49">
        <v>146.0</v>
      </c>
      <c r="AR11" s="98">
        <f t="shared" si="4"/>
        <v>1102.0</v>
      </c>
      <c r="AS11" s="98">
        <f t="shared" si="5"/>
        <v>366.0</v>
      </c>
      <c r="AT11" s="98">
        <f t="shared" si="6"/>
        <v>402.6</v>
      </c>
      <c r="AU11" s="49">
        <f t="shared" si="7"/>
        <v>52.2954545454544</v>
      </c>
      <c r="AV11" s="49">
        <f t="shared" si="8"/>
        <v>57.2727272727272</v>
      </c>
      <c r="AW11" s="49">
        <f t="shared" si="9"/>
        <v>79.3636363636363</v>
      </c>
      <c r="AX11" s="49">
        <f t="shared" si="10"/>
        <v>37.6363636363636</v>
      </c>
      <c r="AY11" s="49">
        <f t="shared" si="11"/>
        <v>72.8181818181818</v>
      </c>
      <c r="AZ11" s="49">
        <f t="shared" si="12"/>
        <v>59.7272727272727</v>
      </c>
      <c r="BA11" s="51">
        <f t="shared" si="13"/>
        <v>359.113636363636</v>
      </c>
      <c r="BB11" s="51">
        <f>VLOOKUP(D11,FEB23SOH,2,false)</f>
        <v>294.0</v>
      </c>
      <c r="BC11" s="99">
        <f>VLOOKUP(C11,UNITVALUE,5,false)</f>
        <v>5.173</v>
      </c>
      <c r="BD11" s="53">
        <f t="shared" si="16"/>
        <v>1520.862</v>
      </c>
      <c r="BG11" s="98">
        <f t="shared" si="17"/>
        <v>-65.1136363636358</v>
      </c>
      <c r="BH11" s="49">
        <f>VLOOKUP(C11,MOQ,3,false)</f>
        <v>1000.0</v>
      </c>
      <c r="BI11" s="51">
        <f>BH11</f>
        <v>1000.0</v>
      </c>
      <c r="BJ11" s="50" t="s">
        <v>7</v>
      </c>
      <c r="BK11" s="49">
        <f t="shared" si="19"/>
        <v>294.0</v>
      </c>
      <c r="BM11" s="49">
        <f t="shared" si="20"/>
        <v>52.2954545454544</v>
      </c>
      <c r="BN11" s="49">
        <f t="shared" si="21"/>
      </c>
      <c r="BO11" s="100">
        <f t="shared" si="22"/>
        <v>241.704545454546</v>
      </c>
      <c r="BP11" s="101">
        <f t="shared" si="23"/>
        <v>1250.33761363637</v>
      </c>
      <c r="BQ11" s="49">
        <f t="shared" si="24"/>
        <v>57.2727272727272</v>
      </c>
      <c r="BR11" s="49">
        <f t="shared" si="25"/>
      </c>
      <c r="BS11" s="100">
        <f t="shared" si="26"/>
        <v>184.43181818181</v>
      </c>
      <c r="BT11" s="102">
        <f t="shared" si="27"/>
        <v>954.065795454503</v>
      </c>
      <c r="BU11" s="49">
        <f t="shared" si="28"/>
        <v>79.3636363636363</v>
      </c>
      <c r="BW11" s="100">
        <f t="shared" si="29"/>
        <v>105.068181818173</v>
      </c>
      <c r="BX11" s="102">
        <f t="shared" si="30"/>
        <v>543.517704545409</v>
      </c>
      <c r="BY11" s="49">
        <f t="shared" si="31"/>
        <v>37.6363636363636</v>
      </c>
      <c r="CA11" s="100">
        <f t="shared" si="32"/>
        <v>67.4318181818094</v>
      </c>
      <c r="CB11" s="102">
        <f t="shared" si="33"/>
        <v>348.8247954545</v>
      </c>
      <c r="CC11" s="49">
        <f t="shared" si="34"/>
        <v>72.8181818181818</v>
      </c>
      <c r="CE11" s="100">
        <f t="shared" si="35"/>
        <v>-5.38636363637239</v>
      </c>
      <c r="CF11" s="102">
        <f t="shared" si="36"/>
        <v>-27.8636590909543</v>
      </c>
      <c r="CG11" s="49">
        <f t="shared" si="37"/>
        <v>59.7272727272727</v>
      </c>
      <c r="CI11" s="100">
        <f t="shared" si="38"/>
        <v>-65.113636363645</v>
      </c>
      <c r="CJ11" s="55">
        <f t="shared" si="39"/>
        <v>-336.83284090913</v>
      </c>
    </row>
    <row r="12" ht="14.0">
      <c r="A12" s="96" t="s">
        <v>28</v>
      </c>
      <c r="B12" s="96" t="s">
        <v>29</v>
      </c>
      <c r="C12" s="96" t="s">
        <v>48</v>
      </c>
      <c r="D12" s="97" t="s">
        <v>49</v>
      </c>
      <c r="E12" s="96">
        <v>0.0</v>
      </c>
      <c r="F12" s="96">
        <v>1.0</v>
      </c>
      <c r="G12" s="96">
        <v>2.0</v>
      </c>
      <c r="H12" s="96">
        <v>4.0</v>
      </c>
      <c r="I12" s="96">
        <v>1.0</v>
      </c>
      <c r="J12" s="96">
        <v>3.0</v>
      </c>
      <c r="K12" s="96">
        <v>0.0</v>
      </c>
      <c r="L12" s="96">
        <v>1.0</v>
      </c>
      <c r="M12" s="96">
        <v>2.0</v>
      </c>
      <c r="N12" s="96">
        <v>0.0</v>
      </c>
      <c r="O12" s="96">
        <v>1.0</v>
      </c>
      <c r="P12" s="96">
        <v>1.0</v>
      </c>
      <c r="Q12" s="96">
        <v>0.0</v>
      </c>
      <c r="R12" s="96">
        <v>0.0</v>
      </c>
      <c r="S12" s="96">
        <v>0.0</v>
      </c>
      <c r="T12" s="96">
        <v>0.0</v>
      </c>
      <c r="U12" s="96">
        <v>1.0</v>
      </c>
      <c r="V12" s="96">
        <v>0.0</v>
      </c>
      <c r="W12" s="96">
        <v>0.0</v>
      </c>
      <c r="X12" s="96">
        <v>2.0</v>
      </c>
      <c r="Y12" s="96">
        <v>0.0</v>
      </c>
      <c r="Z12" s="96">
        <v>0.0</v>
      </c>
      <c r="AA12" s="96">
        <v>2.0</v>
      </c>
      <c r="AB12" s="96">
        <v>4.0</v>
      </c>
      <c r="AC12" s="96">
        <v>0.0</v>
      </c>
      <c r="AD12" s="96">
        <v>0.0</v>
      </c>
      <c r="AE12" s="96">
        <v>-1.0</v>
      </c>
      <c r="AF12" s="96">
        <v>0.0</v>
      </c>
      <c r="AG12" s="96">
        <v>0.0</v>
      </c>
      <c r="AH12" s="96">
        <v>0.0</v>
      </c>
      <c r="AI12" s="96">
        <v>0.0</v>
      </c>
      <c r="AJ12" s="96">
        <v>0.0</v>
      </c>
      <c r="AK12" s="49">
        <v>0.0</v>
      </c>
      <c r="AL12" s="49">
        <v>4.0</v>
      </c>
      <c r="AM12" s="49">
        <v>0.0</v>
      </c>
      <c r="AN12" s="49">
        <v>1.0</v>
      </c>
      <c r="AO12" s="49">
        <v>1.0</v>
      </c>
      <c r="AP12" s="49">
        <v>0.0</v>
      </c>
      <c r="AQ12" s="49">
        <v>2.0</v>
      </c>
      <c r="AR12" s="98">
        <f t="shared" si="4"/>
        <v>8.0</v>
      </c>
      <c r="AS12" s="98">
        <f t="shared" si="5"/>
        <v>-1.0</v>
      </c>
      <c r="AT12" s="98">
        <f t="shared" si="6"/>
        <v>-1.1</v>
      </c>
      <c r="AU12" s="103">
        <f>AT12*$AU$4/$AT$4</f>
        <v>-0.147727272727272</v>
      </c>
      <c r="AV12" s="103">
        <f>AT12*$AV$4/$AT$4</f>
        <v>-0.159090909090909</v>
      </c>
      <c r="AW12" s="103">
        <f>AT12*$AW$4/$AT$4</f>
        <v>-0.220454545454545</v>
      </c>
      <c r="AX12" s="103">
        <f>AT12*$AX$4/$AT$4</f>
        <v>-0.104545454545454</v>
      </c>
      <c r="AY12" s="103">
        <f>AT12*$AY$4/$AT$4</f>
        <v>-0.202272727272727</v>
      </c>
      <c r="AZ12" s="103">
        <f>AT12*$AZ$4/$AT$4</f>
        <v>-0.16590909090909</v>
      </c>
      <c r="BA12" s="51">
        <f t="shared" si="13"/>
        <v>-0.999999999999997</v>
      </c>
      <c r="BB12" s="51">
        <f>VLOOKUP(D12,FEB23SOH,2,false)</f>
        <v>1.0</v>
      </c>
      <c r="BC12" s="99">
        <f>VLOOKUP(C12,UNITVALUE,5,false)</f>
        <v>177.17</v>
      </c>
      <c r="BD12" s="53">
        <f t="shared" si="16"/>
        <v>177.17</v>
      </c>
      <c r="BH12" s="49">
        <f>VLOOKUP(C12,MOQ,3,false)</f>
      </c>
      <c r="BI12" s="51"/>
      <c r="BJ12" s="50"/>
      <c r="BN12" s="49">
        <f t="shared" si="21"/>
      </c>
      <c r="BO12" s="100">
        <f t="shared" si="22"/>
        <v>0.0</v>
      </c>
      <c r="BP12" s="101">
        <f t="shared" si="23"/>
        <v>0.0</v>
      </c>
      <c r="BR12" s="49">
        <f t="shared" si="25"/>
      </c>
      <c r="BS12" s="100"/>
      <c r="BT12" s="102">
        <f t="shared" si="27"/>
        <v>0.0</v>
      </c>
      <c r="BW12" s="100"/>
      <c r="BX12" s="102">
        <f t="shared" si="30"/>
        <v>0.0</v>
      </c>
      <c r="CA12" s="100"/>
      <c r="CB12" s="102">
        <f t="shared" si="33"/>
        <v>0.0</v>
      </c>
      <c r="CE12" s="100"/>
      <c r="CF12" s="102">
        <f t="shared" si="36"/>
        <v>0.0</v>
      </c>
      <c r="CI12" s="100"/>
      <c r="CJ12" s="55">
        <f t="shared" si="39"/>
        <v>0.0</v>
      </c>
    </row>
    <row r="13" ht="14.0" customFormat="1" s="49">
      <c r="A13" s="104" t="s">
        <v>45</v>
      </c>
      <c r="B13" s="96" t="s">
        <v>29</v>
      </c>
      <c r="C13" s="105" t="s">
        <v>33</v>
      </c>
      <c r="D13" s="106" t="s">
        <v>34</v>
      </c>
      <c r="E13" s="96">
        <v>473.0</v>
      </c>
      <c r="F13" s="96">
        <v>257.0</v>
      </c>
      <c r="G13" s="96">
        <v>248.0</v>
      </c>
      <c r="H13" s="96">
        <v>237.0</v>
      </c>
      <c r="I13" s="96">
        <v>295.0</v>
      </c>
      <c r="J13" s="96">
        <v>223.0</v>
      </c>
      <c r="K13" s="96">
        <v>180.0</v>
      </c>
      <c r="L13" s="96">
        <v>247.0</v>
      </c>
      <c r="M13" s="96">
        <v>250.0</v>
      </c>
      <c r="N13" s="96">
        <v>156.0</v>
      </c>
      <c r="O13" s="96">
        <v>155.0</v>
      </c>
      <c r="P13" s="96">
        <v>286.0</v>
      </c>
      <c r="Q13" s="96">
        <v>305.0</v>
      </c>
      <c r="R13" s="96">
        <v>297.0</v>
      </c>
      <c r="S13" s="96">
        <v>264.0</v>
      </c>
      <c r="T13" s="96">
        <v>196.0</v>
      </c>
      <c r="U13" s="96">
        <v>262.0</v>
      </c>
      <c r="V13" s="96">
        <v>180.0</v>
      </c>
      <c r="W13" s="96">
        <v>126.0</v>
      </c>
      <c r="X13" s="96">
        <v>185.0</v>
      </c>
      <c r="Y13" s="96">
        <v>156.0</v>
      </c>
      <c r="Z13" s="96">
        <v>186.0</v>
      </c>
      <c r="AA13" s="96">
        <v>344.0</v>
      </c>
      <c r="AB13" s="96">
        <v>397.0</v>
      </c>
      <c r="AC13" s="96">
        <v>252.0</v>
      </c>
      <c r="AD13" s="96">
        <v>198.0</v>
      </c>
      <c r="AE13" s="96">
        <v>212.0</v>
      </c>
      <c r="AF13" s="96">
        <v>145.0</v>
      </c>
      <c r="AG13" s="96">
        <v>130.0</v>
      </c>
      <c r="AH13" s="96">
        <v>397.0</v>
      </c>
      <c r="AI13" s="96">
        <v>377.0</v>
      </c>
      <c r="AJ13" s="96">
        <v>137.0</v>
      </c>
      <c r="AK13" s="49">
        <v>69.0</v>
      </c>
      <c r="AL13" s="49">
        <v>42.0</v>
      </c>
      <c r="AM13" s="49">
        <v>150.0</v>
      </c>
      <c r="AN13" s="49">
        <v>162.0</v>
      </c>
      <c r="AO13" s="49">
        <v>144.0</v>
      </c>
      <c r="AP13" s="49">
        <v>18.0</v>
      </c>
      <c r="AQ13" s="49">
        <v>15.0</v>
      </c>
      <c r="AR13" s="98">
        <f t="shared" si="4"/>
        <v>1786.0</v>
      </c>
      <c r="AS13" s="98">
        <f t="shared" ref="AS13:AS19" si="47">SUM(AJ13:AP13)</f>
        <v>722.0</v>
      </c>
      <c r="AT13" s="98">
        <f t="shared" si="6"/>
        <v>794.2</v>
      </c>
      <c r="AU13" s="104">
        <v>66.0</v>
      </c>
      <c r="AV13" s="104">
        <v>0.0</v>
      </c>
      <c r="AW13" s="104">
        <v>0.0</v>
      </c>
      <c r="AX13" s="104">
        <v>0.0</v>
      </c>
      <c r="AY13" s="104">
        <v>0.0</v>
      </c>
      <c r="AZ13" s="104">
        <v>0.0</v>
      </c>
      <c r="BA13" s="51">
        <f t="shared" si="13"/>
        <v>66.0</v>
      </c>
      <c r="BB13" s="51">
        <f>VLOOKUP(D13,FEB23SOH,2,false)</f>
        <v>54.0</v>
      </c>
      <c r="BC13" s="99">
        <f>VLOOKUP(C13,UNITVALUE,5,false)</f>
        <v>5.8643</v>
      </c>
      <c r="BD13" s="53">
        <f t="shared" si="16"/>
        <v>316.6722</v>
      </c>
      <c r="BI13" s="104"/>
      <c r="BJ13" s="50" t="s">
        <v>189</v>
      </c>
      <c r="BK13" s="49">
        <f t="shared" ref="BK13:BK14" si="48">BB13</f>
        <v>54.0</v>
      </c>
      <c r="BO13" s="100"/>
      <c r="BP13" s="107"/>
      <c r="BS13" s="100"/>
      <c r="BT13" s="102"/>
      <c r="BW13" s="100"/>
      <c r="BX13" s="102"/>
      <c r="CA13" s="100"/>
      <c r="CB13" s="102"/>
      <c r="CE13" s="100"/>
      <c r="CF13" s="102"/>
      <c r="CI13" s="100"/>
      <c r="CJ13" s="55"/>
    </row>
    <row r="14" ht="14.0">
      <c r="A14" s="104" t="s">
        <v>45</v>
      </c>
      <c r="B14" s="96" t="s">
        <v>29</v>
      </c>
      <c r="C14" s="105" t="s">
        <v>30</v>
      </c>
      <c r="D14" s="106" t="s">
        <v>31</v>
      </c>
      <c r="E14" s="96">
        <v>765.0</v>
      </c>
      <c r="F14" s="96">
        <v>626.0</v>
      </c>
      <c r="G14" s="96">
        <v>646.0</v>
      </c>
      <c r="H14" s="96">
        <v>490.0</v>
      </c>
      <c r="I14" s="96">
        <v>880.0</v>
      </c>
      <c r="J14" s="96">
        <v>456.0</v>
      </c>
      <c r="K14" s="96">
        <v>439.0</v>
      </c>
      <c r="L14" s="96">
        <v>396.0</v>
      </c>
      <c r="M14" s="96">
        <v>330.0</v>
      </c>
      <c r="N14" s="96">
        <v>377.0</v>
      </c>
      <c r="O14" s="96">
        <v>535.0</v>
      </c>
      <c r="P14" s="96">
        <v>489.0</v>
      </c>
      <c r="Q14" s="96">
        <v>512.0</v>
      </c>
      <c r="R14" s="96">
        <v>468.0</v>
      </c>
      <c r="S14" s="96">
        <v>520.0</v>
      </c>
      <c r="T14" s="96">
        <v>414.0</v>
      </c>
      <c r="U14" s="96">
        <v>433.0</v>
      </c>
      <c r="V14" s="96">
        <v>324.0</v>
      </c>
      <c r="W14" s="96">
        <v>315.0</v>
      </c>
      <c r="X14" s="96">
        <v>331.0</v>
      </c>
      <c r="Y14" s="96">
        <v>335.0</v>
      </c>
      <c r="Z14" s="96">
        <v>240.0</v>
      </c>
      <c r="AA14" s="96">
        <v>518.0</v>
      </c>
      <c r="AB14" s="96">
        <v>622.0</v>
      </c>
      <c r="AC14" s="96">
        <v>496.0</v>
      </c>
      <c r="AD14" s="96">
        <v>325.0</v>
      </c>
      <c r="AE14" s="96">
        <v>355.0</v>
      </c>
      <c r="AF14" s="96">
        <v>415.0</v>
      </c>
      <c r="AG14" s="96">
        <v>240.0</v>
      </c>
      <c r="AH14" s="96">
        <v>143.0</v>
      </c>
      <c r="AI14" s="96">
        <v>307.0</v>
      </c>
      <c r="AJ14" s="96">
        <v>0.0</v>
      </c>
      <c r="AK14" s="49">
        <v>1.0</v>
      </c>
      <c r="AL14" s="49">
        <v>0.0</v>
      </c>
      <c r="AM14" s="49">
        <v>0.0</v>
      </c>
      <c r="AN14" s="49">
        <v>0.0</v>
      </c>
      <c r="AO14" s="49">
        <v>0.0</v>
      </c>
      <c r="AP14" s="49">
        <v>0.0</v>
      </c>
      <c r="AQ14" s="49">
        <v>0.0</v>
      </c>
      <c r="AR14" s="98">
        <f t="shared" si="4"/>
        <v>1106.0</v>
      </c>
      <c r="AS14" s="98">
        <f t="shared" si="47"/>
        <v>1.0</v>
      </c>
      <c r="AT14" s="98">
        <f t="shared" si="6"/>
        <v>1.1</v>
      </c>
      <c r="AU14" s="104">
        <v>0.0</v>
      </c>
      <c r="AV14" s="104">
        <v>0.0</v>
      </c>
      <c r="AW14" s="104">
        <v>0.0</v>
      </c>
      <c r="AX14" s="104">
        <v>0.0</v>
      </c>
      <c r="AY14" s="104">
        <v>0.0</v>
      </c>
      <c r="AZ14" s="104">
        <v>0.0</v>
      </c>
      <c r="BA14" s="51">
        <f t="shared" si="13"/>
        <v>0.0</v>
      </c>
      <c r="BB14" s="51">
        <f>VLOOKUP(D14,FEB23SOH,2,false)</f>
        <v>0.0</v>
      </c>
      <c r="BC14" s="99">
        <f>VLOOKUP(C14,UNITVALUE,5,false)</f>
      </c>
      <c r="BD14" s="53">
        <f t="shared" si="16"/>
        <v>0.0</v>
      </c>
      <c r="BI14" s="104"/>
      <c r="BJ14" s="50" t="s">
        <v>189</v>
      </c>
      <c r="BK14" s="49">
        <f t="shared" si="48"/>
        <v>0.0</v>
      </c>
      <c r="BO14" s="100"/>
      <c r="BP14" s="107"/>
      <c r="BS14" s="100"/>
      <c r="BT14" s="102"/>
      <c r="BW14" s="100"/>
      <c r="BX14" s="102"/>
      <c r="CA14" s="100"/>
      <c r="CB14" s="102"/>
      <c r="CE14" s="100"/>
      <c r="CF14" s="102"/>
      <c r="CI14" s="100"/>
    </row>
    <row r="15" ht="14.0" customFormat="1" s="49">
      <c r="A15" s="104" t="s">
        <v>45</v>
      </c>
      <c r="B15" s="96" t="s">
        <v>29</v>
      </c>
      <c r="C15" s="105" t="s">
        <v>58</v>
      </c>
      <c r="D15" s="106" t="s">
        <v>59</v>
      </c>
      <c r="E15" s="96">
        <v>1.0</v>
      </c>
      <c r="F15" s="96">
        <v>2.0</v>
      </c>
      <c r="G15" s="96">
        <v>1.0</v>
      </c>
      <c r="H15" s="96">
        <v>3.0</v>
      </c>
      <c r="I15" s="96">
        <v>1.0</v>
      </c>
      <c r="J15" s="96">
        <v>1.0</v>
      </c>
      <c r="K15" s="96">
        <v>5.0</v>
      </c>
      <c r="L15" s="96">
        <v>2.0</v>
      </c>
      <c r="M15" s="96">
        <v>2.0</v>
      </c>
      <c r="N15" s="96">
        <v>1.0</v>
      </c>
      <c r="O15" s="96">
        <v>0.0</v>
      </c>
      <c r="P15" s="96">
        <v>2.0</v>
      </c>
      <c r="Q15" s="96">
        <v>0.0</v>
      </c>
      <c r="R15" s="96">
        <v>0.0</v>
      </c>
      <c r="S15" s="96">
        <v>1.0</v>
      </c>
      <c r="T15" s="96">
        <v>4.0</v>
      </c>
      <c r="U15" s="96">
        <v>4.0</v>
      </c>
      <c r="V15" s="96">
        <v>0.0</v>
      </c>
      <c r="W15" s="96">
        <v>0.0</v>
      </c>
      <c r="X15" s="96">
        <v>0.0</v>
      </c>
      <c r="Y15" s="96">
        <v>2.0</v>
      </c>
      <c r="Z15" s="96">
        <v>1.0</v>
      </c>
      <c r="AA15" s="96">
        <v>1.0</v>
      </c>
      <c r="AB15" s="96">
        <v>0.0</v>
      </c>
      <c r="AC15" s="96">
        <v>1.0</v>
      </c>
      <c r="AD15" s="96">
        <v>0.0</v>
      </c>
      <c r="AE15" s="96">
        <v>1.0</v>
      </c>
      <c r="AF15" s="96">
        <v>1.0</v>
      </c>
      <c r="AG15" s="96">
        <v>2.0</v>
      </c>
      <c r="AH15" s="96">
        <v>1.0</v>
      </c>
      <c r="AI15" s="96">
        <v>1.0</v>
      </c>
      <c r="AJ15" s="96">
        <v>3.0</v>
      </c>
      <c r="AK15" s="49">
        <v>2.0</v>
      </c>
      <c r="AL15" s="49">
        <v>1.0</v>
      </c>
      <c r="AM15" s="49">
        <v>0.0</v>
      </c>
      <c r="AN15" s="49">
        <v>1.0</v>
      </c>
      <c r="AO15" s="49">
        <v>1.0</v>
      </c>
      <c r="AP15" s="49">
        <v>0.0</v>
      </c>
      <c r="AQ15" s="49">
        <v>0.0</v>
      </c>
      <c r="AR15" s="98">
        <f t="shared" si="4"/>
        <v>13.0</v>
      </c>
      <c r="AS15" s="98">
        <f t="shared" si="47"/>
        <v>8.0</v>
      </c>
      <c r="AT15" s="98">
        <f t="shared" si="6"/>
        <v>8.8</v>
      </c>
      <c r="AU15" s="104">
        <v>0.0</v>
      </c>
      <c r="AV15" s="104">
        <v>0.0</v>
      </c>
      <c r="AW15" s="104">
        <v>0.0</v>
      </c>
      <c r="AX15" s="104">
        <v>0.0</v>
      </c>
      <c r="AY15" s="104">
        <v>0.0</v>
      </c>
      <c r="AZ15" s="104">
        <v>0.0</v>
      </c>
      <c r="BA15" s="108">
        <f t="shared" si="13"/>
        <v>0.0</v>
      </c>
      <c r="BB15" s="51">
        <f>VLOOKUP(D15,FEB23SOH,2,false)</f>
        <v>0.0</v>
      </c>
      <c r="BC15" s="99">
        <f>VLOOKUP(C15,UNITVALUE,5,false)</f>
      </c>
      <c r="BD15" s="53">
        <f t="shared" si="16"/>
        <v>0.0</v>
      </c>
      <c r="BI15" s="104"/>
      <c r="BJ15" s="50" t="s">
        <v>189</v>
      </c>
      <c r="BO15" s="100"/>
      <c r="BP15" s="107"/>
      <c r="BS15" s="100"/>
      <c r="BT15" s="102"/>
      <c r="BW15" s="100"/>
      <c r="BX15" s="102"/>
      <c r="CA15" s="100"/>
      <c r="CB15" s="102"/>
      <c r="CE15" s="100"/>
      <c r="CF15" s="102"/>
      <c r="CI15" s="100"/>
      <c r="CJ15" s="55"/>
    </row>
    <row r="16" ht="14.0" customFormat="1" s="49">
      <c r="A16" s="104" t="s">
        <v>45</v>
      </c>
      <c r="B16" s="96" t="s">
        <v>29</v>
      </c>
      <c r="C16" s="105" t="s">
        <v>50</v>
      </c>
      <c r="D16" s="106" t="s">
        <v>51</v>
      </c>
      <c r="E16" s="96">
        <v>144.0</v>
      </c>
      <c r="F16" s="96">
        <v>155.0</v>
      </c>
      <c r="G16" s="96">
        <v>60.0</v>
      </c>
      <c r="H16" s="96">
        <v>108.0</v>
      </c>
      <c r="I16" s="96">
        <v>131.0</v>
      </c>
      <c r="J16" s="96">
        <v>91.0</v>
      </c>
      <c r="K16" s="96">
        <v>83.0</v>
      </c>
      <c r="L16" s="96">
        <v>60.0</v>
      </c>
      <c r="M16" s="96">
        <v>76.0</v>
      </c>
      <c r="N16" s="96">
        <v>101.0</v>
      </c>
      <c r="O16" s="96">
        <v>54.0</v>
      </c>
      <c r="P16" s="96">
        <v>70.0</v>
      </c>
      <c r="Q16" s="96">
        <v>156.0</v>
      </c>
      <c r="R16" s="96">
        <v>107.0</v>
      </c>
      <c r="S16" s="96">
        <v>76.0</v>
      </c>
      <c r="T16" s="96">
        <v>138.0</v>
      </c>
      <c r="U16" s="96">
        <v>48.0</v>
      </c>
      <c r="V16" s="96">
        <v>35.0</v>
      </c>
      <c r="W16" s="96">
        <v>30.0</v>
      </c>
      <c r="X16" s="96">
        <v>97.0</v>
      </c>
      <c r="Y16" s="96">
        <v>82.0</v>
      </c>
      <c r="Z16" s="96">
        <v>60.0</v>
      </c>
      <c r="AA16" s="96">
        <v>42.0</v>
      </c>
      <c r="AB16" s="96">
        <v>60.0</v>
      </c>
      <c r="AC16" s="96">
        <v>77.0</v>
      </c>
      <c r="AD16" s="96">
        <v>67.0</v>
      </c>
      <c r="AE16" s="96">
        <v>23.0</v>
      </c>
      <c r="AF16" s="96">
        <v>47.0</v>
      </c>
      <c r="AG16" s="96">
        <v>24.0</v>
      </c>
      <c r="AH16" s="96">
        <v>36.0</v>
      </c>
      <c r="AI16" s="96">
        <v>36.0</v>
      </c>
      <c r="AJ16" s="96">
        <v>13.0</v>
      </c>
      <c r="AK16" s="49">
        <v>60.0</v>
      </c>
      <c r="AL16" s="49">
        <v>24.0</v>
      </c>
      <c r="AM16" s="49">
        <v>60.0</v>
      </c>
      <c r="AN16" s="49">
        <v>42.0</v>
      </c>
      <c r="AO16" s="49">
        <v>6.0</v>
      </c>
      <c r="AP16" s="49">
        <v>30.0</v>
      </c>
      <c r="AQ16" s="49">
        <v>22.0</v>
      </c>
      <c r="AR16" s="98">
        <f t="shared" si="4"/>
        <v>400.0</v>
      </c>
      <c r="AS16" s="98">
        <f t="shared" si="47"/>
        <v>235.0</v>
      </c>
      <c r="AT16" s="98">
        <f t="shared" si="6"/>
        <v>258.5</v>
      </c>
      <c r="AU16" s="104">
        <v>18.0</v>
      </c>
      <c r="AV16" s="104">
        <v>0.0</v>
      </c>
      <c r="AW16" s="104">
        <v>0.0</v>
      </c>
      <c r="AX16" s="104">
        <v>0.0</v>
      </c>
      <c r="AY16" s="104">
        <v>0.0</v>
      </c>
      <c r="AZ16" s="104">
        <v>0.0</v>
      </c>
      <c r="BA16" s="109">
        <f t="shared" si="13"/>
        <v>18.0</v>
      </c>
      <c r="BB16" s="51">
        <f>VLOOKUP(D16,FEB23SOH,2,false)</f>
        <v>12.0</v>
      </c>
      <c r="BC16" s="99">
        <f>VLOOKUP(C16,UNITVALUE,5,false)</f>
        <v>3.0108</v>
      </c>
      <c r="BD16" s="53">
        <f t="shared" si="16"/>
        <v>36.1296</v>
      </c>
      <c r="BI16" s="104"/>
      <c r="BJ16" s="50" t="s">
        <v>189</v>
      </c>
      <c r="BK16" s="49">
        <f t="shared" ref="BK16:BK19" si="49">BB16</f>
        <v>12.0</v>
      </c>
      <c r="BO16" s="100"/>
      <c r="BP16" s="107"/>
      <c r="BS16" s="100"/>
      <c r="BT16" s="102"/>
      <c r="BW16" s="100"/>
      <c r="BX16" s="102"/>
      <c r="CA16" s="100"/>
      <c r="CB16" s="102"/>
      <c r="CE16" s="100"/>
      <c r="CF16" s="102"/>
      <c r="CI16" s="100"/>
      <c r="CJ16" s="55"/>
    </row>
    <row r="17" ht="14.0" customFormat="1" s="49">
      <c r="A17" s="104" t="s">
        <v>45</v>
      </c>
      <c r="B17" s="96" t="s">
        <v>29</v>
      </c>
      <c r="C17" s="105" t="s">
        <v>52</v>
      </c>
      <c r="D17" s="106" t="s">
        <v>53</v>
      </c>
      <c r="E17" s="96">
        <v>114.0</v>
      </c>
      <c r="F17" s="96">
        <v>135.0</v>
      </c>
      <c r="G17" s="96">
        <v>42.0</v>
      </c>
      <c r="H17" s="96">
        <v>55.0</v>
      </c>
      <c r="I17" s="96">
        <v>95.0</v>
      </c>
      <c r="J17" s="96">
        <v>66.0</v>
      </c>
      <c r="K17" s="96">
        <v>53.0</v>
      </c>
      <c r="L17" s="96">
        <v>72.0</v>
      </c>
      <c r="M17" s="96">
        <v>42.0</v>
      </c>
      <c r="N17" s="96">
        <v>41.0</v>
      </c>
      <c r="O17" s="96">
        <v>60.0</v>
      </c>
      <c r="P17" s="96">
        <v>65.0</v>
      </c>
      <c r="Q17" s="96">
        <v>108.0</v>
      </c>
      <c r="R17" s="96">
        <v>84.0</v>
      </c>
      <c r="S17" s="96">
        <v>29.0</v>
      </c>
      <c r="T17" s="96">
        <v>59.0</v>
      </c>
      <c r="U17" s="96">
        <v>36.0</v>
      </c>
      <c r="V17" s="96">
        <v>42.0</v>
      </c>
      <c r="W17" s="96">
        <v>48.0</v>
      </c>
      <c r="X17" s="96">
        <v>48.0</v>
      </c>
      <c r="Y17" s="96">
        <v>66.0</v>
      </c>
      <c r="Z17" s="96">
        <v>48.0</v>
      </c>
      <c r="AA17" s="96">
        <v>30.0</v>
      </c>
      <c r="AB17" s="96">
        <v>42.0</v>
      </c>
      <c r="AC17" s="96">
        <v>52.0</v>
      </c>
      <c r="AD17" s="96">
        <v>48.0</v>
      </c>
      <c r="AE17" s="96">
        <v>18.0</v>
      </c>
      <c r="AF17" s="96">
        <v>65.0</v>
      </c>
      <c r="AG17" s="96">
        <v>24.0</v>
      </c>
      <c r="AH17" s="96">
        <v>30.0</v>
      </c>
      <c r="AI17" s="96">
        <v>18.0</v>
      </c>
      <c r="AJ17" s="96">
        <v>13.0</v>
      </c>
      <c r="AK17" s="49">
        <v>60.0</v>
      </c>
      <c r="AL17" s="49">
        <v>10.0</v>
      </c>
      <c r="AM17" s="49">
        <v>35.0</v>
      </c>
      <c r="AN17" s="49">
        <v>5.0</v>
      </c>
      <c r="AO17" s="49">
        <v>264.0</v>
      </c>
      <c r="AP17" s="49">
        <v>12.0</v>
      </c>
      <c r="AQ17" s="49">
        <v>6.0</v>
      </c>
      <c r="AR17" s="98">
        <f t="shared" si="4"/>
        <v>542.0</v>
      </c>
      <c r="AS17" s="98">
        <f t="shared" si="47"/>
        <v>399.0</v>
      </c>
      <c r="AT17" s="98">
        <f t="shared" si="6"/>
        <v>438.9</v>
      </c>
      <c r="AU17" s="104">
        <v>22.0</v>
      </c>
      <c r="AV17" s="104">
        <v>0.0</v>
      </c>
      <c r="AW17" s="104">
        <v>0.0</v>
      </c>
      <c r="AX17" s="104">
        <v>0.0</v>
      </c>
      <c r="AY17" s="104">
        <v>0.0</v>
      </c>
      <c r="AZ17" s="104">
        <v>0.0</v>
      </c>
      <c r="BA17" s="109">
        <f t="shared" si="13"/>
        <v>22.0</v>
      </c>
      <c r="BB17" s="51">
        <f>VLOOKUP(D17,FEB23SOH,2,false)</f>
        <v>17.0</v>
      </c>
      <c r="BC17" s="99">
        <f>VLOOKUP(C17,UNITVALUE,5,false)</f>
        <v>3.0112</v>
      </c>
      <c r="BD17" s="53">
        <f t="shared" si="16"/>
        <v>51.1904</v>
      </c>
      <c r="BI17" s="104"/>
      <c r="BJ17" s="50" t="s">
        <v>189</v>
      </c>
      <c r="BK17" s="49">
        <f t="shared" si="49"/>
        <v>17.0</v>
      </c>
      <c r="BO17" s="100"/>
      <c r="BP17" s="107"/>
      <c r="BS17" s="100"/>
      <c r="BT17" s="102"/>
      <c r="BW17" s="100"/>
      <c r="BX17" s="102"/>
      <c r="CA17" s="100"/>
      <c r="CB17" s="102"/>
      <c r="CE17" s="100"/>
      <c r="CF17" s="102"/>
      <c r="CI17" s="100"/>
      <c r="CJ17" s="55"/>
    </row>
    <row r="18" ht="14.0" customFormat="1" s="49">
      <c r="A18" s="104" t="s">
        <v>45</v>
      </c>
      <c r="B18" s="96" t="s">
        <v>29</v>
      </c>
      <c r="C18" s="105" t="s">
        <v>54</v>
      </c>
      <c r="D18" s="106" t="s">
        <v>55</v>
      </c>
      <c r="E18" s="96">
        <v>84.0</v>
      </c>
      <c r="F18" s="96">
        <v>36.0</v>
      </c>
      <c r="G18" s="96">
        <v>24.0</v>
      </c>
      <c r="H18" s="96">
        <v>30.0</v>
      </c>
      <c r="I18" s="96">
        <v>72.0</v>
      </c>
      <c r="J18" s="96">
        <v>18.0</v>
      </c>
      <c r="K18" s="96">
        <v>42.0</v>
      </c>
      <c r="L18" s="96">
        <v>18.0</v>
      </c>
      <c r="M18" s="96">
        <v>48.0</v>
      </c>
      <c r="N18" s="96">
        <v>18.0</v>
      </c>
      <c r="O18" s="96">
        <v>48.0</v>
      </c>
      <c r="P18" s="96">
        <v>23.0</v>
      </c>
      <c r="Q18" s="96">
        <v>48.0</v>
      </c>
      <c r="R18" s="96">
        <v>35.0</v>
      </c>
      <c r="S18" s="96">
        <v>18.0</v>
      </c>
      <c r="T18" s="96">
        <v>60.0</v>
      </c>
      <c r="U18" s="96">
        <v>36.0</v>
      </c>
      <c r="V18" s="96">
        <v>5.0</v>
      </c>
      <c r="W18" s="96">
        <v>18.0</v>
      </c>
      <c r="X18" s="96">
        <v>25.0</v>
      </c>
      <c r="Y18" s="96">
        <v>36.0</v>
      </c>
      <c r="Z18" s="96">
        <v>54.0</v>
      </c>
      <c r="AA18" s="96">
        <v>0.0</v>
      </c>
      <c r="AB18" s="96">
        <v>18.0</v>
      </c>
      <c r="AC18" s="96">
        <v>46.0</v>
      </c>
      <c r="AD18" s="96">
        <v>22.0</v>
      </c>
      <c r="AE18" s="96">
        <v>12.0</v>
      </c>
      <c r="AF18" s="96">
        <v>6.0</v>
      </c>
      <c r="AG18" s="96">
        <v>18.0</v>
      </c>
      <c r="AH18" s="96">
        <v>24.0</v>
      </c>
      <c r="AI18" s="96">
        <v>6.0</v>
      </c>
      <c r="AJ18" s="96">
        <v>1.0</v>
      </c>
      <c r="AK18" s="49">
        <v>11.0</v>
      </c>
      <c r="AL18" s="49">
        <v>6.0</v>
      </c>
      <c r="AM18" s="49">
        <v>18.0</v>
      </c>
      <c r="AN18" s="49">
        <v>10.0</v>
      </c>
      <c r="AO18" s="49">
        <v>18.0</v>
      </c>
      <c r="AP18" s="49">
        <v>12.0</v>
      </c>
      <c r="AQ18" s="49">
        <v>15.0</v>
      </c>
      <c r="AR18" s="98">
        <f t="shared" si="4"/>
        <v>145.0</v>
      </c>
      <c r="AS18" s="98">
        <f t="shared" si="47"/>
        <v>76.0</v>
      </c>
      <c r="AT18" s="98">
        <f t="shared" si="6"/>
        <v>83.6</v>
      </c>
      <c r="AU18" s="104">
        <v>13.0</v>
      </c>
      <c r="AV18" s="104">
        <v>0.0</v>
      </c>
      <c r="AW18" s="104">
        <v>0.0</v>
      </c>
      <c r="AX18" s="104">
        <v>0.0</v>
      </c>
      <c r="AY18" s="104">
        <v>0.0</v>
      </c>
      <c r="AZ18" s="104">
        <v>0.0</v>
      </c>
      <c r="BA18" s="109">
        <f t="shared" si="13"/>
        <v>13.0</v>
      </c>
      <c r="BB18" s="51">
        <f>VLOOKUP(D18,FEB23SOH,2,false)</f>
        <v>7.0</v>
      </c>
      <c r="BC18" s="99">
        <f>VLOOKUP(C18,UNITVALUE,5,false)</f>
        <v>3.1657</v>
      </c>
      <c r="BD18" s="53">
        <f t="shared" si="16"/>
        <v>22.1599</v>
      </c>
      <c r="BI18" s="104"/>
      <c r="BJ18" s="50" t="s">
        <v>189</v>
      </c>
      <c r="BK18" s="49">
        <f t="shared" si="49"/>
        <v>7.0</v>
      </c>
      <c r="BO18" s="100"/>
      <c r="BP18" s="107"/>
      <c r="BS18" s="100"/>
      <c r="BT18" s="102"/>
      <c r="BW18" s="100"/>
      <c r="BX18" s="102"/>
      <c r="CA18" s="100"/>
      <c r="CB18" s="102"/>
      <c r="CE18" s="100"/>
      <c r="CF18" s="102"/>
      <c r="CI18" s="100"/>
      <c r="CJ18" s="55"/>
    </row>
    <row r="19" ht="14.0" customFormat="1" s="49">
      <c r="A19" s="104" t="s">
        <v>45</v>
      </c>
      <c r="B19" s="96" t="s">
        <v>29</v>
      </c>
      <c r="C19" s="105" t="s">
        <v>56</v>
      </c>
      <c r="D19" s="106" t="s">
        <v>57</v>
      </c>
      <c r="E19" s="96">
        <v>113.0</v>
      </c>
      <c r="F19" s="96">
        <v>36.0</v>
      </c>
      <c r="G19" s="96">
        <v>24.0</v>
      </c>
      <c r="H19" s="96">
        <v>30.0</v>
      </c>
      <c r="I19" s="96">
        <v>66.0</v>
      </c>
      <c r="J19" s="96">
        <v>42.0</v>
      </c>
      <c r="K19" s="96">
        <v>24.0</v>
      </c>
      <c r="L19" s="96">
        <v>54.0</v>
      </c>
      <c r="M19" s="96">
        <v>54.0</v>
      </c>
      <c r="N19" s="96">
        <v>36.0</v>
      </c>
      <c r="O19" s="96">
        <v>48.0</v>
      </c>
      <c r="P19" s="96">
        <v>30.0</v>
      </c>
      <c r="Q19" s="96">
        <v>66.0</v>
      </c>
      <c r="R19" s="96">
        <v>54.0</v>
      </c>
      <c r="S19" s="96">
        <v>30.0</v>
      </c>
      <c r="T19" s="96">
        <v>66.0</v>
      </c>
      <c r="U19" s="96">
        <v>30.0</v>
      </c>
      <c r="V19" s="96">
        <v>23.0</v>
      </c>
      <c r="W19" s="96">
        <v>30.0</v>
      </c>
      <c r="X19" s="96">
        <v>24.0</v>
      </c>
      <c r="Y19" s="96">
        <v>48.0</v>
      </c>
      <c r="Z19" s="96">
        <v>36.0</v>
      </c>
      <c r="AA19" s="96">
        <v>30.0</v>
      </c>
      <c r="AB19" s="96">
        <v>36.0</v>
      </c>
      <c r="AC19" s="96">
        <v>36.0</v>
      </c>
      <c r="AD19" s="96">
        <v>18.0</v>
      </c>
      <c r="AE19" s="96">
        <v>24.0</v>
      </c>
      <c r="AF19" s="96">
        <v>48.0</v>
      </c>
      <c r="AG19" s="96">
        <v>18.0</v>
      </c>
      <c r="AH19" s="96">
        <v>18.0</v>
      </c>
      <c r="AI19" s="96">
        <v>18.0</v>
      </c>
      <c r="AJ19" s="96">
        <v>19.0</v>
      </c>
      <c r="AK19" s="49">
        <v>18.0</v>
      </c>
      <c r="AL19" s="49">
        <v>7.0</v>
      </c>
      <c r="AM19" s="49">
        <v>12.0</v>
      </c>
      <c r="AN19" s="49">
        <v>6.0</v>
      </c>
      <c r="AO19" s="49">
        <v>176.0</v>
      </c>
      <c r="AP19" s="49">
        <v>12.0</v>
      </c>
      <c r="AQ19" s="49">
        <v>7.0</v>
      </c>
      <c r="AR19" s="98">
        <f t="shared" si="4"/>
        <v>359.0</v>
      </c>
      <c r="AS19" s="98">
        <f t="shared" si="47"/>
        <v>250.0</v>
      </c>
      <c r="AT19" s="98">
        <f t="shared" si="6"/>
        <v>275.0</v>
      </c>
      <c r="AU19" s="104">
        <v>0.0</v>
      </c>
      <c r="AV19" s="104">
        <v>0.0</v>
      </c>
      <c r="AW19" s="104">
        <v>0.0</v>
      </c>
      <c r="AX19" s="104">
        <v>0.0</v>
      </c>
      <c r="AY19" s="104">
        <v>0.0</v>
      </c>
      <c r="AZ19" s="104">
        <v>0.0</v>
      </c>
      <c r="BA19" s="109">
        <f t="shared" si="13"/>
        <v>0.0</v>
      </c>
      <c r="BB19" s="51">
        <f>VLOOKUP(D19,FEB23SOH,2,false)</f>
        <v>0.0</v>
      </c>
      <c r="BC19" s="99">
        <f>VLOOKUP(C19,UNITVALUE,5,false)</f>
      </c>
      <c r="BD19" s="53">
        <f t="shared" si="16"/>
        <v>0.0</v>
      </c>
      <c r="BI19" s="104"/>
      <c r="BJ19" s="50" t="s">
        <v>189</v>
      </c>
      <c r="BK19" s="49">
        <f t="shared" si="49"/>
        <v>0.0</v>
      </c>
      <c r="BO19" s="100"/>
      <c r="BP19" s="107"/>
      <c r="BS19" s="100"/>
      <c r="BT19" s="102"/>
      <c r="BW19" s="100"/>
      <c r="BX19" s="102"/>
      <c r="CA19" s="100"/>
      <c r="CB19" s="102"/>
      <c r="CE19" s="100"/>
      <c r="CF19" s="102"/>
      <c r="CI19" s="100"/>
      <c r="CJ19" s="55"/>
    </row>
    <row r="20" ht="14.0" customFormat="1" s="49">
      <c r="A20" s="96" t="s">
        <v>28</v>
      </c>
      <c r="B20" s="96" t="s">
        <v>29</v>
      </c>
      <c r="C20" s="96" t="s">
        <v>190</v>
      </c>
      <c r="D20" s="97" t="s">
        <v>191</v>
      </c>
      <c r="E20" s="96">
        <v>0.0</v>
      </c>
      <c r="F20" s="96">
        <v>0.0</v>
      </c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96">
        <v>0.0</v>
      </c>
      <c r="M20" s="96">
        <v>0.0</v>
      </c>
      <c r="N20" s="96">
        <v>0.0</v>
      </c>
      <c r="O20" s="96">
        <v>0.0</v>
      </c>
      <c r="P20" s="96">
        <v>0.0</v>
      </c>
      <c r="Q20" s="96">
        <v>0.0</v>
      </c>
      <c r="R20" s="96">
        <v>0.0</v>
      </c>
      <c r="S20" s="96">
        <v>0.0</v>
      </c>
      <c r="T20" s="96">
        <v>0.0</v>
      </c>
      <c r="U20" s="96">
        <v>0.0</v>
      </c>
      <c r="V20" s="96">
        <v>0.0</v>
      </c>
      <c r="W20" s="96">
        <v>0.0</v>
      </c>
      <c r="X20" s="96">
        <v>0.0</v>
      </c>
      <c r="Y20" s="96">
        <v>0.0</v>
      </c>
      <c r="Z20" s="96">
        <v>0.0</v>
      </c>
      <c r="AA20" s="96">
        <v>0.0</v>
      </c>
      <c r="AB20" s="96">
        <v>0.0</v>
      </c>
      <c r="AC20" s="96">
        <v>0.0</v>
      </c>
      <c r="AD20" s="96">
        <v>0.0</v>
      </c>
      <c r="AE20" s="96">
        <v>0.0</v>
      </c>
      <c r="AF20" s="96">
        <v>0.0</v>
      </c>
      <c r="AG20" s="96">
        <v>0.0</v>
      </c>
      <c r="AH20" s="96">
        <v>0.0</v>
      </c>
      <c r="AI20" s="96">
        <v>0.0</v>
      </c>
      <c r="AJ20" s="96">
        <v>3.0</v>
      </c>
      <c r="AK20" s="49">
        <v>4.0</v>
      </c>
      <c r="AL20" s="110">
        <v>8.0</v>
      </c>
      <c r="AM20" s="110">
        <v>6.0</v>
      </c>
      <c r="AN20" s="110">
        <v>7.0</v>
      </c>
      <c r="AO20" s="110">
        <v>6.0</v>
      </c>
      <c r="AP20" s="110">
        <v>3.0</v>
      </c>
      <c r="AQ20" s="110">
        <v>4.0</v>
      </c>
      <c r="AR20" s="98">
        <f t="shared" si="4"/>
        <v>41.0</v>
      </c>
      <c r="AS20" s="98">
        <f t="shared" ref="AS20:AS38" si="50">SUM(AL20:AQ20)</f>
        <v>34.0</v>
      </c>
      <c r="AT20" s="98">
        <f t="shared" si="6"/>
        <v>37.4</v>
      </c>
      <c r="AU20" s="111">
        <f>AT20*$AU$4/$AT$3</f>
        <v>3.94642857142857</v>
      </c>
      <c r="AV20" s="111">
        <f>AT20*$AV$4/$AT$3</f>
        <v>4.25</v>
      </c>
      <c r="AW20" s="111">
        <f>AT20*$AW$4/$AT$3</f>
        <v>5.88928571428571</v>
      </c>
      <c r="AX20" s="111">
        <f>AT20*$AX$4/$AT$3</f>
        <v>2.79285714285714</v>
      </c>
      <c r="AY20" s="111">
        <f>AT20*$AY$4/$AT$3</f>
        <v>5.40357142857142</v>
      </c>
      <c r="AZ20" s="111">
        <f>AT20*$AZ$4/$AT$3</f>
        <v>4.43214285714286</v>
      </c>
      <c r="BA20" s="51">
        <f t="shared" si="13"/>
        <v>26.7142857142857</v>
      </c>
      <c r="BB20" s="51">
        <f>VLOOKUP(D20,FEB23SOH,2,false)</f>
        <v>3.0</v>
      </c>
      <c r="BC20" s="99">
        <f>VLOOKUP(C20,UNITVALUE,5,false)</f>
        <v>91.53</v>
      </c>
      <c r="BD20" s="53">
        <f t="shared" si="16"/>
        <v>274.59</v>
      </c>
      <c r="BJ20" s="50"/>
      <c r="BN20" s="49">
        <f t="shared" ref="BN20:BN24" si="57">BE20</f>
      </c>
      <c r="BO20" s="100">
        <f t="shared" ref="BO20:BO24" si="58">BK20+BN20-BM20+BL20</f>
        <v>0.0</v>
      </c>
      <c r="BP20" s="101">
        <f t="shared" ref="BP20:BP24" si="59">BO20*BC20</f>
        <v>0.0</v>
      </c>
      <c r="BR20" s="49">
        <f t="shared" ref="BR20:BR24" si="60">BF20</f>
      </c>
      <c r="BS20" s="100"/>
      <c r="BT20" s="102">
        <f t="shared" ref="BT20:BT24" si="61">BS20*BC20</f>
        <v>0.0</v>
      </c>
      <c r="BW20" s="100"/>
      <c r="BX20" s="102">
        <f t="shared" ref="BX20:BX24" si="62">BW20*BC20</f>
        <v>0.0</v>
      </c>
      <c r="CA20" s="100"/>
      <c r="CB20" s="102">
        <f t="shared" ref="CB20:CB24" si="63">CA20*BC20</f>
        <v>0.0</v>
      </c>
      <c r="CE20" s="100"/>
      <c r="CF20" s="102">
        <f t="shared" ref="CF20:CF24" si="64">CE20*BC20</f>
        <v>0.0</v>
      </c>
      <c r="CI20" s="100"/>
      <c r="CJ20" s="55">
        <f t="shared" ref="CJ20:CJ24" si="65">CI20*BC20</f>
        <v>0.0</v>
      </c>
    </row>
    <row r="21" ht="14.0" customFormat="1" s="49">
      <c r="A21" s="96" t="s">
        <v>28</v>
      </c>
      <c r="B21" s="96" t="s">
        <v>29</v>
      </c>
      <c r="C21" s="96" t="s">
        <v>192</v>
      </c>
      <c r="D21" s="97" t="s">
        <v>193</v>
      </c>
      <c r="E21" s="96">
        <v>0.0</v>
      </c>
      <c r="F21" s="96">
        <v>0.0</v>
      </c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96">
        <v>0.0</v>
      </c>
      <c r="M21" s="96">
        <v>0.0</v>
      </c>
      <c r="N21" s="96">
        <v>0.0</v>
      </c>
      <c r="O21" s="96">
        <v>0.0</v>
      </c>
      <c r="P21" s="96">
        <v>0.0</v>
      </c>
      <c r="Q21" s="96">
        <v>0.0</v>
      </c>
      <c r="R21" s="96">
        <v>0.0</v>
      </c>
      <c r="S21" s="96">
        <v>0.0</v>
      </c>
      <c r="T21" s="96">
        <v>0.0</v>
      </c>
      <c r="U21" s="96">
        <v>0.0</v>
      </c>
      <c r="V21" s="96">
        <v>0.0</v>
      </c>
      <c r="W21" s="96">
        <v>0.0</v>
      </c>
      <c r="X21" s="96">
        <v>0.0</v>
      </c>
      <c r="Y21" s="96">
        <v>0.0</v>
      </c>
      <c r="Z21" s="96">
        <v>0.0</v>
      </c>
      <c r="AA21" s="96">
        <v>0.0</v>
      </c>
      <c r="AB21" s="96">
        <v>0.0</v>
      </c>
      <c r="AC21" s="96">
        <v>0.0</v>
      </c>
      <c r="AD21" s="96">
        <v>0.0</v>
      </c>
      <c r="AE21" s="96">
        <v>0.0</v>
      </c>
      <c r="AF21" s="96">
        <v>0.0</v>
      </c>
      <c r="AG21" s="96">
        <v>0.0</v>
      </c>
      <c r="AH21" s="96">
        <v>0.0</v>
      </c>
      <c r="AI21" s="96">
        <v>0.0</v>
      </c>
      <c r="AJ21" s="96">
        <v>780.0</v>
      </c>
      <c r="AK21" s="49">
        <v>296.0</v>
      </c>
      <c r="AL21" s="110">
        <v>168.0</v>
      </c>
      <c r="AM21" s="110">
        <v>311.0</v>
      </c>
      <c r="AN21" s="110">
        <v>378.0</v>
      </c>
      <c r="AO21" s="110">
        <v>306.0</v>
      </c>
      <c r="AP21" s="110">
        <v>211.0</v>
      </c>
      <c r="AQ21" s="110">
        <v>458.0</v>
      </c>
      <c r="AR21" s="98">
        <f t="shared" si="4"/>
        <v>2908.0</v>
      </c>
      <c r="AS21" s="98">
        <f t="shared" si="50"/>
        <v>1832.0</v>
      </c>
      <c r="AT21" s="98">
        <f t="shared" si="6"/>
        <v>2015.2</v>
      </c>
      <c r="AU21" s="112">
        <f t="shared" ref="AU21:AU24" si="66">AT21*$AU$4/$AT$3+6*$AU$20+6*$AU$25+AU36*0.75</f>
        <v>236.234374999999</v>
      </c>
      <c r="AV21" s="110">
        <f t="shared" ref="AV21:AV24" si="67">AT21*$AV$4/$AT$3+6*$AV$20+6*$AV$25+AV36*0.75</f>
        <v>254.40625</v>
      </c>
      <c r="AW21" s="110">
        <f t="shared" ref="AW21:AW24" si="68">AT21*$AW$4/$AT$3+6*$AW$20+6*$AW$25+AW36*0.75</f>
        <v>352.534374999999</v>
      </c>
      <c r="AX21" s="110">
        <f t="shared" ref="AX21:AX24" si="69">AT21*$AX$4/$AT$3+6*$AX$20+6*$AX$25+AX36*0.75</f>
        <v>167.18125</v>
      </c>
      <c r="AY21" s="110">
        <f t="shared" ref="AY21:AY24" si="70">AT21*$AY$4/$AT$3+6*$AY$20+6*$AY$25+AY36*0.75</f>
        <v>323.57857142857</v>
      </c>
      <c r="AZ21" s="110">
        <f t="shared" ref="AZ21:AZ24" si="71">AT21*$AZ$4/$AT$3+6*$AZ$20+6*$AZ$25+AZ36*0.75</f>
        <v>265.407142857143</v>
      </c>
      <c r="BA21" s="51">
        <f t="shared" si="13"/>
        <v>1599.34196428571</v>
      </c>
      <c r="BB21" s="51">
        <f>VLOOKUP(D21,FEB23SOH,2,false)</f>
        <v>6810.0</v>
      </c>
      <c r="BC21" s="99">
        <f>VLOOKUP(C21,UNITVALUE,5,false)</f>
        <v>3.8415</v>
      </c>
      <c r="BD21" s="53">
        <f t="shared" si="16"/>
        <v>26160.615</v>
      </c>
      <c r="BG21" s="98">
        <f t="shared" ref="BG21:BG24" si="72">BB21+BE21+BF21-BA21</f>
        <v>5210.65803571429</v>
      </c>
      <c r="BH21" s="113">
        <v>2040.0</v>
      </c>
      <c r="BI21" s="51"/>
      <c r="BJ21" s="114" t="s">
        <v>32</v>
      </c>
      <c r="BK21" s="49">
        <f t="shared" ref="BK21:BK24" si="73">BB21</f>
        <v>6810.0</v>
      </c>
      <c r="BM21" s="49">
        <f t="shared" ref="BM21:BM24" si="74">AU21</f>
        <v>236.234374999999</v>
      </c>
      <c r="BN21" s="49">
        <f t="shared" si="57"/>
      </c>
      <c r="BO21" s="100">
        <f t="shared" si="58"/>
        <v>6573.765625</v>
      </c>
      <c r="BP21" s="101">
        <f t="shared" si="59"/>
        <v>25253.1206484375</v>
      </c>
      <c r="BQ21" s="49">
        <f t="shared" ref="BQ21:BQ24" si="75">AV21</f>
        <v>254.40625</v>
      </c>
      <c r="BR21" s="49">
        <f t="shared" si="60"/>
      </c>
      <c r="BS21" s="100">
        <f t="shared" ref="BS21:BS24" si="76">BO21+BR21-BQ21</f>
        <v>6319.359375</v>
      </c>
      <c r="BT21" s="102">
        <f t="shared" si="61"/>
        <v>24275.8190390625</v>
      </c>
      <c r="BU21" s="49">
        <f t="shared" ref="BU21:BU24" si="77">AW21</f>
        <v>352.534374999999</v>
      </c>
      <c r="BW21" s="100">
        <f t="shared" ref="BW21:BW24" si="78">BS21+BV21-BU21</f>
        <v>5966.825</v>
      </c>
      <c r="BX21" s="102">
        <f t="shared" si="62"/>
        <v>22921.5582375</v>
      </c>
      <c r="BY21" s="49">
        <f t="shared" ref="BY21:BY24" si="79">AX21</f>
        <v>167.18125</v>
      </c>
      <c r="CA21" s="100">
        <f t="shared" ref="CA21:CA24" si="80">BW21+BZ21-BY21</f>
        <v>5799.64375</v>
      </c>
      <c r="CB21" s="102">
        <f t="shared" si="63"/>
        <v>22279.331465625</v>
      </c>
      <c r="CC21" s="49">
        <f t="shared" ref="CC21:CC24" si="81">AY21</f>
        <v>323.57857142857</v>
      </c>
      <c r="CE21" s="100">
        <f t="shared" ref="CE21:CE24" si="82">CA21+CD21-CC21</f>
        <v>5476.06517857143</v>
      </c>
      <c r="CF21" s="102">
        <f t="shared" si="64"/>
        <v>21036.3043834821</v>
      </c>
      <c r="CG21" s="49">
        <f t="shared" ref="CG21:CG24" si="83">AZ21</f>
        <v>265.407142857143</v>
      </c>
      <c r="CI21" s="100">
        <f t="shared" ref="CI21:CI24" si="84">CE21+CH21-CG21</f>
        <v>5210.65803571429</v>
      </c>
      <c r="CJ21" s="55">
        <f t="shared" si="65"/>
        <v>20016.7428441964</v>
      </c>
    </row>
    <row r="22" ht="14.0">
      <c r="A22" s="96" t="s">
        <v>28</v>
      </c>
      <c r="B22" s="96" t="s">
        <v>29</v>
      </c>
      <c r="C22" s="96" t="s">
        <v>194</v>
      </c>
      <c r="D22" s="97" t="s">
        <v>195</v>
      </c>
      <c r="E22" s="96">
        <v>0.0</v>
      </c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96">
        <v>0.0</v>
      </c>
      <c r="M22" s="96">
        <v>0.0</v>
      </c>
      <c r="N22" s="96">
        <v>0.0</v>
      </c>
      <c r="O22" s="96">
        <v>0.0</v>
      </c>
      <c r="P22" s="96">
        <v>0.0</v>
      </c>
      <c r="Q22" s="96">
        <v>0.0</v>
      </c>
      <c r="R22" s="96">
        <v>0.0</v>
      </c>
      <c r="S22" s="96">
        <v>0.0</v>
      </c>
      <c r="T22" s="96">
        <v>0.0</v>
      </c>
      <c r="U22" s="96">
        <v>0.0</v>
      </c>
      <c r="V22" s="96">
        <v>0.0</v>
      </c>
      <c r="W22" s="96">
        <v>0.0</v>
      </c>
      <c r="X22" s="96">
        <v>0.0</v>
      </c>
      <c r="Y22" s="96">
        <v>0.0</v>
      </c>
      <c r="Z22" s="96">
        <v>0.0</v>
      </c>
      <c r="AA22" s="96">
        <v>0.0</v>
      </c>
      <c r="AB22" s="96">
        <v>0.0</v>
      </c>
      <c r="AC22" s="96">
        <v>0.0</v>
      </c>
      <c r="AD22" s="96">
        <v>0.0</v>
      </c>
      <c r="AE22" s="96">
        <v>0.0</v>
      </c>
      <c r="AF22" s="96">
        <v>0.0</v>
      </c>
      <c r="AG22" s="96">
        <v>0.0</v>
      </c>
      <c r="AH22" s="96">
        <v>0.0</v>
      </c>
      <c r="AI22" s="96">
        <v>0.0</v>
      </c>
      <c r="AJ22" s="96">
        <v>90.0</v>
      </c>
      <c r="AK22" s="49">
        <v>253.0</v>
      </c>
      <c r="AL22" s="110">
        <v>142.0</v>
      </c>
      <c r="AM22" s="110">
        <v>221.0</v>
      </c>
      <c r="AN22" s="110">
        <v>300.0</v>
      </c>
      <c r="AO22" s="110">
        <v>144.0</v>
      </c>
      <c r="AP22" s="110">
        <v>174.0</v>
      </c>
      <c r="AQ22" s="110">
        <v>453.0</v>
      </c>
      <c r="AR22" s="98">
        <f t="shared" si="4"/>
        <v>1777.0</v>
      </c>
      <c r="AS22" s="98">
        <f t="shared" si="50"/>
        <v>1434.0</v>
      </c>
      <c r="AT22" s="98">
        <f t="shared" si="6"/>
        <v>1577.4</v>
      </c>
      <c r="AU22" s="112">
        <f t="shared" si="66"/>
        <v>190.037946428562</v>
      </c>
      <c r="AV22" s="110">
        <f t="shared" si="67"/>
        <v>204.65625</v>
      </c>
      <c r="AW22" s="110">
        <f t="shared" si="68"/>
        <v>283.595089285714</v>
      </c>
      <c r="AX22" s="110">
        <f t="shared" si="69"/>
        <v>134.488392857142</v>
      </c>
      <c r="AY22" s="110">
        <f t="shared" si="70"/>
        <v>260.325</v>
      </c>
      <c r="AZ22" s="110">
        <f t="shared" si="71"/>
        <v>213.524999999999</v>
      </c>
      <c r="BA22" s="51">
        <f t="shared" si="13"/>
        <v>1286.62767857141</v>
      </c>
      <c r="BB22" s="51">
        <f>VLOOKUP(D22,FEB23SOH,2,false)</f>
        <v>2108.0</v>
      </c>
      <c r="BC22" s="99">
        <f>VLOOKUP(C22,UNITVALUE,5,false)</f>
        <v>3.8159</v>
      </c>
      <c r="BD22" s="53">
        <f t="shared" si="16"/>
        <v>8043.9172</v>
      </c>
      <c r="BG22" s="98">
        <f t="shared" si="72"/>
        <v>821.37232142859</v>
      </c>
      <c r="BH22" s="113">
        <v>2040.0</v>
      </c>
      <c r="BI22" s="51"/>
      <c r="BJ22" s="115"/>
      <c r="BK22" s="49">
        <f t="shared" si="73"/>
        <v>2108.0</v>
      </c>
      <c r="BM22" s="49">
        <f t="shared" si="74"/>
        <v>190.037946428562</v>
      </c>
      <c r="BN22" s="49">
        <f t="shared" si="57"/>
      </c>
      <c r="BO22" s="100">
        <f t="shared" si="58"/>
        <v>1917.96205357143</v>
      </c>
      <c r="BP22" s="101">
        <f t="shared" si="59"/>
        <v>7318.75140022322</v>
      </c>
      <c r="BQ22" s="49">
        <f t="shared" si="75"/>
        <v>204.65625</v>
      </c>
      <c r="BR22" s="49">
        <f t="shared" si="60"/>
      </c>
      <c r="BS22" s="100">
        <f t="shared" si="76"/>
        <v>1713.30580357143</v>
      </c>
      <c r="BT22" s="102">
        <f t="shared" si="61"/>
        <v>6537.80361584822</v>
      </c>
      <c r="BU22" s="49">
        <f t="shared" si="77"/>
        <v>283.595089285714</v>
      </c>
      <c r="BW22" s="100">
        <f t="shared" si="78"/>
        <v>1429.71071428571</v>
      </c>
      <c r="BX22" s="102">
        <f t="shared" si="62"/>
        <v>5455.63311464284</v>
      </c>
      <c r="BY22" s="49">
        <f t="shared" si="79"/>
        <v>134.488392857142</v>
      </c>
      <c r="CA22" s="100">
        <f t="shared" si="80"/>
        <v>1295.22232142857</v>
      </c>
      <c r="CB22" s="102">
        <f t="shared" si="63"/>
        <v>4942.43885633928</v>
      </c>
      <c r="CC22" s="49">
        <f t="shared" si="81"/>
        <v>260.325</v>
      </c>
      <c r="CE22" s="100">
        <f t="shared" si="82"/>
        <v>1034.89732142857</v>
      </c>
      <c r="CF22" s="102">
        <f t="shared" si="64"/>
        <v>3949.06468883928</v>
      </c>
      <c r="CG22" s="49">
        <f t="shared" si="83"/>
        <v>213.524999999999</v>
      </c>
      <c r="CI22" s="100">
        <f t="shared" si="84"/>
        <v>821.372321428571</v>
      </c>
      <c r="CJ22" s="55">
        <f t="shared" si="65"/>
        <v>3134.27464133928</v>
      </c>
    </row>
    <row r="23" ht="14.0" customFormat="1" s="49">
      <c r="A23" s="96" t="s">
        <v>28</v>
      </c>
      <c r="B23" s="96" t="s">
        <v>29</v>
      </c>
      <c r="C23" s="96" t="s">
        <v>196</v>
      </c>
      <c r="D23" s="97" t="s">
        <v>197</v>
      </c>
      <c r="E23" s="96">
        <v>0.0</v>
      </c>
      <c r="F23" s="96">
        <v>0.0</v>
      </c>
      <c r="G23" s="96">
        <v>0.0</v>
      </c>
      <c r="H23" s="96">
        <v>0.0</v>
      </c>
      <c r="I23" s="96">
        <v>0.0</v>
      </c>
      <c r="J23" s="96">
        <v>0.0</v>
      </c>
      <c r="K23" s="96">
        <v>0.0</v>
      </c>
      <c r="L23" s="96">
        <v>0.0</v>
      </c>
      <c r="M23" s="96">
        <v>0.0</v>
      </c>
      <c r="N23" s="96">
        <v>0.0</v>
      </c>
      <c r="O23" s="96">
        <v>0.0</v>
      </c>
      <c r="P23" s="96">
        <v>0.0</v>
      </c>
      <c r="Q23" s="96">
        <v>0.0</v>
      </c>
      <c r="R23" s="96">
        <v>0.0</v>
      </c>
      <c r="S23" s="96">
        <v>0.0</v>
      </c>
      <c r="T23" s="96">
        <v>0.0</v>
      </c>
      <c r="U23" s="96">
        <v>0.0</v>
      </c>
      <c r="V23" s="96">
        <v>0.0</v>
      </c>
      <c r="W23" s="96">
        <v>0.0</v>
      </c>
      <c r="X23" s="96">
        <v>0.0</v>
      </c>
      <c r="Y23" s="96">
        <v>0.0</v>
      </c>
      <c r="Z23" s="96">
        <v>0.0</v>
      </c>
      <c r="AA23" s="96">
        <v>0.0</v>
      </c>
      <c r="AB23" s="96">
        <v>0.0</v>
      </c>
      <c r="AC23" s="96">
        <v>0.0</v>
      </c>
      <c r="AD23" s="96">
        <v>0.0</v>
      </c>
      <c r="AE23" s="96">
        <v>0.0</v>
      </c>
      <c r="AF23" s="96">
        <v>0.0</v>
      </c>
      <c r="AG23" s="96">
        <v>0.0</v>
      </c>
      <c r="AH23" s="96">
        <v>0.0</v>
      </c>
      <c r="AI23" s="96">
        <v>0.0</v>
      </c>
      <c r="AJ23" s="96">
        <v>60.0</v>
      </c>
      <c r="AK23" s="49">
        <v>175.0</v>
      </c>
      <c r="AL23" s="110">
        <v>101.0</v>
      </c>
      <c r="AM23" s="110">
        <v>108.0</v>
      </c>
      <c r="AN23" s="110">
        <v>130.0</v>
      </c>
      <c r="AO23" s="110">
        <v>90.0</v>
      </c>
      <c r="AP23" s="110">
        <v>77.0</v>
      </c>
      <c r="AQ23" s="110">
        <v>254.0</v>
      </c>
      <c r="AR23" s="98">
        <f t="shared" si="4"/>
        <v>995.0</v>
      </c>
      <c r="AS23" s="98">
        <f t="shared" si="50"/>
        <v>760.0</v>
      </c>
      <c r="AT23" s="98">
        <f t="shared" si="6"/>
        <v>836.0</v>
      </c>
      <c r="AU23" s="112">
        <f t="shared" si="66"/>
        <v>114.892857142857</v>
      </c>
      <c r="AV23" s="110">
        <f t="shared" si="67"/>
        <v>120.21875</v>
      </c>
      <c r="AW23" s="110">
        <f t="shared" si="68"/>
        <v>166.588839285713</v>
      </c>
      <c r="AX23" s="110">
        <f t="shared" si="69"/>
        <v>79.1857142857142</v>
      </c>
      <c r="AY23" s="110">
        <f t="shared" si="70"/>
        <v>153.207142857142</v>
      </c>
      <c r="AZ23" s="110">
        <f t="shared" si="71"/>
        <v>125.664285714286</v>
      </c>
      <c r="BA23" s="51">
        <f t="shared" si="13"/>
        <v>759.757589285712</v>
      </c>
      <c r="BB23" s="51">
        <f>VLOOKUP(D23,FEB23SOH,2,false)</f>
        <v>2860.0</v>
      </c>
      <c r="BC23" s="99">
        <f>VLOOKUP(C23,UNITVALUE,5,false)</f>
        <v>3.8147</v>
      </c>
      <c r="BD23" s="53">
        <f t="shared" si="16"/>
        <v>10910.042</v>
      </c>
      <c r="BG23" s="98">
        <f t="shared" si="72"/>
        <v>2100.24241071429</v>
      </c>
      <c r="BH23" s="113">
        <v>2040.0</v>
      </c>
      <c r="BI23" s="51"/>
      <c r="BJ23" s="50"/>
      <c r="BK23" s="49">
        <f t="shared" si="73"/>
        <v>2860.0</v>
      </c>
      <c r="BM23" s="49">
        <f t="shared" si="74"/>
        <v>114.892857142857</v>
      </c>
      <c r="BN23" s="49">
        <f t="shared" si="57"/>
      </c>
      <c r="BO23" s="100">
        <f t="shared" si="58"/>
        <v>2745.10714285714</v>
      </c>
      <c r="BP23" s="101">
        <f t="shared" si="59"/>
        <v>10471.7602178571</v>
      </c>
      <c r="BQ23" s="49">
        <f t="shared" si="75"/>
        <v>120.21875</v>
      </c>
      <c r="BR23" s="49">
        <f t="shared" si="60"/>
      </c>
      <c r="BS23" s="100">
        <f t="shared" si="76"/>
        <v>2624.88839285714</v>
      </c>
      <c r="BT23" s="102">
        <f t="shared" si="61"/>
        <v>10013.1617522321</v>
      </c>
      <c r="BU23" s="49">
        <f t="shared" si="77"/>
        <v>166.588839285713</v>
      </c>
      <c r="BW23" s="100">
        <f t="shared" si="78"/>
        <v>2458.29955357142</v>
      </c>
      <c r="BX23" s="102">
        <f t="shared" si="62"/>
        <v>9377.6753070089</v>
      </c>
      <c r="BY23" s="49">
        <f t="shared" si="79"/>
        <v>79.1857142857142</v>
      </c>
      <c r="CA23" s="100">
        <f t="shared" si="80"/>
        <v>2379.1138392857</v>
      </c>
      <c r="CB23" s="102">
        <f t="shared" si="63"/>
        <v>9075.60556272316</v>
      </c>
      <c r="CC23" s="49">
        <f t="shared" si="81"/>
        <v>153.207142857142</v>
      </c>
      <c r="CE23" s="100">
        <f t="shared" si="82"/>
        <v>2225.90669642856</v>
      </c>
      <c r="CF23" s="102">
        <f t="shared" si="64"/>
        <v>8491.16627486602</v>
      </c>
      <c r="CG23" s="49">
        <f t="shared" si="83"/>
        <v>125.664285714286</v>
      </c>
      <c r="CI23" s="100">
        <f t="shared" si="84"/>
        <v>2100.24241071427</v>
      </c>
      <c r="CJ23" s="55">
        <f t="shared" si="65"/>
        <v>8011.79472415172</v>
      </c>
    </row>
    <row r="24" ht="14.0" customFormat="1" s="49">
      <c r="A24" s="96" t="s">
        <v>28</v>
      </c>
      <c r="B24" s="96" t="s">
        <v>29</v>
      </c>
      <c r="C24" s="96" t="s">
        <v>198</v>
      </c>
      <c r="D24" s="97" t="s">
        <v>199</v>
      </c>
      <c r="E24" s="96">
        <v>0.0</v>
      </c>
      <c r="F24" s="96">
        <v>0.0</v>
      </c>
      <c r="G24" s="96">
        <v>0.0</v>
      </c>
      <c r="H24" s="96">
        <v>0.0</v>
      </c>
      <c r="I24" s="96">
        <v>0.0</v>
      </c>
      <c r="J24" s="96">
        <v>0.0</v>
      </c>
      <c r="K24" s="96">
        <v>0.0</v>
      </c>
      <c r="L24" s="96">
        <v>0.0</v>
      </c>
      <c r="M24" s="96">
        <v>0.0</v>
      </c>
      <c r="N24" s="96">
        <v>0.0</v>
      </c>
      <c r="O24" s="96">
        <v>0.0</v>
      </c>
      <c r="P24" s="96">
        <v>0.0</v>
      </c>
      <c r="Q24" s="96">
        <v>0.0</v>
      </c>
      <c r="R24" s="96">
        <v>0.0</v>
      </c>
      <c r="S24" s="96">
        <v>0.0</v>
      </c>
      <c r="T24" s="96">
        <v>0.0</v>
      </c>
      <c r="U24" s="96">
        <v>0.0</v>
      </c>
      <c r="V24" s="96">
        <v>0.0</v>
      </c>
      <c r="W24" s="96">
        <v>0.0</v>
      </c>
      <c r="X24" s="96">
        <v>0.0</v>
      </c>
      <c r="Y24" s="96">
        <v>0.0</v>
      </c>
      <c r="Z24" s="96">
        <v>0.0</v>
      </c>
      <c r="AA24" s="96">
        <v>0.0</v>
      </c>
      <c r="AB24" s="96">
        <v>0.0</v>
      </c>
      <c r="AC24" s="96">
        <v>0.0</v>
      </c>
      <c r="AD24" s="96">
        <v>0.0</v>
      </c>
      <c r="AE24" s="96">
        <v>0.0</v>
      </c>
      <c r="AF24" s="96">
        <v>0.0</v>
      </c>
      <c r="AG24" s="96">
        <v>0.0</v>
      </c>
      <c r="AH24" s="96">
        <v>0.0</v>
      </c>
      <c r="AI24" s="96">
        <v>0.0</v>
      </c>
      <c r="AJ24" s="96">
        <v>474.0</v>
      </c>
      <c r="AK24" s="49">
        <v>229.0</v>
      </c>
      <c r="AL24" s="110">
        <v>138.0</v>
      </c>
      <c r="AM24" s="110">
        <v>208.0</v>
      </c>
      <c r="AN24" s="110">
        <v>327.0</v>
      </c>
      <c r="AO24" s="110">
        <v>209.0</v>
      </c>
      <c r="AP24" s="110">
        <v>202.0</v>
      </c>
      <c r="AQ24" s="110">
        <v>355.0</v>
      </c>
      <c r="AR24" s="98">
        <f t="shared" si="4"/>
        <v>2142.0</v>
      </c>
      <c r="AS24" s="98">
        <f t="shared" si="50"/>
        <v>1439.0</v>
      </c>
      <c r="AT24" s="98">
        <f t="shared" si="6"/>
        <v>1582.9</v>
      </c>
      <c r="AU24" s="112">
        <f t="shared" si="66"/>
        <v>371.796266233766</v>
      </c>
      <c r="AV24" s="110">
        <f t="shared" si="67"/>
        <v>399.011363636363</v>
      </c>
      <c r="AW24" s="110">
        <f t="shared" si="68"/>
        <v>554.972889610389</v>
      </c>
      <c r="AX24" s="110">
        <f t="shared" si="69"/>
        <v>259.378896103894</v>
      </c>
      <c r="AY24" s="110">
        <f t="shared" si="70"/>
        <v>502.428733766232</v>
      </c>
      <c r="AZ24" s="110">
        <f t="shared" si="71"/>
        <v>415.340422077921</v>
      </c>
      <c r="BA24" s="51">
        <f t="shared" si="13"/>
        <v>2502.92857142857</v>
      </c>
      <c r="BB24" s="51">
        <f>VLOOKUP(D24,FEB23SOH,2,false)</f>
        <v>3513.0</v>
      </c>
      <c r="BC24" s="99">
        <f>VLOOKUP(C24,UNITVALUE,5,false)</f>
        <v>3.8164</v>
      </c>
      <c r="BD24" s="53">
        <f t="shared" si="16"/>
        <v>13407.0132</v>
      </c>
      <c r="BG24" s="98">
        <f t="shared" si="72"/>
        <v>1010.07142857142</v>
      </c>
      <c r="BH24" s="113">
        <v>2040.0</v>
      </c>
      <c r="BI24" s="51"/>
      <c r="BJ24" s="114" t="s">
        <v>32</v>
      </c>
      <c r="BK24" s="49">
        <f t="shared" si="73"/>
        <v>3513.0</v>
      </c>
      <c r="BM24" s="49">
        <f t="shared" si="74"/>
        <v>371.796266233766</v>
      </c>
      <c r="BN24" s="49">
        <f t="shared" si="57"/>
      </c>
      <c r="BO24" s="100">
        <f t="shared" si="58"/>
        <v>3141.20373376623</v>
      </c>
      <c r="BP24" s="101">
        <f t="shared" si="59"/>
        <v>11988.0899295454</v>
      </c>
      <c r="BQ24" s="49">
        <f t="shared" si="75"/>
        <v>399.011363636363</v>
      </c>
      <c r="BR24" s="49">
        <f t="shared" si="60"/>
      </c>
      <c r="BS24" s="100">
        <f t="shared" si="76"/>
        <v>2742.19237012987</v>
      </c>
      <c r="BT24" s="102">
        <f t="shared" si="61"/>
        <v>10465.3029613636</v>
      </c>
      <c r="BU24" s="49">
        <f t="shared" si="77"/>
        <v>554.972889610389</v>
      </c>
      <c r="BW24" s="100">
        <f t="shared" si="78"/>
        <v>2187.21948051948</v>
      </c>
      <c r="BX24" s="102">
        <f t="shared" si="62"/>
        <v>8347.30442545454</v>
      </c>
      <c r="BY24" s="49">
        <f t="shared" si="79"/>
        <v>259.378896103894</v>
      </c>
      <c r="CA24" s="100">
        <f t="shared" si="80"/>
        <v>1927.84058441559</v>
      </c>
      <c r="CB24" s="102">
        <f t="shared" si="63"/>
        <v>7357.41080636366</v>
      </c>
      <c r="CC24" s="49">
        <f t="shared" si="81"/>
        <v>502.428733766232</v>
      </c>
      <c r="CE24" s="100">
        <f t="shared" si="82"/>
        <v>1425.41185064936</v>
      </c>
      <c r="CF24" s="102">
        <f t="shared" si="64"/>
        <v>5439.94178681821</v>
      </c>
      <c r="CG24" s="49">
        <f t="shared" si="83"/>
        <v>415.340422077921</v>
      </c>
      <c r="CI24" s="100">
        <f t="shared" si="84"/>
        <v>1010.07142857143</v>
      </c>
      <c r="CJ24" s="55">
        <f t="shared" si="65"/>
        <v>3854.8366</v>
      </c>
    </row>
    <row r="25" ht="14.0" customFormat="1" s="49">
      <c r="A25" s="96" t="s">
        <v>28</v>
      </c>
      <c r="B25" s="96" t="s">
        <v>29</v>
      </c>
      <c r="C25" s="96" t="s">
        <v>200</v>
      </c>
      <c r="D25" s="97" t="s">
        <v>201</v>
      </c>
      <c r="E25" s="96">
        <v>0.0</v>
      </c>
      <c r="F25" s="96">
        <v>0.0</v>
      </c>
      <c r="G25" s="96">
        <v>0.0</v>
      </c>
      <c r="H25" s="96">
        <v>0.0</v>
      </c>
      <c r="I25" s="96">
        <v>0.0</v>
      </c>
      <c r="J25" s="96">
        <v>0.0</v>
      </c>
      <c r="K25" s="96">
        <v>0.0</v>
      </c>
      <c r="L25" s="96">
        <v>0.0</v>
      </c>
      <c r="M25" s="96">
        <v>0.0</v>
      </c>
      <c r="N25" s="96">
        <v>0.0</v>
      </c>
      <c r="O25" s="96">
        <v>0.0</v>
      </c>
      <c r="P25" s="96">
        <v>0.0</v>
      </c>
      <c r="Q25" s="96">
        <v>0.0</v>
      </c>
      <c r="R25" s="96">
        <v>0.0</v>
      </c>
      <c r="S25" s="96">
        <v>0.0</v>
      </c>
      <c r="T25" s="96">
        <v>0.0</v>
      </c>
      <c r="U25" s="96">
        <v>0.0</v>
      </c>
      <c r="V25" s="96">
        <v>0.0</v>
      </c>
      <c r="W25" s="96">
        <v>0.0</v>
      </c>
      <c r="X25" s="96">
        <v>0.0</v>
      </c>
      <c r="Y25" s="96">
        <v>0.0</v>
      </c>
      <c r="Z25" s="96">
        <v>0.0</v>
      </c>
      <c r="AA25" s="96">
        <v>0.0</v>
      </c>
      <c r="AB25" s="96">
        <v>0.0</v>
      </c>
      <c r="AC25" s="96">
        <v>0.0</v>
      </c>
      <c r="AD25" s="96">
        <v>0.0</v>
      </c>
      <c r="AE25" s="96">
        <v>0.0</v>
      </c>
      <c r="AF25" s="96">
        <v>0.0</v>
      </c>
      <c r="AG25" s="96">
        <v>0.0</v>
      </c>
      <c r="AH25" s="96">
        <v>0.0</v>
      </c>
      <c r="AI25" s="96">
        <v>0.0</v>
      </c>
      <c r="AJ25" s="96">
        <v>2.0</v>
      </c>
      <c r="AK25" s="49">
        <v>0.0</v>
      </c>
      <c r="AL25" s="110">
        <v>0.0</v>
      </c>
      <c r="AM25" s="110">
        <v>0.0</v>
      </c>
      <c r="AN25" s="110">
        <v>0.0</v>
      </c>
      <c r="AO25" s="110">
        <v>0.0</v>
      </c>
      <c r="AP25" s="110">
        <v>0.0</v>
      </c>
      <c r="AQ25" s="110">
        <v>0.0</v>
      </c>
      <c r="AR25" s="98">
        <f t="shared" si="4"/>
        <v>2.0</v>
      </c>
      <c r="AS25" s="98">
        <f t="shared" si="50"/>
        <v>0.0</v>
      </c>
      <c r="AT25" s="98">
        <f t="shared" si="6"/>
        <v>0.0</v>
      </c>
      <c r="AU25" s="111">
        <f t="shared" ref="AU25:AU26" si="85">AT25*$AU$4/$AT$3</f>
        <v>0.0</v>
      </c>
      <c r="AV25" s="111">
        <f t="shared" ref="AV25:AV26" si="86">AT25*$AV$4/$AT$3</f>
        <v>0.0</v>
      </c>
      <c r="AW25" s="111">
        <f t="shared" ref="AW25:AW26" si="87">AT25*$AW$4/$AT$3</f>
        <v>0.0</v>
      </c>
      <c r="AX25" s="111">
        <f t="shared" ref="AX25:AX26" si="88">AT25*$AX$4/$AT$3</f>
        <v>0.0</v>
      </c>
      <c r="AY25" s="111">
        <f t="shared" ref="AY25:AY26" si="89">AT25*$AY$4/$AT$3</f>
        <v>0.0</v>
      </c>
      <c r="AZ25" s="111">
        <f t="shared" ref="AZ25:AZ26" si="90">AT25*$AZ$4/$AT$3</f>
        <v>0.0</v>
      </c>
      <c r="BA25" s="51">
        <f t="shared" si="13"/>
        <v>0.0</v>
      </c>
      <c r="BB25" s="51">
        <f>VLOOKUP(D25,FEB23SOH,2,false)</f>
        <v>0.0</v>
      </c>
      <c r="BC25" s="99">
        <f>VLOOKUP(C25,UNITVALUE,5,false)</f>
      </c>
      <c r="BD25" s="53">
        <f t="shared" si="16"/>
        <v>0.0</v>
      </c>
      <c r="BJ25" s="50"/>
      <c r="BO25" s="100"/>
      <c r="BP25" s="101"/>
      <c r="BS25" s="100"/>
      <c r="BT25" s="102"/>
      <c r="BW25" s="100"/>
      <c r="BX25" s="102"/>
      <c r="CA25" s="100"/>
      <c r="CB25" s="102"/>
      <c r="CE25" s="100"/>
      <c r="CF25" s="102"/>
      <c r="CI25" s="100"/>
      <c r="CJ25" s="55"/>
    </row>
    <row r="26" ht="14.0" customFormat="1" s="49">
      <c r="A26" s="96" t="s">
        <v>28</v>
      </c>
      <c r="B26" s="96" t="s">
        <v>29</v>
      </c>
      <c r="C26" s="96" t="s">
        <v>202</v>
      </c>
      <c r="D26" s="97" t="s">
        <v>203</v>
      </c>
      <c r="E26" s="96">
        <v>0.0</v>
      </c>
      <c r="F26" s="96">
        <v>0.0</v>
      </c>
      <c r="G26" s="96">
        <v>0.0</v>
      </c>
      <c r="H26" s="96">
        <v>0.0</v>
      </c>
      <c r="I26" s="96">
        <v>0.0</v>
      </c>
      <c r="J26" s="96">
        <v>0.0</v>
      </c>
      <c r="K26" s="96">
        <v>0.0</v>
      </c>
      <c r="L26" s="96">
        <v>0.0</v>
      </c>
      <c r="M26" s="96">
        <v>0.0</v>
      </c>
      <c r="N26" s="96">
        <v>0.0</v>
      </c>
      <c r="O26" s="96">
        <v>0.0</v>
      </c>
      <c r="P26" s="96">
        <v>0.0</v>
      </c>
      <c r="Q26" s="96">
        <v>0.0</v>
      </c>
      <c r="R26" s="96">
        <v>0.0</v>
      </c>
      <c r="S26" s="96">
        <v>0.0</v>
      </c>
      <c r="T26" s="96">
        <v>0.0</v>
      </c>
      <c r="U26" s="96">
        <v>0.0</v>
      </c>
      <c r="V26" s="96">
        <v>0.0</v>
      </c>
      <c r="W26" s="96">
        <v>0.0</v>
      </c>
      <c r="X26" s="96">
        <v>0.0</v>
      </c>
      <c r="Y26" s="96">
        <v>0.0</v>
      </c>
      <c r="Z26" s="96">
        <v>0.0</v>
      </c>
      <c r="AA26" s="96">
        <v>0.0</v>
      </c>
      <c r="AB26" s="96">
        <v>0.0</v>
      </c>
      <c r="AC26" s="96">
        <v>0.0</v>
      </c>
      <c r="AD26" s="96">
        <v>0.0</v>
      </c>
      <c r="AE26" s="96">
        <v>0.0</v>
      </c>
      <c r="AF26" s="96">
        <v>0.0</v>
      </c>
      <c r="AG26" s="96">
        <v>0.0</v>
      </c>
      <c r="AH26" s="96">
        <v>0.0</v>
      </c>
      <c r="AI26" s="96">
        <v>0.0</v>
      </c>
      <c r="AJ26" s="96">
        <v>2.0</v>
      </c>
      <c r="AK26" s="49">
        <v>2.0</v>
      </c>
      <c r="AL26" s="110">
        <v>3.0</v>
      </c>
      <c r="AM26" s="110">
        <v>0.0</v>
      </c>
      <c r="AN26" s="110">
        <v>0.0</v>
      </c>
      <c r="AO26" s="110">
        <v>0.0</v>
      </c>
      <c r="AP26" s="110">
        <v>0.0</v>
      </c>
      <c r="AQ26" s="110">
        <v>0.0</v>
      </c>
      <c r="AR26" s="98">
        <f t="shared" si="4"/>
        <v>7.0</v>
      </c>
      <c r="AS26" s="98">
        <f t="shared" si="50"/>
        <v>3.0</v>
      </c>
      <c r="AT26" s="98">
        <f t="shared" si="6"/>
        <v>3.3</v>
      </c>
      <c r="AU26" s="111">
        <f t="shared" si="85"/>
        <v>0.348214285714286</v>
      </c>
      <c r="AV26" s="111">
        <f t="shared" si="86"/>
        <v>0.375</v>
      </c>
      <c r="AW26" s="111">
        <f t="shared" si="87"/>
        <v>0.519642857142857</v>
      </c>
      <c r="AX26" s="111">
        <f t="shared" si="88"/>
        <v>0.246428571428571</v>
      </c>
      <c r="AY26" s="111">
        <f t="shared" si="89"/>
        <v>0.476785714285714</v>
      </c>
      <c r="AZ26" s="111">
        <f t="shared" si="90"/>
        <v>0.391071428571429</v>
      </c>
      <c r="BA26" s="51">
        <f t="shared" si="13"/>
        <v>2.3571428571429</v>
      </c>
      <c r="BB26" s="51">
        <f>VLOOKUP(D26,FEB23SOH,2,false)</f>
        <v>0.0</v>
      </c>
      <c r="BC26" s="99">
        <f>VLOOKUP(C26,UNITVALUE,5,false)</f>
      </c>
      <c r="BD26" s="53">
        <f t="shared" si="16"/>
        <v>0.0</v>
      </c>
      <c r="BJ26" s="50"/>
      <c r="BO26" s="100"/>
      <c r="BP26" s="101"/>
      <c r="BS26" s="100"/>
      <c r="BT26" s="102"/>
      <c r="BW26" s="100"/>
      <c r="BX26" s="102"/>
      <c r="CA26" s="100"/>
      <c r="CB26" s="102"/>
      <c r="CE26" s="100"/>
      <c r="CF26" s="102"/>
      <c r="CI26" s="100"/>
      <c r="CJ26" s="55"/>
    </row>
    <row r="27" ht="14.0">
      <c r="A27" s="96" t="s">
        <v>28</v>
      </c>
      <c r="B27" s="96" t="s">
        <v>29</v>
      </c>
      <c r="C27" s="96" t="s">
        <v>204</v>
      </c>
      <c r="D27" s="97" t="s">
        <v>205</v>
      </c>
      <c r="E27" s="96">
        <v>0.0</v>
      </c>
      <c r="F27" s="96">
        <v>0.0</v>
      </c>
      <c r="G27" s="96">
        <v>0.0</v>
      </c>
      <c r="H27" s="96">
        <v>0.0</v>
      </c>
      <c r="I27" s="96">
        <v>0.0</v>
      </c>
      <c r="J27" s="96">
        <v>0.0</v>
      </c>
      <c r="K27" s="96">
        <v>0.0</v>
      </c>
      <c r="L27" s="96">
        <v>0.0</v>
      </c>
      <c r="M27" s="96">
        <v>0.0</v>
      </c>
      <c r="N27" s="96">
        <v>0.0</v>
      </c>
      <c r="O27" s="96">
        <v>0.0</v>
      </c>
      <c r="P27" s="96">
        <v>0.0</v>
      </c>
      <c r="Q27" s="96">
        <v>0.0</v>
      </c>
      <c r="R27" s="96">
        <v>0.0</v>
      </c>
      <c r="S27" s="96">
        <v>0.0</v>
      </c>
      <c r="T27" s="96">
        <v>0.0</v>
      </c>
      <c r="U27" s="96">
        <v>0.0</v>
      </c>
      <c r="V27" s="96">
        <v>0.0</v>
      </c>
      <c r="W27" s="96">
        <v>0.0</v>
      </c>
      <c r="X27" s="96">
        <v>0.0</v>
      </c>
      <c r="Y27" s="96">
        <v>0.0</v>
      </c>
      <c r="Z27" s="96">
        <v>0.0</v>
      </c>
      <c r="AA27" s="96">
        <v>0.0</v>
      </c>
      <c r="AB27" s="96">
        <v>0.0</v>
      </c>
      <c r="AC27" s="96">
        <v>0.0</v>
      </c>
      <c r="AD27" s="96">
        <v>0.0</v>
      </c>
      <c r="AE27" s="96">
        <v>0.0</v>
      </c>
      <c r="AF27" s="96">
        <v>0.0</v>
      </c>
      <c r="AG27" s="96">
        <v>0.0</v>
      </c>
      <c r="AH27" s="96">
        <v>0.0</v>
      </c>
      <c r="AI27" s="96">
        <v>0.0</v>
      </c>
      <c r="AJ27" s="96">
        <v>72.0</v>
      </c>
      <c r="AK27" s="113">
        <v>403.0</v>
      </c>
      <c r="AL27" s="116">
        <v>180.0</v>
      </c>
      <c r="AM27" s="116">
        <v>306.0</v>
      </c>
      <c r="AN27" s="116">
        <v>354.0</v>
      </c>
      <c r="AO27" s="116">
        <v>186.0</v>
      </c>
      <c r="AP27" s="116">
        <v>139.0</v>
      </c>
      <c r="AQ27" s="116">
        <v>494.0</v>
      </c>
      <c r="AR27" s="98">
        <f t="shared" si="4"/>
        <v>2134.0</v>
      </c>
      <c r="AS27" s="98">
        <f t="shared" si="50"/>
        <v>1659.0</v>
      </c>
      <c r="AT27" s="98">
        <f t="shared" si="6"/>
        <v>1824.9</v>
      </c>
      <c r="AU27" s="112">
        <f t="shared" ref="AU27:AU28" si="91">AT27*$AU$4/$AT$3+6*$AU$26+6*$AU$25</f>
        <v>194.651785714286</v>
      </c>
      <c r="AV27" s="110">
        <f t="shared" ref="AV27:AV28" si="92">AT24*$AV$4/$AT$3+6*$AV$26+6*$AV$25</f>
        <v>182.125</v>
      </c>
      <c r="AW27" s="110">
        <f t="shared" ref="AW27:AW28" si="93">AT24*$AW$4/$AT$3+6*$AW$26+6*$AW$25</f>
        <v>252.373214285714</v>
      </c>
      <c r="AX27" s="110">
        <f t="shared" ref="AX27:AX28" si="94">AT24*$AX$4/$AT$3+6*$AX$26+6*$AX$25</f>
        <v>119.682142857142</v>
      </c>
      <c r="AY27" s="110">
        <f t="shared" ref="AY27:AY28" si="95">AT24*$AY$4/$AT$3+6*$AY$26+6*$AY$25</f>
        <v>231.558928571428</v>
      </c>
      <c r="AZ27" s="110">
        <f t="shared" ref="AZ27:AZ28" si="96">AT24*$AZ$4/$AT$3+6*$AZ$26+6*$AZ$25</f>
        <v>189.93035714286</v>
      </c>
      <c r="BA27" s="51">
        <f t="shared" si="13"/>
        <v>1170.32142857143</v>
      </c>
      <c r="BB27" s="51">
        <f>VLOOKUP(D27,FEB23SOH,2,false)</f>
        <v>1998.0</v>
      </c>
      <c r="BC27" s="99">
        <f>VLOOKUP(C27,UNITVALUE,5,false)</f>
        <v>3.7845</v>
      </c>
      <c r="BD27" s="53">
        <f t="shared" si="16"/>
        <v>7561.431</v>
      </c>
      <c r="BG27" s="98">
        <f t="shared" ref="BG27:BG28" si="97">BB27+BE27+BF27-BA27</f>
        <v>827.67857142857</v>
      </c>
      <c r="BH27" s="49">
        <v>2016.0</v>
      </c>
      <c r="BJ27" s="115"/>
      <c r="BK27" s="49">
        <f t="shared" ref="BK27:BK28" si="98">BB27</f>
        <v>1998.0</v>
      </c>
      <c r="BM27" s="49">
        <f t="shared" ref="BM27:BM28" si="99">AU27</f>
        <v>194.651785714286</v>
      </c>
      <c r="BN27" s="49">
        <f t="shared" ref="BN27:BN33" si="100">BE27</f>
      </c>
      <c r="BO27" s="100">
        <f t="shared" ref="BO27:BO33" si="101">BK27+BN27-BM27+BL27</f>
        <v>1803.34821428571</v>
      </c>
      <c r="BP27" s="101">
        <f t="shared" ref="BP27:BP33" si="102">BO27*BC27</f>
        <v>6824.77131696427</v>
      </c>
      <c r="BQ27" s="49">
        <f t="shared" ref="BQ27:BQ28" si="103">AV27</f>
        <v>182.125</v>
      </c>
      <c r="BR27" s="49">
        <f t="shared" ref="BR27:BR33" si="104">BF27</f>
      </c>
      <c r="BS27" s="100">
        <f t="shared" ref="BS27:BS28" si="105">BO27+BR27-BQ27</f>
        <v>1621.22321428571</v>
      </c>
      <c r="BT27" s="102">
        <f t="shared" ref="BT27:BT33" si="106">BS27*BC27</f>
        <v>6135.51925446427</v>
      </c>
      <c r="BU27" s="49">
        <f t="shared" ref="BU27:BU28" si="107">AW27</f>
        <v>252.373214285714</v>
      </c>
      <c r="BW27" s="100">
        <f t="shared" ref="BW27:BW28" si="108">BS27+BV27-BU27</f>
        <v>1368.85</v>
      </c>
      <c r="BX27" s="102">
        <f t="shared" ref="BX27:BX33" si="109">BW27*BC27</f>
        <v>5180.412825</v>
      </c>
      <c r="BY27" s="49">
        <f t="shared" ref="BY27:BY28" si="110">AX27</f>
        <v>119.682142857142</v>
      </c>
      <c r="CA27" s="100">
        <f t="shared" ref="CA27:CA28" si="111">BW27+BZ27-BY27</f>
        <v>1249.16785714286</v>
      </c>
      <c r="CB27" s="102">
        <f t="shared" ref="CB27:CB33" si="112">CA27*BC27</f>
        <v>4727.47575535715</v>
      </c>
      <c r="CC27" s="49">
        <f t="shared" ref="CC27:CC28" si="113">AY27</f>
        <v>231.558928571428</v>
      </c>
      <c r="CE27" s="100">
        <f t="shared" ref="CE27:CE28" si="114">CA27+CD27-CC27</f>
        <v>1017.60892857143</v>
      </c>
      <c r="CF27" s="102">
        <f t="shared" ref="CF27:CF33" si="115">CE27*BC27</f>
        <v>3851.14099017858</v>
      </c>
      <c r="CG27" s="49">
        <f t="shared" ref="CG27:CG28" si="116">AZ27</f>
        <v>189.93035714286</v>
      </c>
      <c r="CI27" s="100">
        <f t="shared" ref="CI27:CI28" si="117">CE27+CH27-CG27</f>
        <v>827.67857142857</v>
      </c>
      <c r="CJ27" s="55">
        <f t="shared" ref="CJ27:CJ33" si="118">CI27*BC27</f>
        <v>3132.34955357142</v>
      </c>
    </row>
    <row r="28" ht="14.0" customFormat="1" s="49">
      <c r="A28" s="96" t="s">
        <v>28</v>
      </c>
      <c r="B28" s="96" t="s">
        <v>29</v>
      </c>
      <c r="C28" s="96" t="s">
        <v>206</v>
      </c>
      <c r="D28" s="97" t="s">
        <v>207</v>
      </c>
      <c r="E28" s="96">
        <v>0.0</v>
      </c>
      <c r="F28" s="96">
        <v>0.0</v>
      </c>
      <c r="G28" s="96">
        <v>0.0</v>
      </c>
      <c r="H28" s="96">
        <v>0.0</v>
      </c>
      <c r="I28" s="96">
        <v>0.0</v>
      </c>
      <c r="J28" s="96">
        <v>0.0</v>
      </c>
      <c r="K28" s="96">
        <v>0.0</v>
      </c>
      <c r="L28" s="96">
        <v>0.0</v>
      </c>
      <c r="M28" s="96">
        <v>0.0</v>
      </c>
      <c r="N28" s="96">
        <v>0.0</v>
      </c>
      <c r="O28" s="96">
        <v>0.0</v>
      </c>
      <c r="P28" s="96">
        <v>0.0</v>
      </c>
      <c r="Q28" s="96">
        <v>0.0</v>
      </c>
      <c r="R28" s="96">
        <v>0.0</v>
      </c>
      <c r="S28" s="96">
        <v>0.0</v>
      </c>
      <c r="T28" s="96">
        <v>0.0</v>
      </c>
      <c r="U28" s="96">
        <v>0.0</v>
      </c>
      <c r="V28" s="96">
        <v>0.0</v>
      </c>
      <c r="W28" s="96">
        <v>0.0</v>
      </c>
      <c r="X28" s="96">
        <v>0.0</v>
      </c>
      <c r="Y28" s="96">
        <v>0.0</v>
      </c>
      <c r="Z28" s="96">
        <v>0.0</v>
      </c>
      <c r="AA28" s="96">
        <v>0.0</v>
      </c>
      <c r="AB28" s="96">
        <v>0.0</v>
      </c>
      <c r="AC28" s="96">
        <v>0.0</v>
      </c>
      <c r="AD28" s="96">
        <v>0.0</v>
      </c>
      <c r="AE28" s="96">
        <v>0.0</v>
      </c>
      <c r="AF28" s="96">
        <v>0.0</v>
      </c>
      <c r="AG28" s="96">
        <v>0.0</v>
      </c>
      <c r="AH28" s="96">
        <v>0.0</v>
      </c>
      <c r="AI28" s="96">
        <v>0.0</v>
      </c>
      <c r="AJ28" s="96">
        <v>66.0</v>
      </c>
      <c r="AK28" s="113">
        <v>277.0</v>
      </c>
      <c r="AL28" s="116">
        <v>107.0</v>
      </c>
      <c r="AM28" s="116">
        <v>192.0</v>
      </c>
      <c r="AN28" s="116">
        <v>150.0</v>
      </c>
      <c r="AO28" s="116">
        <v>156.0</v>
      </c>
      <c r="AP28" s="116">
        <v>55.0</v>
      </c>
      <c r="AQ28" s="116">
        <v>321.0</v>
      </c>
      <c r="AR28" s="98">
        <f t="shared" si="4"/>
        <v>1324.0</v>
      </c>
      <c r="AS28" s="98">
        <f t="shared" si="50"/>
        <v>981.0</v>
      </c>
      <c r="AT28" s="98">
        <f t="shared" si="6"/>
        <v>1079.1</v>
      </c>
      <c r="AU28" s="112">
        <f t="shared" si="91"/>
        <v>115.955357142857</v>
      </c>
      <c r="AV28" s="110">
        <f t="shared" si="92"/>
        <v>2.25</v>
      </c>
      <c r="AW28" s="110">
        <f t="shared" si="93"/>
        <v>3.11785714285714</v>
      </c>
      <c r="AX28" s="110">
        <f t="shared" si="94"/>
        <v>1.47857142857142</v>
      </c>
      <c r="AY28" s="110">
        <f t="shared" si="95"/>
        <v>2.86071428571428</v>
      </c>
      <c r="AZ28" s="110">
        <f t="shared" si="96"/>
        <v>2.34642857142857</v>
      </c>
      <c r="BA28" s="51">
        <f t="shared" si="13"/>
        <v>128.008928571428</v>
      </c>
      <c r="BB28" s="51">
        <f>VLOOKUP(D28,FEB23SOH,2,false)</f>
        <v>2777.0</v>
      </c>
      <c r="BC28" s="99">
        <f>VLOOKUP(C28,UNITVALUE,5,false)</f>
        <v>3.7829</v>
      </c>
      <c r="BD28" s="53">
        <f t="shared" si="16"/>
        <v>10505.1133</v>
      </c>
      <c r="BG28" s="98">
        <f t="shared" si="97"/>
        <v>2648.99107142857</v>
      </c>
      <c r="BH28" s="49">
        <v>2016.0</v>
      </c>
      <c r="BK28" s="49">
        <f t="shared" si="98"/>
        <v>2777.0</v>
      </c>
      <c r="BM28" s="49">
        <f t="shared" si="99"/>
        <v>115.955357142857</v>
      </c>
      <c r="BN28" s="49">
        <f t="shared" si="100"/>
      </c>
      <c r="BO28" s="100">
        <f t="shared" si="101"/>
        <v>2661.04464285714</v>
      </c>
      <c r="BP28" s="101">
        <f t="shared" si="102"/>
        <v>10066.4657794642</v>
      </c>
      <c r="BQ28" s="49">
        <f t="shared" si="103"/>
        <v>2.25</v>
      </c>
      <c r="BR28" s="49">
        <f t="shared" si="104"/>
      </c>
      <c r="BS28" s="100">
        <f t="shared" si="105"/>
        <v>2658.79464285714</v>
      </c>
      <c r="BT28" s="102">
        <f t="shared" si="106"/>
        <v>10057.9542544642</v>
      </c>
      <c r="BU28" s="49">
        <f t="shared" si="107"/>
        <v>3.11785714285714</v>
      </c>
      <c r="BW28" s="100">
        <f t="shared" si="108"/>
        <v>2655.67678571428</v>
      </c>
      <c r="BX28" s="102">
        <f t="shared" si="109"/>
        <v>10046.1597126786</v>
      </c>
      <c r="BY28" s="49">
        <f t="shared" si="110"/>
        <v>1.47857142857142</v>
      </c>
      <c r="CA28" s="100">
        <f t="shared" si="111"/>
        <v>2654.1982142857</v>
      </c>
      <c r="CB28" s="102">
        <f t="shared" si="112"/>
        <v>10040.5664248213</v>
      </c>
      <c r="CC28" s="49">
        <f t="shared" si="113"/>
        <v>2.86071428571428</v>
      </c>
      <c r="CE28" s="100">
        <f t="shared" si="114"/>
        <v>2651.33749999999</v>
      </c>
      <c r="CF28" s="102">
        <f t="shared" si="115"/>
        <v>10029.74462875</v>
      </c>
      <c r="CG28" s="49">
        <f t="shared" si="116"/>
        <v>2.34642857142857</v>
      </c>
      <c r="CI28" s="100">
        <f t="shared" si="117"/>
        <v>2648.99107142856</v>
      </c>
      <c r="CJ28" s="55">
        <f t="shared" si="118"/>
        <v>10020.8683241071</v>
      </c>
    </row>
    <row r="29" ht="14.0" customFormat="1" s="49">
      <c r="A29" s="96" t="s">
        <v>28</v>
      </c>
      <c r="B29" s="96" t="s">
        <v>29</v>
      </c>
      <c r="C29" s="96" t="s">
        <v>208</v>
      </c>
      <c r="D29" s="97" t="s">
        <v>209</v>
      </c>
      <c r="E29" s="96">
        <v>0.0</v>
      </c>
      <c r="F29" s="96">
        <v>0.0</v>
      </c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96">
        <v>0.0</v>
      </c>
      <c r="M29" s="96">
        <v>0.0</v>
      </c>
      <c r="N29" s="96">
        <v>0.0</v>
      </c>
      <c r="O29" s="96">
        <v>0.0</v>
      </c>
      <c r="P29" s="96">
        <v>0.0</v>
      </c>
      <c r="Q29" s="96">
        <v>0.0</v>
      </c>
      <c r="R29" s="96">
        <v>0.0</v>
      </c>
      <c r="S29" s="96">
        <v>0.0</v>
      </c>
      <c r="T29" s="96">
        <v>0.0</v>
      </c>
      <c r="U29" s="96">
        <v>0.0</v>
      </c>
      <c r="V29" s="96">
        <v>0.0</v>
      </c>
      <c r="W29" s="96">
        <v>0.0</v>
      </c>
      <c r="X29" s="96">
        <v>0.0</v>
      </c>
      <c r="Y29" s="96">
        <v>0.0</v>
      </c>
      <c r="Z29" s="96">
        <v>0.0</v>
      </c>
      <c r="AA29" s="96">
        <v>0.0</v>
      </c>
      <c r="AB29" s="96">
        <v>0.0</v>
      </c>
      <c r="AC29" s="96">
        <v>0.0</v>
      </c>
      <c r="AD29" s="96">
        <v>0.0</v>
      </c>
      <c r="AE29" s="96">
        <v>0.0</v>
      </c>
      <c r="AF29" s="96">
        <v>0.0</v>
      </c>
      <c r="AG29" s="96">
        <v>0.0</v>
      </c>
      <c r="AH29" s="96">
        <v>12.0</v>
      </c>
      <c r="AI29" s="96">
        <v>8.0</v>
      </c>
      <c r="AJ29" s="96">
        <v>7.0</v>
      </c>
      <c r="AK29" s="49">
        <v>6.0</v>
      </c>
      <c r="AL29" s="110">
        <v>3.0</v>
      </c>
      <c r="AM29" s="110">
        <v>6.0</v>
      </c>
      <c r="AN29" s="110">
        <v>2.0</v>
      </c>
      <c r="AO29" s="110">
        <v>2.0</v>
      </c>
      <c r="AP29" s="110">
        <v>1.0</v>
      </c>
      <c r="AQ29" s="110">
        <v>1.0</v>
      </c>
      <c r="AR29" s="98">
        <f t="shared" si="4"/>
        <v>48.0</v>
      </c>
      <c r="AS29" s="98">
        <f t="shared" si="50"/>
        <v>15.0</v>
      </c>
      <c r="AT29" s="98">
        <f t="shared" si="6"/>
        <v>16.5</v>
      </c>
      <c r="AU29" s="111">
        <f>AT29*$AU$4/$AT$3</f>
        <v>1.74107142857142</v>
      </c>
      <c r="AV29" s="111">
        <f>AT29*$AV$4/$AT$3</f>
        <v>1.875</v>
      </c>
      <c r="AW29" s="111">
        <f>AT29*$AW$4/$AT$3</f>
        <v>2.59821428571429</v>
      </c>
      <c r="AX29" s="111">
        <f>AT29*$AX$4/$AT$3</f>
        <v>1.23214285714286</v>
      </c>
      <c r="AY29" s="111">
        <f>AT29*$AY$4/$AT$3</f>
        <v>2.38392857142857</v>
      </c>
      <c r="AZ29" s="111">
        <f>AT29*$AZ$4/$AT$3</f>
        <v>1.95535714285714</v>
      </c>
      <c r="BA29" s="51">
        <f t="shared" si="13"/>
        <v>11.7857142857142</v>
      </c>
      <c r="BB29" s="51">
        <f>VLOOKUP(D29,FEB23SOH,2,false)</f>
        <v>8.0</v>
      </c>
      <c r="BC29" s="99">
        <f>VLOOKUP(C29,UNITVALUE,5,false)</f>
        <v>106.7225</v>
      </c>
      <c r="BD29" s="53">
        <f t="shared" si="16"/>
        <v>853.78</v>
      </c>
      <c r="BN29" s="49">
        <f t="shared" si="100"/>
      </c>
      <c r="BO29" s="100">
        <f t="shared" si="101"/>
        <v>0.0</v>
      </c>
      <c r="BP29" s="101">
        <f t="shared" si="102"/>
        <v>0.0</v>
      </c>
      <c r="BR29" s="49">
        <f t="shared" si="104"/>
      </c>
      <c r="BS29" s="100"/>
      <c r="BT29" s="102">
        <f t="shared" si="106"/>
        <v>0.0</v>
      </c>
      <c r="BW29" s="100"/>
      <c r="BX29" s="102">
        <f t="shared" si="109"/>
        <v>0.0</v>
      </c>
      <c r="CA29" s="100"/>
      <c r="CB29" s="102">
        <f t="shared" si="112"/>
        <v>0.0</v>
      </c>
      <c r="CE29" s="100"/>
      <c r="CF29" s="102">
        <f t="shared" si="115"/>
        <v>0.0</v>
      </c>
      <c r="CI29" s="100"/>
      <c r="CJ29" s="55">
        <f t="shared" si="118"/>
        <v>0.0</v>
      </c>
    </row>
    <row r="30" ht="14.0">
      <c r="A30" s="96" t="s">
        <v>28</v>
      </c>
      <c r="B30" s="96" t="s">
        <v>29</v>
      </c>
      <c r="C30" s="96" t="s">
        <v>60</v>
      </c>
      <c r="D30" s="97" t="s">
        <v>61</v>
      </c>
      <c r="E30" s="96">
        <v>0.0</v>
      </c>
      <c r="F30" s="96">
        <v>0.0</v>
      </c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96">
        <v>0.0</v>
      </c>
      <c r="M30" s="96">
        <v>182.0</v>
      </c>
      <c r="N30" s="96">
        <v>96.0</v>
      </c>
      <c r="O30" s="96">
        <v>630.0</v>
      </c>
      <c r="P30" s="96">
        <v>714.0</v>
      </c>
      <c r="Q30" s="96">
        <v>1034.0</v>
      </c>
      <c r="R30" s="96">
        <v>266.0</v>
      </c>
      <c r="S30" s="96">
        <v>66.0</v>
      </c>
      <c r="T30" s="96">
        <v>12.0</v>
      </c>
      <c r="U30" s="96">
        <v>18.0</v>
      </c>
      <c r="V30" s="96">
        <v>1088.0</v>
      </c>
      <c r="W30" s="96">
        <v>0.0</v>
      </c>
      <c r="X30" s="96">
        <v>936.0</v>
      </c>
      <c r="Y30" s="96">
        <v>84.0</v>
      </c>
      <c r="Z30" s="96">
        <v>60.0</v>
      </c>
      <c r="AA30" s="96">
        <v>564.0</v>
      </c>
      <c r="AB30" s="96">
        <v>901.0</v>
      </c>
      <c r="AC30" s="96">
        <v>660.0</v>
      </c>
      <c r="AD30" s="96">
        <v>811.0</v>
      </c>
      <c r="AE30" s="96">
        <v>234.0</v>
      </c>
      <c r="AF30" s="96">
        <v>54.0</v>
      </c>
      <c r="AG30" s="96">
        <v>348.0</v>
      </c>
      <c r="AH30" s="96">
        <v>595.0</v>
      </c>
      <c r="AI30" s="96">
        <v>402.0</v>
      </c>
      <c r="AJ30" s="96">
        <v>628.0</v>
      </c>
      <c r="AK30" s="49">
        <v>722.0</v>
      </c>
      <c r="AL30" s="110">
        <v>203.0</v>
      </c>
      <c r="AM30" s="110">
        <v>660.0</v>
      </c>
      <c r="AN30" s="110">
        <v>834.0</v>
      </c>
      <c r="AO30" s="110">
        <v>1013.0</v>
      </c>
      <c r="AP30" s="110">
        <v>521.0</v>
      </c>
      <c r="AQ30" s="110">
        <v>795.0</v>
      </c>
      <c r="AR30" s="98">
        <f t="shared" si="4"/>
        <v>6775.0</v>
      </c>
      <c r="AS30" s="98">
        <f t="shared" si="50"/>
        <v>4026.0</v>
      </c>
      <c r="AT30" s="98">
        <f t="shared" si="6"/>
        <v>4428.6</v>
      </c>
      <c r="AU30" s="110">
        <f>AT30*$AU$4/$AT$3+6*$AU$29+AU14*0.25+AU35*0.25</f>
        <v>480.25</v>
      </c>
      <c r="AV30" s="110">
        <f>AT30*$AV$4/$AT$3+6*$AV$29+AV14*0.25+AV35*0.25</f>
        <v>514.5</v>
      </c>
      <c r="AW30" s="110">
        <f>AT30*$AW$4/$AT$3+6*$AW$29+AW14*0.25+AW35*0.25</f>
        <v>712.95</v>
      </c>
      <c r="AX30" s="110">
        <f>AT30*$AX$4/$AT$3+6*$AX$29+AX14*0.25+AX35*0.25</f>
        <v>338.099999999999</v>
      </c>
      <c r="AY30" s="110">
        <f>AT30*$AY$4/$AT$3+6*$AY$29+AY14*0.25+AY35*0.25</f>
        <v>654.15</v>
      </c>
      <c r="AZ30" s="110">
        <f>AT30*$AZ$4/$AT$4+6*$AZ$29+AZ14*0.25+AZ35*0.25</f>
        <v>679.682142857142</v>
      </c>
      <c r="BA30" s="51">
        <f t="shared" si="13"/>
        <v>3379.63214285714</v>
      </c>
      <c r="BB30" s="51">
        <f>VLOOKUP(D30,FEB23SOH,2,false)</f>
        <v>4733.0</v>
      </c>
      <c r="BC30" s="99">
        <f>VLOOKUP(C30,UNITVALUE,5,false)</f>
        <v>3.4853</v>
      </c>
      <c r="BD30" s="53">
        <f t="shared" si="16"/>
        <v>16495.9249</v>
      </c>
      <c r="BG30" s="98">
        <f t="shared" ref="BG30:BG33" si="131">BB30+BE30+BF30-BA30</f>
        <v>1353.36785714286</v>
      </c>
      <c r="BH30" s="49">
        <v>1008.0</v>
      </c>
      <c r="BJ30" s="114" t="s">
        <v>32</v>
      </c>
      <c r="BK30" s="49">
        <f t="shared" ref="BK30:BK43" si="132">BB30</f>
        <v>4733.0</v>
      </c>
      <c r="BM30" s="49">
        <f t="shared" ref="BM30:BM33" si="133">AU30</f>
        <v>480.25</v>
      </c>
      <c r="BN30" s="49">
        <f t="shared" si="100"/>
      </c>
      <c r="BO30" s="100">
        <f t="shared" si="101"/>
        <v>4252.75</v>
      </c>
      <c r="BP30" s="101">
        <f t="shared" si="102"/>
        <v>14822.109575</v>
      </c>
      <c r="BQ30" s="49">
        <f t="shared" ref="BQ30:BQ33" si="134">AV30</f>
        <v>514.5</v>
      </c>
      <c r="BR30" s="49">
        <f t="shared" si="104"/>
      </c>
      <c r="BS30" s="100">
        <f t="shared" ref="BS30:BS33" si="135">BO30+BR30-BQ30</f>
        <v>3738.25</v>
      </c>
      <c r="BT30" s="102">
        <f t="shared" si="106"/>
        <v>13028.922725</v>
      </c>
      <c r="BU30" s="49">
        <f t="shared" ref="BU30:BU33" si="136">AW30</f>
        <v>712.95</v>
      </c>
      <c r="BW30" s="100">
        <f t="shared" ref="BW30:BW33" si="137">BS30+BV30-BU30</f>
        <v>3025.3</v>
      </c>
      <c r="BX30" s="102">
        <f t="shared" si="109"/>
        <v>10544.07809</v>
      </c>
      <c r="BY30" s="49">
        <f t="shared" ref="BY30:BY33" si="138">AX30</f>
        <v>338.099999999999</v>
      </c>
      <c r="CA30" s="100">
        <f t="shared" ref="CA30:CA33" si="139">BW30+BZ30-BY30</f>
        <v>2687.2</v>
      </c>
      <c r="CB30" s="102">
        <f t="shared" si="112"/>
        <v>9365.69816</v>
      </c>
      <c r="CC30" s="49">
        <f t="shared" ref="CC30:CC33" si="140">AY30</f>
        <v>654.15</v>
      </c>
      <c r="CE30" s="100">
        <f t="shared" ref="CE30:CE33" si="141">CA30+CD30-CC30</f>
        <v>2033.05</v>
      </c>
      <c r="CF30" s="102">
        <f t="shared" si="115"/>
        <v>7085.789165</v>
      </c>
      <c r="CG30" s="49">
        <f t="shared" ref="CG30:CG33" si="142">AZ30</f>
        <v>679.682142857142</v>
      </c>
      <c r="CI30" s="100">
        <f t="shared" ref="CI30:CI33" si="143">CE30+CH30-CG30</f>
        <v>1353.36785714286</v>
      </c>
      <c r="CJ30" s="55">
        <f t="shared" si="118"/>
        <v>4716.89299250001</v>
      </c>
    </row>
    <row r="31" ht="14.0">
      <c r="A31" s="96" t="s">
        <v>28</v>
      </c>
      <c r="B31" s="96" t="s">
        <v>29</v>
      </c>
      <c r="C31" s="96" t="s">
        <v>62</v>
      </c>
      <c r="D31" s="97" t="s">
        <v>63</v>
      </c>
      <c r="E31" s="96">
        <v>0.0</v>
      </c>
      <c r="F31" s="96">
        <v>0.0</v>
      </c>
      <c r="G31" s="96">
        <v>0.0</v>
      </c>
      <c r="H31" s="96">
        <v>0.0</v>
      </c>
      <c r="I31" s="96">
        <v>0.0</v>
      </c>
      <c r="J31" s="96">
        <v>0.0</v>
      </c>
      <c r="K31" s="96">
        <v>0.0</v>
      </c>
      <c r="L31" s="96">
        <v>0.0</v>
      </c>
      <c r="M31" s="96">
        <v>181.0</v>
      </c>
      <c r="N31" s="96">
        <v>96.0</v>
      </c>
      <c r="O31" s="96">
        <v>630.0</v>
      </c>
      <c r="P31" s="96">
        <v>618.0</v>
      </c>
      <c r="Q31" s="96">
        <v>950.0</v>
      </c>
      <c r="R31" s="96">
        <v>306.0</v>
      </c>
      <c r="S31" s="96">
        <v>54.0</v>
      </c>
      <c r="T31" s="96">
        <v>18.0</v>
      </c>
      <c r="U31" s="96">
        <v>48.0</v>
      </c>
      <c r="V31" s="96">
        <v>1135.0</v>
      </c>
      <c r="W31" s="96">
        <v>0.0</v>
      </c>
      <c r="X31" s="96">
        <v>828.0</v>
      </c>
      <c r="Y31" s="96">
        <v>24.0</v>
      </c>
      <c r="Z31" s="96">
        <v>60.0</v>
      </c>
      <c r="AA31" s="96">
        <v>666.0</v>
      </c>
      <c r="AB31" s="96">
        <v>733.0</v>
      </c>
      <c r="AC31" s="96">
        <v>246.0</v>
      </c>
      <c r="AD31" s="96">
        <v>882.0</v>
      </c>
      <c r="AE31" s="96">
        <v>162.0</v>
      </c>
      <c r="AF31" s="96">
        <v>31.0</v>
      </c>
      <c r="AG31" s="96">
        <v>241.0</v>
      </c>
      <c r="AH31" s="96">
        <v>489.0</v>
      </c>
      <c r="AI31" s="96">
        <v>456.0</v>
      </c>
      <c r="AJ31" s="96">
        <v>145.0</v>
      </c>
      <c r="AK31" s="49">
        <v>558.0</v>
      </c>
      <c r="AL31" s="110">
        <v>153.0</v>
      </c>
      <c r="AM31" s="110">
        <v>528.0</v>
      </c>
      <c r="AN31" s="110">
        <v>707.0</v>
      </c>
      <c r="AO31" s="110">
        <v>1026.0</v>
      </c>
      <c r="AP31" s="110">
        <v>468.0</v>
      </c>
      <c r="AQ31" s="110">
        <v>671.0</v>
      </c>
      <c r="AR31" s="98">
        <f t="shared" si="4"/>
        <v>5473.0</v>
      </c>
      <c r="AS31" s="98">
        <f t="shared" si="50"/>
        <v>3553.0</v>
      </c>
      <c r="AT31" s="98">
        <f t="shared" si="6"/>
        <v>3908.3</v>
      </c>
      <c r="AU31" s="110">
        <f>AT31*$AU$4/$AT$3+6*$AU$29+AU13*0.25+AU38+0.25</f>
        <v>443.598214285714</v>
      </c>
      <c r="AV31" s="110">
        <f>AT31*$AV$4/$AT$3+6*$AV$29+AV13*0.25+AV38+0.25</f>
        <v>455.25</v>
      </c>
      <c r="AW31" s="110">
        <f>AT31*$AW$4/$AT$3+6*$AW$29+AW13*0.25+AW38+0.25</f>
        <v>630.749999999999</v>
      </c>
      <c r="AX31" s="110">
        <f>AT31*$AX$4/$AT$3+6*$AX$29+AX13*0.25+AX38+0.25</f>
        <v>299.496428571428</v>
      </c>
      <c r="AY31" s="110">
        <f>AT31*$AY$4/$AT$3+6*$AY$29+AY13*0.25+AY38+0.25</f>
        <v>579.226785714286</v>
      </c>
      <c r="AZ31" s="110">
        <f>AT31*$AZ$4/$AT$4+6*$AZ$29+AZ13*0.25+AZ38+0.25</f>
        <v>601.457142857142</v>
      </c>
      <c r="BA31" s="51">
        <f t="shared" si="13"/>
        <v>3009.77857142857</v>
      </c>
      <c r="BB31" s="51">
        <f>VLOOKUP(D31,FEB23SOH,2,false)</f>
        <v>1714.0</v>
      </c>
      <c r="BC31" s="99">
        <f>VLOOKUP(C31,UNITVALUE,5,false)</f>
        <v>3.464</v>
      </c>
      <c r="BD31" s="53">
        <f t="shared" si="16"/>
        <v>5937.296</v>
      </c>
      <c r="BG31" s="98">
        <f t="shared" si="131"/>
        <v>-1295.77857142857</v>
      </c>
      <c r="BH31" s="49">
        <v>1008.0</v>
      </c>
      <c r="BI31" s="100">
        <f>BG31*-1</f>
        <v>1295.77857142857</v>
      </c>
      <c r="BJ31" s="50" t="s">
        <v>6</v>
      </c>
      <c r="BK31" s="49">
        <f t="shared" si="132"/>
        <v>1714.0</v>
      </c>
      <c r="BM31" s="49">
        <f t="shared" si="133"/>
        <v>443.598214285714</v>
      </c>
      <c r="BN31" s="49">
        <f t="shared" si="100"/>
      </c>
      <c r="BO31" s="100">
        <f t="shared" si="101"/>
        <v>1270.40178571429</v>
      </c>
      <c r="BP31" s="101">
        <f t="shared" si="102"/>
        <v>4400.6717857143</v>
      </c>
      <c r="BQ31" s="49">
        <f t="shared" si="134"/>
        <v>455.25</v>
      </c>
      <c r="BR31" s="49">
        <f t="shared" si="104"/>
      </c>
      <c r="BS31" s="100">
        <f t="shared" si="135"/>
        <v>815.15178571429</v>
      </c>
      <c r="BT31" s="102">
        <f t="shared" si="106"/>
        <v>2823.6857857143</v>
      </c>
      <c r="BU31" s="49">
        <f t="shared" si="136"/>
        <v>630.749999999999</v>
      </c>
      <c r="BW31" s="100">
        <f t="shared" si="137"/>
        <v>184.401785714291</v>
      </c>
      <c r="BX31" s="102">
        <f t="shared" si="109"/>
        <v>638.767785714304</v>
      </c>
      <c r="BY31" s="49">
        <f t="shared" si="138"/>
        <v>299.496428571428</v>
      </c>
      <c r="CA31" s="100">
        <f t="shared" si="139"/>
        <v>-115.094642857135</v>
      </c>
      <c r="CB31" s="102">
        <f t="shared" si="112"/>
        <v>-398.687842857114</v>
      </c>
      <c r="CC31" s="49">
        <f t="shared" si="140"/>
        <v>579.226785714286</v>
      </c>
      <c r="CE31" s="100">
        <f t="shared" si="141"/>
        <v>-694.321428571421</v>
      </c>
      <c r="CF31" s="102">
        <f t="shared" si="115"/>
        <v>-2405.1294285714</v>
      </c>
      <c r="CG31" s="49">
        <f t="shared" si="142"/>
        <v>601.457142857142</v>
      </c>
      <c r="CI31" s="100">
        <f t="shared" si="143"/>
        <v>-1295.77857142856</v>
      </c>
      <c r="CJ31" s="55">
        <f t="shared" si="118"/>
        <v>-4488.57697142853</v>
      </c>
    </row>
    <row r="32" ht="14.0">
      <c r="A32" s="96" t="s">
        <v>28</v>
      </c>
      <c r="B32" s="96" t="s">
        <v>29</v>
      </c>
      <c r="C32" s="96" t="s">
        <v>65</v>
      </c>
      <c r="D32" s="97" t="s">
        <v>66</v>
      </c>
      <c r="E32" s="96">
        <v>0.0</v>
      </c>
      <c r="F32" s="96">
        <v>0.0</v>
      </c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96">
        <v>0.0</v>
      </c>
      <c r="M32" s="96">
        <v>1.0</v>
      </c>
      <c r="N32" s="96">
        <v>96.0</v>
      </c>
      <c r="O32" s="96">
        <v>36.0</v>
      </c>
      <c r="P32" s="96">
        <v>126.0</v>
      </c>
      <c r="Q32" s="96">
        <v>44.0</v>
      </c>
      <c r="R32" s="96">
        <v>408.0</v>
      </c>
      <c r="S32" s="96">
        <v>31.0</v>
      </c>
      <c r="T32" s="96">
        <v>36.0</v>
      </c>
      <c r="U32" s="96">
        <v>30.0</v>
      </c>
      <c r="V32" s="96">
        <v>594.0</v>
      </c>
      <c r="W32" s="96">
        <v>6.0</v>
      </c>
      <c r="X32" s="96">
        <v>486.0</v>
      </c>
      <c r="Y32" s="96">
        <v>60.0</v>
      </c>
      <c r="Z32" s="96">
        <v>12.0</v>
      </c>
      <c r="AA32" s="96">
        <v>498.0</v>
      </c>
      <c r="AB32" s="96">
        <v>572.0</v>
      </c>
      <c r="AC32" s="96">
        <v>470.0</v>
      </c>
      <c r="AD32" s="96">
        <v>715.0</v>
      </c>
      <c r="AE32" s="96">
        <v>139.0</v>
      </c>
      <c r="AF32" s="96">
        <v>43.0</v>
      </c>
      <c r="AG32" s="96">
        <v>288.0</v>
      </c>
      <c r="AH32" s="96">
        <v>406.0</v>
      </c>
      <c r="AI32" s="96">
        <v>381.0</v>
      </c>
      <c r="AJ32" s="96">
        <v>453.0</v>
      </c>
      <c r="AK32" s="49">
        <v>424.0</v>
      </c>
      <c r="AL32" s="110">
        <v>135.0</v>
      </c>
      <c r="AM32" s="110">
        <v>496.0</v>
      </c>
      <c r="AN32" s="110">
        <v>617.0</v>
      </c>
      <c r="AO32" s="110">
        <v>846.0</v>
      </c>
      <c r="AP32" s="110">
        <v>383.0</v>
      </c>
      <c r="AQ32" s="110">
        <v>424.0</v>
      </c>
      <c r="AR32" s="98">
        <f t="shared" si="4"/>
        <v>4896.0</v>
      </c>
      <c r="AS32" s="98">
        <f t="shared" si="50"/>
        <v>2901.0</v>
      </c>
      <c r="AT32" s="98">
        <f t="shared" si="6"/>
        <v>3191.1</v>
      </c>
      <c r="AU32" s="110">
        <f>AT32*$AU$4/$AT$3+6*$AU$29+AU37*0.25</f>
        <v>347.140624999999</v>
      </c>
      <c r="AV32" s="110">
        <f>AT32*$AV$4/$AT$3+6*$AV$29+AV37*0.25</f>
        <v>373.84375</v>
      </c>
      <c r="AW32" s="110">
        <f>AT32*$AW$4/$AT$3+6*$AW$29+AW37*0.25</f>
        <v>518.040624999999</v>
      </c>
      <c r="AX32" s="110">
        <f>AT32*$AX$4/$AT$3+6*$AX$29+AX37*0.25</f>
        <v>245.66875</v>
      </c>
      <c r="AY32" s="110">
        <f t="shared" ref="AY32:AY33" si="155">AT32*$AY$4/$AT$3+6*$AY$29</f>
        <v>475.355357142861</v>
      </c>
      <c r="AZ32" s="110">
        <f t="shared" ref="AZ32:AZ33" si="156">AT32*$AZ$4/$AT$4+6*$AZ$29</f>
        <v>493.034415584414</v>
      </c>
      <c r="BA32" s="51">
        <f t="shared" si="13"/>
        <v>2453.08352272727</v>
      </c>
      <c r="BB32" s="51">
        <f>VLOOKUP(D32,FEB23SOH,2,false)</f>
        <v>2863.0</v>
      </c>
      <c r="BC32" s="99">
        <f>VLOOKUP(C32,UNITVALUE,5,false)</f>
        <v>3.4971</v>
      </c>
      <c r="BD32" s="53">
        <f t="shared" si="16"/>
        <v>10012.1973</v>
      </c>
      <c r="BG32" s="98">
        <f t="shared" si="131"/>
        <v>409.91647727273</v>
      </c>
      <c r="BH32" s="49">
        <v>1008.0</v>
      </c>
      <c r="BJ32" s="114" t="s">
        <v>32</v>
      </c>
      <c r="BK32" s="49">
        <f t="shared" si="132"/>
        <v>2863.0</v>
      </c>
      <c r="BM32" s="49">
        <f t="shared" si="133"/>
        <v>347.140624999999</v>
      </c>
      <c r="BN32" s="49">
        <f t="shared" si="100"/>
      </c>
      <c r="BO32" s="100">
        <f t="shared" si="101"/>
        <v>2515.859375</v>
      </c>
      <c r="BP32" s="101">
        <f t="shared" si="102"/>
        <v>8798.2118203125</v>
      </c>
      <c r="BQ32" s="49">
        <f t="shared" si="134"/>
        <v>373.84375</v>
      </c>
      <c r="BR32" s="49">
        <f t="shared" si="104"/>
      </c>
      <c r="BS32" s="100">
        <f t="shared" si="135"/>
        <v>2142.015625</v>
      </c>
      <c r="BT32" s="102">
        <f t="shared" si="106"/>
        <v>7490.8428421875</v>
      </c>
      <c r="BU32" s="49">
        <f t="shared" si="136"/>
        <v>518.040624999999</v>
      </c>
      <c r="BW32" s="100">
        <f t="shared" si="137"/>
        <v>1623.975</v>
      </c>
      <c r="BX32" s="102">
        <f t="shared" si="109"/>
        <v>5679.2029725</v>
      </c>
      <c r="BY32" s="49">
        <f t="shared" si="138"/>
        <v>245.66875</v>
      </c>
      <c r="CA32" s="100">
        <f t="shared" si="139"/>
        <v>1378.30625</v>
      </c>
      <c r="CB32" s="102">
        <f t="shared" si="112"/>
        <v>4820.074786875</v>
      </c>
      <c r="CC32" s="49">
        <f t="shared" si="140"/>
        <v>475.355357142861</v>
      </c>
      <c r="CE32" s="100">
        <f t="shared" si="141"/>
        <v>902.950892857139</v>
      </c>
      <c r="CF32" s="102">
        <f t="shared" si="115"/>
        <v>3157.7095674107</v>
      </c>
      <c r="CG32" s="49">
        <f t="shared" si="142"/>
        <v>493.034415584414</v>
      </c>
      <c r="CI32" s="100">
        <f t="shared" si="143"/>
        <v>409.916477272725</v>
      </c>
      <c r="CJ32" s="55">
        <f t="shared" si="118"/>
        <v>1433.51891267044</v>
      </c>
    </row>
    <row r="33" ht="14.0" customFormat="1" s="49">
      <c r="A33" s="96" t="s">
        <v>28</v>
      </c>
      <c r="B33" s="96" t="s">
        <v>29</v>
      </c>
      <c r="C33" s="96" t="s">
        <v>67</v>
      </c>
      <c r="D33" s="97" t="s">
        <v>68</v>
      </c>
      <c r="E33" s="96">
        <v>0.0</v>
      </c>
      <c r="F33" s="96">
        <v>0.0</v>
      </c>
      <c r="G33" s="96">
        <v>0.0</v>
      </c>
      <c r="H33" s="96">
        <v>0.0</v>
      </c>
      <c r="I33" s="96">
        <v>0.0</v>
      </c>
      <c r="J33" s="96">
        <v>0.0</v>
      </c>
      <c r="K33" s="96">
        <v>0.0</v>
      </c>
      <c r="L33" s="96">
        <v>0.0</v>
      </c>
      <c r="M33" s="96">
        <v>1.0</v>
      </c>
      <c r="N33" s="96">
        <v>132.0</v>
      </c>
      <c r="O33" s="96">
        <v>36.0</v>
      </c>
      <c r="P33" s="96">
        <v>90.0</v>
      </c>
      <c r="Q33" s="96">
        <v>37.0</v>
      </c>
      <c r="R33" s="96">
        <v>383.0</v>
      </c>
      <c r="S33" s="96">
        <v>36.0</v>
      </c>
      <c r="T33" s="96">
        <v>30.0</v>
      </c>
      <c r="U33" s="96">
        <v>66.0</v>
      </c>
      <c r="V33" s="96">
        <v>606.0</v>
      </c>
      <c r="W33" s="96">
        <v>6.0</v>
      </c>
      <c r="X33" s="96">
        <v>492.0</v>
      </c>
      <c r="Y33" s="96">
        <v>60.0</v>
      </c>
      <c r="Z33" s="96">
        <v>24.0</v>
      </c>
      <c r="AA33" s="96">
        <v>464.0</v>
      </c>
      <c r="AB33" s="96">
        <v>595.0</v>
      </c>
      <c r="AC33" s="96">
        <v>560.0</v>
      </c>
      <c r="AD33" s="96">
        <v>770.0</v>
      </c>
      <c r="AE33" s="96">
        <v>282.0</v>
      </c>
      <c r="AF33" s="96">
        <v>19.0</v>
      </c>
      <c r="AG33" s="96">
        <v>264.0</v>
      </c>
      <c r="AH33" s="96">
        <v>497.0</v>
      </c>
      <c r="AI33" s="96">
        <v>386.0</v>
      </c>
      <c r="AJ33" s="96">
        <v>113.0</v>
      </c>
      <c r="AK33" s="49">
        <v>441.0</v>
      </c>
      <c r="AL33" s="110">
        <v>96.0</v>
      </c>
      <c r="AM33" s="110">
        <v>474.0</v>
      </c>
      <c r="AN33" s="110">
        <v>666.0</v>
      </c>
      <c r="AO33" s="110">
        <v>864.0</v>
      </c>
      <c r="AP33" s="110">
        <v>413.0</v>
      </c>
      <c r="AQ33" s="110">
        <v>538.0</v>
      </c>
      <c r="AR33" s="98">
        <f t="shared" si="4"/>
        <v>4771.0</v>
      </c>
      <c r="AS33" s="98">
        <f t="shared" si="50"/>
        <v>3051.0</v>
      </c>
      <c r="AT33" s="98">
        <f t="shared" si="6"/>
        <v>3356.1</v>
      </c>
      <c r="AU33" s="110">
        <f>AT33*$AU$4/$AT$3+6*$AU$29+AU36*0.25</f>
        <v>364.551339285715</v>
      </c>
      <c r="AV33" s="110">
        <f>AT33*$AV$4/$AT$3+6*$AV$29+AV36*0.25</f>
        <v>392.59375</v>
      </c>
      <c r="AW33" s="110">
        <f>AT33*$AW$4/$AT$3+6*$AW$29+AW36*0.25</f>
        <v>544.022767857142</v>
      </c>
      <c r="AX33" s="110">
        <f>AT33*$AX$4/$AT$3+6*$AX$29+AX36*0.25</f>
        <v>257.990178571428</v>
      </c>
      <c r="AY33" s="110">
        <f t="shared" si="155"/>
        <v>499.194642857142</v>
      </c>
      <c r="AZ33" s="110">
        <f t="shared" si="156"/>
        <v>517.920779220779</v>
      </c>
      <c r="BA33" s="98">
        <f t="shared" si="13"/>
        <v>2576.2734577922</v>
      </c>
      <c r="BB33" s="51">
        <f>VLOOKUP(D33,FEB23SOH,2,false)</f>
        <v>2335.0</v>
      </c>
      <c r="BC33" s="99">
        <f>VLOOKUP(C33,UNITVALUE,5,false)</f>
        <v>3.4639</v>
      </c>
      <c r="BD33" s="53">
        <f t="shared" si="16"/>
        <v>8088.2065</v>
      </c>
      <c r="BG33" s="98">
        <f t="shared" si="131"/>
        <v>-241.2734577922</v>
      </c>
      <c r="BH33" s="49">
        <v>1008.0</v>
      </c>
      <c r="BI33" s="49">
        <f>BH33</f>
        <v>1008.0</v>
      </c>
      <c r="BJ33" s="50" t="s">
        <v>8</v>
      </c>
      <c r="BK33" s="49">
        <f t="shared" si="132"/>
        <v>2335.0</v>
      </c>
      <c r="BM33" s="49">
        <f t="shared" si="133"/>
        <v>364.551339285715</v>
      </c>
      <c r="BN33" s="49">
        <f t="shared" si="100"/>
      </c>
      <c r="BO33" s="100">
        <f t="shared" si="101"/>
        <v>1970.44866071428</v>
      </c>
      <c r="BP33" s="101">
        <f t="shared" si="102"/>
        <v>6825.4371158482</v>
      </c>
      <c r="BQ33" s="49">
        <f t="shared" si="134"/>
        <v>392.59375</v>
      </c>
      <c r="BR33" s="49">
        <f t="shared" si="104"/>
      </c>
      <c r="BS33" s="100">
        <f t="shared" si="135"/>
        <v>1577.85491071428</v>
      </c>
      <c r="BT33" s="102">
        <f t="shared" si="106"/>
        <v>5465.5316252232</v>
      </c>
      <c r="BU33" s="49">
        <f t="shared" si="136"/>
        <v>544.022767857142</v>
      </c>
      <c r="BW33" s="100">
        <f t="shared" si="137"/>
        <v>1033.83214285713</v>
      </c>
      <c r="BX33" s="102">
        <f t="shared" si="109"/>
        <v>3581.09115964281</v>
      </c>
      <c r="BY33" s="49">
        <f t="shared" si="138"/>
        <v>257.990178571428</v>
      </c>
      <c r="CA33" s="100">
        <f t="shared" si="139"/>
        <v>775.841964285702</v>
      </c>
      <c r="CB33" s="102">
        <f t="shared" si="112"/>
        <v>2687.43898008924</v>
      </c>
      <c r="CC33" s="49">
        <f t="shared" si="140"/>
        <v>499.194642857142</v>
      </c>
      <c r="CE33" s="100">
        <f t="shared" si="141"/>
        <v>276.64732142856</v>
      </c>
      <c r="CF33" s="102">
        <f t="shared" si="115"/>
        <v>958.278656696389</v>
      </c>
      <c r="CG33" s="49">
        <f t="shared" si="142"/>
        <v>517.920779220779</v>
      </c>
      <c r="CI33" s="100">
        <f t="shared" si="143"/>
        <v>-241.27345779221</v>
      </c>
      <c r="CJ33" s="55">
        <f t="shared" si="118"/>
        <v>-835.747130446436</v>
      </c>
    </row>
    <row r="34" ht="14.0" customFormat="1" s="49">
      <c r="A34" s="104" t="s">
        <v>45</v>
      </c>
      <c r="B34" s="96" t="s">
        <v>29</v>
      </c>
      <c r="C34" s="105" t="s">
        <v>78</v>
      </c>
      <c r="D34" s="106" t="s">
        <v>79</v>
      </c>
      <c r="E34" s="96">
        <v>4.0</v>
      </c>
      <c r="F34" s="96">
        <v>9.0</v>
      </c>
      <c r="G34" s="96">
        <v>9.0</v>
      </c>
      <c r="H34" s="96">
        <v>13.0</v>
      </c>
      <c r="I34" s="96">
        <v>7.0</v>
      </c>
      <c r="J34" s="96">
        <v>6.0</v>
      </c>
      <c r="K34" s="96">
        <v>9.0</v>
      </c>
      <c r="L34" s="96">
        <v>9.0</v>
      </c>
      <c r="M34" s="96">
        <v>10.0</v>
      </c>
      <c r="N34" s="96">
        <v>8.0</v>
      </c>
      <c r="O34" s="96">
        <v>9.0</v>
      </c>
      <c r="P34" s="96">
        <v>4.0</v>
      </c>
      <c r="Q34" s="96">
        <v>7.0</v>
      </c>
      <c r="R34" s="96">
        <v>5.0</v>
      </c>
      <c r="S34" s="96">
        <v>1.0</v>
      </c>
      <c r="T34" s="96">
        <v>1.0</v>
      </c>
      <c r="U34" s="96">
        <v>0.0</v>
      </c>
      <c r="V34" s="96">
        <v>8.0</v>
      </c>
      <c r="W34" s="96">
        <v>3.0</v>
      </c>
      <c r="X34" s="96">
        <v>4.0</v>
      </c>
      <c r="Y34" s="96">
        <v>4.0</v>
      </c>
      <c r="Z34" s="96">
        <v>11.0</v>
      </c>
      <c r="AA34" s="96">
        <v>7.0</v>
      </c>
      <c r="AB34" s="96">
        <v>9.0</v>
      </c>
      <c r="AC34" s="96">
        <v>5.0</v>
      </c>
      <c r="AD34" s="96">
        <v>3.0</v>
      </c>
      <c r="AE34" s="96">
        <v>1.0</v>
      </c>
      <c r="AF34" s="96">
        <v>3.0</v>
      </c>
      <c r="AG34" s="96">
        <v>2.0</v>
      </c>
      <c r="AH34" s="117">
        <v>0.0</v>
      </c>
      <c r="AI34" s="117">
        <v>0.0</v>
      </c>
      <c r="AJ34" s="96">
        <v>0.0</v>
      </c>
      <c r="AK34" s="49">
        <v>0.0</v>
      </c>
      <c r="AL34" s="110">
        <v>0.0</v>
      </c>
      <c r="AM34" s="110">
        <v>0.0</v>
      </c>
      <c r="AN34" s="110">
        <v>0.0</v>
      </c>
      <c r="AO34" s="110">
        <v>0.0</v>
      </c>
      <c r="AP34" s="110">
        <v>0.0</v>
      </c>
      <c r="AQ34" s="110">
        <v>0.0</v>
      </c>
      <c r="AR34" s="98">
        <f t="shared" si="4"/>
        <v>5.0</v>
      </c>
      <c r="AS34" s="98">
        <f t="shared" si="50"/>
        <v>0.0</v>
      </c>
      <c r="AT34" s="98">
        <f t="shared" si="6"/>
        <v>0.0</v>
      </c>
      <c r="AU34" s="104">
        <v>0.0</v>
      </c>
      <c r="AV34" s="104">
        <v>0.0</v>
      </c>
      <c r="AW34" s="104">
        <v>0.0</v>
      </c>
      <c r="AX34" s="104">
        <v>0.0</v>
      </c>
      <c r="AY34" s="104">
        <v>0.0</v>
      </c>
      <c r="AZ34" s="104">
        <v>0.0</v>
      </c>
      <c r="BA34" s="98">
        <f t="shared" si="13"/>
        <v>0.0</v>
      </c>
      <c r="BB34" s="51">
        <f>VLOOKUP(D34,FEB23SOH,2,false)</f>
        <v>0.0</v>
      </c>
      <c r="BC34" s="99">
        <f>VLOOKUP(C34,UNITVALUE,5,false)</f>
      </c>
      <c r="BD34" s="53">
        <f t="shared" si="16"/>
        <v>0.0</v>
      </c>
      <c r="BH34" s="49">
        <f>VLOOKUP(C34,MOQ,3,false)</f>
      </c>
      <c r="BI34" s="104"/>
      <c r="BJ34" s="50" t="s">
        <v>189</v>
      </c>
      <c r="BK34" s="49">
        <f t="shared" si="132"/>
        <v>0.0</v>
      </c>
      <c r="BO34" s="100"/>
      <c r="BP34" s="107"/>
      <c r="BS34" s="100"/>
      <c r="BT34" s="102"/>
      <c r="BW34" s="100"/>
      <c r="BX34" s="102"/>
      <c r="CA34" s="100"/>
      <c r="CB34" s="102"/>
      <c r="CE34" s="100"/>
      <c r="CF34" s="102"/>
      <c r="CI34" s="100"/>
      <c r="CJ34" s="55"/>
    </row>
    <row r="35" ht="14.0" customFormat="1" s="49">
      <c r="A35" s="104" t="s">
        <v>45</v>
      </c>
      <c r="B35" s="96" t="s">
        <v>29</v>
      </c>
      <c r="C35" s="105" t="s">
        <v>69</v>
      </c>
      <c r="D35" s="106" t="s">
        <v>70</v>
      </c>
      <c r="E35" s="96">
        <v>495.0</v>
      </c>
      <c r="F35" s="96">
        <v>424.0</v>
      </c>
      <c r="G35" s="96">
        <v>304.0</v>
      </c>
      <c r="H35" s="96">
        <v>295.0</v>
      </c>
      <c r="I35" s="96">
        <v>322.0</v>
      </c>
      <c r="J35" s="96">
        <v>300.0</v>
      </c>
      <c r="K35" s="96">
        <v>173.0</v>
      </c>
      <c r="L35" s="96">
        <v>276.0</v>
      </c>
      <c r="M35" s="96">
        <v>312.0</v>
      </c>
      <c r="N35" s="96">
        <v>254.0</v>
      </c>
      <c r="O35" s="96">
        <v>385.0</v>
      </c>
      <c r="P35" s="96">
        <v>508.0</v>
      </c>
      <c r="Q35" s="96">
        <v>550.0</v>
      </c>
      <c r="R35" s="96">
        <v>332.0</v>
      </c>
      <c r="S35" s="96">
        <v>132.0</v>
      </c>
      <c r="T35" s="96">
        <v>443.0</v>
      </c>
      <c r="U35" s="96">
        <v>242.0</v>
      </c>
      <c r="V35" s="96">
        <v>274.0</v>
      </c>
      <c r="W35" s="96">
        <v>273.0</v>
      </c>
      <c r="X35" s="96">
        <v>219.0</v>
      </c>
      <c r="Y35" s="96">
        <v>346.0</v>
      </c>
      <c r="Z35" s="96">
        <v>163.0</v>
      </c>
      <c r="AA35" s="96">
        <v>421.0</v>
      </c>
      <c r="AB35" s="96">
        <v>306.0</v>
      </c>
      <c r="AC35" s="96">
        <v>466.0</v>
      </c>
      <c r="AD35" s="96">
        <v>193.0</v>
      </c>
      <c r="AE35" s="96">
        <v>239.0</v>
      </c>
      <c r="AF35" s="96">
        <v>238.0</v>
      </c>
      <c r="AG35" s="96">
        <v>147.0</v>
      </c>
      <c r="AH35" s="96">
        <v>223.0</v>
      </c>
      <c r="AI35" s="96">
        <v>263.0</v>
      </c>
      <c r="AJ35" s="96">
        <v>105.0</v>
      </c>
      <c r="AK35" s="49">
        <v>81.0</v>
      </c>
      <c r="AL35" s="110">
        <v>18.0</v>
      </c>
      <c r="AM35" s="110">
        <v>12.0</v>
      </c>
      <c r="AN35" s="110">
        <v>0.0</v>
      </c>
      <c r="AO35" s="110">
        <v>0.0</v>
      </c>
      <c r="AP35" s="110">
        <v>-1.0</v>
      </c>
      <c r="AQ35" s="110">
        <v>0.0</v>
      </c>
      <c r="AR35" s="98">
        <f t="shared" si="4"/>
        <v>1086.0</v>
      </c>
      <c r="AS35" s="98">
        <f t="shared" si="50"/>
        <v>29.0</v>
      </c>
      <c r="AT35" s="98">
        <f t="shared" si="6"/>
        <v>31.9</v>
      </c>
      <c r="AU35" s="104">
        <v>10.0</v>
      </c>
      <c r="AV35" s="104">
        <v>0.0</v>
      </c>
      <c r="AW35" s="104">
        <v>0.0</v>
      </c>
      <c r="AX35" s="104">
        <v>0.0</v>
      </c>
      <c r="AY35" s="104">
        <v>0.0</v>
      </c>
      <c r="AZ35" s="104">
        <v>0.0</v>
      </c>
      <c r="BA35" s="98">
        <f t="shared" si="13"/>
        <v>10.0</v>
      </c>
      <c r="BB35" s="51">
        <f>VLOOKUP(D35,FEB23SOH,2,false)</f>
        <v>10.0</v>
      </c>
      <c r="BC35" s="99">
        <f>VLOOKUP(C35,UNITVALUE,5,false)</f>
        <v>4.374</v>
      </c>
      <c r="BD35" s="53">
        <f t="shared" si="16"/>
        <v>43.74</v>
      </c>
      <c r="BI35" s="104"/>
      <c r="BJ35" s="50" t="s">
        <v>189</v>
      </c>
      <c r="BK35" s="49">
        <f t="shared" si="132"/>
        <v>10.0</v>
      </c>
      <c r="BO35" s="100"/>
      <c r="BP35" s="107"/>
      <c r="BS35" s="100"/>
      <c r="BT35" s="102"/>
      <c r="BW35" s="100"/>
      <c r="BX35" s="102"/>
      <c r="CA35" s="100"/>
      <c r="CB35" s="102"/>
      <c r="CE35" s="100"/>
      <c r="CF35" s="102"/>
      <c r="CI35" s="100"/>
      <c r="CJ35" s="55"/>
    </row>
    <row r="36" ht="14.0" customFormat="1" s="49">
      <c r="A36" s="104" t="s">
        <v>45</v>
      </c>
      <c r="B36" s="96" t="s">
        <v>29</v>
      </c>
      <c r="C36" s="105" t="s">
        <v>71</v>
      </c>
      <c r="D36" s="106" t="s">
        <v>72</v>
      </c>
      <c r="E36" s="96">
        <v>309.0</v>
      </c>
      <c r="F36" s="96">
        <v>307.0</v>
      </c>
      <c r="G36" s="96">
        <v>199.0</v>
      </c>
      <c r="H36" s="96">
        <v>153.0</v>
      </c>
      <c r="I36" s="96">
        <v>251.0</v>
      </c>
      <c r="J36" s="96">
        <v>171.0</v>
      </c>
      <c r="K36" s="96">
        <v>111.0</v>
      </c>
      <c r="L36" s="96">
        <v>166.0</v>
      </c>
      <c r="M36" s="96">
        <v>179.0</v>
      </c>
      <c r="N36" s="96">
        <v>149.0</v>
      </c>
      <c r="O36" s="96">
        <v>245.0</v>
      </c>
      <c r="P36" s="96">
        <v>257.0</v>
      </c>
      <c r="Q36" s="96">
        <v>312.0</v>
      </c>
      <c r="R36" s="96">
        <v>255.0</v>
      </c>
      <c r="S36" s="96">
        <v>286.0</v>
      </c>
      <c r="T36" s="96">
        <v>65.0</v>
      </c>
      <c r="U36" s="96">
        <v>130.0</v>
      </c>
      <c r="V36" s="96">
        <v>292.0</v>
      </c>
      <c r="W36" s="96">
        <v>143.0</v>
      </c>
      <c r="X36" s="96">
        <v>184.0</v>
      </c>
      <c r="Y36" s="96">
        <v>191.0</v>
      </c>
      <c r="Z36" s="96">
        <v>137.0</v>
      </c>
      <c r="AA36" s="96">
        <v>259.0</v>
      </c>
      <c r="AB36" s="96">
        <v>131.0</v>
      </c>
      <c r="AC36" s="96">
        <v>282.0</v>
      </c>
      <c r="AD36" s="96">
        <v>190.0</v>
      </c>
      <c r="AE36" s="96">
        <v>171.0</v>
      </c>
      <c r="AF36" s="96">
        <v>217.0</v>
      </c>
      <c r="AG36" s="96">
        <v>5.0</v>
      </c>
      <c r="AH36" s="96">
        <v>1.0</v>
      </c>
      <c r="AI36" s="96">
        <v>0.0</v>
      </c>
      <c r="AJ36" s="49">
        <v>0.0</v>
      </c>
      <c r="AK36" s="110">
        <v>0.0</v>
      </c>
      <c r="AL36" s="110">
        <v>-1.0</v>
      </c>
      <c r="AM36" s="110">
        <v>0.0</v>
      </c>
      <c r="AN36" s="110">
        <v>0.0</v>
      </c>
      <c r="AO36" s="110">
        <v>0.0</v>
      </c>
      <c r="AP36" s="110">
        <v>0.0</v>
      </c>
      <c r="AQ36" s="110">
        <v>0.0</v>
      </c>
      <c r="AR36" s="98">
        <f t="shared" si="4"/>
        <v>222.0</v>
      </c>
      <c r="AS36" s="98">
        <f t="shared" si="50"/>
        <v>-1.0</v>
      </c>
      <c r="AT36" s="98">
        <f t="shared" si="6"/>
        <v>-1.1</v>
      </c>
      <c r="AU36" s="104">
        <f t="shared" ref="AU36:AU37" si="163">AT36*$AU$4/$AT$3</f>
        <v>-0.11607142857142</v>
      </c>
      <c r="AV36" s="104">
        <f t="shared" ref="AV36:AV38" si="164">AT36*$AV$4/$AT$3</f>
        <v>-0.125</v>
      </c>
      <c r="AW36" s="104">
        <f t="shared" ref="AW36:AW38" si="165">AT36*$AW$4/$AT$3</f>
        <v>-0.173214285714284</v>
      </c>
      <c r="AX36" s="104">
        <f t="shared" ref="AX36:AX37" si="166">AT36*$AX$4/$AT$3</f>
        <v>-0.0821428571428571</v>
      </c>
      <c r="AY36" s="104">
        <v>0.0</v>
      </c>
      <c r="AZ36" s="104">
        <v>0.0</v>
      </c>
      <c r="BA36" s="98">
        <f t="shared" si="13"/>
        <v>-0.496428571428561</v>
      </c>
      <c r="BB36" s="51">
        <f>VLOOKUP(D36,FEB23SOH,2,false)</f>
        <v>0.0</v>
      </c>
      <c r="BC36" s="99">
        <f>VLOOKUP(C36,UNITVALUE,5,false)</f>
      </c>
      <c r="BD36" s="53">
        <f t="shared" si="16"/>
        <v>0.0</v>
      </c>
      <c r="BI36" s="104"/>
      <c r="BJ36" s="50" t="s">
        <v>189</v>
      </c>
      <c r="BK36" s="49">
        <f t="shared" si="132"/>
        <v>0.0</v>
      </c>
      <c r="BO36" s="100"/>
      <c r="BP36" s="107"/>
      <c r="BS36" s="100"/>
      <c r="BT36" s="102"/>
      <c r="BW36" s="100"/>
      <c r="BX36" s="102"/>
      <c r="CA36" s="100"/>
      <c r="CB36" s="102"/>
      <c r="CE36" s="100"/>
      <c r="CF36" s="102"/>
      <c r="CI36" s="100"/>
      <c r="CJ36" s="55"/>
    </row>
    <row r="37" ht="14.0" customFormat="1" s="49">
      <c r="A37" s="104" t="s">
        <v>45</v>
      </c>
      <c r="B37" s="96" t="s">
        <v>29</v>
      </c>
      <c r="C37" s="105" t="s">
        <v>73</v>
      </c>
      <c r="D37" s="106" t="s">
        <v>74</v>
      </c>
      <c r="E37" s="96">
        <v>282.0</v>
      </c>
      <c r="F37" s="96">
        <v>186.0</v>
      </c>
      <c r="G37" s="96">
        <v>147.0</v>
      </c>
      <c r="H37" s="96">
        <v>141.0</v>
      </c>
      <c r="I37" s="96">
        <v>137.0</v>
      </c>
      <c r="J37" s="96">
        <v>147.0</v>
      </c>
      <c r="K37" s="96">
        <v>65.0</v>
      </c>
      <c r="L37" s="96">
        <v>106.0</v>
      </c>
      <c r="M37" s="96">
        <v>108.0</v>
      </c>
      <c r="N37" s="96">
        <v>111.0</v>
      </c>
      <c r="O37" s="96">
        <v>160.0</v>
      </c>
      <c r="P37" s="96">
        <v>164.0</v>
      </c>
      <c r="Q37" s="96">
        <v>281.0</v>
      </c>
      <c r="R37" s="96">
        <v>221.0</v>
      </c>
      <c r="S37" s="96">
        <v>174.0</v>
      </c>
      <c r="T37" s="96">
        <v>122.0</v>
      </c>
      <c r="U37" s="96">
        <v>96.0</v>
      </c>
      <c r="V37" s="96">
        <v>121.0</v>
      </c>
      <c r="W37" s="96">
        <v>111.0</v>
      </c>
      <c r="X37" s="96">
        <v>96.0</v>
      </c>
      <c r="Y37" s="96">
        <v>124.0</v>
      </c>
      <c r="Z37" s="96">
        <v>77.0</v>
      </c>
      <c r="AA37" s="96">
        <v>151.0</v>
      </c>
      <c r="AB37" s="96">
        <v>143.0</v>
      </c>
      <c r="AC37" s="96">
        <v>151.0</v>
      </c>
      <c r="AD37" s="96">
        <v>114.0</v>
      </c>
      <c r="AE37" s="96">
        <v>126.0</v>
      </c>
      <c r="AF37" s="96">
        <v>71.0</v>
      </c>
      <c r="AG37" s="96">
        <v>82.0</v>
      </c>
      <c r="AH37" s="96">
        <v>2.0</v>
      </c>
      <c r="AI37" s="96">
        <v>-1.0</v>
      </c>
      <c r="AJ37" s="110">
        <v>0.0</v>
      </c>
      <c r="AK37" s="110">
        <v>-1.0</v>
      </c>
      <c r="AL37" s="110">
        <v>-1.0</v>
      </c>
      <c r="AM37" s="110">
        <v>0.0</v>
      </c>
      <c r="AN37" s="110">
        <v>0.0</v>
      </c>
      <c r="AO37" s="110">
        <v>0.0</v>
      </c>
      <c r="AP37" s="110">
        <v>0.0</v>
      </c>
      <c r="AQ37" s="110">
        <v>0.0</v>
      </c>
      <c r="AR37" s="98">
        <f t="shared" si="4"/>
        <v>152.0</v>
      </c>
      <c r="AS37" s="98">
        <f t="shared" si="50"/>
        <v>-1.0</v>
      </c>
      <c r="AT37" s="98">
        <f t="shared" si="6"/>
        <v>-1.1</v>
      </c>
      <c r="AU37" s="104">
        <f t="shared" si="163"/>
        <v>-0.11607142857142</v>
      </c>
      <c r="AV37" s="104">
        <f t="shared" si="164"/>
        <v>-0.125</v>
      </c>
      <c r="AW37" s="104">
        <f t="shared" si="165"/>
        <v>-0.173214285714284</v>
      </c>
      <c r="AX37" s="104">
        <f t="shared" si="166"/>
        <v>-0.0821428571428571</v>
      </c>
      <c r="AY37" s="104">
        <v>0.0</v>
      </c>
      <c r="AZ37" s="104">
        <v>0.0</v>
      </c>
      <c r="BA37" s="98">
        <f t="shared" si="13"/>
        <v>-0.496428571428561</v>
      </c>
      <c r="BB37" s="51">
        <f>VLOOKUP(D37,FEB23SOH,2,false)</f>
        <v>0.0</v>
      </c>
      <c r="BC37" s="99">
        <f>VLOOKUP(C37,UNITVALUE,5,false)</f>
      </c>
      <c r="BD37" s="53">
        <f t="shared" si="16"/>
        <v>0.0</v>
      </c>
      <c r="BI37" s="104"/>
      <c r="BJ37" s="50" t="s">
        <v>189</v>
      </c>
      <c r="BK37" s="49">
        <f t="shared" si="132"/>
        <v>0.0</v>
      </c>
      <c r="BO37" s="100"/>
      <c r="BP37" s="107"/>
      <c r="BS37" s="100"/>
      <c r="BT37" s="102"/>
      <c r="BW37" s="100"/>
      <c r="BX37" s="102"/>
      <c r="CA37" s="100"/>
      <c r="CB37" s="102"/>
      <c r="CE37" s="100"/>
      <c r="CF37" s="102"/>
      <c r="CI37" s="100"/>
      <c r="CJ37" s="55"/>
    </row>
    <row r="38" ht="14.0" customFormat="1" s="49">
      <c r="A38" s="104" t="s">
        <v>45</v>
      </c>
      <c r="B38" s="96" t="s">
        <v>29</v>
      </c>
      <c r="C38" s="105" t="s">
        <v>75</v>
      </c>
      <c r="D38" s="106" t="s">
        <v>76</v>
      </c>
      <c r="E38" s="96">
        <v>420.0</v>
      </c>
      <c r="F38" s="96">
        <v>425.0</v>
      </c>
      <c r="G38" s="96">
        <v>338.0</v>
      </c>
      <c r="H38" s="96">
        <v>201.0</v>
      </c>
      <c r="I38" s="96">
        <v>336.0</v>
      </c>
      <c r="J38" s="96">
        <v>218.0</v>
      </c>
      <c r="K38" s="96">
        <v>181.0</v>
      </c>
      <c r="L38" s="96">
        <v>199.0</v>
      </c>
      <c r="M38" s="96">
        <v>272.0</v>
      </c>
      <c r="N38" s="96">
        <v>184.0</v>
      </c>
      <c r="O38" s="96">
        <v>311.0</v>
      </c>
      <c r="P38" s="96">
        <v>325.0</v>
      </c>
      <c r="Q38" s="96">
        <v>432.0</v>
      </c>
      <c r="R38" s="96">
        <v>331.0</v>
      </c>
      <c r="S38" s="96">
        <v>335.0</v>
      </c>
      <c r="T38" s="96">
        <v>264.0</v>
      </c>
      <c r="U38" s="96">
        <v>127.0</v>
      </c>
      <c r="V38" s="96">
        <v>246.0</v>
      </c>
      <c r="W38" s="96">
        <v>180.0</v>
      </c>
      <c r="X38" s="96">
        <v>248.0</v>
      </c>
      <c r="Y38" s="96">
        <v>243.0</v>
      </c>
      <c r="Z38" s="96">
        <v>192.0</v>
      </c>
      <c r="AA38" s="96">
        <v>286.0</v>
      </c>
      <c r="AB38" s="96">
        <v>262.0</v>
      </c>
      <c r="AC38" s="96">
        <v>329.0</v>
      </c>
      <c r="AD38" s="96">
        <v>193.0</v>
      </c>
      <c r="AE38" s="96">
        <v>214.0</v>
      </c>
      <c r="AF38" s="96">
        <v>207.0</v>
      </c>
      <c r="AG38" s="96">
        <v>144.0</v>
      </c>
      <c r="AH38" s="96">
        <v>-1.0</v>
      </c>
      <c r="AI38" s="96">
        <v>6.0</v>
      </c>
      <c r="AJ38" s="110">
        <v>-1.0</v>
      </c>
      <c r="AK38" s="110">
        <v>0.0</v>
      </c>
      <c r="AL38" s="110">
        <v>0.0</v>
      </c>
      <c r="AM38" s="110">
        <v>-1.0</v>
      </c>
      <c r="AN38" s="110">
        <v>-1.0</v>
      </c>
      <c r="AO38" s="110">
        <v>0.0</v>
      </c>
      <c r="AP38" s="110">
        <v>-1.0</v>
      </c>
      <c r="AQ38" s="110">
        <v>0.0</v>
      </c>
      <c r="AR38" s="98">
        <f t="shared" si="4"/>
        <v>352.0</v>
      </c>
      <c r="AS38" s="98">
        <f t="shared" si="50"/>
        <v>-3.0</v>
      </c>
      <c r="AT38" s="98">
        <f t="shared" si="6"/>
        <v>-3.3</v>
      </c>
      <c r="AU38" s="104">
        <v>4.0</v>
      </c>
      <c r="AV38" s="104">
        <f t="shared" si="164"/>
        <v>-0.375</v>
      </c>
      <c r="AW38" s="104">
        <f t="shared" si="165"/>
        <v>-0.519642857142857</v>
      </c>
      <c r="AX38" s="104">
        <v>0.0</v>
      </c>
      <c r="AY38" s="104">
        <v>0.0</v>
      </c>
      <c r="AZ38" s="104">
        <v>0.0</v>
      </c>
      <c r="BA38" s="98">
        <f t="shared" si="13"/>
        <v>3.10535714285714</v>
      </c>
      <c r="BB38" s="51">
        <f>VLOOKUP(D38,FEB23SOH,2,false)</f>
        <v>4.0</v>
      </c>
      <c r="BC38" s="99">
        <f>VLOOKUP(C38,UNITVALUE,5,false)</f>
        <v>4.37</v>
      </c>
      <c r="BD38" s="53">
        <f t="shared" si="16"/>
        <v>17.48</v>
      </c>
      <c r="BI38" s="104"/>
      <c r="BJ38" s="50" t="s">
        <v>189</v>
      </c>
      <c r="BK38" s="49">
        <f t="shared" si="132"/>
        <v>4.0</v>
      </c>
      <c r="BO38" s="100"/>
      <c r="BP38" s="107"/>
      <c r="BS38" s="100"/>
      <c r="BT38" s="102"/>
      <c r="BW38" s="100"/>
      <c r="BX38" s="102"/>
      <c r="CA38" s="100"/>
      <c r="CB38" s="102"/>
      <c r="CE38" s="100"/>
      <c r="CF38" s="102"/>
      <c r="CI38" s="100"/>
      <c r="CJ38" s="55"/>
    </row>
    <row r="39" ht="14.0" customFormat="1" s="49">
      <c r="A39" s="96" t="s">
        <v>28</v>
      </c>
      <c r="B39" s="96" t="s">
        <v>29</v>
      </c>
      <c r="C39" s="96" t="s">
        <v>80</v>
      </c>
      <c r="D39" s="97" t="s">
        <v>81</v>
      </c>
      <c r="E39" s="96">
        <v>1956.0</v>
      </c>
      <c r="F39" s="96">
        <v>195.0</v>
      </c>
      <c r="G39" s="96">
        <v>643.0</v>
      </c>
      <c r="H39" s="96">
        <v>4.0</v>
      </c>
      <c r="I39" s="96">
        <v>1219.0</v>
      </c>
      <c r="J39" s="96">
        <v>222.0</v>
      </c>
      <c r="K39" s="96">
        <v>162.0</v>
      </c>
      <c r="L39" s="96">
        <v>678.0</v>
      </c>
      <c r="M39" s="96">
        <v>936.0</v>
      </c>
      <c r="N39" s="96">
        <v>26.0</v>
      </c>
      <c r="O39" s="96">
        <v>960.0</v>
      </c>
      <c r="P39" s="96">
        <v>876.0</v>
      </c>
      <c r="Q39" s="96">
        <v>534.0</v>
      </c>
      <c r="R39" s="96">
        <v>464.0</v>
      </c>
      <c r="S39" s="96">
        <v>223.0</v>
      </c>
      <c r="T39" s="96">
        <v>760.0</v>
      </c>
      <c r="U39" s="96">
        <v>229.0</v>
      </c>
      <c r="V39" s="96">
        <v>985.0</v>
      </c>
      <c r="W39" s="96">
        <v>96.0</v>
      </c>
      <c r="X39" s="96">
        <v>809.0</v>
      </c>
      <c r="Y39" s="96">
        <v>144.0</v>
      </c>
      <c r="Z39" s="96">
        <v>162.0</v>
      </c>
      <c r="AA39" s="96">
        <v>611.0</v>
      </c>
      <c r="AB39" s="96">
        <v>679.0</v>
      </c>
      <c r="AC39" s="96">
        <v>600.0</v>
      </c>
      <c r="AD39" s="96">
        <v>642.0</v>
      </c>
      <c r="AE39" s="96">
        <v>285.0</v>
      </c>
      <c r="AF39" s="96">
        <v>168.0</v>
      </c>
      <c r="AG39" s="96">
        <v>384.0</v>
      </c>
      <c r="AH39" s="96">
        <v>318.0</v>
      </c>
      <c r="AI39" s="96">
        <v>292.0</v>
      </c>
      <c r="AJ39" s="96">
        <v>85.0</v>
      </c>
      <c r="AK39" s="49">
        <v>225.0</v>
      </c>
      <c r="AL39" s="49">
        <v>54.0</v>
      </c>
      <c r="AM39" s="49">
        <v>264.0</v>
      </c>
      <c r="AN39" s="49">
        <v>354.0</v>
      </c>
      <c r="AO39" s="49">
        <v>588.0</v>
      </c>
      <c r="AP39" s="49">
        <v>323.0</v>
      </c>
      <c r="AQ39" s="49">
        <v>101.0</v>
      </c>
      <c r="AR39" s="98">
        <f t="shared" si="4"/>
        <v>3156.0</v>
      </c>
      <c r="AS39" s="98">
        <f t="shared" ref="AS39:AS71" si="167">SUM(AF39:AK39)</f>
        <v>1472.0</v>
      </c>
      <c r="AT39" s="98">
        <f t="shared" si="6"/>
        <v>1619.2</v>
      </c>
      <c r="AU39" s="49">
        <f t="shared" ref="AU39:AU43" si="168">AT39*$AU$4/$AT$4+12*$AU$44</f>
        <v>241.454545454545</v>
      </c>
      <c r="AV39" s="49">
        <f t="shared" ref="AV39:AV43" si="169">AT39*$AV$4/$AT$4+12*$AV$44</f>
        <v>258.181818181818</v>
      </c>
      <c r="AW39" s="49">
        <f t="shared" ref="AW39:AW43" si="170">AT39*$AW$4/$AT$4+12*$AW$44</f>
        <v>360.50909090909</v>
      </c>
      <c r="AX39" s="49">
        <f t="shared" ref="AX39:AX43" si="171">AT39*$AX$4/$AT$4+12*$AX$44</f>
        <v>165.890909090909</v>
      </c>
      <c r="AY39" s="49">
        <f t="shared" ref="AY39:AY43" si="172">AT39*$AY$4/$AT$4+12*$AY$44</f>
        <v>321.745454545454</v>
      </c>
      <c r="AZ39" s="49">
        <f t="shared" ref="AZ39:AZ43" si="173">AT39*$AZ$4/$AT$4+12*$AZ$44</f>
        <v>268.218181818181</v>
      </c>
      <c r="BA39" s="98">
        <f t="shared" si="13"/>
        <v>1616.0</v>
      </c>
      <c r="BB39" s="51">
        <f>VLOOKUP(D39,FEB23SOH,2,false)</f>
        <v>6158.0</v>
      </c>
      <c r="BC39" s="99">
        <f>VLOOKUP(C39,UNITVALUE,5,false)</f>
        <v>2.259</v>
      </c>
      <c r="BD39" s="53">
        <f t="shared" si="16"/>
        <v>13910.922</v>
      </c>
      <c r="BG39" s="98">
        <f t="shared" ref="BG39:BG43" si="174">BB39+BE39+BF39-BA39</f>
        <v>4542.0</v>
      </c>
      <c r="BH39" s="49">
        <f>VLOOKUP(C39,MOQ,3,false)</f>
        <v>3000.0</v>
      </c>
      <c r="BI39" s="51"/>
      <c r="BJ39" s="114" t="s">
        <v>32</v>
      </c>
      <c r="BK39" s="49">
        <f t="shared" si="132"/>
        <v>6158.0</v>
      </c>
      <c r="BM39" s="49">
        <f t="shared" ref="BM39:BM43" si="176">AU39</f>
        <v>241.454545454545</v>
      </c>
      <c r="BN39" s="49">
        <f t="shared" ref="BN39:BN69" si="177">BE39</f>
      </c>
      <c r="BO39" s="100">
        <f t="shared" ref="BO39:BO69" si="178">BK39+BN39-BM39+BL39</f>
        <v>5916.54545454546</v>
      </c>
      <c r="BP39" s="101">
        <f t="shared" ref="BP39:BP67" si="179">BO39*BC39</f>
        <v>13365.4761818181</v>
      </c>
      <c r="BQ39" s="49">
        <f t="shared" ref="BQ39:BQ43" si="180">AV39</f>
        <v>258.181818181818</v>
      </c>
      <c r="BR39" s="49">
        <f t="shared" ref="BR39:BR69" si="181">BF39</f>
      </c>
      <c r="BS39" s="100">
        <f t="shared" ref="BS39:BS43" si="182">BO39+BR39-BQ39</f>
        <v>5658.36363636364</v>
      </c>
      <c r="BT39" s="102">
        <f t="shared" ref="BT39:BT67" si="183">BS39*BC39</f>
        <v>12782.2434545454</v>
      </c>
      <c r="BU39" s="49">
        <f t="shared" ref="BU39:BU43" si="184">AW39</f>
        <v>360.50909090909</v>
      </c>
      <c r="BW39" s="100">
        <f t="shared" ref="BW39:BW43" si="185">BS39+BV39-BU39</f>
        <v>5297.85454545454</v>
      </c>
      <c r="BX39" s="102">
        <f t="shared" ref="BX39:BX67" si="186">BW39*BC39</f>
        <v>11967.8534181818</v>
      </c>
      <c r="BY39" s="49">
        <f t="shared" ref="BY39:BY43" si="187">AX39</f>
        <v>165.890909090909</v>
      </c>
      <c r="CA39" s="100">
        <f t="shared" ref="CA39:CA43" si="188">BW39+BZ39-BY39</f>
        <v>5131.96363636363</v>
      </c>
      <c r="CB39" s="102">
        <f t="shared" ref="CB39:CB67" si="189">CA39*BC39</f>
        <v>11593.1058545454</v>
      </c>
      <c r="CC39" s="49">
        <f t="shared" ref="CC39:CC43" si="190">AY39</f>
        <v>321.745454545454</v>
      </c>
      <c r="CE39" s="100">
        <f t="shared" ref="CE39:CE43" si="191">CA39+CD39-CC39</f>
        <v>4810.21818181818</v>
      </c>
      <c r="CF39" s="102">
        <f t="shared" ref="CF39:CF67" si="192">CE39*BC39</f>
        <v>10866.2828727272</v>
      </c>
      <c r="CG39" s="49">
        <f t="shared" ref="CG39:CG43" si="193">AZ39</f>
        <v>268.218181818181</v>
      </c>
      <c r="CI39" s="100">
        <f t="shared" ref="CI39:CI43" si="194">CE39+CH39-CG39</f>
        <v>4542.0</v>
      </c>
      <c r="CJ39" s="55">
        <f t="shared" ref="CJ39:CJ67" si="195">CI39*BC39</f>
        <v>10260.378</v>
      </c>
    </row>
    <row r="40" ht="14.0">
      <c r="A40" s="96" t="s">
        <v>28</v>
      </c>
      <c r="B40" s="96" t="s">
        <v>29</v>
      </c>
      <c r="C40" s="96" t="s">
        <v>82</v>
      </c>
      <c r="D40" s="97" t="s">
        <v>83</v>
      </c>
      <c r="E40" s="96">
        <v>1686.0</v>
      </c>
      <c r="F40" s="96">
        <v>157.0</v>
      </c>
      <c r="G40" s="96">
        <v>882.0</v>
      </c>
      <c r="H40" s="96">
        <v>222.0</v>
      </c>
      <c r="I40" s="96">
        <v>1068.0</v>
      </c>
      <c r="J40" s="96">
        <v>175.0</v>
      </c>
      <c r="K40" s="96">
        <v>142.0</v>
      </c>
      <c r="L40" s="96">
        <v>690.0</v>
      </c>
      <c r="M40" s="96">
        <v>682.0</v>
      </c>
      <c r="N40" s="96">
        <v>-14.0</v>
      </c>
      <c r="O40" s="96">
        <v>669.0</v>
      </c>
      <c r="P40" s="96">
        <v>637.0</v>
      </c>
      <c r="Q40" s="96">
        <v>556.0</v>
      </c>
      <c r="R40" s="96">
        <v>502.0</v>
      </c>
      <c r="S40" s="96">
        <v>172.0</v>
      </c>
      <c r="T40" s="96">
        <v>642.0</v>
      </c>
      <c r="U40" s="96">
        <v>131.0</v>
      </c>
      <c r="V40" s="96">
        <v>1033.0</v>
      </c>
      <c r="W40" s="96">
        <v>90.0</v>
      </c>
      <c r="X40" s="96">
        <v>652.0</v>
      </c>
      <c r="Y40" s="96">
        <v>132.0</v>
      </c>
      <c r="Z40" s="96">
        <v>108.0</v>
      </c>
      <c r="AA40" s="96">
        <v>548.0</v>
      </c>
      <c r="AB40" s="96">
        <v>642.0</v>
      </c>
      <c r="AC40" s="96">
        <v>446.0</v>
      </c>
      <c r="AD40" s="96">
        <v>657.0</v>
      </c>
      <c r="AE40" s="96">
        <v>312.0</v>
      </c>
      <c r="AF40" s="96">
        <v>144.0</v>
      </c>
      <c r="AG40" s="96">
        <v>309.0</v>
      </c>
      <c r="AH40" s="96">
        <v>282.0</v>
      </c>
      <c r="AI40" s="96">
        <v>228.0</v>
      </c>
      <c r="AJ40" s="96">
        <v>78.0</v>
      </c>
      <c r="AK40" s="49">
        <v>244.0</v>
      </c>
      <c r="AL40" s="49">
        <v>113.0</v>
      </c>
      <c r="AM40" s="49">
        <v>144.0</v>
      </c>
      <c r="AN40" s="49">
        <v>210.0</v>
      </c>
      <c r="AO40" s="49">
        <v>479.0</v>
      </c>
      <c r="AP40" s="49">
        <v>300.0</v>
      </c>
      <c r="AQ40" s="49">
        <v>102.0</v>
      </c>
      <c r="AR40" s="98">
        <f t="shared" si="4"/>
        <v>2633.0</v>
      </c>
      <c r="AS40" s="98">
        <f t="shared" si="167"/>
        <v>1285.0</v>
      </c>
      <c r="AT40" s="98">
        <f t="shared" si="6"/>
        <v>1413.5</v>
      </c>
      <c r="AU40" s="49">
        <f t="shared" si="168"/>
        <v>213.829545454545</v>
      </c>
      <c r="AV40" s="49">
        <f t="shared" si="169"/>
        <v>228.431818181818</v>
      </c>
      <c r="AW40" s="49">
        <f t="shared" si="170"/>
        <v>319.28409090909</v>
      </c>
      <c r="AX40" s="49">
        <f t="shared" si="171"/>
        <v>146.340909090909</v>
      </c>
      <c r="AY40" s="49">
        <f t="shared" si="172"/>
        <v>283.920454545454</v>
      </c>
      <c r="AZ40" s="49">
        <f t="shared" si="173"/>
        <v>237.193181818181</v>
      </c>
      <c r="BA40" s="51">
        <f t="shared" si="13"/>
        <v>1429.0</v>
      </c>
      <c r="BB40" s="51">
        <f>VLOOKUP(D40,FEB23SOH,2,false)</f>
        <v>5661.0</v>
      </c>
      <c r="BC40" s="99">
        <f>VLOOKUP(C40,UNITVALUE,5,false)</f>
        <v>2.2636</v>
      </c>
      <c r="BD40" s="53">
        <f t="shared" si="16"/>
        <v>12814.2396</v>
      </c>
      <c r="BG40" s="98">
        <f t="shared" si="174"/>
        <v>4232.0</v>
      </c>
      <c r="BH40" s="49">
        <f>VLOOKUP(C40,MOQ,3,false)</f>
        <v>3000.0</v>
      </c>
      <c r="BI40" s="51"/>
      <c r="BJ40" s="50"/>
      <c r="BK40" s="49">
        <f t="shared" si="132"/>
        <v>5661.0</v>
      </c>
      <c r="BM40" s="49">
        <f t="shared" si="176"/>
        <v>213.829545454545</v>
      </c>
      <c r="BN40" s="49">
        <f t="shared" si="177"/>
      </c>
      <c r="BO40" s="100">
        <f t="shared" si="178"/>
        <v>5447.17045454546</v>
      </c>
      <c r="BP40" s="101">
        <f t="shared" si="179"/>
        <v>12330.2150409091</v>
      </c>
      <c r="BQ40" s="49">
        <f t="shared" si="180"/>
        <v>228.431818181818</v>
      </c>
      <c r="BR40" s="49">
        <f t="shared" si="181"/>
      </c>
      <c r="BS40" s="100">
        <f t="shared" si="182"/>
        <v>5218.73863636364</v>
      </c>
      <c r="BT40" s="102">
        <f t="shared" si="183"/>
        <v>11813.1367772727</v>
      </c>
      <c r="BU40" s="49">
        <f t="shared" si="184"/>
        <v>319.28409090909</v>
      </c>
      <c r="BW40" s="100">
        <f t="shared" si="185"/>
        <v>4899.45454545455</v>
      </c>
      <c r="BX40" s="102">
        <f t="shared" si="186"/>
        <v>11090.4053090909</v>
      </c>
      <c r="BY40" s="49">
        <f t="shared" si="187"/>
        <v>146.340909090909</v>
      </c>
      <c r="CA40" s="100">
        <f t="shared" si="188"/>
        <v>4753.11363636364</v>
      </c>
      <c r="CB40" s="102">
        <f t="shared" si="189"/>
        <v>10759.1480272727</v>
      </c>
      <c r="CC40" s="49">
        <f t="shared" si="190"/>
        <v>283.920454545454</v>
      </c>
      <c r="CE40" s="100">
        <f t="shared" si="191"/>
        <v>4469.19318181819</v>
      </c>
      <c r="CF40" s="102">
        <f t="shared" si="192"/>
        <v>10116.4656863637</v>
      </c>
      <c r="CG40" s="49">
        <f t="shared" si="193"/>
        <v>237.193181818181</v>
      </c>
      <c r="CI40" s="100">
        <f t="shared" si="194"/>
        <v>4232.0</v>
      </c>
      <c r="CJ40" s="55">
        <f t="shared" si="195"/>
        <v>9579.5552</v>
      </c>
    </row>
    <row r="41" ht="14.0">
      <c r="A41" s="96" t="s">
        <v>28</v>
      </c>
      <c r="B41" s="96" t="s">
        <v>29</v>
      </c>
      <c r="C41" s="96" t="s">
        <v>84</v>
      </c>
      <c r="D41" s="97" t="s">
        <v>85</v>
      </c>
      <c r="E41" s="96">
        <v>454.0</v>
      </c>
      <c r="F41" s="96">
        <v>140.0</v>
      </c>
      <c r="G41" s="96">
        <v>258.0</v>
      </c>
      <c r="H41" s="96">
        <v>232.0</v>
      </c>
      <c r="I41" s="96">
        <v>524.0</v>
      </c>
      <c r="J41" s="96">
        <v>86.0</v>
      </c>
      <c r="K41" s="96">
        <v>71.0</v>
      </c>
      <c r="L41" s="96">
        <v>293.0</v>
      </c>
      <c r="M41" s="96">
        <v>130.0</v>
      </c>
      <c r="N41" s="96">
        <v>71.0</v>
      </c>
      <c r="O41" s="96">
        <v>142.0</v>
      </c>
      <c r="P41" s="96">
        <v>137.0</v>
      </c>
      <c r="Q41" s="96">
        <v>150.0</v>
      </c>
      <c r="R41" s="96">
        <v>160.0</v>
      </c>
      <c r="S41" s="96">
        <v>135.0</v>
      </c>
      <c r="T41" s="96">
        <v>144.0</v>
      </c>
      <c r="U41" s="96">
        <v>110.0</v>
      </c>
      <c r="V41" s="96">
        <v>108.0</v>
      </c>
      <c r="W41" s="96">
        <v>60.0</v>
      </c>
      <c r="X41" s="96">
        <v>114.0</v>
      </c>
      <c r="Y41" s="96">
        <v>88.0</v>
      </c>
      <c r="Z41" s="96">
        <v>66.0</v>
      </c>
      <c r="AA41" s="96">
        <v>173.0</v>
      </c>
      <c r="AB41" s="96">
        <v>134.0</v>
      </c>
      <c r="AC41" s="96">
        <v>127.0</v>
      </c>
      <c r="AD41" s="96">
        <v>150.0</v>
      </c>
      <c r="AE41" s="96">
        <v>125.0</v>
      </c>
      <c r="AF41" s="96">
        <v>123.0</v>
      </c>
      <c r="AG41" s="96">
        <v>78.0</v>
      </c>
      <c r="AH41" s="96">
        <v>91.0</v>
      </c>
      <c r="AI41" s="96">
        <v>59.0</v>
      </c>
      <c r="AJ41" s="96">
        <v>50.0</v>
      </c>
      <c r="AK41" s="49">
        <v>73.0</v>
      </c>
      <c r="AL41" s="49">
        <v>61.0</v>
      </c>
      <c r="AM41" s="49">
        <v>72.0</v>
      </c>
      <c r="AN41" s="49">
        <v>84.0</v>
      </c>
      <c r="AO41" s="49">
        <v>96.0</v>
      </c>
      <c r="AP41" s="49">
        <v>66.0</v>
      </c>
      <c r="AQ41" s="49">
        <v>79.0</v>
      </c>
      <c r="AR41" s="98">
        <f t="shared" si="4"/>
        <v>932.0</v>
      </c>
      <c r="AS41" s="98">
        <f t="shared" si="167"/>
        <v>474.0</v>
      </c>
      <c r="AT41" s="98">
        <f t="shared" si="6"/>
        <v>521.4</v>
      </c>
      <c r="AU41" s="49">
        <f t="shared" si="168"/>
        <v>94.0227272727272</v>
      </c>
      <c r="AV41" s="49">
        <f t="shared" si="169"/>
        <v>99.4090909090909</v>
      </c>
      <c r="AW41" s="49">
        <f t="shared" si="170"/>
        <v>140.495454545453</v>
      </c>
      <c r="AX41" s="49">
        <f t="shared" si="171"/>
        <v>61.5545454545454</v>
      </c>
      <c r="AY41" s="49">
        <f t="shared" si="172"/>
        <v>119.877272727272</v>
      </c>
      <c r="AZ41" s="49">
        <f t="shared" si="173"/>
        <v>102.640909090909</v>
      </c>
      <c r="BA41" s="51">
        <f t="shared" si="13"/>
        <v>618.0</v>
      </c>
      <c r="BB41" s="51">
        <f>VLOOKUP(D41,FEB23SOH,2,false)</f>
        <v>2068.0</v>
      </c>
      <c r="BC41" s="99">
        <f>VLOOKUP(C41,UNITVALUE,5,false)</f>
        <v>2.1931</v>
      </c>
      <c r="BD41" s="53">
        <f t="shared" si="16"/>
        <v>4535.3308</v>
      </c>
      <c r="BG41" s="98">
        <f t="shared" si="174"/>
        <v>1450.0</v>
      </c>
      <c r="BH41" s="49">
        <f>VLOOKUP(C41,MOQ,3,false)</f>
        <v>3000.0</v>
      </c>
      <c r="BI41" s="51"/>
      <c r="BJ41" s="50"/>
      <c r="BK41" s="49">
        <f t="shared" si="132"/>
        <v>2068.0</v>
      </c>
      <c r="BM41" s="49">
        <f t="shared" si="176"/>
        <v>94.0227272727272</v>
      </c>
      <c r="BN41" s="49">
        <f t="shared" si="177"/>
      </c>
      <c r="BO41" s="100">
        <f t="shared" si="178"/>
        <v>1973.97727272727</v>
      </c>
      <c r="BP41" s="101">
        <f t="shared" si="179"/>
        <v>4329.12955681818</v>
      </c>
      <c r="BQ41" s="49">
        <f t="shared" si="180"/>
        <v>99.4090909090909</v>
      </c>
      <c r="BR41" s="49">
        <f t="shared" si="181"/>
      </c>
      <c r="BS41" s="100">
        <f t="shared" si="182"/>
        <v>1874.56818181818</v>
      </c>
      <c r="BT41" s="102">
        <f t="shared" si="183"/>
        <v>4111.11547954545</v>
      </c>
      <c r="BU41" s="49">
        <f t="shared" si="184"/>
        <v>140.495454545453</v>
      </c>
      <c r="BW41" s="100">
        <f t="shared" si="185"/>
        <v>1734.07272727272</v>
      </c>
      <c r="BX41" s="102">
        <f t="shared" si="186"/>
        <v>3802.9948981818</v>
      </c>
      <c r="BY41" s="49">
        <f t="shared" si="187"/>
        <v>61.5545454545454</v>
      </c>
      <c r="CA41" s="100">
        <f t="shared" si="188"/>
        <v>1672.51818181817</v>
      </c>
      <c r="CB41" s="102">
        <f t="shared" si="189"/>
        <v>3667.99962454542</v>
      </c>
      <c r="CC41" s="49">
        <f t="shared" si="190"/>
        <v>119.877272727272</v>
      </c>
      <c r="CE41" s="100">
        <f t="shared" si="191"/>
        <v>1552.6409090909</v>
      </c>
      <c r="CF41" s="102">
        <f t="shared" si="192"/>
        <v>3405.09677772725</v>
      </c>
      <c r="CG41" s="49">
        <f t="shared" si="193"/>
        <v>102.640909090909</v>
      </c>
      <c r="CI41" s="100">
        <f t="shared" si="194"/>
        <v>1449.99999999999</v>
      </c>
      <c r="CJ41" s="55">
        <f t="shared" si="195"/>
        <v>3179.99499999998</v>
      </c>
    </row>
    <row r="42" ht="14.0">
      <c r="A42" s="96" t="s">
        <v>28</v>
      </c>
      <c r="B42" s="96" t="s">
        <v>29</v>
      </c>
      <c r="C42" s="96" t="s">
        <v>86</v>
      </c>
      <c r="D42" s="97" t="s">
        <v>87</v>
      </c>
      <c r="E42" s="96">
        <v>462.0</v>
      </c>
      <c r="F42" s="96">
        <v>101.0</v>
      </c>
      <c r="G42" s="96">
        <v>306.0</v>
      </c>
      <c r="H42" s="96">
        <v>155.0</v>
      </c>
      <c r="I42" s="96">
        <v>576.0</v>
      </c>
      <c r="J42" s="96">
        <v>147.0</v>
      </c>
      <c r="K42" s="96">
        <v>116.0</v>
      </c>
      <c r="L42" s="96">
        <v>429.0</v>
      </c>
      <c r="M42" s="96">
        <v>451.0</v>
      </c>
      <c r="N42" s="96">
        <v>-44.0</v>
      </c>
      <c r="O42" s="96">
        <v>773.0</v>
      </c>
      <c r="P42" s="96">
        <v>663.0</v>
      </c>
      <c r="Q42" s="96">
        <v>714.0</v>
      </c>
      <c r="R42" s="96">
        <v>532.0</v>
      </c>
      <c r="S42" s="96">
        <v>157.0</v>
      </c>
      <c r="T42" s="96">
        <v>576.0</v>
      </c>
      <c r="U42" s="96">
        <v>107.0</v>
      </c>
      <c r="V42" s="96">
        <v>983.0</v>
      </c>
      <c r="W42" s="96">
        <v>78.0</v>
      </c>
      <c r="X42" s="96">
        <v>642.0</v>
      </c>
      <c r="Y42" s="96">
        <v>119.0</v>
      </c>
      <c r="Z42" s="96">
        <v>108.0</v>
      </c>
      <c r="AA42" s="96">
        <v>487.0</v>
      </c>
      <c r="AB42" s="96">
        <v>563.0</v>
      </c>
      <c r="AC42" s="96">
        <v>618.0</v>
      </c>
      <c r="AD42" s="96">
        <v>516.0</v>
      </c>
      <c r="AE42" s="96">
        <v>249.0</v>
      </c>
      <c r="AF42" s="96">
        <v>100.0</v>
      </c>
      <c r="AG42" s="96">
        <v>268.0</v>
      </c>
      <c r="AH42" s="96">
        <v>306.0</v>
      </c>
      <c r="AI42" s="96">
        <v>222.0</v>
      </c>
      <c r="AJ42" s="96">
        <v>68.0</v>
      </c>
      <c r="AK42" s="49">
        <v>237.0</v>
      </c>
      <c r="AL42" s="49">
        <v>66.0</v>
      </c>
      <c r="AM42" s="49">
        <v>162.0</v>
      </c>
      <c r="AN42" s="49">
        <v>408.0</v>
      </c>
      <c r="AO42" s="49">
        <v>498.0</v>
      </c>
      <c r="AP42" s="49">
        <v>316.0</v>
      </c>
      <c r="AQ42" s="49">
        <v>117.0</v>
      </c>
      <c r="AR42" s="98">
        <f t="shared" si="4"/>
        <v>2768.0</v>
      </c>
      <c r="AS42" s="98">
        <f t="shared" si="167"/>
        <v>1201.0</v>
      </c>
      <c r="AT42" s="98">
        <f t="shared" si="6"/>
        <v>1321.1</v>
      </c>
      <c r="AU42" s="49">
        <f t="shared" si="168"/>
        <v>201.420454545454</v>
      </c>
      <c r="AV42" s="49">
        <f t="shared" si="169"/>
        <v>215.068181818181</v>
      </c>
      <c r="AW42" s="49">
        <f t="shared" si="170"/>
        <v>300.765909090909</v>
      </c>
      <c r="AX42" s="49">
        <f t="shared" si="171"/>
        <v>137.55909090909</v>
      </c>
      <c r="AY42" s="49">
        <f t="shared" si="172"/>
        <v>266.929545454545</v>
      </c>
      <c r="AZ42" s="49">
        <f t="shared" si="173"/>
        <v>223.256818181818</v>
      </c>
      <c r="BA42" s="51">
        <f t="shared" si="13"/>
        <v>1345.0</v>
      </c>
      <c r="BB42" s="51">
        <f>VLOOKUP(D42,FEB23SOH,2,false)</f>
        <v>5360.0</v>
      </c>
      <c r="BC42" s="99">
        <f>VLOOKUP(C42,UNITVALUE,5,false)</f>
        <v>2.2665</v>
      </c>
      <c r="BD42" s="53">
        <f t="shared" si="16"/>
        <v>12148.44</v>
      </c>
      <c r="BG42" s="98">
        <f t="shared" si="174"/>
        <v>4015.0</v>
      </c>
      <c r="BH42" s="49">
        <f>VLOOKUP(C42,MOQ,3,false)</f>
        <v>3000.0</v>
      </c>
      <c r="BI42" s="51"/>
      <c r="BJ42" s="118" t="s">
        <v>32</v>
      </c>
      <c r="BK42" s="49">
        <f t="shared" si="132"/>
        <v>5360.0</v>
      </c>
      <c r="BM42" s="49">
        <f t="shared" si="176"/>
        <v>201.420454545454</v>
      </c>
      <c r="BN42" s="49">
        <f t="shared" si="177"/>
      </c>
      <c r="BO42" s="100">
        <f t="shared" si="178"/>
        <v>5158.57954545454</v>
      </c>
      <c r="BP42" s="101">
        <f t="shared" si="179"/>
        <v>11691.9205397727</v>
      </c>
      <c r="BQ42" s="49">
        <f t="shared" si="180"/>
        <v>215.068181818181</v>
      </c>
      <c r="BR42" s="49">
        <f t="shared" si="181"/>
      </c>
      <c r="BS42" s="100">
        <f t="shared" si="182"/>
        <v>4943.51136363636</v>
      </c>
      <c r="BT42" s="102">
        <f t="shared" si="183"/>
        <v>11204.4685056818</v>
      </c>
      <c r="BU42" s="49">
        <f t="shared" si="184"/>
        <v>300.765909090909</v>
      </c>
      <c r="BW42" s="100">
        <f t="shared" si="185"/>
        <v>4642.74545454545</v>
      </c>
      <c r="BX42" s="102">
        <f t="shared" si="186"/>
        <v>10522.7825727272</v>
      </c>
      <c r="BY42" s="49">
        <f t="shared" si="187"/>
        <v>137.55909090909</v>
      </c>
      <c r="CA42" s="100">
        <f t="shared" si="188"/>
        <v>4505.18636363636</v>
      </c>
      <c r="CB42" s="102">
        <f t="shared" si="189"/>
        <v>10211.0048931818</v>
      </c>
      <c r="CC42" s="49">
        <f t="shared" si="190"/>
        <v>266.929545454545</v>
      </c>
      <c r="CE42" s="100">
        <f t="shared" si="191"/>
        <v>4238.25681818181</v>
      </c>
      <c r="CF42" s="102">
        <f t="shared" si="192"/>
        <v>9606.00907840907</v>
      </c>
      <c r="CG42" s="49">
        <f t="shared" si="193"/>
        <v>223.256818181818</v>
      </c>
      <c r="CI42" s="100">
        <f t="shared" si="194"/>
        <v>4014.99999999999</v>
      </c>
      <c r="CJ42" s="55">
        <f t="shared" si="195"/>
        <v>9099.99749999998</v>
      </c>
    </row>
    <row r="43" ht="14.0">
      <c r="A43" s="96" t="s">
        <v>28</v>
      </c>
      <c r="B43" s="96" t="s">
        <v>29</v>
      </c>
      <c r="C43" s="96" t="s">
        <v>88</v>
      </c>
      <c r="D43" s="97" t="s">
        <v>89</v>
      </c>
      <c r="E43" s="96">
        <v>1600.0</v>
      </c>
      <c r="F43" s="96">
        <v>115.0</v>
      </c>
      <c r="G43" s="96">
        <v>618.0</v>
      </c>
      <c r="H43" s="96">
        <v>143.0</v>
      </c>
      <c r="I43" s="96">
        <v>882.0</v>
      </c>
      <c r="J43" s="96">
        <v>132.0</v>
      </c>
      <c r="K43" s="96">
        <v>95.0</v>
      </c>
      <c r="L43" s="96">
        <v>350.0</v>
      </c>
      <c r="M43" s="96">
        <v>506.0</v>
      </c>
      <c r="N43" s="96">
        <v>48.0</v>
      </c>
      <c r="O43" s="96">
        <v>522.0</v>
      </c>
      <c r="P43" s="96">
        <v>523.0</v>
      </c>
      <c r="Q43" s="96">
        <v>434.0</v>
      </c>
      <c r="R43" s="96">
        <v>314.0</v>
      </c>
      <c r="S43" s="96">
        <v>98.0</v>
      </c>
      <c r="T43" s="96">
        <v>438.0</v>
      </c>
      <c r="U43" s="96">
        <v>129.0</v>
      </c>
      <c r="V43" s="96">
        <v>825.0</v>
      </c>
      <c r="W43" s="96">
        <v>60.0</v>
      </c>
      <c r="X43" s="96">
        <v>468.0</v>
      </c>
      <c r="Y43" s="96">
        <v>84.0</v>
      </c>
      <c r="Z43" s="96">
        <v>77.0</v>
      </c>
      <c r="AA43" s="96">
        <v>332.0</v>
      </c>
      <c r="AB43" s="96">
        <v>498.0</v>
      </c>
      <c r="AC43" s="96">
        <v>390.0</v>
      </c>
      <c r="AD43" s="96">
        <v>467.0</v>
      </c>
      <c r="AE43" s="96">
        <v>210.0</v>
      </c>
      <c r="AF43" s="96">
        <v>96.0</v>
      </c>
      <c r="AG43" s="96">
        <v>162.0</v>
      </c>
      <c r="AH43" s="96">
        <v>132.0</v>
      </c>
      <c r="AI43" s="96">
        <v>144.0</v>
      </c>
      <c r="AJ43" s="96">
        <v>27.0</v>
      </c>
      <c r="AK43" s="49">
        <v>105.0</v>
      </c>
      <c r="AL43" s="49">
        <v>18.0</v>
      </c>
      <c r="AM43" s="49">
        <v>132.0</v>
      </c>
      <c r="AN43" s="49">
        <v>258.0</v>
      </c>
      <c r="AO43" s="49">
        <v>402.0</v>
      </c>
      <c r="AP43" s="49">
        <v>228.0</v>
      </c>
      <c r="AQ43" s="49">
        <v>79.0</v>
      </c>
      <c r="AR43" s="98">
        <f t="shared" si="4"/>
        <v>1783.0</v>
      </c>
      <c r="AS43" s="98">
        <f t="shared" si="167"/>
        <v>666.0</v>
      </c>
      <c r="AT43" s="98">
        <f t="shared" si="6"/>
        <v>732.6</v>
      </c>
      <c r="AU43" s="49">
        <f t="shared" si="168"/>
        <v>122.386363636363</v>
      </c>
      <c r="AV43" s="49">
        <f t="shared" si="169"/>
        <v>129.954545454544</v>
      </c>
      <c r="AW43" s="49">
        <f t="shared" si="170"/>
        <v>182.822727272727</v>
      </c>
      <c r="AX43" s="49">
        <f t="shared" si="171"/>
        <v>81.6272727272727</v>
      </c>
      <c r="AY43" s="49">
        <f t="shared" si="172"/>
        <v>158.713636363636</v>
      </c>
      <c r="AZ43" s="49">
        <f t="shared" si="173"/>
        <v>134.495454545453</v>
      </c>
      <c r="BA43" s="51">
        <f t="shared" si="13"/>
        <v>809.999999999996</v>
      </c>
      <c r="BB43" s="51">
        <f>VLOOKUP(D43,FEB23SOH,2,false)</f>
        <v>3786.0</v>
      </c>
      <c r="BC43" s="99">
        <f>VLOOKUP(C43,UNITVALUE,5,false)</f>
        <v>2.2845</v>
      </c>
      <c r="BD43" s="53">
        <f t="shared" si="16"/>
        <v>8649.117</v>
      </c>
      <c r="BG43" s="98">
        <f t="shared" si="174"/>
        <v>2976.0</v>
      </c>
      <c r="BH43" s="49">
        <f>VLOOKUP(C43,MOQ,3,false)</f>
        <v>3000.0</v>
      </c>
      <c r="BI43" s="51"/>
      <c r="BJ43" s="118" t="s">
        <v>32</v>
      </c>
      <c r="BK43" s="49">
        <f t="shared" si="132"/>
        <v>3786.0</v>
      </c>
      <c r="BM43" s="49">
        <f t="shared" si="176"/>
        <v>122.386363636363</v>
      </c>
      <c r="BN43" s="49">
        <f t="shared" si="177"/>
      </c>
      <c r="BO43" s="100">
        <f t="shared" si="178"/>
        <v>3663.61363636363</v>
      </c>
      <c r="BP43" s="101">
        <f t="shared" si="179"/>
        <v>8369.52535227271</v>
      </c>
      <c r="BQ43" s="49">
        <f t="shared" si="180"/>
        <v>129.954545454544</v>
      </c>
      <c r="BR43" s="49">
        <f t="shared" si="181"/>
      </c>
      <c r="BS43" s="100">
        <f t="shared" si="182"/>
        <v>3533.65909090909</v>
      </c>
      <c r="BT43" s="102">
        <f t="shared" si="183"/>
        <v>8072.64419318181</v>
      </c>
      <c r="BU43" s="49">
        <f t="shared" si="184"/>
        <v>182.822727272727</v>
      </c>
      <c r="BW43" s="100">
        <f t="shared" si="185"/>
        <v>3350.83636363636</v>
      </c>
      <c r="BX43" s="102">
        <f t="shared" si="186"/>
        <v>7654.98567272726</v>
      </c>
      <c r="BY43" s="49">
        <f t="shared" si="187"/>
        <v>81.6272727272727</v>
      </c>
      <c r="CA43" s="100">
        <f t="shared" si="188"/>
        <v>3269.20909090909</v>
      </c>
      <c r="CB43" s="102">
        <f t="shared" si="189"/>
        <v>7468.50816818181</v>
      </c>
      <c r="CC43" s="49">
        <f t="shared" si="190"/>
        <v>158.713636363636</v>
      </c>
      <c r="CE43" s="100">
        <f t="shared" si="191"/>
        <v>3110.49545454545</v>
      </c>
      <c r="CF43" s="102">
        <f t="shared" si="192"/>
        <v>7105.92686590908</v>
      </c>
      <c r="CG43" s="49">
        <f t="shared" si="193"/>
        <v>134.495454545453</v>
      </c>
      <c r="CI43" s="100">
        <f t="shared" si="194"/>
        <v>2976.0</v>
      </c>
      <c r="CJ43" s="55">
        <f t="shared" si="195"/>
        <v>6798.672</v>
      </c>
    </row>
    <row r="44" ht="14.0" customFormat="1" s="49">
      <c r="A44" s="96" t="s">
        <v>28</v>
      </c>
      <c r="B44" s="96" t="s">
        <v>29</v>
      </c>
      <c r="C44" s="96" t="s">
        <v>90</v>
      </c>
      <c r="D44" s="97" t="s">
        <v>91</v>
      </c>
      <c r="E44" s="96">
        <v>2.0</v>
      </c>
      <c r="F44" s="96">
        <v>3.0</v>
      </c>
      <c r="G44" s="96">
        <v>2.0</v>
      </c>
      <c r="H44" s="96">
        <v>0.0</v>
      </c>
      <c r="I44" s="96">
        <v>1.0</v>
      </c>
      <c r="J44" s="96">
        <v>4.0</v>
      </c>
      <c r="K44" s="96">
        <v>14.0</v>
      </c>
      <c r="L44" s="96">
        <v>8.0</v>
      </c>
      <c r="M44" s="96">
        <v>4.0</v>
      </c>
      <c r="N44" s="96">
        <v>11.0</v>
      </c>
      <c r="O44" s="96">
        <v>9.0</v>
      </c>
      <c r="P44" s="96">
        <v>6.0</v>
      </c>
      <c r="Q44" s="96">
        <v>1.0</v>
      </c>
      <c r="R44" s="96">
        <v>5.0</v>
      </c>
      <c r="S44" s="96">
        <v>1.0</v>
      </c>
      <c r="T44" s="96">
        <v>8.0</v>
      </c>
      <c r="U44" s="96">
        <v>5.0</v>
      </c>
      <c r="V44" s="96">
        <v>3.0</v>
      </c>
      <c r="W44" s="96">
        <v>3.0</v>
      </c>
      <c r="X44" s="96">
        <v>4.0</v>
      </c>
      <c r="Y44" s="96">
        <v>2.0</v>
      </c>
      <c r="Z44" s="96">
        <v>6.0</v>
      </c>
      <c r="AA44" s="96">
        <v>9.0</v>
      </c>
      <c r="AB44" s="96">
        <v>8.0</v>
      </c>
      <c r="AC44" s="96">
        <v>0.0</v>
      </c>
      <c r="AD44" s="96">
        <v>4.0</v>
      </c>
      <c r="AE44" s="96">
        <v>7.0</v>
      </c>
      <c r="AF44" s="96">
        <v>4.0</v>
      </c>
      <c r="AG44" s="96">
        <v>2.0</v>
      </c>
      <c r="AH44" s="96">
        <v>2.0</v>
      </c>
      <c r="AI44" s="96">
        <v>1.0</v>
      </c>
      <c r="AJ44" s="96">
        <v>2.0</v>
      </c>
      <c r="AK44" s="49">
        <v>1.0</v>
      </c>
      <c r="AL44" s="49">
        <v>2.0</v>
      </c>
      <c r="AM44" s="49">
        <v>3.0</v>
      </c>
      <c r="AN44" s="49">
        <v>0.0</v>
      </c>
      <c r="AO44" s="49">
        <v>0.0</v>
      </c>
      <c r="AP44" s="49">
        <v>0.0</v>
      </c>
      <c r="AQ44" s="49">
        <v>0.0</v>
      </c>
      <c r="AR44" s="98">
        <f t="shared" si="4"/>
        <v>17.0</v>
      </c>
      <c r="AS44" s="98">
        <f t="shared" si="167"/>
        <v>12.0</v>
      </c>
      <c r="AT44" s="98">
        <f t="shared" si="6"/>
        <v>13.2</v>
      </c>
      <c r="AU44" s="103">
        <v>2.0</v>
      </c>
      <c r="AV44" s="103">
        <v>2.0</v>
      </c>
      <c r="AW44" s="103">
        <v>3.0</v>
      </c>
      <c r="AX44" s="103">
        <v>1.0</v>
      </c>
      <c r="AY44" s="103">
        <v>2.0</v>
      </c>
      <c r="AZ44" s="103">
        <v>2.0</v>
      </c>
      <c r="BA44" s="51">
        <f t="shared" si="13"/>
        <v>12.0</v>
      </c>
      <c r="BB44" s="51">
        <f>VLOOKUP(D44,FEB23SOH,2,false)</f>
        <v>5.0</v>
      </c>
      <c r="BC44" s="99">
        <f>VLOOKUP(C44,UNITVALUE,5,false)</f>
        <v>102.206</v>
      </c>
      <c r="BD44" s="53">
        <f t="shared" si="16"/>
        <v>511.03</v>
      </c>
      <c r="BI44" s="51"/>
      <c r="BJ44" s="50"/>
      <c r="BN44" s="49">
        <f t="shared" si="177"/>
      </c>
      <c r="BO44" s="100">
        <f t="shared" si="178"/>
        <v>0.0</v>
      </c>
      <c r="BP44" s="101">
        <f t="shared" si="179"/>
        <v>0.0</v>
      </c>
      <c r="BR44" s="49">
        <f t="shared" si="181"/>
      </c>
      <c r="BS44" s="100"/>
      <c r="BT44" s="102">
        <f t="shared" si="183"/>
        <v>0.0</v>
      </c>
      <c r="BW44" s="100"/>
      <c r="BX44" s="102">
        <f t="shared" si="186"/>
        <v>0.0</v>
      </c>
      <c r="CA44" s="100"/>
      <c r="CB44" s="102">
        <f t="shared" si="189"/>
        <v>0.0</v>
      </c>
      <c r="CE44" s="100"/>
      <c r="CF44" s="102">
        <f t="shared" si="192"/>
        <v>0.0</v>
      </c>
      <c r="CI44" s="100"/>
      <c r="CJ44" s="55">
        <f t="shared" si="195"/>
        <v>0.0</v>
      </c>
    </row>
    <row r="45" ht="14.0" customFormat="1" s="49">
      <c r="A45" s="96" t="s">
        <v>28</v>
      </c>
      <c r="B45" s="96" t="s">
        <v>29</v>
      </c>
      <c r="C45" s="96" t="s">
        <v>92</v>
      </c>
      <c r="D45" s="97" t="s">
        <v>93</v>
      </c>
      <c r="E45" s="96">
        <v>0.0</v>
      </c>
      <c r="F45" s="96">
        <v>0.0</v>
      </c>
      <c r="G45" s="96">
        <v>0.0</v>
      </c>
      <c r="H45" s="96">
        <v>0.0</v>
      </c>
      <c r="I45" s="96">
        <v>0.0</v>
      </c>
      <c r="J45" s="96">
        <v>180.0</v>
      </c>
      <c r="K45" s="96">
        <v>204.0</v>
      </c>
      <c r="L45" s="96">
        <v>162.0</v>
      </c>
      <c r="M45" s="96">
        <v>165.0</v>
      </c>
      <c r="N45" s="96">
        <v>187.0</v>
      </c>
      <c r="O45" s="96">
        <v>168.0</v>
      </c>
      <c r="P45" s="96">
        <v>192.0</v>
      </c>
      <c r="Q45" s="96">
        <v>282.0</v>
      </c>
      <c r="R45" s="96">
        <v>219.0</v>
      </c>
      <c r="S45" s="96">
        <v>191.0</v>
      </c>
      <c r="T45" s="96">
        <v>255.0</v>
      </c>
      <c r="U45" s="96">
        <v>150.0</v>
      </c>
      <c r="V45" s="96">
        <v>222.0</v>
      </c>
      <c r="W45" s="96">
        <v>159.0</v>
      </c>
      <c r="X45" s="96">
        <v>176.0</v>
      </c>
      <c r="Y45" s="96">
        <v>185.0</v>
      </c>
      <c r="Z45" s="96">
        <v>168.0</v>
      </c>
      <c r="AA45" s="96">
        <v>240.0</v>
      </c>
      <c r="AB45" s="96">
        <v>347.0</v>
      </c>
      <c r="AC45" s="96">
        <v>209.0</v>
      </c>
      <c r="AD45" s="96">
        <v>173.0</v>
      </c>
      <c r="AE45" s="96">
        <v>172.0</v>
      </c>
      <c r="AF45" s="96">
        <v>162.0</v>
      </c>
      <c r="AG45" s="96">
        <v>160.0</v>
      </c>
      <c r="AH45" s="96">
        <v>181.0</v>
      </c>
      <c r="AI45" s="96">
        <v>163.0</v>
      </c>
      <c r="AJ45" s="96">
        <v>131.0</v>
      </c>
      <c r="AK45" s="49">
        <v>114.0</v>
      </c>
      <c r="AL45" s="49">
        <v>66.0</v>
      </c>
      <c r="AM45" s="49">
        <v>210.0</v>
      </c>
      <c r="AN45" s="49">
        <v>148.0</v>
      </c>
      <c r="AO45" s="49">
        <v>133.0</v>
      </c>
      <c r="AP45" s="49">
        <v>78.0</v>
      </c>
      <c r="AQ45" s="49">
        <v>153.0</v>
      </c>
      <c r="AR45" s="98">
        <f t="shared" si="4"/>
        <v>1699.0</v>
      </c>
      <c r="AS45" s="98">
        <f t="shared" si="167"/>
        <v>911.0</v>
      </c>
      <c r="AT45" s="98">
        <f t="shared" si="6"/>
        <v>1002.1</v>
      </c>
      <c r="AU45" s="49">
        <f t="shared" ref="AU45:AU47" si="196">AT45*$AU$4/$AT$4</f>
        <v>134.579545454545</v>
      </c>
      <c r="AV45" s="49">
        <f t="shared" ref="AV45:AV47" si="197">AT45*$AV$4/$AT$4</f>
        <v>144.931818181818</v>
      </c>
      <c r="AW45" s="49">
        <f t="shared" ref="AW45:AW47" si="198">AT45*$AW$4/$AT$4</f>
        <v>200.83409090909</v>
      </c>
      <c r="AX45" s="49">
        <f t="shared" ref="AX45:AX47" si="199">AT45*$AX$4/$AT$4</f>
        <v>95.2409090909091</v>
      </c>
      <c r="AY45" s="49">
        <f t="shared" ref="AY45:AY47" si="200">AT45*$AY$4/$AT$4</f>
        <v>184.270454545454</v>
      </c>
      <c r="AZ45" s="49">
        <f t="shared" ref="AZ45:AZ47" si="201">AT45*$AZ$4/$AT$4</f>
        <v>151.143181818181</v>
      </c>
      <c r="BA45" s="51">
        <f t="shared" si="13"/>
        <v>910.999999999997</v>
      </c>
      <c r="BB45" s="51">
        <f>VLOOKUP(D45,FEB23SOH,2,false)</f>
        <v>1674.0</v>
      </c>
      <c r="BC45" s="99">
        <f>VLOOKUP(C45,UNITVALUE,5,false)</f>
        <v>6.6635</v>
      </c>
      <c r="BD45" s="53">
        <f t="shared" si="16"/>
        <v>11154.699</v>
      </c>
      <c r="BG45" s="98">
        <f t="shared" ref="BG45:BG69" si="202">BB45+BE45+BF45-BA45</f>
        <v>763.000000000003</v>
      </c>
      <c r="BH45" s="49">
        <f>VLOOKUP(C45,MOQ,3,false)</f>
        <v>504.0</v>
      </c>
      <c r="BI45" s="51"/>
      <c r="BJ45" s="115"/>
      <c r="BK45" s="49">
        <f t="shared" ref="BK45:BK69" si="204">BB45</f>
        <v>1674.0</v>
      </c>
      <c r="BM45" s="49">
        <f t="shared" ref="BM45:BM69" si="205">AU45</f>
        <v>134.579545454545</v>
      </c>
      <c r="BN45" s="49">
        <f t="shared" si="177"/>
      </c>
      <c r="BO45" s="100">
        <f t="shared" si="178"/>
        <v>1539.42045454546</v>
      </c>
      <c r="BP45" s="101">
        <f t="shared" si="179"/>
        <v>10257.9281988637</v>
      </c>
      <c r="BQ45" s="49">
        <f t="shared" ref="BQ45:BQ69" si="206">AV45</f>
        <v>144.931818181818</v>
      </c>
      <c r="BR45" s="49">
        <f t="shared" si="181"/>
      </c>
      <c r="BS45" s="100">
        <f t="shared" ref="BS45:BS69" si="207">BO45+BR45-BQ45</f>
        <v>1394.48863636364</v>
      </c>
      <c r="BT45" s="102">
        <f t="shared" si="183"/>
        <v>9292.17502840911</v>
      </c>
      <c r="BU45" s="49">
        <f t="shared" ref="BU45:BU69" si="208">AW45</f>
        <v>200.83409090909</v>
      </c>
      <c r="BW45" s="100">
        <f t="shared" ref="BW45:BW69" si="209">BS45+BV45-BU45</f>
        <v>1193.65454545454</v>
      </c>
      <c r="BX45" s="102">
        <f t="shared" si="186"/>
        <v>7953.91706363632</v>
      </c>
      <c r="BY45" s="49">
        <f t="shared" ref="BY45:BY69" si="210">AX45</f>
        <v>95.2409090909091</v>
      </c>
      <c r="CA45" s="100">
        <f t="shared" ref="CA45:CA69" si="211">BW45+BZ45-BY45</f>
        <v>1098.41363636363</v>
      </c>
      <c r="CB45" s="102">
        <f t="shared" si="189"/>
        <v>7319.27926590904</v>
      </c>
      <c r="CC45" s="49">
        <f t="shared" ref="CC45:CC69" si="212">AY45</f>
        <v>184.270454545454</v>
      </c>
      <c r="CE45" s="100">
        <f t="shared" ref="CE45:CE69" si="213">CA45+CD45-CC45</f>
        <v>914.143181818176</v>
      </c>
      <c r="CF45" s="102">
        <f t="shared" si="192"/>
        <v>6091.39309204541</v>
      </c>
      <c r="CG45" s="49">
        <f t="shared" ref="CG45:CG69" si="214">AZ45</f>
        <v>151.143181818181</v>
      </c>
      <c r="CI45" s="100">
        <f t="shared" ref="CI45:CI69" si="215">CE45+CH45-CG45</f>
        <v>762.999999999995</v>
      </c>
      <c r="CJ45" s="55">
        <f t="shared" si="195"/>
        <v>5084.25049999997</v>
      </c>
    </row>
    <row r="46" ht="14.0">
      <c r="A46" s="96" t="s">
        <v>28</v>
      </c>
      <c r="B46" s="96" t="s">
        <v>29</v>
      </c>
      <c r="C46" s="96" t="s">
        <v>94</v>
      </c>
      <c r="D46" s="97" t="s">
        <v>95</v>
      </c>
      <c r="E46" s="96">
        <v>141.0</v>
      </c>
      <c r="F46" s="96">
        <v>147.0</v>
      </c>
      <c r="G46" s="96">
        <v>64.0</v>
      </c>
      <c r="H46" s="96">
        <v>86.0</v>
      </c>
      <c r="I46" s="96">
        <v>150.0</v>
      </c>
      <c r="J46" s="96">
        <v>75.0</v>
      </c>
      <c r="K46" s="96">
        <v>86.0</v>
      </c>
      <c r="L46" s="96">
        <v>187.0</v>
      </c>
      <c r="M46" s="96">
        <v>151.0</v>
      </c>
      <c r="N46" s="96">
        <v>191.0</v>
      </c>
      <c r="O46" s="96">
        <v>146.0</v>
      </c>
      <c r="P46" s="96">
        <v>178.0</v>
      </c>
      <c r="Q46" s="96">
        <v>258.0</v>
      </c>
      <c r="R46" s="96">
        <v>106.0</v>
      </c>
      <c r="S46" s="96">
        <v>1.0</v>
      </c>
      <c r="T46" s="96">
        <v>245.0</v>
      </c>
      <c r="U46" s="96">
        <v>137.0</v>
      </c>
      <c r="V46" s="96">
        <v>177.0</v>
      </c>
      <c r="W46" s="96">
        <v>162.0</v>
      </c>
      <c r="X46" s="96">
        <v>151.0</v>
      </c>
      <c r="Y46" s="96">
        <v>144.0</v>
      </c>
      <c r="Z46" s="96">
        <v>141.0</v>
      </c>
      <c r="AA46" s="96">
        <v>176.0</v>
      </c>
      <c r="AB46" s="96">
        <v>209.0</v>
      </c>
      <c r="AC46" s="96">
        <v>186.0</v>
      </c>
      <c r="AD46" s="96">
        <v>126.0</v>
      </c>
      <c r="AE46" s="96">
        <v>141.0</v>
      </c>
      <c r="AF46" s="96">
        <v>137.0</v>
      </c>
      <c r="AG46" s="96">
        <v>42.0</v>
      </c>
      <c r="AH46" s="96">
        <v>-1.0</v>
      </c>
      <c r="AI46" s="96">
        <v>0.0</v>
      </c>
      <c r="AJ46" s="96">
        <v>90.0</v>
      </c>
      <c r="AK46" s="49">
        <v>187.0</v>
      </c>
      <c r="AL46" s="49">
        <v>70.0</v>
      </c>
      <c r="AM46" s="49">
        <v>108.0</v>
      </c>
      <c r="AN46" s="49">
        <v>177.0</v>
      </c>
      <c r="AO46" s="49">
        <v>141.0</v>
      </c>
      <c r="AP46" s="49">
        <v>111.0</v>
      </c>
      <c r="AQ46" s="49">
        <v>229.0</v>
      </c>
      <c r="AR46" s="98">
        <f t="shared" si="4"/>
        <v>1291.0</v>
      </c>
      <c r="AS46" s="98">
        <f t="shared" si="167"/>
        <v>455.0</v>
      </c>
      <c r="AT46" s="98">
        <f t="shared" si="6"/>
        <v>500.5</v>
      </c>
      <c r="AU46" s="49">
        <f t="shared" si="196"/>
        <v>67.2159090909091</v>
      </c>
      <c r="AV46" s="49">
        <f t="shared" si="197"/>
        <v>72.3863636363636</v>
      </c>
      <c r="AW46" s="49">
        <f t="shared" si="198"/>
        <v>100.306818181818</v>
      </c>
      <c r="AX46" s="49">
        <f t="shared" si="199"/>
        <v>47.5681818181818</v>
      </c>
      <c r="AY46" s="49">
        <f t="shared" si="200"/>
        <v>92.0340909090909</v>
      </c>
      <c r="AZ46" s="49">
        <f t="shared" si="201"/>
        <v>75.4886363636363</v>
      </c>
      <c r="BA46" s="51">
        <f t="shared" si="13"/>
        <v>455.0</v>
      </c>
      <c r="BB46" s="51">
        <f>VLOOKUP(D46,FEB23SOH,2,false)</f>
        <v>1425.0</v>
      </c>
      <c r="BC46" s="99">
        <f>VLOOKUP(C46,UNITVALUE,5,false)</f>
        <v>8.1063</v>
      </c>
      <c r="BD46" s="53">
        <f t="shared" si="16"/>
        <v>11551.4775</v>
      </c>
      <c r="BG46" s="98">
        <f t="shared" si="202"/>
        <v>970.0</v>
      </c>
      <c r="BH46" s="49">
        <f>VLOOKUP(C46,MOQ,3,false)</f>
        <v>480.0</v>
      </c>
      <c r="BI46" s="51"/>
      <c r="BJ46" s="118" t="s">
        <v>32</v>
      </c>
      <c r="BK46" s="49">
        <f t="shared" si="204"/>
        <v>1425.0</v>
      </c>
      <c r="BM46" s="49">
        <f t="shared" si="205"/>
        <v>67.2159090909091</v>
      </c>
      <c r="BN46" s="49">
        <f t="shared" si="177"/>
      </c>
      <c r="BO46" s="100">
        <f t="shared" si="178"/>
        <v>1357.78409090909</v>
      </c>
      <c r="BP46" s="101">
        <f t="shared" si="179"/>
        <v>11006.6051761363</v>
      </c>
      <c r="BQ46" s="49">
        <f t="shared" si="206"/>
        <v>72.3863636363636</v>
      </c>
      <c r="BR46" s="49">
        <f t="shared" si="181"/>
      </c>
      <c r="BS46" s="100">
        <f t="shared" si="207"/>
        <v>1285.39772727272</v>
      </c>
      <c r="BT46" s="102">
        <f t="shared" si="183"/>
        <v>10419.8195965908</v>
      </c>
      <c r="BU46" s="49">
        <f t="shared" si="208"/>
        <v>100.306818181818</v>
      </c>
      <c r="BW46" s="100">
        <f t="shared" si="209"/>
        <v>1185.0909090909</v>
      </c>
      <c r="BX46" s="102">
        <f t="shared" si="186"/>
        <v>9606.70243636356</v>
      </c>
      <c r="BY46" s="49">
        <f t="shared" si="210"/>
        <v>47.5681818181818</v>
      </c>
      <c r="CA46" s="100">
        <f t="shared" si="211"/>
        <v>1137.52272727271</v>
      </c>
      <c r="CB46" s="102">
        <f t="shared" si="189"/>
        <v>9221.10048409077</v>
      </c>
      <c r="CC46" s="49">
        <f t="shared" si="212"/>
        <v>92.0340909090909</v>
      </c>
      <c r="CE46" s="100">
        <f t="shared" si="213"/>
        <v>1045.48863636361</v>
      </c>
      <c r="CF46" s="102">
        <f t="shared" si="192"/>
        <v>8475.04453295433</v>
      </c>
      <c r="CG46" s="49">
        <f t="shared" si="214"/>
        <v>75.4886363636363</v>
      </c>
      <c r="CI46" s="100">
        <f t="shared" si="215"/>
        <v>969.999999999973</v>
      </c>
      <c r="CJ46" s="55">
        <f t="shared" si="195"/>
        <v>7863.11099999978</v>
      </c>
    </row>
    <row r="47" ht="14.0">
      <c r="A47" s="96" t="s">
        <v>28</v>
      </c>
      <c r="B47" s="96" t="s">
        <v>29</v>
      </c>
      <c r="C47" s="96" t="s">
        <v>96</v>
      </c>
      <c r="D47" s="97" t="s">
        <v>97</v>
      </c>
      <c r="E47" s="96">
        <v>108.0</v>
      </c>
      <c r="F47" s="96">
        <v>116.0</v>
      </c>
      <c r="G47" s="96">
        <v>35.0</v>
      </c>
      <c r="H47" s="96">
        <v>57.0</v>
      </c>
      <c r="I47" s="96">
        <v>104.0</v>
      </c>
      <c r="J47" s="96">
        <v>81.0</v>
      </c>
      <c r="K47" s="96">
        <v>92.0</v>
      </c>
      <c r="L47" s="96">
        <v>120.0</v>
      </c>
      <c r="M47" s="96">
        <v>116.0</v>
      </c>
      <c r="N47" s="96">
        <v>126.0</v>
      </c>
      <c r="O47" s="96">
        <v>92.0</v>
      </c>
      <c r="P47" s="96">
        <v>221.0</v>
      </c>
      <c r="Q47" s="96">
        <v>156.0</v>
      </c>
      <c r="R47" s="96">
        <v>68.0</v>
      </c>
      <c r="S47" s="96">
        <v>0.0</v>
      </c>
      <c r="T47" s="96">
        <v>157.0</v>
      </c>
      <c r="U47" s="96">
        <v>62.0</v>
      </c>
      <c r="V47" s="96">
        <v>70.0</v>
      </c>
      <c r="W47" s="96">
        <v>96.0</v>
      </c>
      <c r="X47" s="96">
        <v>50.0</v>
      </c>
      <c r="Y47" s="96">
        <v>73.0</v>
      </c>
      <c r="Z47" s="96">
        <v>77.0</v>
      </c>
      <c r="AA47" s="96">
        <v>122.0</v>
      </c>
      <c r="AB47" s="96">
        <v>100.0</v>
      </c>
      <c r="AC47" s="96">
        <v>95.0</v>
      </c>
      <c r="AD47" s="96">
        <v>95.0</v>
      </c>
      <c r="AE47" s="96">
        <v>53.0</v>
      </c>
      <c r="AF47" s="96">
        <v>75.0</v>
      </c>
      <c r="AG47" s="96">
        <v>44.0</v>
      </c>
      <c r="AH47" s="96">
        <v>142.0</v>
      </c>
      <c r="AI47" s="96">
        <v>93.0</v>
      </c>
      <c r="AJ47" s="96">
        <v>83.0</v>
      </c>
      <c r="AK47" s="49">
        <v>51.0</v>
      </c>
      <c r="AL47" s="49">
        <v>36.0</v>
      </c>
      <c r="AM47" s="49">
        <v>60.0</v>
      </c>
      <c r="AN47" s="49">
        <v>105.0</v>
      </c>
      <c r="AO47" s="49">
        <v>134.0</v>
      </c>
      <c r="AP47" s="49">
        <v>71.0</v>
      </c>
      <c r="AQ47" s="49">
        <v>110.0</v>
      </c>
      <c r="AR47" s="98">
        <f t="shared" si="4"/>
        <v>1004.0</v>
      </c>
      <c r="AS47" s="98">
        <f t="shared" si="167"/>
        <v>488.0</v>
      </c>
      <c r="AT47" s="98">
        <f t="shared" si="6"/>
        <v>536.8</v>
      </c>
      <c r="AU47" s="49">
        <f t="shared" si="196"/>
        <v>72.0909090909091</v>
      </c>
      <c r="AV47" s="49">
        <f t="shared" si="197"/>
        <v>77.6363636363636</v>
      </c>
      <c r="AW47" s="49">
        <f t="shared" si="198"/>
        <v>107.581818181818</v>
      </c>
      <c r="AX47" s="49">
        <f t="shared" si="199"/>
        <v>51.0181818181818</v>
      </c>
      <c r="AY47" s="49">
        <f t="shared" si="200"/>
        <v>98.7090909090909</v>
      </c>
      <c r="AZ47" s="49">
        <f t="shared" si="201"/>
        <v>80.9636363636363</v>
      </c>
      <c r="BA47" s="51">
        <f t="shared" si="13"/>
        <v>488.0</v>
      </c>
      <c r="BB47" s="51">
        <f>VLOOKUP(D47,FEB23SOH,2,false)</f>
        <v>657.0</v>
      </c>
      <c r="BC47" s="99">
        <f>VLOOKUP(C47,UNITVALUE,5,false)</f>
        <v>7.9565</v>
      </c>
      <c r="BD47" s="53">
        <f t="shared" si="16"/>
        <v>5227.4205</v>
      </c>
      <c r="BG47" s="98">
        <f t="shared" si="202"/>
        <v>169.0</v>
      </c>
      <c r="BH47" s="49">
        <f>VLOOKUP(C47,MOQ,3,false)</f>
        <v>480.0</v>
      </c>
      <c r="BI47" s="51"/>
      <c r="BJ47" s="50"/>
      <c r="BK47" s="49">
        <f t="shared" si="204"/>
        <v>657.0</v>
      </c>
      <c r="BM47" s="49">
        <f t="shared" si="205"/>
        <v>72.0909090909091</v>
      </c>
      <c r="BN47" s="49">
        <f t="shared" si="177"/>
      </c>
      <c r="BO47" s="100">
        <f t="shared" si="178"/>
        <v>584.90909090909</v>
      </c>
      <c r="BP47" s="101">
        <f t="shared" si="179"/>
        <v>4653.82918181817</v>
      </c>
      <c r="BQ47" s="49">
        <f t="shared" si="206"/>
        <v>77.6363636363636</v>
      </c>
      <c r="BR47" s="49">
        <f t="shared" si="181"/>
      </c>
      <c r="BS47" s="100">
        <f t="shared" si="207"/>
        <v>507.272727272726</v>
      </c>
      <c r="BT47" s="102">
        <f t="shared" si="183"/>
        <v>4036.11545454544</v>
      </c>
      <c r="BU47" s="49">
        <f t="shared" si="208"/>
        <v>107.581818181818</v>
      </c>
      <c r="BW47" s="100">
        <f t="shared" si="209"/>
        <v>399.690909090908</v>
      </c>
      <c r="BX47" s="102">
        <f t="shared" si="186"/>
        <v>3180.1407181818</v>
      </c>
      <c r="BY47" s="49">
        <f t="shared" si="210"/>
        <v>51.0181818181818</v>
      </c>
      <c r="CA47" s="100">
        <f t="shared" si="211"/>
        <v>348.672727272726</v>
      </c>
      <c r="CB47" s="102">
        <f t="shared" si="189"/>
        <v>2774.21455454544</v>
      </c>
      <c r="CC47" s="49">
        <f t="shared" si="212"/>
        <v>98.7090909090909</v>
      </c>
      <c r="CE47" s="100">
        <f t="shared" si="213"/>
        <v>249.963636363635</v>
      </c>
      <c r="CF47" s="102">
        <f t="shared" si="192"/>
        <v>1988.83567272726</v>
      </c>
      <c r="CG47" s="49">
        <f t="shared" si="214"/>
        <v>80.9636363636363</v>
      </c>
      <c r="CI47" s="100">
        <f t="shared" si="215"/>
        <v>168.999999999999</v>
      </c>
      <c r="CJ47" s="55">
        <f t="shared" si="195"/>
        <v>1344.64849999999</v>
      </c>
    </row>
    <row r="48" ht="14.0">
      <c r="A48" s="96" t="s">
        <v>28</v>
      </c>
      <c r="B48" s="96" t="s">
        <v>98</v>
      </c>
      <c r="C48" s="117" t="s">
        <v>99</v>
      </c>
      <c r="D48" s="119" t="s">
        <v>100</v>
      </c>
      <c r="E48" s="96">
        <v>793.0</v>
      </c>
      <c r="F48" s="96">
        <v>480.0</v>
      </c>
      <c r="G48" s="96">
        <v>504.0</v>
      </c>
      <c r="H48" s="96">
        <v>368.0</v>
      </c>
      <c r="I48" s="96">
        <v>841.0</v>
      </c>
      <c r="J48" s="96">
        <v>505.0</v>
      </c>
      <c r="K48" s="96">
        <v>458.0</v>
      </c>
      <c r="L48" s="96">
        <v>594.0</v>
      </c>
      <c r="M48" s="96">
        <v>865.0</v>
      </c>
      <c r="N48" s="96">
        <v>603.0</v>
      </c>
      <c r="O48" s="96">
        <v>890.0</v>
      </c>
      <c r="P48" s="96">
        <v>788.0</v>
      </c>
      <c r="Q48" s="96">
        <v>792.0</v>
      </c>
      <c r="R48" s="96">
        <v>492.0</v>
      </c>
      <c r="S48" s="96">
        <v>440.0</v>
      </c>
      <c r="T48" s="96">
        <v>324.0</v>
      </c>
      <c r="U48" s="96">
        <v>0.0</v>
      </c>
      <c r="V48" s="96">
        <v>948.0</v>
      </c>
      <c r="W48" s="96">
        <v>402.0</v>
      </c>
      <c r="X48" s="96">
        <v>601.0</v>
      </c>
      <c r="Y48" s="96">
        <v>414.0</v>
      </c>
      <c r="Z48" s="96">
        <v>432.0</v>
      </c>
      <c r="AA48" s="96">
        <v>739.0</v>
      </c>
      <c r="AB48" s="96">
        <v>882.0</v>
      </c>
      <c r="AC48" s="96">
        <v>600.0</v>
      </c>
      <c r="AD48" s="96">
        <v>436.0</v>
      </c>
      <c r="AE48" s="96">
        <v>450.0</v>
      </c>
      <c r="AF48" s="96">
        <v>303.0</v>
      </c>
      <c r="AG48" s="96">
        <v>372.0</v>
      </c>
      <c r="AH48" s="96">
        <v>457.0</v>
      </c>
      <c r="AI48" s="96">
        <v>480.0</v>
      </c>
      <c r="AJ48" s="96">
        <v>134.0</v>
      </c>
      <c r="AK48" s="49">
        <v>373.0</v>
      </c>
      <c r="AL48" s="49">
        <v>282.0</v>
      </c>
      <c r="AM48" s="49">
        <v>469.0</v>
      </c>
      <c r="AN48" s="49">
        <v>703.0</v>
      </c>
      <c r="AO48" s="49">
        <v>433.0</v>
      </c>
      <c r="AP48" s="49">
        <v>342.0</v>
      </c>
      <c r="AQ48" s="49">
        <v>287.0</v>
      </c>
      <c r="AR48" s="98">
        <f t="shared" si="4"/>
        <v>4635.0</v>
      </c>
      <c r="AS48" s="98">
        <f t="shared" si="167"/>
        <v>2119.0</v>
      </c>
      <c r="AT48" s="98">
        <f t="shared" si="6"/>
        <v>2330.9</v>
      </c>
      <c r="AU48" s="49">
        <f>AT48*$AU$4/$AT$4+6*$AU$70+6*$AU$71</f>
        <v>321.897727272726</v>
      </c>
      <c r="AV48" s="49">
        <f>AT48*$AV$4/$AT$4+6*$AV$70+6*$AV$71</f>
        <v>346.65909090909</v>
      </c>
      <c r="AW48" s="49">
        <f>AT48*$AW$4/$AT$4+6*$AW$70+6*$AW$71</f>
        <v>480.370454545453</v>
      </c>
      <c r="AX48" s="49">
        <f>AT48*$AX$4/$AT$4+6*$AX$70+6*$AX$71</f>
        <v>227.804545454544</v>
      </c>
      <c r="AY48" s="49">
        <f>AT48*$AY$4/$AT$4+6*$AY$70+6*$AY$71</f>
        <v>440.752272727272</v>
      </c>
      <c r="AZ48" s="49">
        <f>AT48*$AZ$4/$AT$4+6*$AZ$70+6*$AZ$71</f>
        <v>361.515909090908</v>
      </c>
      <c r="BA48" s="51">
        <f t="shared" si="13"/>
        <v>2178.99999999999</v>
      </c>
      <c r="BB48" s="51">
        <f>VLOOKUP(D48,FEB23SOH,2,false)</f>
        <v>5190.0</v>
      </c>
      <c r="BC48" s="99">
        <f>VLOOKUP(C48,UNITVALUE,5,false)</f>
        <v>1.4345</v>
      </c>
      <c r="BD48" s="53">
        <f t="shared" si="16"/>
        <v>7445.055</v>
      </c>
      <c r="BG48" s="98">
        <f t="shared" si="202"/>
        <v>3011.00000000001</v>
      </c>
      <c r="BH48" s="49">
        <v>1008.0</v>
      </c>
      <c r="BI48" s="51"/>
      <c r="BJ48" s="118" t="s">
        <v>32</v>
      </c>
      <c r="BK48" s="49">
        <f t="shared" si="204"/>
        <v>5190.0</v>
      </c>
      <c r="BM48" s="49">
        <f t="shared" si="205"/>
        <v>321.897727272726</v>
      </c>
      <c r="BN48" s="49">
        <f t="shared" si="177"/>
      </c>
      <c r="BO48" s="100">
        <f t="shared" si="178"/>
        <v>4868.10227272727</v>
      </c>
      <c r="BP48" s="101">
        <f t="shared" si="179"/>
        <v>6983.29271022727</v>
      </c>
      <c r="BQ48" s="49">
        <f t="shared" si="206"/>
        <v>346.65909090909</v>
      </c>
      <c r="BR48" s="49">
        <f t="shared" si="181"/>
      </c>
      <c r="BS48" s="100">
        <f t="shared" si="207"/>
        <v>4521.44318181818</v>
      </c>
      <c r="BT48" s="102">
        <f t="shared" si="183"/>
        <v>6486.01024431818</v>
      </c>
      <c r="BU48" s="49">
        <f t="shared" si="208"/>
        <v>480.370454545453</v>
      </c>
      <c r="BW48" s="100">
        <f t="shared" si="209"/>
        <v>4041.07272727272</v>
      </c>
      <c r="BX48" s="102">
        <f t="shared" si="186"/>
        <v>5796.91882727271</v>
      </c>
      <c r="BY48" s="49">
        <f t="shared" si="210"/>
        <v>227.804545454544</v>
      </c>
      <c r="CA48" s="100">
        <f t="shared" si="211"/>
        <v>3813.26818181818</v>
      </c>
      <c r="CB48" s="102">
        <f t="shared" si="189"/>
        <v>5470.13320681818</v>
      </c>
      <c r="CC48" s="49">
        <f t="shared" si="212"/>
        <v>440.752272727272</v>
      </c>
      <c r="CE48" s="100">
        <f t="shared" si="213"/>
        <v>3372.5159090909</v>
      </c>
      <c r="CF48" s="102">
        <f t="shared" si="192"/>
        <v>4837.8740715909</v>
      </c>
      <c r="CG48" s="49">
        <f t="shared" si="214"/>
        <v>361.515909090908</v>
      </c>
      <c r="CI48" s="100">
        <f t="shared" si="215"/>
        <v>3010.99999999999</v>
      </c>
      <c r="CJ48" s="55">
        <f t="shared" si="195"/>
        <v>4319.27949999999</v>
      </c>
    </row>
    <row r="49" ht="14.0">
      <c r="A49" s="96" t="s">
        <v>28</v>
      </c>
      <c r="B49" s="96" t="s">
        <v>98</v>
      </c>
      <c r="C49" s="96" t="s">
        <v>101</v>
      </c>
      <c r="D49" s="119" t="s">
        <v>102</v>
      </c>
      <c r="E49" s="96">
        <v>264.0</v>
      </c>
      <c r="F49" s="96">
        <v>186.0</v>
      </c>
      <c r="G49" s="96">
        <v>144.0</v>
      </c>
      <c r="H49" s="96">
        <v>192.0</v>
      </c>
      <c r="I49" s="96">
        <v>156.0</v>
      </c>
      <c r="J49" s="96">
        <v>162.0</v>
      </c>
      <c r="K49" s="96">
        <v>111.0</v>
      </c>
      <c r="L49" s="96">
        <v>78.0</v>
      </c>
      <c r="M49" s="96">
        <v>138.0</v>
      </c>
      <c r="N49" s="96">
        <v>133.0</v>
      </c>
      <c r="O49" s="96">
        <v>157.0</v>
      </c>
      <c r="P49" s="96">
        <v>132.0</v>
      </c>
      <c r="Q49" s="96">
        <v>162.0</v>
      </c>
      <c r="R49" s="96">
        <v>120.0</v>
      </c>
      <c r="S49" s="96">
        <v>91.0</v>
      </c>
      <c r="T49" s="96">
        <v>126.0</v>
      </c>
      <c r="U49" s="96">
        <v>121.0</v>
      </c>
      <c r="V49" s="96">
        <v>102.0</v>
      </c>
      <c r="W49" s="96">
        <v>84.0</v>
      </c>
      <c r="X49" s="96">
        <v>78.0</v>
      </c>
      <c r="Y49" s="96">
        <v>90.0</v>
      </c>
      <c r="Z49" s="96">
        <v>90.0</v>
      </c>
      <c r="AA49" s="96">
        <v>150.0</v>
      </c>
      <c r="AB49" s="96">
        <v>144.0</v>
      </c>
      <c r="AC49" s="96">
        <v>90.0</v>
      </c>
      <c r="AD49" s="96">
        <v>61.0</v>
      </c>
      <c r="AE49" s="96">
        <v>60.0</v>
      </c>
      <c r="AF49" s="96">
        <v>96.0</v>
      </c>
      <c r="AG49" s="96">
        <v>24.0</v>
      </c>
      <c r="AH49" s="96">
        <v>78.0</v>
      </c>
      <c r="AI49" s="96">
        <v>48.0</v>
      </c>
      <c r="AJ49" s="96">
        <v>54.0</v>
      </c>
      <c r="AK49" s="49">
        <v>36.0</v>
      </c>
      <c r="AL49" s="49">
        <v>48.0</v>
      </c>
      <c r="AM49" s="49">
        <v>84.0</v>
      </c>
      <c r="AN49" s="49">
        <v>84.0</v>
      </c>
      <c r="AO49" s="49">
        <v>138.0</v>
      </c>
      <c r="AP49" s="49">
        <v>48.0</v>
      </c>
      <c r="AQ49" s="49">
        <v>16.0</v>
      </c>
      <c r="AR49" s="98">
        <f t="shared" si="4"/>
        <v>754.0</v>
      </c>
      <c r="AS49" s="98">
        <f t="shared" si="167"/>
        <v>336.0</v>
      </c>
      <c r="AT49" s="98">
        <f t="shared" si="6"/>
        <v>369.6</v>
      </c>
      <c r="AU49" s="49">
        <f>AT49*$AU$4/$AT$4+6*$AU$71</f>
        <v>50.5227272727272</v>
      </c>
      <c r="AV49" s="49">
        <f>AT49*$AV$4/$AT$4+6*$AV$71</f>
        <v>54.4090909090909</v>
      </c>
      <c r="AW49" s="49">
        <f>AT49*$AW$4/$AT$4+6*$AW$71</f>
        <v>75.3954545454544</v>
      </c>
      <c r="AX49" s="49">
        <f>AT49*$AX$4/$AT$4+6*$AX$71</f>
        <v>35.7545454545454</v>
      </c>
      <c r="AY49" s="49">
        <f>AT49*$AY$4/$AT$4+6*$AY$71</f>
        <v>69.1772727272727</v>
      </c>
      <c r="AZ49" s="49">
        <f>AT49*$AZ$4/$AT$4+6*$AZ$71</f>
        <v>56.740909090909</v>
      </c>
      <c r="BA49" s="51">
        <f t="shared" si="13"/>
        <v>342.0</v>
      </c>
      <c r="BB49" s="51">
        <f>VLOOKUP(D49,FEB23SOH,2,false)</f>
        <v>1184.0</v>
      </c>
      <c r="BC49" s="99">
        <f>VLOOKUP(C49,UNITVALUE,5,false)</f>
        <v>1.4249</v>
      </c>
      <c r="BD49" s="53">
        <f t="shared" si="16"/>
        <v>1687.0816</v>
      </c>
      <c r="BG49" s="98">
        <f t="shared" si="202"/>
        <v>842.0</v>
      </c>
      <c r="BH49" s="49">
        <f>VLOOKUP(C49,MOQ,3,false)</f>
        <v>1008.0</v>
      </c>
      <c r="BI49" s="51"/>
      <c r="BJ49" s="115"/>
      <c r="BK49" s="49">
        <f t="shared" si="204"/>
        <v>1184.0</v>
      </c>
      <c r="BM49" s="49">
        <f t="shared" si="205"/>
        <v>50.5227272727272</v>
      </c>
      <c r="BN49" s="49">
        <f t="shared" si="177"/>
      </c>
      <c r="BO49" s="100">
        <f t="shared" si="178"/>
        <v>1133.47727272727</v>
      </c>
      <c r="BP49" s="101">
        <f t="shared" si="179"/>
        <v>1615.09176590909</v>
      </c>
      <c r="BQ49" s="49">
        <f t="shared" si="206"/>
        <v>54.4090909090909</v>
      </c>
      <c r="BR49" s="49">
        <f t="shared" si="181"/>
      </c>
      <c r="BS49" s="100">
        <f t="shared" si="207"/>
        <v>1079.06818181818</v>
      </c>
      <c r="BT49" s="102">
        <f t="shared" si="183"/>
        <v>1537.56425227272</v>
      </c>
      <c r="BU49" s="49">
        <f t="shared" si="208"/>
        <v>75.3954545454544</v>
      </c>
      <c r="BW49" s="100">
        <f t="shared" si="209"/>
        <v>1003.67272727272</v>
      </c>
      <c r="BX49" s="102">
        <f t="shared" si="186"/>
        <v>1430.1332690909</v>
      </c>
      <c r="BY49" s="49">
        <f t="shared" si="210"/>
        <v>35.7545454545454</v>
      </c>
      <c r="CA49" s="100">
        <f t="shared" si="211"/>
        <v>967.918181818174</v>
      </c>
      <c r="CB49" s="102">
        <f t="shared" si="189"/>
        <v>1379.18661727271</v>
      </c>
      <c r="CC49" s="49">
        <f t="shared" si="212"/>
        <v>69.1772727272727</v>
      </c>
      <c r="CE49" s="100">
        <f t="shared" si="213"/>
        <v>898.740909090901</v>
      </c>
      <c r="CF49" s="102">
        <f t="shared" si="192"/>
        <v>1280.61592136362</v>
      </c>
      <c r="CG49" s="49">
        <f t="shared" si="214"/>
        <v>56.740909090909</v>
      </c>
      <c r="CI49" s="100">
        <f t="shared" si="215"/>
        <v>841.999999999992</v>
      </c>
      <c r="CJ49" s="55">
        <f t="shared" si="195"/>
        <v>1199.76579999999</v>
      </c>
    </row>
    <row r="50" ht="14.0">
      <c r="A50" s="96" t="s">
        <v>28</v>
      </c>
      <c r="B50" s="96" t="s">
        <v>98</v>
      </c>
      <c r="C50" s="96" t="s">
        <v>103</v>
      </c>
      <c r="D50" s="97" t="s">
        <v>104</v>
      </c>
      <c r="E50" s="96">
        <v>648.0</v>
      </c>
      <c r="F50" s="96">
        <v>85.0</v>
      </c>
      <c r="G50" s="96">
        <v>270.0</v>
      </c>
      <c r="H50" s="96">
        <v>278.0</v>
      </c>
      <c r="I50" s="96">
        <v>559.0</v>
      </c>
      <c r="J50" s="96">
        <v>271.0</v>
      </c>
      <c r="K50" s="96">
        <v>235.0</v>
      </c>
      <c r="L50" s="96">
        <v>408.0</v>
      </c>
      <c r="M50" s="96">
        <v>390.0</v>
      </c>
      <c r="N50" s="96">
        <v>372.0</v>
      </c>
      <c r="O50" s="96">
        <v>648.0</v>
      </c>
      <c r="P50" s="96">
        <v>692.0</v>
      </c>
      <c r="Q50" s="96">
        <v>853.0</v>
      </c>
      <c r="R50" s="96">
        <v>499.0</v>
      </c>
      <c r="S50" s="96">
        <v>427.0</v>
      </c>
      <c r="T50" s="96">
        <v>501.0</v>
      </c>
      <c r="U50" s="96">
        <v>0.0</v>
      </c>
      <c r="V50" s="96">
        <v>672.0</v>
      </c>
      <c r="W50" s="96">
        <v>0.0</v>
      </c>
      <c r="X50" s="96">
        <v>492.0</v>
      </c>
      <c r="Y50" s="96">
        <v>324.0</v>
      </c>
      <c r="Z50" s="96">
        <v>288.0</v>
      </c>
      <c r="AA50" s="96">
        <v>732.0</v>
      </c>
      <c r="AB50" s="96">
        <v>978.0</v>
      </c>
      <c r="AC50" s="96">
        <v>546.0</v>
      </c>
      <c r="AD50" s="96">
        <v>480.0</v>
      </c>
      <c r="AE50" s="96">
        <v>390.0</v>
      </c>
      <c r="AF50" s="96">
        <v>288.0</v>
      </c>
      <c r="AG50" s="96">
        <v>390.0</v>
      </c>
      <c r="AH50" s="96">
        <v>356.0</v>
      </c>
      <c r="AI50" s="96">
        <v>330.0</v>
      </c>
      <c r="AJ50" s="96">
        <v>222.0</v>
      </c>
      <c r="AK50" s="49">
        <v>366.0</v>
      </c>
      <c r="AL50" s="49">
        <v>204.0</v>
      </c>
      <c r="AM50" s="49">
        <v>366.0</v>
      </c>
      <c r="AN50" s="49">
        <v>564.0</v>
      </c>
      <c r="AO50" s="49">
        <v>414.0</v>
      </c>
      <c r="AP50" s="49">
        <v>210.0</v>
      </c>
      <c r="AQ50" s="49">
        <v>293.0</v>
      </c>
      <c r="AR50" s="98">
        <f t="shared" si="4"/>
        <v>4003.0</v>
      </c>
      <c r="AS50" s="98">
        <f t="shared" si="167"/>
        <v>1952.0</v>
      </c>
      <c r="AT50" s="98">
        <f t="shared" si="6"/>
        <v>2147.2</v>
      </c>
      <c r="AU50" s="49">
        <f t="shared" ref="AU50:AU51" si="229">AT50*$AU$4/$AT$4</f>
        <v>288.363636363636</v>
      </c>
      <c r="AV50" s="49">
        <f t="shared" ref="AV50:AV51" si="230">AT50*$AV$4/$AT$4</f>
        <v>310.545454545454</v>
      </c>
      <c r="AW50" s="49">
        <f t="shared" ref="AW50:AW51" si="231">AT50*$AW$4/$AT$4</f>
        <v>430.327272727272</v>
      </c>
      <c r="AX50" s="49">
        <f t="shared" ref="AX50:AX51" si="232">AT50*$AX$4/$AT$4</f>
        <v>204.072727272727</v>
      </c>
      <c r="AY50" s="49">
        <f t="shared" ref="AY50:AY51" si="233">AT50*$AY$4/$AT$4</f>
        <v>394.836363636363</v>
      </c>
      <c r="AZ50" s="49">
        <f t="shared" ref="AZ50:AZ51" si="234">AT50*$AZ$4/$AT$4</f>
        <v>323.85454545454</v>
      </c>
      <c r="BA50" s="51">
        <f t="shared" si="13"/>
        <v>1951.99999999999</v>
      </c>
      <c r="BB50" s="51">
        <f>VLOOKUP(D50,FEB23SOH,2,false)</f>
        <v>4089.0</v>
      </c>
      <c r="BC50" s="99">
        <f>VLOOKUP(C50,UNITVALUE,5,false)</f>
        <v>1.4202</v>
      </c>
      <c r="BD50" s="53">
        <f t="shared" si="16"/>
        <v>5807.1978</v>
      </c>
      <c r="BG50" s="98">
        <f t="shared" si="202"/>
        <v>2137.00000000001</v>
      </c>
      <c r="BH50" s="49">
        <f>VLOOKUP(C50,MOQ,3,false)</f>
        <v>1008.0</v>
      </c>
      <c r="BI50" s="51"/>
      <c r="BJ50" s="118" t="s">
        <v>32</v>
      </c>
      <c r="BK50" s="49">
        <f t="shared" si="204"/>
        <v>4089.0</v>
      </c>
      <c r="BM50" s="49">
        <f t="shared" si="205"/>
        <v>288.363636363636</v>
      </c>
      <c r="BN50" s="49">
        <f t="shared" si="177"/>
      </c>
      <c r="BO50" s="100">
        <f t="shared" si="178"/>
        <v>3800.63636363636</v>
      </c>
      <c r="BP50" s="101">
        <f t="shared" si="179"/>
        <v>5397.66376363636</v>
      </c>
      <c r="BQ50" s="49">
        <f t="shared" si="206"/>
        <v>310.545454545454</v>
      </c>
      <c r="BR50" s="49">
        <f t="shared" si="181"/>
      </c>
      <c r="BS50" s="100">
        <f t="shared" si="207"/>
        <v>3490.0909090909</v>
      </c>
      <c r="BT50" s="102">
        <f t="shared" si="183"/>
        <v>4956.6271090909</v>
      </c>
      <c r="BU50" s="49">
        <f t="shared" si="208"/>
        <v>430.327272727272</v>
      </c>
      <c r="BW50" s="100">
        <f t="shared" si="209"/>
        <v>3059.76363636362</v>
      </c>
      <c r="BX50" s="102">
        <f t="shared" si="186"/>
        <v>4345.47631636361</v>
      </c>
      <c r="BY50" s="49">
        <f t="shared" si="210"/>
        <v>204.072727272727</v>
      </c>
      <c r="CA50" s="100">
        <f t="shared" si="211"/>
        <v>2855.69090909089</v>
      </c>
      <c r="CB50" s="102">
        <f t="shared" si="189"/>
        <v>4055.65222909088</v>
      </c>
      <c r="CC50" s="49">
        <f t="shared" si="212"/>
        <v>394.836363636363</v>
      </c>
      <c r="CE50" s="100">
        <f t="shared" si="213"/>
        <v>2460.85454545452</v>
      </c>
      <c r="CF50" s="102">
        <f t="shared" si="192"/>
        <v>3494.9056254545</v>
      </c>
      <c r="CG50" s="49">
        <f t="shared" si="214"/>
        <v>323.85454545454</v>
      </c>
      <c r="CI50" s="100">
        <f t="shared" si="215"/>
        <v>2136.99999999998</v>
      </c>
      <c r="CJ50" s="55">
        <f t="shared" si="195"/>
        <v>3034.96739999997</v>
      </c>
    </row>
    <row r="51" ht="14.0">
      <c r="A51" s="96" t="s">
        <v>28</v>
      </c>
      <c r="B51" s="96" t="s">
        <v>98</v>
      </c>
      <c r="C51" s="96" t="s">
        <v>105</v>
      </c>
      <c r="D51" s="97" t="s">
        <v>106</v>
      </c>
      <c r="E51" s="96">
        <v>558.0</v>
      </c>
      <c r="F51" s="96">
        <v>252.0</v>
      </c>
      <c r="G51" s="96">
        <v>294.0</v>
      </c>
      <c r="H51" s="96">
        <v>6.0</v>
      </c>
      <c r="I51" s="96">
        <v>0.0</v>
      </c>
      <c r="J51" s="96">
        <v>187.0</v>
      </c>
      <c r="K51" s="96">
        <v>277.0</v>
      </c>
      <c r="L51" s="96">
        <v>432.0</v>
      </c>
      <c r="M51" s="96">
        <v>312.0</v>
      </c>
      <c r="N51" s="96">
        <v>315.0</v>
      </c>
      <c r="O51" s="96">
        <v>519.0</v>
      </c>
      <c r="P51" s="96">
        <v>525.0</v>
      </c>
      <c r="Q51" s="96">
        <v>839.0</v>
      </c>
      <c r="R51" s="96">
        <v>565.0</v>
      </c>
      <c r="S51" s="96">
        <v>313.0</v>
      </c>
      <c r="T51" s="96">
        <v>58.0</v>
      </c>
      <c r="U51" s="96">
        <v>0.0</v>
      </c>
      <c r="V51" s="96">
        <v>844.0</v>
      </c>
      <c r="W51" s="96">
        <v>162.0</v>
      </c>
      <c r="X51" s="96">
        <v>402.0</v>
      </c>
      <c r="Y51" s="96">
        <v>282.0</v>
      </c>
      <c r="Z51" s="96">
        <v>222.0</v>
      </c>
      <c r="AA51" s="96">
        <v>528.0</v>
      </c>
      <c r="AB51" s="96">
        <v>528.0</v>
      </c>
      <c r="AC51" s="96">
        <v>414.0</v>
      </c>
      <c r="AD51" s="96">
        <v>330.0</v>
      </c>
      <c r="AE51" s="96">
        <v>318.0</v>
      </c>
      <c r="AF51" s="96">
        <v>222.0</v>
      </c>
      <c r="AG51" s="96">
        <v>204.0</v>
      </c>
      <c r="AH51" s="96">
        <v>289.0</v>
      </c>
      <c r="AI51" s="96">
        <v>294.0</v>
      </c>
      <c r="AJ51" s="96">
        <v>204.0</v>
      </c>
      <c r="AK51" s="49">
        <v>315.0</v>
      </c>
      <c r="AL51" s="49">
        <v>120.0</v>
      </c>
      <c r="AM51" s="49">
        <v>282.0</v>
      </c>
      <c r="AN51" s="49">
        <v>354.0</v>
      </c>
      <c r="AO51" s="49">
        <v>282.0</v>
      </c>
      <c r="AP51" s="49">
        <v>144.0</v>
      </c>
      <c r="AQ51" s="49">
        <v>278.0</v>
      </c>
      <c r="AR51" s="98">
        <f t="shared" si="4"/>
        <v>2988.0</v>
      </c>
      <c r="AS51" s="98">
        <f t="shared" si="167"/>
        <v>1528.0</v>
      </c>
      <c r="AT51" s="98">
        <f t="shared" si="6"/>
        <v>1680.8</v>
      </c>
      <c r="AU51" s="49">
        <f t="shared" si="229"/>
        <v>225.727272727272</v>
      </c>
      <c r="AV51" s="49">
        <f t="shared" si="230"/>
        <v>243.090909090909</v>
      </c>
      <c r="AW51" s="49">
        <f t="shared" si="231"/>
        <v>336.85454545454</v>
      </c>
      <c r="AX51" s="49">
        <f t="shared" si="232"/>
        <v>159.745454545454</v>
      </c>
      <c r="AY51" s="49">
        <f t="shared" si="233"/>
        <v>309.072727272727</v>
      </c>
      <c r="AZ51" s="49">
        <f t="shared" si="234"/>
        <v>253.50909090909</v>
      </c>
      <c r="BA51" s="51">
        <f t="shared" si="13"/>
        <v>1527.99999999999</v>
      </c>
      <c r="BB51" s="51">
        <f>VLOOKUP(D51,FEB23SOH,2,false)</f>
        <v>3393.0</v>
      </c>
      <c r="BC51" s="99">
        <f>VLOOKUP(C51,UNITVALUE,5,false)</f>
        <v>1.4286</v>
      </c>
      <c r="BD51" s="53">
        <f t="shared" si="16"/>
        <v>4847.2398</v>
      </c>
      <c r="BG51" s="98">
        <f t="shared" si="202"/>
        <v>1865.00000000001</v>
      </c>
      <c r="BH51" s="49">
        <f>VLOOKUP(C51,MOQ,3,false)</f>
        <v>1008.0</v>
      </c>
      <c r="BI51" s="51"/>
      <c r="BJ51" s="115"/>
      <c r="BK51" s="49">
        <f t="shared" si="204"/>
        <v>3393.0</v>
      </c>
      <c r="BM51" s="49">
        <f t="shared" si="205"/>
        <v>225.727272727272</v>
      </c>
      <c r="BN51" s="49">
        <f t="shared" si="177"/>
      </c>
      <c r="BO51" s="100">
        <f t="shared" si="178"/>
        <v>3167.27272727272</v>
      </c>
      <c r="BP51" s="101">
        <f t="shared" si="179"/>
        <v>4524.7658181818</v>
      </c>
      <c r="BQ51" s="49">
        <f t="shared" si="206"/>
        <v>243.090909090909</v>
      </c>
      <c r="BR51" s="49">
        <f t="shared" si="181"/>
      </c>
      <c r="BS51" s="100">
        <f t="shared" si="207"/>
        <v>2924.18181818181</v>
      </c>
      <c r="BT51" s="102">
        <f t="shared" si="183"/>
        <v>4177.48614545453</v>
      </c>
      <c r="BU51" s="49">
        <f t="shared" si="208"/>
        <v>336.85454545454</v>
      </c>
      <c r="BW51" s="100">
        <f t="shared" si="209"/>
        <v>2587.32727272727</v>
      </c>
      <c r="BX51" s="102">
        <f t="shared" si="186"/>
        <v>3696.25574181818</v>
      </c>
      <c r="BY51" s="49">
        <f t="shared" si="210"/>
        <v>159.745454545454</v>
      </c>
      <c r="CA51" s="100">
        <f t="shared" si="211"/>
        <v>2427.58181818181</v>
      </c>
      <c r="CB51" s="102">
        <f t="shared" si="189"/>
        <v>3468.04338545453</v>
      </c>
      <c r="CC51" s="49">
        <f t="shared" si="212"/>
        <v>309.072727272727</v>
      </c>
      <c r="CE51" s="100">
        <f t="shared" si="213"/>
        <v>2118.50909090908</v>
      </c>
      <c r="CF51" s="102">
        <f t="shared" si="192"/>
        <v>3026.50208727271</v>
      </c>
      <c r="CG51" s="49">
        <f t="shared" si="214"/>
        <v>253.50909090909</v>
      </c>
      <c r="CI51" s="100">
        <f t="shared" si="215"/>
        <v>1864.99999999999</v>
      </c>
      <c r="CJ51" s="55">
        <f t="shared" si="195"/>
        <v>2664.33899999999</v>
      </c>
    </row>
    <row r="52" ht="14.0">
      <c r="A52" s="96" t="s">
        <v>28</v>
      </c>
      <c r="B52" s="96" t="s">
        <v>98</v>
      </c>
      <c r="C52" s="96" t="s">
        <v>107</v>
      </c>
      <c r="D52" s="119" t="s">
        <v>108</v>
      </c>
      <c r="E52" s="96">
        <v>1114.0</v>
      </c>
      <c r="F52" s="96">
        <v>250.0</v>
      </c>
      <c r="G52" s="96">
        <v>479.0</v>
      </c>
      <c r="H52" s="96">
        <v>242.0</v>
      </c>
      <c r="I52" s="96">
        <v>798.0</v>
      </c>
      <c r="J52" s="96">
        <v>374.0</v>
      </c>
      <c r="K52" s="96">
        <v>252.0</v>
      </c>
      <c r="L52" s="96">
        <v>480.0</v>
      </c>
      <c r="M52" s="96">
        <v>537.0</v>
      </c>
      <c r="N52" s="96">
        <v>401.0</v>
      </c>
      <c r="O52" s="96">
        <v>591.0</v>
      </c>
      <c r="P52" s="96">
        <v>605.0</v>
      </c>
      <c r="Q52" s="96">
        <v>595.0</v>
      </c>
      <c r="R52" s="96">
        <v>388.0</v>
      </c>
      <c r="S52" s="96">
        <v>312.0</v>
      </c>
      <c r="T52" s="96">
        <v>552.0</v>
      </c>
      <c r="U52" s="96">
        <v>254.0</v>
      </c>
      <c r="V52" s="96">
        <v>630.0</v>
      </c>
      <c r="W52" s="96">
        <v>209.0</v>
      </c>
      <c r="X52" s="96">
        <v>348.0</v>
      </c>
      <c r="Y52" s="96">
        <v>288.0</v>
      </c>
      <c r="Z52" s="96">
        <v>336.0</v>
      </c>
      <c r="AA52" s="96">
        <v>498.0</v>
      </c>
      <c r="AB52" s="96">
        <v>624.0</v>
      </c>
      <c r="AC52" s="96">
        <v>414.0</v>
      </c>
      <c r="AD52" s="96">
        <v>384.0</v>
      </c>
      <c r="AE52" s="96">
        <v>306.0</v>
      </c>
      <c r="AF52" s="96">
        <v>284.0</v>
      </c>
      <c r="AG52" s="96">
        <v>252.0</v>
      </c>
      <c r="AH52" s="96">
        <v>282.0</v>
      </c>
      <c r="AI52" s="96">
        <v>239.0</v>
      </c>
      <c r="AJ52" s="96">
        <v>174.0</v>
      </c>
      <c r="AK52" s="49">
        <v>402.0</v>
      </c>
      <c r="AL52" s="49">
        <v>182.0</v>
      </c>
      <c r="AM52" s="49">
        <v>390.0</v>
      </c>
      <c r="AN52" s="49">
        <v>450.0</v>
      </c>
      <c r="AO52" s="49">
        <v>349.0</v>
      </c>
      <c r="AP52" s="49">
        <v>170.0</v>
      </c>
      <c r="AQ52" s="49">
        <v>293.0</v>
      </c>
      <c r="AR52" s="98">
        <f t="shared" si="4"/>
        <v>3467.0</v>
      </c>
      <c r="AS52" s="98">
        <f t="shared" si="167"/>
        <v>1633.0</v>
      </c>
      <c r="AT52" s="98">
        <f t="shared" si="6"/>
        <v>1796.3</v>
      </c>
      <c r="AU52" s="49">
        <f>AT52*$AU$4/$AT$4+6*$AU$71</f>
        <v>242.125</v>
      </c>
      <c r="AV52" s="49">
        <f>AT52*$AV$4/$AT$4+6*$AV$71</f>
        <v>260.749999999999</v>
      </c>
      <c r="AW52" s="49">
        <f>AT52*$AW$4/$AT$4+6*$AW$71</f>
        <v>361.324999999999</v>
      </c>
      <c r="AX52" s="49">
        <f>AT52*$AX$4/$AT$4+6*$AX$71</f>
        <v>171.35</v>
      </c>
      <c r="AY52" s="49">
        <f>AT52*$AY$4/$AT$4+6*$AY$71</f>
        <v>331.524999999999</v>
      </c>
      <c r="AZ52" s="49">
        <f>AT52*$AZ$4/$AT$4+6*$AZ$71</f>
        <v>271.925</v>
      </c>
      <c r="BA52" s="51">
        <f t="shared" si="13"/>
        <v>1639.0</v>
      </c>
      <c r="BB52" s="51">
        <f>VLOOKUP(D52,FEB23SOH,2,false)</f>
        <v>3373.0</v>
      </c>
      <c r="BC52" s="99">
        <f>VLOOKUP(C52,UNITVALUE,5,false)</f>
        <v>1.4288</v>
      </c>
      <c r="BD52" s="53">
        <f t="shared" si="16"/>
        <v>4819.3424</v>
      </c>
      <c r="BG52" s="98">
        <f t="shared" si="202"/>
        <v>1734.0</v>
      </c>
      <c r="BH52" s="49">
        <f>VLOOKUP(C52,MOQ,3,false)</f>
        <v>1008.0</v>
      </c>
      <c r="BI52" s="51"/>
      <c r="BJ52" s="115"/>
      <c r="BK52" s="49">
        <f t="shared" si="204"/>
        <v>3373.0</v>
      </c>
      <c r="BM52" s="49">
        <f t="shared" si="205"/>
        <v>242.125</v>
      </c>
      <c r="BN52" s="49">
        <f t="shared" si="177"/>
      </c>
      <c r="BO52" s="100">
        <f t="shared" si="178"/>
        <v>3130.875</v>
      </c>
      <c r="BP52" s="101">
        <f t="shared" si="179"/>
        <v>4473.3942</v>
      </c>
      <c r="BQ52" s="49">
        <f t="shared" si="206"/>
        <v>260.749999999999</v>
      </c>
      <c r="BR52" s="49">
        <f t="shared" si="181"/>
      </c>
      <c r="BS52" s="100">
        <f t="shared" si="207"/>
        <v>2870.125</v>
      </c>
      <c r="BT52" s="102">
        <f t="shared" si="183"/>
        <v>4100.8346</v>
      </c>
      <c r="BU52" s="49">
        <f t="shared" si="208"/>
        <v>361.324999999999</v>
      </c>
      <c r="BW52" s="100">
        <f t="shared" si="209"/>
        <v>2508.8</v>
      </c>
      <c r="BX52" s="102">
        <f t="shared" si="186"/>
        <v>3584.57344</v>
      </c>
      <c r="BY52" s="49">
        <f t="shared" si="210"/>
        <v>171.35</v>
      </c>
      <c r="CA52" s="100">
        <f t="shared" si="211"/>
        <v>2337.45</v>
      </c>
      <c r="CB52" s="102">
        <f t="shared" si="189"/>
        <v>3339.74856</v>
      </c>
      <c r="CC52" s="49">
        <f t="shared" si="212"/>
        <v>331.524999999999</v>
      </c>
      <c r="CE52" s="100">
        <f t="shared" si="213"/>
        <v>2005.925</v>
      </c>
      <c r="CF52" s="102">
        <f t="shared" si="192"/>
        <v>2866.06564</v>
      </c>
      <c r="CG52" s="49">
        <f t="shared" si="214"/>
        <v>271.925</v>
      </c>
      <c r="CI52" s="100">
        <f t="shared" si="215"/>
        <v>1734.0</v>
      </c>
      <c r="CJ52" s="55">
        <f t="shared" si="195"/>
        <v>2477.5392</v>
      </c>
    </row>
    <row r="53" ht="14.0">
      <c r="A53" s="96" t="s">
        <v>28</v>
      </c>
      <c r="B53" s="96" t="s">
        <v>98</v>
      </c>
      <c r="C53" s="96" t="s">
        <v>109</v>
      </c>
      <c r="D53" s="97" t="s">
        <v>110</v>
      </c>
      <c r="E53" s="96">
        <v>1014.0</v>
      </c>
      <c r="F53" s="96">
        <v>229.0</v>
      </c>
      <c r="G53" s="96">
        <v>444.0</v>
      </c>
      <c r="H53" s="96">
        <v>180.0</v>
      </c>
      <c r="I53" s="96">
        <v>690.0</v>
      </c>
      <c r="J53" s="96">
        <v>300.0</v>
      </c>
      <c r="K53" s="96">
        <v>362.0</v>
      </c>
      <c r="L53" s="96">
        <v>450.0</v>
      </c>
      <c r="M53" s="96">
        <v>613.0</v>
      </c>
      <c r="N53" s="96">
        <v>303.0</v>
      </c>
      <c r="O53" s="96">
        <v>554.0</v>
      </c>
      <c r="P53" s="96">
        <v>594.0</v>
      </c>
      <c r="Q53" s="96">
        <v>516.0</v>
      </c>
      <c r="R53" s="96">
        <v>318.0</v>
      </c>
      <c r="S53" s="96">
        <v>360.0</v>
      </c>
      <c r="T53" s="96">
        <v>286.0</v>
      </c>
      <c r="U53" s="96">
        <v>0.0</v>
      </c>
      <c r="V53" s="96">
        <v>658.0</v>
      </c>
      <c r="W53" s="96">
        <v>222.0</v>
      </c>
      <c r="X53" s="96">
        <v>258.0</v>
      </c>
      <c r="Y53" s="96">
        <v>234.0</v>
      </c>
      <c r="Z53" s="96">
        <v>270.0</v>
      </c>
      <c r="AA53" s="96">
        <v>528.0</v>
      </c>
      <c r="AB53" s="96">
        <v>618.0</v>
      </c>
      <c r="AC53" s="96">
        <v>366.0</v>
      </c>
      <c r="AD53" s="96">
        <v>359.0</v>
      </c>
      <c r="AE53" s="96">
        <v>288.0</v>
      </c>
      <c r="AF53" s="96">
        <v>284.0</v>
      </c>
      <c r="AG53" s="96">
        <v>246.0</v>
      </c>
      <c r="AH53" s="96">
        <v>234.0</v>
      </c>
      <c r="AI53" s="96">
        <v>258.0</v>
      </c>
      <c r="AJ53" s="96">
        <v>205.0</v>
      </c>
      <c r="AK53" s="49">
        <v>330.0</v>
      </c>
      <c r="AL53" s="49">
        <v>181.0</v>
      </c>
      <c r="AM53" s="49">
        <v>282.0</v>
      </c>
      <c r="AN53" s="49">
        <v>529.0</v>
      </c>
      <c r="AO53" s="49">
        <v>318.0</v>
      </c>
      <c r="AP53" s="49">
        <v>169.0</v>
      </c>
      <c r="AQ53" s="49">
        <v>314.0</v>
      </c>
      <c r="AR53" s="98">
        <f t="shared" si="4"/>
        <v>3350.0</v>
      </c>
      <c r="AS53" s="98">
        <f t="shared" si="167"/>
        <v>1557.0</v>
      </c>
      <c r="AT53" s="98">
        <f t="shared" si="6"/>
        <v>1712.7</v>
      </c>
      <c r="AU53" s="49">
        <f>AT53*$AU$4/$AT$4</f>
        <v>230.011363636363</v>
      </c>
      <c r="AV53" s="49">
        <f>AT53*$AV$4/$AT$4</f>
        <v>247.704545454545</v>
      </c>
      <c r="AW53" s="49">
        <f>AT53*$AW$4/$AT$4</f>
        <v>343.247727272727</v>
      </c>
      <c r="AX53" s="49">
        <f>AT53*$AX$4/$AT$4</f>
        <v>162.777272727272</v>
      </c>
      <c r="AY53" s="49">
        <f>AT53*$AY$4/$AT$4</f>
        <v>314.938636363636</v>
      </c>
      <c r="AZ53" s="49">
        <f>AT53*$AZ$4/$AT$4</f>
        <v>258.320454545454</v>
      </c>
      <c r="BA53" s="51">
        <f t="shared" si="13"/>
        <v>1557.0</v>
      </c>
      <c r="BB53" s="51">
        <f>VLOOKUP(D53,FEB23SOH,2,false)</f>
        <v>2215.0</v>
      </c>
      <c r="BC53" s="99">
        <f>VLOOKUP(C53,UNITVALUE,5,false)</f>
        <v>1.4095</v>
      </c>
      <c r="BD53" s="53">
        <f t="shared" si="16"/>
        <v>3122.0425</v>
      </c>
      <c r="BG53" s="98">
        <f t="shared" si="202"/>
        <v>658.0</v>
      </c>
      <c r="BH53" s="49">
        <f>VLOOKUP(C53,MOQ,3,false)</f>
        <v>1008.0</v>
      </c>
      <c r="BI53" s="51"/>
      <c r="BJ53" s="115"/>
      <c r="BK53" s="49">
        <f t="shared" si="204"/>
        <v>2215.0</v>
      </c>
      <c r="BM53" s="49">
        <f t="shared" si="205"/>
        <v>230.011363636363</v>
      </c>
      <c r="BN53" s="49">
        <f t="shared" si="177"/>
      </c>
      <c r="BO53" s="100">
        <f t="shared" si="178"/>
        <v>1984.98863636363</v>
      </c>
      <c r="BP53" s="101">
        <f t="shared" si="179"/>
        <v>2797.84148295453</v>
      </c>
      <c r="BQ53" s="49">
        <f t="shared" si="206"/>
        <v>247.704545454545</v>
      </c>
      <c r="BR53" s="49">
        <f t="shared" si="181"/>
      </c>
      <c r="BS53" s="100">
        <f t="shared" si="207"/>
        <v>1737.28409090908</v>
      </c>
      <c r="BT53" s="102">
        <f t="shared" si="183"/>
        <v>2448.70192613634</v>
      </c>
      <c r="BU53" s="49">
        <f t="shared" si="208"/>
        <v>343.247727272727</v>
      </c>
      <c r="BW53" s="100">
        <f t="shared" si="209"/>
        <v>1394.03636363635</v>
      </c>
      <c r="BX53" s="102">
        <f t="shared" si="186"/>
        <v>1964.89425454543</v>
      </c>
      <c r="BY53" s="49">
        <f t="shared" si="210"/>
        <v>162.777272727272</v>
      </c>
      <c r="CA53" s="100">
        <f t="shared" si="211"/>
        <v>1231.25909090908</v>
      </c>
      <c r="CB53" s="102">
        <f t="shared" si="189"/>
        <v>1735.45968863634</v>
      </c>
      <c r="CC53" s="49">
        <f t="shared" si="212"/>
        <v>314.938636363636</v>
      </c>
      <c r="CE53" s="100">
        <f t="shared" si="213"/>
        <v>916.320454545443</v>
      </c>
      <c r="CF53" s="102">
        <f t="shared" si="192"/>
        <v>1291.5536806818</v>
      </c>
      <c r="CG53" s="49">
        <f t="shared" si="214"/>
        <v>258.320454545454</v>
      </c>
      <c r="CI53" s="100">
        <f t="shared" si="215"/>
        <v>657.999999999989</v>
      </c>
      <c r="CJ53" s="55">
        <f t="shared" si="195"/>
        <v>927.450999999984</v>
      </c>
    </row>
    <row r="54" ht="14.0">
      <c r="A54" s="96" t="s">
        <v>28</v>
      </c>
      <c r="B54" s="96" t="s">
        <v>98</v>
      </c>
      <c r="C54" s="96" t="s">
        <v>111</v>
      </c>
      <c r="D54" s="119" t="s">
        <v>112</v>
      </c>
      <c r="E54" s="96">
        <v>181.0</v>
      </c>
      <c r="F54" s="96">
        <v>295.0</v>
      </c>
      <c r="G54" s="96">
        <v>137.0</v>
      </c>
      <c r="H54" s="96">
        <v>151.0</v>
      </c>
      <c r="I54" s="96">
        <v>150.0</v>
      </c>
      <c r="J54" s="96">
        <v>144.0</v>
      </c>
      <c r="K54" s="96">
        <v>152.0</v>
      </c>
      <c r="L54" s="96">
        <v>114.0</v>
      </c>
      <c r="M54" s="96">
        <v>105.0</v>
      </c>
      <c r="N54" s="96">
        <v>187.0</v>
      </c>
      <c r="O54" s="96">
        <v>182.0</v>
      </c>
      <c r="P54" s="96">
        <v>124.0</v>
      </c>
      <c r="Q54" s="96">
        <v>170.0</v>
      </c>
      <c r="R54" s="96">
        <v>108.0</v>
      </c>
      <c r="S54" s="96">
        <v>102.0</v>
      </c>
      <c r="T54" s="96">
        <v>168.0</v>
      </c>
      <c r="U54" s="96">
        <v>142.0</v>
      </c>
      <c r="V54" s="96">
        <v>138.0</v>
      </c>
      <c r="W54" s="96">
        <v>78.0</v>
      </c>
      <c r="X54" s="96">
        <v>48.0</v>
      </c>
      <c r="Y54" s="96">
        <v>132.0</v>
      </c>
      <c r="Z54" s="96">
        <v>102.0</v>
      </c>
      <c r="AA54" s="96">
        <v>132.0</v>
      </c>
      <c r="AB54" s="96">
        <v>193.0</v>
      </c>
      <c r="AC54" s="96">
        <v>84.0</v>
      </c>
      <c r="AD54" s="96">
        <v>96.0</v>
      </c>
      <c r="AE54" s="96">
        <v>78.0</v>
      </c>
      <c r="AF54" s="96">
        <v>66.0</v>
      </c>
      <c r="AG54" s="96">
        <v>6.0</v>
      </c>
      <c r="AH54" s="96">
        <v>72.0</v>
      </c>
      <c r="AI54" s="96">
        <v>31.0</v>
      </c>
      <c r="AJ54" s="96">
        <v>72.0</v>
      </c>
      <c r="AK54" s="49">
        <v>66.0</v>
      </c>
      <c r="AL54" s="49">
        <v>42.0</v>
      </c>
      <c r="AM54" s="49">
        <v>126.0</v>
      </c>
      <c r="AN54" s="49">
        <v>108.0</v>
      </c>
      <c r="AO54" s="49">
        <v>90.0</v>
      </c>
      <c r="AP54" s="49">
        <v>42.0</v>
      </c>
      <c r="AQ54" s="49">
        <v>66.0</v>
      </c>
      <c r="AR54" s="98">
        <f t="shared" si="4"/>
        <v>787.0</v>
      </c>
      <c r="AS54" s="98">
        <f t="shared" si="167"/>
        <v>313.0</v>
      </c>
      <c r="AT54" s="98">
        <f t="shared" si="6"/>
        <v>344.3</v>
      </c>
      <c r="AU54" s="49">
        <f>AT54*$AU$4/$AT$4+6*$AU$71</f>
        <v>47.1249999999999</v>
      </c>
      <c r="AV54" s="49">
        <f>AT54*$AV$4/$AT$4+6*$AV$71</f>
        <v>50.75</v>
      </c>
      <c r="AW54" s="49">
        <f>AT54*$AW$4/$AT$4+6*$AW$71</f>
        <v>70.325</v>
      </c>
      <c r="AX54" s="49">
        <f>AT54*$AX$4/$AT$4+6*$AX$71</f>
        <v>33.3499999999999</v>
      </c>
      <c r="AY54" s="49">
        <f>AT54*$AY$4/$AT$4+6*$AY$71</f>
        <v>64.525</v>
      </c>
      <c r="AZ54" s="49">
        <f>AT54*$AZ$4/$AT$4+6*$AZ$71</f>
        <v>52.9249999999999</v>
      </c>
      <c r="BA54" s="51">
        <f t="shared" si="13"/>
        <v>319.0</v>
      </c>
      <c r="BB54" s="51">
        <f>VLOOKUP(D54,FEB23SOH,2,false)</f>
        <v>1180.0</v>
      </c>
      <c r="BC54" s="99">
        <f>VLOOKUP(C54,UNITVALUE,5,false)</f>
        <v>1.4116</v>
      </c>
      <c r="BD54" s="53">
        <f t="shared" si="16"/>
        <v>1665.688</v>
      </c>
      <c r="BG54" s="98">
        <f t="shared" si="202"/>
        <v>861.0</v>
      </c>
      <c r="BH54" s="49">
        <f>VLOOKUP(C54,MOQ,3,false)</f>
        <v>1008.0</v>
      </c>
      <c r="BI54" s="51"/>
      <c r="BJ54" s="115"/>
      <c r="BK54" s="49">
        <f t="shared" si="204"/>
        <v>1180.0</v>
      </c>
      <c r="BM54" s="49">
        <f t="shared" si="205"/>
        <v>47.1249999999999</v>
      </c>
      <c r="BN54" s="49">
        <f t="shared" si="177"/>
      </c>
      <c r="BO54" s="100">
        <f t="shared" si="178"/>
        <v>1132.875</v>
      </c>
      <c r="BP54" s="101">
        <f t="shared" si="179"/>
        <v>1599.16635</v>
      </c>
      <c r="BQ54" s="49">
        <f t="shared" si="206"/>
        <v>50.75</v>
      </c>
      <c r="BR54" s="49">
        <f t="shared" si="181"/>
      </c>
      <c r="BS54" s="100">
        <f t="shared" si="207"/>
        <v>1082.125</v>
      </c>
      <c r="BT54" s="102">
        <f t="shared" si="183"/>
        <v>1527.52765</v>
      </c>
      <c r="BU54" s="49">
        <f t="shared" si="208"/>
        <v>70.325</v>
      </c>
      <c r="BW54" s="100">
        <f t="shared" si="209"/>
        <v>1011.8</v>
      </c>
      <c r="BX54" s="102">
        <f t="shared" si="186"/>
        <v>1428.25688</v>
      </c>
      <c r="BY54" s="49">
        <f t="shared" si="210"/>
        <v>33.3499999999999</v>
      </c>
      <c r="CA54" s="100">
        <f t="shared" si="211"/>
        <v>978.45</v>
      </c>
      <c r="CB54" s="102">
        <f t="shared" si="189"/>
        <v>1381.18002</v>
      </c>
      <c r="CC54" s="49">
        <f t="shared" si="212"/>
        <v>64.525</v>
      </c>
      <c r="CE54" s="100">
        <f t="shared" si="213"/>
        <v>913.925</v>
      </c>
      <c r="CF54" s="102">
        <f t="shared" si="192"/>
        <v>1290.09653</v>
      </c>
      <c r="CG54" s="49">
        <f t="shared" si="214"/>
        <v>52.9249999999999</v>
      </c>
      <c r="CI54" s="100">
        <f t="shared" si="215"/>
        <v>861.0</v>
      </c>
      <c r="CJ54" s="55">
        <f t="shared" si="195"/>
        <v>1215.3876</v>
      </c>
    </row>
    <row r="55" ht="14.0">
      <c r="A55" s="96" t="s">
        <v>28</v>
      </c>
      <c r="B55" s="96" t="s">
        <v>98</v>
      </c>
      <c r="C55" s="117" t="s">
        <v>113</v>
      </c>
      <c r="D55" s="97" t="s">
        <v>114</v>
      </c>
      <c r="E55" s="96">
        <v>18.0</v>
      </c>
      <c r="F55" s="96">
        <v>24.0</v>
      </c>
      <c r="G55" s="96">
        <v>12.0</v>
      </c>
      <c r="H55" s="96">
        <v>30.0</v>
      </c>
      <c r="I55" s="96">
        <v>36.0</v>
      </c>
      <c r="J55" s="96">
        <v>54.0</v>
      </c>
      <c r="K55" s="96">
        <v>24.0</v>
      </c>
      <c r="L55" s="96">
        <v>12.0</v>
      </c>
      <c r="M55" s="96">
        <v>25.0</v>
      </c>
      <c r="N55" s="96">
        <v>39.0</v>
      </c>
      <c r="O55" s="96">
        <v>30.0</v>
      </c>
      <c r="P55" s="96">
        <v>25.0</v>
      </c>
      <c r="Q55" s="96">
        <v>31.0</v>
      </c>
      <c r="R55" s="96">
        <v>39.0</v>
      </c>
      <c r="S55" s="96">
        <v>44.0</v>
      </c>
      <c r="T55" s="96">
        <v>24.0</v>
      </c>
      <c r="U55" s="96">
        <v>12.0</v>
      </c>
      <c r="V55" s="96">
        <v>30.0</v>
      </c>
      <c r="W55" s="96">
        <v>30.0</v>
      </c>
      <c r="X55" s="96">
        <v>6.0</v>
      </c>
      <c r="Y55" s="96">
        <v>60.0</v>
      </c>
      <c r="Z55" s="96">
        <v>18.0</v>
      </c>
      <c r="AA55" s="96">
        <v>18.0</v>
      </c>
      <c r="AB55" s="96">
        <v>36.0</v>
      </c>
      <c r="AC55" s="96">
        <v>18.0</v>
      </c>
      <c r="AD55" s="96">
        <v>18.0</v>
      </c>
      <c r="AE55" s="96">
        <v>48.0</v>
      </c>
      <c r="AF55" s="96">
        <v>42.0</v>
      </c>
      <c r="AG55" s="96">
        <v>18.0</v>
      </c>
      <c r="AH55" s="96">
        <v>7.0</v>
      </c>
      <c r="AI55" s="96">
        <v>12.0</v>
      </c>
      <c r="AJ55" s="96">
        <v>12.0</v>
      </c>
      <c r="AK55" s="49">
        <v>30.0</v>
      </c>
      <c r="AL55" s="49">
        <v>12.0</v>
      </c>
      <c r="AM55" s="49">
        <v>6.0</v>
      </c>
      <c r="AN55" s="49">
        <v>24.0</v>
      </c>
      <c r="AO55" s="49">
        <v>36.0</v>
      </c>
      <c r="AP55" s="49">
        <v>0.0</v>
      </c>
      <c r="AQ55" s="49">
        <v>22.0</v>
      </c>
      <c r="AR55" s="98">
        <f t="shared" si="4"/>
        <v>221.0</v>
      </c>
      <c r="AS55" s="98">
        <f t="shared" si="167"/>
        <v>121.0</v>
      </c>
      <c r="AT55" s="98">
        <f t="shared" si="6"/>
        <v>133.1</v>
      </c>
      <c r="AU55" s="49">
        <f>AT55*$AU$4/$AT$4+6*$AU$70</f>
        <v>25.852272727272</v>
      </c>
      <c r="AV55" s="49">
        <f>AT55*$AV$4/$AT$4+6*$AV$70</f>
        <v>27.840909090909</v>
      </c>
      <c r="AW55" s="49">
        <f>AT55*$AW$4/$AT$4+6*$AW$70</f>
        <v>38.5795454545453</v>
      </c>
      <c r="AX55" s="49">
        <f>AT55*$AX$4/$AT$4+6*$AX$70</f>
        <v>18.2954545454545</v>
      </c>
      <c r="AY55" s="49">
        <f>AT55*$AY$4/$AT$4+6*$AY$70</f>
        <v>35.3977272727272</v>
      </c>
      <c r="AZ55" s="49">
        <f>AT55*$AZ$4/$AT$4+6*$AZ$70</f>
        <v>29.0340909090909</v>
      </c>
      <c r="BA55" s="51">
        <f t="shared" si="13"/>
        <v>174.999999999999</v>
      </c>
      <c r="BB55" s="51">
        <f>VLOOKUP(D55,FEB23SOH,2,false)</f>
        <v>864.0</v>
      </c>
      <c r="BC55" s="99">
        <f>VLOOKUP(C55,UNITVALUE,5,false)</f>
        <v>1.4219</v>
      </c>
      <c r="BD55" s="53">
        <f t="shared" si="16"/>
        <v>1228.5216</v>
      </c>
      <c r="BG55" s="98">
        <f t="shared" si="202"/>
        <v>689.000000000001</v>
      </c>
      <c r="BH55" s="49">
        <f>VLOOKUP(C55,MOQ,3,false)</f>
        <v>1008.0</v>
      </c>
      <c r="BI55" s="51"/>
      <c r="BJ55" s="118" t="s">
        <v>32</v>
      </c>
      <c r="BK55" s="49">
        <f t="shared" si="204"/>
        <v>864.0</v>
      </c>
      <c r="BM55" s="49">
        <f t="shared" si="205"/>
        <v>25.852272727272</v>
      </c>
      <c r="BN55" s="49">
        <f t="shared" si="177"/>
      </c>
      <c r="BO55" s="100">
        <f t="shared" si="178"/>
        <v>838.147727272728</v>
      </c>
      <c r="BP55" s="101">
        <f t="shared" si="179"/>
        <v>1191.76225340909</v>
      </c>
      <c r="BQ55" s="49">
        <f t="shared" si="206"/>
        <v>27.840909090909</v>
      </c>
      <c r="BR55" s="49">
        <f t="shared" si="181"/>
      </c>
      <c r="BS55" s="100">
        <f t="shared" si="207"/>
        <v>810.306818181819</v>
      </c>
      <c r="BT55" s="102">
        <f t="shared" si="183"/>
        <v>1152.17526477272</v>
      </c>
      <c r="BU55" s="49">
        <f t="shared" si="208"/>
        <v>38.5795454545453</v>
      </c>
      <c r="BW55" s="100">
        <f t="shared" si="209"/>
        <v>771.727272727273</v>
      </c>
      <c r="BX55" s="102">
        <f t="shared" si="186"/>
        <v>1097.3190090909</v>
      </c>
      <c r="BY55" s="49">
        <f t="shared" si="210"/>
        <v>18.2954545454545</v>
      </c>
      <c r="CA55" s="100">
        <f t="shared" si="211"/>
        <v>753.431818181819</v>
      </c>
      <c r="CB55" s="102">
        <f t="shared" si="189"/>
        <v>1071.30470227272</v>
      </c>
      <c r="CC55" s="49">
        <f t="shared" si="212"/>
        <v>35.3977272727272</v>
      </c>
      <c r="CE55" s="100">
        <f t="shared" si="213"/>
        <v>718.034090909091</v>
      </c>
      <c r="CF55" s="102">
        <f t="shared" si="192"/>
        <v>1020.97267386363</v>
      </c>
      <c r="CG55" s="49">
        <f t="shared" si="214"/>
        <v>29.0340909090909</v>
      </c>
      <c r="CI55" s="100">
        <f t="shared" si="215"/>
        <v>689.0</v>
      </c>
      <c r="CJ55" s="55">
        <f t="shared" si="195"/>
        <v>979.6891</v>
      </c>
    </row>
    <row r="56" ht="14.0">
      <c r="A56" s="96" t="s">
        <v>28</v>
      </c>
      <c r="B56" s="96" t="s">
        <v>98</v>
      </c>
      <c r="C56" s="117" t="s">
        <v>115</v>
      </c>
      <c r="D56" s="119" t="s">
        <v>116</v>
      </c>
      <c r="E56" s="96">
        <v>197.0</v>
      </c>
      <c r="F56" s="96">
        <v>258.0</v>
      </c>
      <c r="G56" s="96">
        <v>186.0</v>
      </c>
      <c r="H56" s="96">
        <v>210.0</v>
      </c>
      <c r="I56" s="96">
        <v>198.0</v>
      </c>
      <c r="J56" s="96">
        <v>187.0</v>
      </c>
      <c r="K56" s="96">
        <v>120.0</v>
      </c>
      <c r="L56" s="96">
        <v>162.0</v>
      </c>
      <c r="M56" s="96">
        <v>163.0</v>
      </c>
      <c r="N56" s="96">
        <v>150.0</v>
      </c>
      <c r="O56" s="96">
        <v>177.0</v>
      </c>
      <c r="P56" s="96">
        <v>178.0</v>
      </c>
      <c r="Q56" s="96">
        <v>274.0</v>
      </c>
      <c r="R56" s="96">
        <v>120.0</v>
      </c>
      <c r="S56" s="96">
        <v>126.0</v>
      </c>
      <c r="T56" s="96">
        <v>228.0</v>
      </c>
      <c r="U56" s="96">
        <v>102.0</v>
      </c>
      <c r="V56" s="96">
        <v>222.0</v>
      </c>
      <c r="W56" s="96">
        <v>168.0</v>
      </c>
      <c r="X56" s="96">
        <v>108.0</v>
      </c>
      <c r="Y56" s="96">
        <v>120.0</v>
      </c>
      <c r="Z56" s="96">
        <v>180.0</v>
      </c>
      <c r="AA56" s="96">
        <v>216.0</v>
      </c>
      <c r="AB56" s="96">
        <v>258.0</v>
      </c>
      <c r="AC56" s="96">
        <v>180.0</v>
      </c>
      <c r="AD56" s="96">
        <v>120.0</v>
      </c>
      <c r="AE56" s="96">
        <v>66.0</v>
      </c>
      <c r="AF56" s="96">
        <v>108.0</v>
      </c>
      <c r="AG56" s="96">
        <v>114.0</v>
      </c>
      <c r="AH56" s="96">
        <v>90.0</v>
      </c>
      <c r="AI56" s="96">
        <v>102.0</v>
      </c>
      <c r="AJ56" s="96">
        <v>96.0</v>
      </c>
      <c r="AK56" s="49">
        <v>96.0</v>
      </c>
      <c r="AL56" s="49">
        <v>108.0</v>
      </c>
      <c r="AM56" s="49">
        <v>168.0</v>
      </c>
      <c r="AN56" s="49">
        <v>138.0</v>
      </c>
      <c r="AO56" s="49">
        <v>121.0</v>
      </c>
      <c r="AP56" s="49">
        <v>66.0</v>
      </c>
      <c r="AQ56" s="49">
        <v>73.0</v>
      </c>
      <c r="AR56" s="98">
        <f t="shared" si="4"/>
        <v>1280.0</v>
      </c>
      <c r="AS56" s="98">
        <f t="shared" si="167"/>
        <v>606.0</v>
      </c>
      <c r="AT56" s="98">
        <f t="shared" si="6"/>
        <v>666.6</v>
      </c>
      <c r="AU56" s="49">
        <f>AT56*$AU$4/$AT$4+6*$AU$70+6*$AU$71</f>
        <v>98.3863636363635</v>
      </c>
      <c r="AV56" s="49">
        <f>AT56*$AV$4/$AT$4+6*$AV$70+6*$AV$71</f>
        <v>105.954545454545</v>
      </c>
      <c r="AW56" s="49">
        <f>AT56*$AW$4/$AT$4+6*$AW$70+6*$AW$71</f>
        <v>146.822727272726</v>
      </c>
      <c r="AX56" s="49">
        <f>AT56*$AX$4/$AT$4+6*$AX$70+6*$AX$71</f>
        <v>69.6272727272726</v>
      </c>
      <c r="AY56" s="49">
        <f>AT56*$AY$4/$AT$4+6*$AY$70+6*$AY$71</f>
        <v>134.713636363635</v>
      </c>
      <c r="AZ56" s="49">
        <f>AT56*$AZ$4/$AT$4+6*$AZ$70+6*$AZ$71</f>
        <v>110.495454545454</v>
      </c>
      <c r="BA56" s="51">
        <f t="shared" si="13"/>
        <v>665.999999999996</v>
      </c>
      <c r="BB56" s="51">
        <f>VLOOKUP(D56,FEB23SOH,2,false)</f>
        <v>1317.0</v>
      </c>
      <c r="BC56" s="99">
        <f>VLOOKUP(C56,UNITVALUE,5,false)</f>
        <v>1.4339</v>
      </c>
      <c r="BD56" s="53">
        <f t="shared" si="16"/>
        <v>1888.4463</v>
      </c>
      <c r="BG56" s="98">
        <f t="shared" si="202"/>
        <v>651.000000000004</v>
      </c>
      <c r="BH56" s="49">
        <f>VLOOKUP(C56,MOQ,3,false)</f>
        <v>1008.0</v>
      </c>
      <c r="BI56" s="51"/>
      <c r="BJ56" s="115"/>
      <c r="BK56" s="49">
        <f t="shared" si="204"/>
        <v>1317.0</v>
      </c>
      <c r="BM56" s="49">
        <f t="shared" si="205"/>
        <v>98.3863636363635</v>
      </c>
      <c r="BN56" s="49">
        <f t="shared" si="177"/>
      </c>
      <c r="BO56" s="100">
        <f t="shared" si="178"/>
        <v>1218.61363636363</v>
      </c>
      <c r="BP56" s="101">
        <f t="shared" si="179"/>
        <v>1747.3700931818</v>
      </c>
      <c r="BQ56" s="49">
        <f t="shared" si="206"/>
        <v>105.954545454545</v>
      </c>
      <c r="BR56" s="49">
        <f t="shared" si="181"/>
      </c>
      <c r="BS56" s="100">
        <f t="shared" si="207"/>
        <v>1112.65909090908</v>
      </c>
      <c r="BT56" s="102">
        <f t="shared" si="183"/>
        <v>1595.44187045452</v>
      </c>
      <c r="BU56" s="49">
        <f t="shared" si="208"/>
        <v>146.822727272726</v>
      </c>
      <c r="BW56" s="100">
        <f t="shared" si="209"/>
        <v>965.836363636354</v>
      </c>
      <c r="BX56" s="102">
        <f t="shared" si="186"/>
        <v>1384.91276181817</v>
      </c>
      <c r="BY56" s="49">
        <f t="shared" si="210"/>
        <v>69.6272727272726</v>
      </c>
      <c r="CA56" s="100">
        <f t="shared" si="211"/>
        <v>896.209090909081</v>
      </c>
      <c r="CB56" s="102">
        <f t="shared" si="189"/>
        <v>1285.07421545453</v>
      </c>
      <c r="CC56" s="49">
        <f t="shared" si="212"/>
        <v>134.713636363635</v>
      </c>
      <c r="CE56" s="100">
        <f t="shared" si="213"/>
        <v>761.495454545446</v>
      </c>
      <c r="CF56" s="102">
        <f t="shared" si="192"/>
        <v>1091.90833227271</v>
      </c>
      <c r="CG56" s="49">
        <f t="shared" si="214"/>
        <v>110.495454545454</v>
      </c>
      <c r="CI56" s="100">
        <f t="shared" si="215"/>
        <v>650.999999999992</v>
      </c>
      <c r="CJ56" s="55">
        <f t="shared" si="195"/>
        <v>933.468899999989</v>
      </c>
    </row>
    <row r="57" ht="14.0">
      <c r="A57" s="96" t="s">
        <v>28</v>
      </c>
      <c r="B57" s="96" t="s">
        <v>98</v>
      </c>
      <c r="C57" s="96" t="s">
        <v>117</v>
      </c>
      <c r="D57" s="97" t="s">
        <v>118</v>
      </c>
      <c r="E57" s="96">
        <v>1121.0</v>
      </c>
      <c r="F57" s="96">
        <v>0.0</v>
      </c>
      <c r="G57" s="96">
        <v>540.0</v>
      </c>
      <c r="H57" s="96">
        <v>396.0</v>
      </c>
      <c r="I57" s="96">
        <v>822.0</v>
      </c>
      <c r="J57" s="96">
        <v>372.0</v>
      </c>
      <c r="K57" s="96">
        <v>272.0</v>
      </c>
      <c r="L57" s="96">
        <v>504.0</v>
      </c>
      <c r="M57" s="96">
        <v>649.0</v>
      </c>
      <c r="N57" s="96">
        <v>380.0</v>
      </c>
      <c r="O57" s="96">
        <v>836.0</v>
      </c>
      <c r="P57" s="96">
        <v>742.0</v>
      </c>
      <c r="Q57" s="96">
        <v>919.0</v>
      </c>
      <c r="R57" s="96">
        <v>433.0</v>
      </c>
      <c r="S57" s="96">
        <v>313.0</v>
      </c>
      <c r="T57" s="96">
        <v>276.0</v>
      </c>
      <c r="U57" s="96">
        <v>0.0</v>
      </c>
      <c r="V57" s="96">
        <v>937.0</v>
      </c>
      <c r="W57" s="96">
        <v>259.0</v>
      </c>
      <c r="X57" s="96">
        <v>552.0</v>
      </c>
      <c r="Y57" s="96">
        <v>354.0</v>
      </c>
      <c r="Z57" s="96">
        <v>408.0</v>
      </c>
      <c r="AA57" s="96">
        <v>732.0</v>
      </c>
      <c r="AB57" s="96">
        <v>804.0</v>
      </c>
      <c r="AC57" s="96">
        <v>564.0</v>
      </c>
      <c r="AD57" s="96">
        <v>459.0</v>
      </c>
      <c r="AE57" s="96">
        <v>408.0</v>
      </c>
      <c r="AF57" s="96">
        <v>266.0</v>
      </c>
      <c r="AG57" s="96">
        <v>300.0</v>
      </c>
      <c r="AH57" s="96">
        <v>360.0</v>
      </c>
      <c r="AI57" s="96">
        <v>348.0</v>
      </c>
      <c r="AJ57" s="96">
        <v>173.0</v>
      </c>
      <c r="AK57" s="49">
        <v>452.0</v>
      </c>
      <c r="AL57" s="49">
        <v>150.0</v>
      </c>
      <c r="AM57" s="49">
        <v>372.0</v>
      </c>
      <c r="AN57" s="49">
        <v>576.0</v>
      </c>
      <c r="AO57" s="49">
        <v>433.0</v>
      </c>
      <c r="AP57" s="49">
        <v>276.0</v>
      </c>
      <c r="AQ57" s="49">
        <v>278.0</v>
      </c>
      <c r="AR57" s="98">
        <f t="shared" si="4"/>
        <v>3984.0</v>
      </c>
      <c r="AS57" s="98">
        <f t="shared" si="167"/>
        <v>1899.0</v>
      </c>
      <c r="AT57" s="98">
        <f t="shared" si="6"/>
        <v>2088.9</v>
      </c>
      <c r="AU57" s="49">
        <f t="shared" ref="AU57:AU58" si="265">AT57*$AU$4/$AT$4</f>
        <v>280.53409090909</v>
      </c>
      <c r="AV57" s="49">
        <f t="shared" ref="AV57:AV58" si="266">AT57*$AV$4/$AT$4</f>
        <v>302.113636363636</v>
      </c>
      <c r="AW57" s="49">
        <f t="shared" ref="AW57:AW58" si="267">AT57*$AW$4/$AT$4</f>
        <v>418.643181818181</v>
      </c>
      <c r="AX57" s="49">
        <f t="shared" ref="AX57:AX58" si="268">AT57*$AX$4/$AT$4</f>
        <v>198.531818181818</v>
      </c>
      <c r="AY57" s="49">
        <f t="shared" ref="AY57:AY58" si="269">AT57*$AY$4/$AT$4</f>
        <v>384.115909090909</v>
      </c>
      <c r="AZ57" s="49">
        <f t="shared" ref="AZ57:AZ58" si="270">AT57*$AZ$4/$AT$4</f>
        <v>315.061363636363</v>
      </c>
      <c r="BA57" s="51">
        <f t="shared" si="13"/>
        <v>1899.0</v>
      </c>
      <c r="BB57" s="51">
        <f>VLOOKUP(D57,FEB23SOH,2,false)</f>
        <v>4687.0</v>
      </c>
      <c r="BC57" s="99">
        <f>VLOOKUP(C57,UNITVALUE,5,false)</f>
        <v>1.4288</v>
      </c>
      <c r="BD57" s="53">
        <f t="shared" si="16"/>
        <v>6696.7856</v>
      </c>
      <c r="BG57" s="98">
        <f t="shared" si="202"/>
        <v>2788.0</v>
      </c>
      <c r="BH57" s="49">
        <f>VLOOKUP(C57,MOQ,3,false)</f>
        <v>1008.0</v>
      </c>
      <c r="BI57" s="51"/>
      <c r="BJ57" s="118" t="s">
        <v>32</v>
      </c>
      <c r="BK57" s="49">
        <f t="shared" si="204"/>
        <v>4687.0</v>
      </c>
      <c r="BM57" s="49">
        <f t="shared" si="205"/>
        <v>280.53409090909</v>
      </c>
      <c r="BN57" s="49">
        <f t="shared" si="177"/>
      </c>
      <c r="BO57" s="100">
        <f t="shared" si="178"/>
        <v>4406.46590909091</v>
      </c>
      <c r="BP57" s="101">
        <f t="shared" si="179"/>
        <v>6295.95849090909</v>
      </c>
      <c r="BQ57" s="49">
        <f t="shared" si="206"/>
        <v>302.113636363636</v>
      </c>
      <c r="BR57" s="49">
        <f t="shared" si="181"/>
      </c>
      <c r="BS57" s="100">
        <f t="shared" si="207"/>
        <v>4104.35227272727</v>
      </c>
      <c r="BT57" s="102">
        <f t="shared" si="183"/>
        <v>5864.29852727272</v>
      </c>
      <c r="BU57" s="49">
        <f t="shared" si="208"/>
        <v>418.643181818181</v>
      </c>
      <c r="BW57" s="100">
        <f t="shared" si="209"/>
        <v>3685.70909090909</v>
      </c>
      <c r="BX57" s="102">
        <f t="shared" si="186"/>
        <v>5266.1411490909</v>
      </c>
      <c r="BY57" s="49">
        <f t="shared" si="210"/>
        <v>198.531818181818</v>
      </c>
      <c r="CA57" s="100">
        <f t="shared" si="211"/>
        <v>3487.17727272727</v>
      </c>
      <c r="CB57" s="102">
        <f t="shared" si="189"/>
        <v>4982.47888727272</v>
      </c>
      <c r="CC57" s="49">
        <f t="shared" si="212"/>
        <v>384.115909090909</v>
      </c>
      <c r="CE57" s="100">
        <f t="shared" si="213"/>
        <v>3103.06136363636</v>
      </c>
      <c r="CF57" s="102">
        <f t="shared" si="192"/>
        <v>4433.65407636363</v>
      </c>
      <c r="CG57" s="49">
        <f t="shared" si="214"/>
        <v>315.061363636363</v>
      </c>
      <c r="CI57" s="100">
        <f t="shared" si="215"/>
        <v>2788.0</v>
      </c>
      <c r="CJ57" s="55">
        <f t="shared" si="195"/>
        <v>3983.4944</v>
      </c>
    </row>
    <row r="58" ht="14.0">
      <c r="A58" s="96" t="s">
        <v>28</v>
      </c>
      <c r="B58" s="96" t="s">
        <v>98</v>
      </c>
      <c r="C58" s="96" t="s">
        <v>119</v>
      </c>
      <c r="D58" s="97" t="s">
        <v>120</v>
      </c>
      <c r="E58" s="96">
        <v>252.0</v>
      </c>
      <c r="F58" s="96">
        <v>216.0</v>
      </c>
      <c r="G58" s="96">
        <v>187.0</v>
      </c>
      <c r="H58" s="96">
        <v>252.0</v>
      </c>
      <c r="I58" s="96">
        <v>343.0</v>
      </c>
      <c r="J58" s="96">
        <v>186.0</v>
      </c>
      <c r="K58" s="96">
        <v>253.0</v>
      </c>
      <c r="L58" s="96">
        <v>186.0</v>
      </c>
      <c r="M58" s="96">
        <v>258.0</v>
      </c>
      <c r="N58" s="96">
        <v>264.0</v>
      </c>
      <c r="O58" s="96">
        <v>348.0</v>
      </c>
      <c r="P58" s="96">
        <v>330.0</v>
      </c>
      <c r="Q58" s="96">
        <v>367.0</v>
      </c>
      <c r="R58" s="96">
        <v>240.0</v>
      </c>
      <c r="S58" s="96">
        <v>192.0</v>
      </c>
      <c r="T58" s="96">
        <v>162.0</v>
      </c>
      <c r="U58" s="96">
        <v>12.0</v>
      </c>
      <c r="V58" s="96">
        <v>258.0</v>
      </c>
      <c r="W58" s="96">
        <v>180.0</v>
      </c>
      <c r="X58" s="96">
        <v>198.0</v>
      </c>
      <c r="Y58" s="96">
        <v>240.0</v>
      </c>
      <c r="Z58" s="96">
        <v>174.0</v>
      </c>
      <c r="AA58" s="96">
        <v>211.0</v>
      </c>
      <c r="AB58" s="96">
        <v>423.0</v>
      </c>
      <c r="AC58" s="96">
        <v>162.0</v>
      </c>
      <c r="AD58" s="96">
        <v>150.0</v>
      </c>
      <c r="AE58" s="96">
        <v>138.0</v>
      </c>
      <c r="AF58" s="96">
        <v>186.0</v>
      </c>
      <c r="AG58" s="96">
        <v>96.0</v>
      </c>
      <c r="AH58" s="96">
        <v>134.0</v>
      </c>
      <c r="AI58" s="96">
        <v>90.0</v>
      </c>
      <c r="AJ58" s="96">
        <v>37.0</v>
      </c>
      <c r="AK58" s="49">
        <v>98.0</v>
      </c>
      <c r="AL58" s="49">
        <v>102.0</v>
      </c>
      <c r="AM58" s="49">
        <v>174.0</v>
      </c>
      <c r="AN58" s="49">
        <v>306.0</v>
      </c>
      <c r="AO58" s="49">
        <v>198.0</v>
      </c>
      <c r="AP58" s="49">
        <v>48.0</v>
      </c>
      <c r="AQ58" s="49">
        <v>139.0</v>
      </c>
      <c r="AR58" s="98">
        <f t="shared" si="4"/>
        <v>1608.0</v>
      </c>
      <c r="AS58" s="98">
        <f t="shared" si="167"/>
        <v>641.0</v>
      </c>
      <c r="AT58" s="98">
        <f t="shared" si="6"/>
        <v>705.1</v>
      </c>
      <c r="AU58" s="49">
        <f t="shared" si="265"/>
        <v>94.6931818181818</v>
      </c>
      <c r="AV58" s="49">
        <f t="shared" si="266"/>
        <v>101.977272727272</v>
      </c>
      <c r="AW58" s="49">
        <f t="shared" si="267"/>
        <v>141.311363636363</v>
      </c>
      <c r="AX58" s="49">
        <f t="shared" si="268"/>
        <v>67.0136363636363</v>
      </c>
      <c r="AY58" s="49">
        <f t="shared" si="269"/>
        <v>129.656818181818</v>
      </c>
      <c r="AZ58" s="49">
        <f t="shared" si="270"/>
        <v>106.347727272727</v>
      </c>
      <c r="BA58" s="51">
        <f t="shared" si="13"/>
        <v>640.999999999998</v>
      </c>
      <c r="BB58" s="51">
        <f>VLOOKUP(D58,FEB23SOH,2,false)</f>
        <v>1949.0</v>
      </c>
      <c r="BC58" s="99">
        <f>VLOOKUP(C58,UNITVALUE,5,false)</f>
        <v>1.4095</v>
      </c>
      <c r="BD58" s="53">
        <f t="shared" si="16"/>
        <v>2747.1155</v>
      </c>
      <c r="BG58" s="98">
        <f t="shared" si="202"/>
        <v>1308.0</v>
      </c>
      <c r="BH58" s="49">
        <f>VLOOKUP(C58,MOQ,3,false)</f>
        <v>1008.0</v>
      </c>
      <c r="BI58" s="51"/>
      <c r="BJ58" s="118" t="s">
        <v>32</v>
      </c>
      <c r="BK58" s="49">
        <f t="shared" si="204"/>
        <v>1949.0</v>
      </c>
      <c r="BM58" s="49">
        <f t="shared" si="205"/>
        <v>94.6931818181818</v>
      </c>
      <c r="BN58" s="49">
        <f t="shared" si="177"/>
      </c>
      <c r="BO58" s="100">
        <f t="shared" si="178"/>
        <v>1854.30681818181</v>
      </c>
      <c r="BP58" s="101">
        <f t="shared" si="179"/>
        <v>2613.64546022726</v>
      </c>
      <c r="BQ58" s="49">
        <f t="shared" si="206"/>
        <v>101.977272727272</v>
      </c>
      <c r="BR58" s="49">
        <f t="shared" si="181"/>
      </c>
      <c r="BS58" s="100">
        <f t="shared" si="207"/>
        <v>1752.32954545453</v>
      </c>
      <c r="BT58" s="102">
        <f t="shared" si="183"/>
        <v>2469.90849431816</v>
      </c>
      <c r="BU58" s="49">
        <f t="shared" si="208"/>
        <v>141.311363636363</v>
      </c>
      <c r="BW58" s="100">
        <f t="shared" si="209"/>
        <v>1611.01818181817</v>
      </c>
      <c r="BX58" s="102">
        <f t="shared" si="186"/>
        <v>2270.73012727271</v>
      </c>
      <c r="BY58" s="49">
        <f t="shared" si="210"/>
        <v>67.0136363636363</v>
      </c>
      <c r="CA58" s="100">
        <f t="shared" si="211"/>
        <v>1544.00454545453</v>
      </c>
      <c r="CB58" s="102">
        <f t="shared" si="189"/>
        <v>2176.27440681816</v>
      </c>
      <c r="CC58" s="49">
        <f t="shared" si="212"/>
        <v>129.656818181818</v>
      </c>
      <c r="CE58" s="100">
        <f t="shared" si="213"/>
        <v>1414.34772727271</v>
      </c>
      <c r="CF58" s="102">
        <f t="shared" si="192"/>
        <v>1993.52312159088</v>
      </c>
      <c r="CG58" s="49">
        <f t="shared" si="214"/>
        <v>106.347727272727</v>
      </c>
      <c r="CI58" s="100">
        <f t="shared" si="215"/>
        <v>1307.99999999998</v>
      </c>
      <c r="CJ58" s="55">
        <f t="shared" si="195"/>
        <v>1843.62599999997</v>
      </c>
    </row>
    <row r="59" ht="14.0">
      <c r="A59" s="96" t="s">
        <v>28</v>
      </c>
      <c r="B59" s="96" t="s">
        <v>98</v>
      </c>
      <c r="C59" s="117" t="s">
        <v>121</v>
      </c>
      <c r="D59" s="97" t="s">
        <v>122</v>
      </c>
      <c r="E59" s="96">
        <v>476.0</v>
      </c>
      <c r="F59" s="96">
        <v>331.0</v>
      </c>
      <c r="G59" s="96">
        <v>372.0</v>
      </c>
      <c r="H59" s="96">
        <v>168.0</v>
      </c>
      <c r="I59" s="96">
        <v>0.0</v>
      </c>
      <c r="J59" s="96">
        <v>187.0</v>
      </c>
      <c r="K59" s="96">
        <v>278.0</v>
      </c>
      <c r="L59" s="96">
        <v>270.0</v>
      </c>
      <c r="M59" s="96">
        <v>301.0</v>
      </c>
      <c r="N59" s="96">
        <v>366.0</v>
      </c>
      <c r="O59" s="96">
        <v>283.0</v>
      </c>
      <c r="P59" s="96">
        <v>512.0</v>
      </c>
      <c r="Q59" s="96">
        <v>583.0</v>
      </c>
      <c r="R59" s="96">
        <v>330.0</v>
      </c>
      <c r="S59" s="96">
        <v>410.0</v>
      </c>
      <c r="T59" s="96">
        <v>82.0</v>
      </c>
      <c r="U59" s="96">
        <v>0.0</v>
      </c>
      <c r="V59" s="96">
        <v>510.0</v>
      </c>
      <c r="W59" s="96">
        <v>198.0</v>
      </c>
      <c r="X59" s="96">
        <v>276.0</v>
      </c>
      <c r="Y59" s="96">
        <v>312.0</v>
      </c>
      <c r="Z59" s="96">
        <v>246.0</v>
      </c>
      <c r="AA59" s="96">
        <v>318.0</v>
      </c>
      <c r="AB59" s="96">
        <v>450.0</v>
      </c>
      <c r="AC59" s="96">
        <v>187.0</v>
      </c>
      <c r="AD59" s="96">
        <v>253.0</v>
      </c>
      <c r="AE59" s="96">
        <v>237.0</v>
      </c>
      <c r="AF59" s="96">
        <v>378.0</v>
      </c>
      <c r="AG59" s="96">
        <v>246.0</v>
      </c>
      <c r="AH59" s="96">
        <v>241.0</v>
      </c>
      <c r="AI59" s="96">
        <v>224.0</v>
      </c>
      <c r="AJ59" s="96">
        <v>234.0</v>
      </c>
      <c r="AK59" s="49">
        <v>204.0</v>
      </c>
      <c r="AL59" s="49">
        <v>156.0</v>
      </c>
      <c r="AM59" s="49">
        <v>216.0</v>
      </c>
      <c r="AN59" s="49">
        <v>324.0</v>
      </c>
      <c r="AO59" s="49">
        <v>282.0</v>
      </c>
      <c r="AP59" s="49">
        <v>126.0</v>
      </c>
      <c r="AQ59" s="49">
        <v>285.0</v>
      </c>
      <c r="AR59" s="98">
        <f t="shared" si="4"/>
        <v>2916.0</v>
      </c>
      <c r="AS59" s="98">
        <f t="shared" si="167"/>
        <v>1527.0</v>
      </c>
      <c r="AT59" s="98">
        <f t="shared" si="6"/>
        <v>1679.7</v>
      </c>
      <c r="AU59" s="49">
        <f t="shared" ref="AU59:AU60" si="271">AT59*$AU$4/$AT$4+6*$AU$70</f>
        <v>233.556818181818</v>
      </c>
      <c r="AV59" s="49">
        <f t="shared" ref="AV59:AV60" si="272">AT59*$AV$4/$AT$4+6*$AV$70</f>
        <v>251.522727272727</v>
      </c>
      <c r="AW59" s="49">
        <f t="shared" ref="AW59:AW60" si="273">AT59*$AW$4/$AT$4+6*$AW$70</f>
        <v>348.538636363635</v>
      </c>
      <c r="AX59" s="49">
        <f t="shared" ref="AX59:AX60" si="274">AT59*$AX$4/$AT$4+6*$AX$70</f>
        <v>165.286363636363</v>
      </c>
      <c r="AY59" s="49">
        <f t="shared" ref="AY59:AY60" si="275">AT59*$AY$4/$AT$4+6*$AY$70</f>
        <v>319.793181818181</v>
      </c>
      <c r="AZ59" s="49">
        <f t="shared" ref="AZ59:AZ60" si="276">AT59*$AZ$4/$AT$4+6*$AZ$70</f>
        <v>262.302272727271</v>
      </c>
      <c r="BA59" s="51">
        <f t="shared" si="13"/>
        <v>1581.0</v>
      </c>
      <c r="BB59" s="51">
        <f>VLOOKUP(D59,FEB23SOH,2,false)</f>
        <v>2248.0</v>
      </c>
      <c r="BC59" s="99">
        <f>VLOOKUP(C59,UNITVALUE,5,false)</f>
        <v>1.429</v>
      </c>
      <c r="BD59" s="53">
        <f t="shared" si="16"/>
        <v>3212.392</v>
      </c>
      <c r="BG59" s="98">
        <f t="shared" si="202"/>
        <v>667.0</v>
      </c>
      <c r="BH59" s="49">
        <f>VLOOKUP(C59,MOQ,3,false)</f>
        <v>1008.0</v>
      </c>
      <c r="BI59" s="51"/>
      <c r="BJ59" s="118" t="s">
        <v>32</v>
      </c>
      <c r="BK59" s="49">
        <f t="shared" si="204"/>
        <v>2248.0</v>
      </c>
      <c r="BM59" s="49">
        <f t="shared" si="205"/>
        <v>233.556818181818</v>
      </c>
      <c r="BN59" s="49">
        <f t="shared" si="177"/>
      </c>
      <c r="BO59" s="100">
        <f t="shared" si="178"/>
        <v>2014.44318181818</v>
      </c>
      <c r="BP59" s="101">
        <f t="shared" si="179"/>
        <v>2878.63930681818</v>
      </c>
      <c r="BQ59" s="49">
        <f t="shared" si="206"/>
        <v>251.522727272727</v>
      </c>
      <c r="BR59" s="49">
        <f t="shared" si="181"/>
      </c>
      <c r="BS59" s="100">
        <f t="shared" si="207"/>
        <v>1762.92045454545</v>
      </c>
      <c r="BT59" s="102">
        <f t="shared" si="183"/>
        <v>2519.21332954544</v>
      </c>
      <c r="BU59" s="49">
        <f t="shared" si="208"/>
        <v>348.538636363635</v>
      </c>
      <c r="BW59" s="100">
        <f t="shared" si="209"/>
        <v>1414.38181818181</v>
      </c>
      <c r="BX59" s="102">
        <f t="shared" si="186"/>
        <v>2021.1516181818</v>
      </c>
      <c r="BY59" s="49">
        <f t="shared" si="210"/>
        <v>165.286363636363</v>
      </c>
      <c r="CA59" s="100">
        <f t="shared" si="211"/>
        <v>1249.09545454544</v>
      </c>
      <c r="CB59" s="102">
        <f t="shared" si="189"/>
        <v>1784.95740454543</v>
      </c>
      <c r="CC59" s="49">
        <f t="shared" si="212"/>
        <v>319.793181818181</v>
      </c>
      <c r="CE59" s="100">
        <f t="shared" si="213"/>
        <v>929.302272727259</v>
      </c>
      <c r="CF59" s="102">
        <f t="shared" si="192"/>
        <v>1327.97294772725</v>
      </c>
      <c r="CG59" s="49">
        <f t="shared" si="214"/>
        <v>262.302272727271</v>
      </c>
      <c r="CI59" s="100">
        <f t="shared" si="215"/>
        <v>666.999999999988</v>
      </c>
      <c r="CJ59" s="55">
        <f t="shared" si="195"/>
        <v>953.142999999982</v>
      </c>
    </row>
    <row r="60" ht="14.0">
      <c r="A60" s="96" t="s">
        <v>28</v>
      </c>
      <c r="B60" s="96" t="s">
        <v>98</v>
      </c>
      <c r="C60" s="117" t="s">
        <v>123</v>
      </c>
      <c r="D60" s="97" t="s">
        <v>124</v>
      </c>
      <c r="E60" s="96">
        <v>295.0</v>
      </c>
      <c r="F60" s="96">
        <v>192.0</v>
      </c>
      <c r="G60" s="96">
        <v>108.0</v>
      </c>
      <c r="H60" s="96">
        <v>186.0</v>
      </c>
      <c r="I60" s="96">
        <v>138.0</v>
      </c>
      <c r="J60" s="96">
        <v>174.0</v>
      </c>
      <c r="K60" s="96">
        <v>103.0</v>
      </c>
      <c r="L60" s="96">
        <v>150.0</v>
      </c>
      <c r="M60" s="96">
        <v>180.0</v>
      </c>
      <c r="N60" s="96">
        <v>168.0</v>
      </c>
      <c r="O60" s="96">
        <v>162.0</v>
      </c>
      <c r="P60" s="96">
        <v>118.0</v>
      </c>
      <c r="Q60" s="96">
        <v>193.0</v>
      </c>
      <c r="R60" s="96">
        <v>194.0</v>
      </c>
      <c r="S60" s="96">
        <v>132.0</v>
      </c>
      <c r="T60" s="96">
        <v>162.0</v>
      </c>
      <c r="U60" s="96">
        <v>84.0</v>
      </c>
      <c r="V60" s="96">
        <v>114.0</v>
      </c>
      <c r="W60" s="96">
        <v>42.0</v>
      </c>
      <c r="X60" s="96">
        <v>66.0</v>
      </c>
      <c r="Y60" s="96">
        <v>120.0</v>
      </c>
      <c r="Z60" s="96">
        <v>120.0</v>
      </c>
      <c r="AA60" s="96">
        <v>90.0</v>
      </c>
      <c r="AB60" s="96">
        <v>198.0</v>
      </c>
      <c r="AC60" s="96">
        <v>90.0</v>
      </c>
      <c r="AD60" s="96">
        <v>114.0</v>
      </c>
      <c r="AE60" s="96">
        <v>102.0</v>
      </c>
      <c r="AF60" s="96">
        <v>126.0</v>
      </c>
      <c r="AG60" s="96">
        <v>54.0</v>
      </c>
      <c r="AH60" s="96">
        <v>73.0</v>
      </c>
      <c r="AI60" s="96">
        <v>97.0</v>
      </c>
      <c r="AJ60" s="96">
        <v>54.0</v>
      </c>
      <c r="AK60" s="49">
        <v>78.0</v>
      </c>
      <c r="AL60" s="49">
        <v>30.0</v>
      </c>
      <c r="AM60" s="49">
        <v>78.0</v>
      </c>
      <c r="AN60" s="49">
        <v>174.0</v>
      </c>
      <c r="AO60" s="49">
        <v>72.0</v>
      </c>
      <c r="AP60" s="49">
        <v>36.0</v>
      </c>
      <c r="AQ60" s="49">
        <v>37.0</v>
      </c>
      <c r="AR60" s="98">
        <f t="shared" si="4"/>
        <v>909.0</v>
      </c>
      <c r="AS60" s="98">
        <f t="shared" si="167"/>
        <v>482.0</v>
      </c>
      <c r="AT60" s="98">
        <f t="shared" si="6"/>
        <v>530.2</v>
      </c>
      <c r="AU60" s="49">
        <f t="shared" si="271"/>
        <v>79.1818181818181</v>
      </c>
      <c r="AV60" s="49">
        <f t="shared" si="272"/>
        <v>85.2727272727271</v>
      </c>
      <c r="AW60" s="49">
        <f t="shared" si="273"/>
        <v>118.163636363635</v>
      </c>
      <c r="AX60" s="49">
        <f t="shared" si="274"/>
        <v>56.0363636363635</v>
      </c>
      <c r="AY60" s="49">
        <f t="shared" si="275"/>
        <v>108.418181818181</v>
      </c>
      <c r="AZ60" s="49">
        <f t="shared" si="276"/>
        <v>88.9272727272727</v>
      </c>
      <c r="BA60" s="51">
        <f t="shared" si="13"/>
        <v>535.999999999997</v>
      </c>
      <c r="BB60" s="51">
        <f>VLOOKUP(D60,FEB23SOH,2,false)</f>
        <v>1480.0</v>
      </c>
      <c r="BC60" s="99">
        <f>VLOOKUP(C60,UNITVALUE,5,false)</f>
        <v>1.4136</v>
      </c>
      <c r="BD60" s="53">
        <f t="shared" si="16"/>
        <v>2092.128</v>
      </c>
      <c r="BG60" s="98">
        <f t="shared" si="202"/>
        <v>944.000000000003</v>
      </c>
      <c r="BH60" s="49">
        <f>VLOOKUP(C60,MOQ,3,false)</f>
        <v>1008.0</v>
      </c>
      <c r="BI60" s="51"/>
      <c r="BJ60" s="115"/>
      <c r="BK60" s="49">
        <f t="shared" si="204"/>
        <v>1480.0</v>
      </c>
      <c r="BM60" s="49">
        <f t="shared" si="205"/>
        <v>79.1818181818181</v>
      </c>
      <c r="BN60" s="49">
        <f t="shared" si="177"/>
      </c>
      <c r="BO60" s="100">
        <f t="shared" si="178"/>
        <v>1400.81818181818</v>
      </c>
      <c r="BP60" s="101">
        <f t="shared" si="179"/>
        <v>1980.19658181818</v>
      </c>
      <c r="BQ60" s="49">
        <f t="shared" si="206"/>
        <v>85.2727272727271</v>
      </c>
      <c r="BR60" s="49">
        <f t="shared" si="181"/>
      </c>
      <c r="BS60" s="100">
        <f t="shared" si="207"/>
        <v>1315.54545454545</v>
      </c>
      <c r="BT60" s="102">
        <f t="shared" si="183"/>
        <v>1859.65505454544</v>
      </c>
      <c r="BU60" s="49">
        <f t="shared" si="208"/>
        <v>118.163636363635</v>
      </c>
      <c r="BW60" s="100">
        <f t="shared" si="209"/>
        <v>1197.38181818181</v>
      </c>
      <c r="BX60" s="102">
        <f t="shared" si="186"/>
        <v>1692.6189381818</v>
      </c>
      <c r="BY60" s="49">
        <f t="shared" si="210"/>
        <v>56.0363636363635</v>
      </c>
      <c r="CA60" s="100">
        <f t="shared" si="211"/>
        <v>1141.34545454544</v>
      </c>
      <c r="CB60" s="102">
        <f t="shared" si="189"/>
        <v>1613.40593454543</v>
      </c>
      <c r="CC60" s="49">
        <f t="shared" si="212"/>
        <v>108.418181818181</v>
      </c>
      <c r="CE60" s="100">
        <f t="shared" si="213"/>
        <v>1032.92727272726</v>
      </c>
      <c r="CF60" s="102">
        <f t="shared" si="192"/>
        <v>1460.14599272725</v>
      </c>
      <c r="CG60" s="49">
        <f t="shared" si="214"/>
        <v>88.9272727272727</v>
      </c>
      <c r="CI60" s="100">
        <f t="shared" si="215"/>
        <v>943.999999999987</v>
      </c>
      <c r="CJ60" s="55">
        <f t="shared" si="195"/>
        <v>1334.43839999998</v>
      </c>
    </row>
    <row r="61" ht="14.0">
      <c r="A61" s="96" t="s">
        <v>28</v>
      </c>
      <c r="B61" s="96" t="s">
        <v>98</v>
      </c>
      <c r="C61" s="96" t="s">
        <v>125</v>
      </c>
      <c r="D61" s="97" t="s">
        <v>126</v>
      </c>
      <c r="E61" s="96">
        <v>228.0</v>
      </c>
      <c r="F61" s="96">
        <v>132.0</v>
      </c>
      <c r="G61" s="96">
        <v>140.0</v>
      </c>
      <c r="H61" s="96">
        <v>140.0</v>
      </c>
      <c r="I61" s="96">
        <v>146.0</v>
      </c>
      <c r="J61" s="96">
        <v>186.0</v>
      </c>
      <c r="K61" s="96">
        <v>114.0</v>
      </c>
      <c r="L61" s="96">
        <v>126.0</v>
      </c>
      <c r="M61" s="96">
        <v>138.0</v>
      </c>
      <c r="N61" s="96">
        <v>144.0</v>
      </c>
      <c r="O61" s="96">
        <v>132.0</v>
      </c>
      <c r="P61" s="96">
        <v>150.0</v>
      </c>
      <c r="Q61" s="96">
        <v>103.0</v>
      </c>
      <c r="R61" s="96">
        <v>144.0</v>
      </c>
      <c r="S61" s="96">
        <v>156.0</v>
      </c>
      <c r="T61" s="96">
        <v>168.0</v>
      </c>
      <c r="U61" s="96">
        <v>77.0</v>
      </c>
      <c r="V61" s="96">
        <v>72.0</v>
      </c>
      <c r="W61" s="96">
        <v>60.0</v>
      </c>
      <c r="X61" s="96">
        <v>48.0</v>
      </c>
      <c r="Y61" s="96">
        <v>48.0</v>
      </c>
      <c r="Z61" s="96">
        <v>96.0</v>
      </c>
      <c r="AA61" s="96">
        <v>138.0</v>
      </c>
      <c r="AB61" s="96">
        <v>180.0</v>
      </c>
      <c r="AC61" s="96">
        <v>72.0</v>
      </c>
      <c r="AD61" s="96">
        <v>61.0</v>
      </c>
      <c r="AE61" s="96">
        <v>42.0</v>
      </c>
      <c r="AF61" s="96">
        <v>90.0</v>
      </c>
      <c r="AG61" s="96">
        <v>54.0</v>
      </c>
      <c r="AH61" s="96">
        <v>61.0</v>
      </c>
      <c r="AI61" s="96">
        <v>30.0</v>
      </c>
      <c r="AJ61" s="96">
        <v>96.0</v>
      </c>
      <c r="AK61" s="49">
        <v>48.0</v>
      </c>
      <c r="AL61" s="49">
        <v>54.0</v>
      </c>
      <c r="AM61" s="49">
        <v>96.0</v>
      </c>
      <c r="AN61" s="49">
        <v>138.0</v>
      </c>
      <c r="AO61" s="49">
        <v>72.0</v>
      </c>
      <c r="AP61" s="49">
        <v>30.0</v>
      </c>
      <c r="AQ61" s="49">
        <v>88.0</v>
      </c>
      <c r="AR61" s="98">
        <f t="shared" si="4"/>
        <v>857.0</v>
      </c>
      <c r="AS61" s="98">
        <f t="shared" si="167"/>
        <v>379.0</v>
      </c>
      <c r="AT61" s="98">
        <f t="shared" si="6"/>
        <v>416.9</v>
      </c>
      <c r="AU61" s="49">
        <f t="shared" ref="AU61:AU62" si="277">AT61*$AU$4/$AT$4</f>
        <v>55.9886363636363</v>
      </c>
      <c r="AV61" s="49">
        <f t="shared" ref="AV61:AV62" si="278">AT61*$AV$4/$AT$4</f>
        <v>60.2954545454546</v>
      </c>
      <c r="AW61" s="49">
        <f t="shared" ref="AW61:AW62" si="279">AT61*$AW$4/$AT$4</f>
        <v>83.5522727272727</v>
      </c>
      <c r="AX61" s="49">
        <f t="shared" ref="AX61:AX62" si="280">AT61*$AX$4/$AT$4</f>
        <v>39.6227272727272</v>
      </c>
      <c r="AY61" s="49">
        <f t="shared" ref="AY61:AY62" si="281">AT61*$AY$4/$AT$4</f>
        <v>76.6613636363637</v>
      </c>
      <c r="AZ61" s="49">
        <f t="shared" ref="AZ61:AZ62" si="282">AT61*$AZ$4/$AT$4</f>
        <v>62.8795454545454</v>
      </c>
      <c r="BA61" s="51">
        <f t="shared" si="13"/>
        <v>379.0</v>
      </c>
      <c r="BB61" s="51">
        <f>VLOOKUP(D61,FEB23SOH,2,false)</f>
        <v>1011.0</v>
      </c>
      <c r="BC61" s="99">
        <f>VLOOKUP(C61,UNITVALUE,5,false)</f>
        <v>1.4099</v>
      </c>
      <c r="BD61" s="53">
        <f t="shared" si="16"/>
        <v>1425.4089</v>
      </c>
      <c r="BG61" s="98">
        <f t="shared" si="202"/>
        <v>632.0</v>
      </c>
      <c r="BH61" s="49">
        <f>VLOOKUP(C61,MOQ,3,false)</f>
        <v>1008.0</v>
      </c>
      <c r="BI61" s="51"/>
      <c r="BJ61" s="115"/>
      <c r="BK61" s="49">
        <f t="shared" si="204"/>
        <v>1011.0</v>
      </c>
      <c r="BM61" s="49">
        <f t="shared" si="205"/>
        <v>55.9886363636363</v>
      </c>
      <c r="BN61" s="49">
        <f t="shared" si="177"/>
      </c>
      <c r="BO61" s="100">
        <f t="shared" si="178"/>
        <v>955.011363636363</v>
      </c>
      <c r="BP61" s="101">
        <f t="shared" si="179"/>
        <v>1346.4705215909</v>
      </c>
      <c r="BQ61" s="49">
        <f t="shared" si="206"/>
        <v>60.2954545454546</v>
      </c>
      <c r="BR61" s="49">
        <f t="shared" si="181"/>
      </c>
      <c r="BS61" s="100">
        <f t="shared" si="207"/>
        <v>894.715909090908</v>
      </c>
      <c r="BT61" s="102">
        <f t="shared" si="183"/>
        <v>1261.45996022727</v>
      </c>
      <c r="BU61" s="49">
        <f t="shared" si="208"/>
        <v>83.5522727272727</v>
      </c>
      <c r="BW61" s="100">
        <f t="shared" si="209"/>
        <v>811.163636363635</v>
      </c>
      <c r="BX61" s="102">
        <f t="shared" si="186"/>
        <v>1143.65961090909</v>
      </c>
      <c r="BY61" s="49">
        <f t="shared" si="210"/>
        <v>39.6227272727272</v>
      </c>
      <c r="CA61" s="100">
        <f t="shared" si="211"/>
        <v>771.540909090908</v>
      </c>
      <c r="CB61" s="102">
        <f t="shared" si="189"/>
        <v>1087.79552772727</v>
      </c>
      <c r="CC61" s="49">
        <f t="shared" si="212"/>
        <v>76.6613636363637</v>
      </c>
      <c r="CE61" s="100">
        <f t="shared" si="213"/>
        <v>694.879545454544</v>
      </c>
      <c r="CF61" s="102">
        <f t="shared" si="192"/>
        <v>979.710671136361</v>
      </c>
      <c r="CG61" s="49">
        <f t="shared" si="214"/>
        <v>62.8795454545454</v>
      </c>
      <c r="CI61" s="100">
        <f t="shared" si="215"/>
        <v>631.999999999999</v>
      </c>
      <c r="CJ61" s="55">
        <f t="shared" si="195"/>
        <v>891.056799999999</v>
      </c>
    </row>
    <row r="62" ht="14.0">
      <c r="A62" s="96" t="s">
        <v>28</v>
      </c>
      <c r="B62" s="96" t="s">
        <v>98</v>
      </c>
      <c r="C62" s="96" t="s">
        <v>127</v>
      </c>
      <c r="D62" s="97" t="s">
        <v>128</v>
      </c>
      <c r="E62" s="96">
        <v>0.0</v>
      </c>
      <c r="F62" s="96">
        <v>0.0</v>
      </c>
      <c r="G62" s="96">
        <v>0.0</v>
      </c>
      <c r="H62" s="96">
        <v>0.0</v>
      </c>
      <c r="I62" s="96">
        <v>0.0</v>
      </c>
      <c r="J62" s="96">
        <v>0.0</v>
      </c>
      <c r="K62" s="96">
        <v>222.0</v>
      </c>
      <c r="L62" s="96">
        <v>366.0</v>
      </c>
      <c r="M62" s="96">
        <v>266.0</v>
      </c>
      <c r="N62" s="96">
        <v>381.0</v>
      </c>
      <c r="O62" s="96">
        <v>324.0</v>
      </c>
      <c r="P62" s="96">
        <v>306.0</v>
      </c>
      <c r="Q62" s="96">
        <v>354.0</v>
      </c>
      <c r="R62" s="96">
        <v>240.0</v>
      </c>
      <c r="S62" s="96">
        <v>246.0</v>
      </c>
      <c r="T62" s="96">
        <v>136.0</v>
      </c>
      <c r="U62" s="96">
        <v>0.0</v>
      </c>
      <c r="V62" s="96">
        <v>270.0</v>
      </c>
      <c r="W62" s="96">
        <v>132.0</v>
      </c>
      <c r="X62" s="96">
        <v>150.0</v>
      </c>
      <c r="Y62" s="96">
        <v>192.0</v>
      </c>
      <c r="Z62" s="96">
        <v>192.0</v>
      </c>
      <c r="AA62" s="96">
        <v>198.0</v>
      </c>
      <c r="AB62" s="96">
        <v>336.0</v>
      </c>
      <c r="AC62" s="96">
        <v>180.0</v>
      </c>
      <c r="AD62" s="96">
        <v>180.0</v>
      </c>
      <c r="AE62" s="96">
        <v>138.0</v>
      </c>
      <c r="AF62" s="96">
        <v>174.0</v>
      </c>
      <c r="AG62" s="96">
        <v>120.0</v>
      </c>
      <c r="AH62" s="96">
        <v>144.0</v>
      </c>
      <c r="AI62" s="96">
        <v>120.0</v>
      </c>
      <c r="AJ62" s="96">
        <v>138.0</v>
      </c>
      <c r="AK62" s="49">
        <v>132.0</v>
      </c>
      <c r="AL62" s="49">
        <v>109.0</v>
      </c>
      <c r="AM62" s="49">
        <v>180.0</v>
      </c>
      <c r="AN62" s="49">
        <v>246.0</v>
      </c>
      <c r="AO62" s="49">
        <v>174.0</v>
      </c>
      <c r="AP62" s="49">
        <v>90.0</v>
      </c>
      <c r="AQ62" s="49">
        <v>139.0</v>
      </c>
      <c r="AR62" s="98">
        <f t="shared" si="4"/>
        <v>1766.0</v>
      </c>
      <c r="AS62" s="98">
        <f t="shared" si="167"/>
        <v>828.0</v>
      </c>
      <c r="AT62" s="98">
        <f t="shared" si="6"/>
        <v>910.8</v>
      </c>
      <c r="AU62" s="49">
        <f t="shared" si="277"/>
        <v>122.318181818181</v>
      </c>
      <c r="AV62" s="49">
        <f t="shared" si="278"/>
        <v>131.727272727272</v>
      </c>
      <c r="AW62" s="49">
        <f t="shared" si="279"/>
        <v>182.536363636363</v>
      </c>
      <c r="AX62" s="49">
        <f t="shared" si="280"/>
        <v>86.5636363636363</v>
      </c>
      <c r="AY62" s="49">
        <f t="shared" si="281"/>
        <v>167.481818181818</v>
      </c>
      <c r="AZ62" s="49">
        <f t="shared" si="282"/>
        <v>137.372727272727</v>
      </c>
      <c r="BA62" s="51">
        <f t="shared" si="13"/>
        <v>827.999999999997</v>
      </c>
      <c r="BB62" s="51">
        <f>VLOOKUP(D62,FEB23SOH,2,false)</f>
        <v>1339.0</v>
      </c>
      <c r="BC62" s="99">
        <f>VLOOKUP(C62,UNITVALUE,5,false)</f>
        <v>1.4203</v>
      </c>
      <c r="BD62" s="53">
        <f t="shared" si="16"/>
        <v>1901.7817</v>
      </c>
      <c r="BG62" s="98">
        <f t="shared" si="202"/>
        <v>511.000000000002</v>
      </c>
      <c r="BH62" s="49">
        <f>VLOOKUP(C62,MOQ,3,false)</f>
        <v>1008.0</v>
      </c>
      <c r="BI62" s="51"/>
      <c r="BJ62" s="115"/>
      <c r="BK62" s="49">
        <f t="shared" si="204"/>
        <v>1339.0</v>
      </c>
      <c r="BM62" s="49">
        <f t="shared" si="205"/>
        <v>122.318181818181</v>
      </c>
      <c r="BN62" s="49">
        <f t="shared" si="177"/>
      </c>
      <c r="BO62" s="100">
        <f t="shared" si="178"/>
        <v>1216.68181818181</v>
      </c>
      <c r="BP62" s="101">
        <f t="shared" si="179"/>
        <v>1728.05318636362</v>
      </c>
      <c r="BQ62" s="49">
        <f t="shared" si="206"/>
        <v>131.727272727272</v>
      </c>
      <c r="BR62" s="49">
        <f t="shared" si="181"/>
      </c>
      <c r="BS62" s="100">
        <f t="shared" si="207"/>
        <v>1084.95454545453</v>
      </c>
      <c r="BT62" s="102">
        <f t="shared" si="183"/>
        <v>1540.96094090907</v>
      </c>
      <c r="BU62" s="49">
        <f t="shared" si="208"/>
        <v>182.536363636363</v>
      </c>
      <c r="BW62" s="100">
        <f t="shared" si="209"/>
        <v>902.418181818167</v>
      </c>
      <c r="BX62" s="102">
        <f t="shared" si="186"/>
        <v>1281.70454363634</v>
      </c>
      <c r="BY62" s="49">
        <f t="shared" si="210"/>
        <v>86.5636363636363</v>
      </c>
      <c r="CA62" s="100">
        <f t="shared" si="211"/>
        <v>815.85454545453</v>
      </c>
      <c r="CB62" s="102">
        <f t="shared" si="189"/>
        <v>1158.75821090907</v>
      </c>
      <c r="CC62" s="49">
        <f t="shared" si="212"/>
        <v>167.481818181818</v>
      </c>
      <c r="CE62" s="100">
        <f t="shared" si="213"/>
        <v>648.372727272712</v>
      </c>
      <c r="CF62" s="102">
        <f t="shared" si="192"/>
        <v>920.883784545432</v>
      </c>
      <c r="CG62" s="49">
        <f t="shared" si="214"/>
        <v>137.372727272727</v>
      </c>
      <c r="CI62" s="100">
        <f t="shared" si="215"/>
        <v>510.999999999985</v>
      </c>
      <c r="CJ62" s="55">
        <f t="shared" si="195"/>
        <v>725.773299999979</v>
      </c>
    </row>
    <row r="63" ht="14.0">
      <c r="A63" s="96" t="s">
        <v>28</v>
      </c>
      <c r="B63" s="96" t="s">
        <v>98</v>
      </c>
      <c r="C63" s="117" t="s">
        <v>129</v>
      </c>
      <c r="D63" s="119" t="s">
        <v>130</v>
      </c>
      <c r="E63" s="96">
        <v>0.0</v>
      </c>
      <c r="F63" s="96">
        <v>0.0</v>
      </c>
      <c r="G63" s="96">
        <v>0.0</v>
      </c>
      <c r="H63" s="96">
        <v>0.0</v>
      </c>
      <c r="I63" s="96">
        <v>0.0</v>
      </c>
      <c r="J63" s="96">
        <v>0.0</v>
      </c>
      <c r="K63" s="96">
        <v>204.0</v>
      </c>
      <c r="L63" s="96">
        <v>294.0</v>
      </c>
      <c r="M63" s="96">
        <v>211.0</v>
      </c>
      <c r="N63" s="96">
        <v>298.0</v>
      </c>
      <c r="O63" s="96">
        <v>300.0</v>
      </c>
      <c r="P63" s="96">
        <v>252.0</v>
      </c>
      <c r="Q63" s="96">
        <v>313.0</v>
      </c>
      <c r="R63" s="96">
        <v>174.0</v>
      </c>
      <c r="S63" s="96">
        <v>168.0</v>
      </c>
      <c r="T63" s="96">
        <v>288.0</v>
      </c>
      <c r="U63" s="96">
        <v>180.0</v>
      </c>
      <c r="V63" s="96">
        <v>156.0</v>
      </c>
      <c r="W63" s="96">
        <v>102.0</v>
      </c>
      <c r="X63" s="96">
        <v>114.0</v>
      </c>
      <c r="Y63" s="96">
        <v>156.0</v>
      </c>
      <c r="Z63" s="96">
        <v>120.0</v>
      </c>
      <c r="AA63" s="96">
        <v>192.0</v>
      </c>
      <c r="AB63" s="96">
        <v>264.0</v>
      </c>
      <c r="AC63" s="96">
        <v>156.0</v>
      </c>
      <c r="AD63" s="96">
        <v>78.0</v>
      </c>
      <c r="AE63" s="96">
        <v>120.0</v>
      </c>
      <c r="AF63" s="96">
        <v>132.0</v>
      </c>
      <c r="AG63" s="96">
        <v>138.0</v>
      </c>
      <c r="AH63" s="96">
        <v>132.0</v>
      </c>
      <c r="AI63" s="96">
        <v>78.0</v>
      </c>
      <c r="AJ63" s="96">
        <v>78.0</v>
      </c>
      <c r="AK63" s="49">
        <v>102.0</v>
      </c>
      <c r="AL63" s="49">
        <v>133.0</v>
      </c>
      <c r="AM63" s="49">
        <v>144.0</v>
      </c>
      <c r="AN63" s="49">
        <v>162.0</v>
      </c>
      <c r="AO63" s="49">
        <v>174.0</v>
      </c>
      <c r="AP63" s="49">
        <v>36.0</v>
      </c>
      <c r="AQ63" s="49">
        <v>73.0</v>
      </c>
      <c r="AR63" s="98">
        <f t="shared" si="4"/>
        <v>1382.0</v>
      </c>
      <c r="AS63" s="98">
        <f t="shared" si="167"/>
        <v>660.0</v>
      </c>
      <c r="AT63" s="98">
        <f t="shared" si="6"/>
        <v>726.0</v>
      </c>
      <c r="AU63" s="49">
        <f>AT63*$AU$4/$AT$4+6*$AU$70+6*$AU$71</f>
        <v>106.36363636363</v>
      </c>
      <c r="AV63" s="49">
        <f>AT63*$AV$4/$AT$4+6*$AV$70+6*$AV$71</f>
        <v>114.545454545454</v>
      </c>
      <c r="AW63" s="49">
        <f>AT63*$AW$4/$AT$4+6*$AW$70+6*$AW$71</f>
        <v>158.727272727272</v>
      </c>
      <c r="AX63" s="49">
        <f>AT63*$AX$4/$AT$4+6*$AX$70+6*$AX$71</f>
        <v>75.2727272727272</v>
      </c>
      <c r="AY63" s="49">
        <f>AT63*$AY$4/$AT$4+6*$AY$70+6*$AY$71</f>
        <v>145.636363636363</v>
      </c>
      <c r="AZ63" s="49">
        <f>AT63*$AZ$4/$AT$4+6*$AZ$70+6*$AZ$71</f>
        <v>119.454545454544</v>
      </c>
      <c r="BA63" s="51">
        <f t="shared" si="13"/>
        <v>719.99999999999</v>
      </c>
      <c r="BB63" s="51">
        <f>VLOOKUP(D63,FEB23SOH,2,false)</f>
        <v>1925.0</v>
      </c>
      <c r="BC63" s="99">
        <f>VLOOKUP(C63,UNITVALUE,5,false)</f>
        <v>1.4402</v>
      </c>
      <c r="BD63" s="53">
        <f t="shared" si="16"/>
        <v>2772.385</v>
      </c>
      <c r="BG63" s="98">
        <f t="shared" si="202"/>
        <v>1205.00000000001</v>
      </c>
      <c r="BH63" s="49">
        <f>VLOOKUP(C63,MOQ,3,false)</f>
        <v>1008.0</v>
      </c>
      <c r="BI63" s="51"/>
      <c r="BJ63" s="50"/>
      <c r="BK63" s="49">
        <f t="shared" si="204"/>
        <v>1925.0</v>
      </c>
      <c r="BM63" s="49">
        <f t="shared" si="205"/>
        <v>106.36363636363</v>
      </c>
      <c r="BN63" s="49">
        <f t="shared" si="177"/>
      </c>
      <c r="BO63" s="100">
        <f t="shared" si="178"/>
        <v>1818.63636363637</v>
      </c>
      <c r="BP63" s="101">
        <f t="shared" si="179"/>
        <v>2619.2000909091</v>
      </c>
      <c r="BQ63" s="49">
        <f t="shared" si="206"/>
        <v>114.545454545454</v>
      </c>
      <c r="BR63" s="49">
        <f t="shared" si="181"/>
      </c>
      <c r="BS63" s="100">
        <f t="shared" si="207"/>
        <v>1704.09090909091</v>
      </c>
      <c r="BT63" s="102">
        <f t="shared" si="183"/>
        <v>2454.23172727272</v>
      </c>
      <c r="BU63" s="49">
        <f t="shared" si="208"/>
        <v>158.727272727272</v>
      </c>
      <c r="BW63" s="100">
        <f t="shared" si="209"/>
        <v>1545.36363636363</v>
      </c>
      <c r="BX63" s="102">
        <f t="shared" si="186"/>
        <v>2225.6327090909</v>
      </c>
      <c r="BY63" s="49">
        <f t="shared" si="210"/>
        <v>75.2727272727272</v>
      </c>
      <c r="CA63" s="100">
        <f t="shared" si="211"/>
        <v>1470.0909090909</v>
      </c>
      <c r="CB63" s="102">
        <f t="shared" si="189"/>
        <v>2117.22492727271</v>
      </c>
      <c r="CC63" s="49">
        <f t="shared" si="212"/>
        <v>145.636363636363</v>
      </c>
      <c r="CE63" s="100">
        <f t="shared" si="213"/>
        <v>1324.45454545453</v>
      </c>
      <c r="CF63" s="102">
        <f t="shared" si="192"/>
        <v>1907.47943636361</v>
      </c>
      <c r="CG63" s="49">
        <f t="shared" si="214"/>
        <v>119.454545454544</v>
      </c>
      <c r="CI63" s="100">
        <f t="shared" si="215"/>
        <v>1204.99999999999</v>
      </c>
      <c r="CJ63" s="55">
        <f t="shared" si="195"/>
        <v>1735.44099999999</v>
      </c>
    </row>
    <row r="64" ht="14.0">
      <c r="A64" s="96" t="s">
        <v>28</v>
      </c>
      <c r="B64" s="96" t="s">
        <v>98</v>
      </c>
      <c r="C64" s="96" t="s">
        <v>131</v>
      </c>
      <c r="D64" s="97" t="s">
        <v>132</v>
      </c>
      <c r="E64" s="96">
        <v>0.0</v>
      </c>
      <c r="F64" s="96">
        <v>0.0</v>
      </c>
      <c r="G64" s="96">
        <v>0.0</v>
      </c>
      <c r="H64" s="96">
        <v>0.0</v>
      </c>
      <c r="I64" s="96">
        <v>0.0</v>
      </c>
      <c r="J64" s="96">
        <v>0.0</v>
      </c>
      <c r="K64" s="96">
        <v>114.0</v>
      </c>
      <c r="L64" s="96">
        <v>216.0</v>
      </c>
      <c r="M64" s="96">
        <v>156.0</v>
      </c>
      <c r="N64" s="96">
        <v>230.0</v>
      </c>
      <c r="O64" s="96">
        <v>241.0</v>
      </c>
      <c r="P64" s="96">
        <v>217.0</v>
      </c>
      <c r="Q64" s="96">
        <v>248.0</v>
      </c>
      <c r="R64" s="96">
        <v>204.0</v>
      </c>
      <c r="S64" s="96">
        <v>180.0</v>
      </c>
      <c r="T64" s="96">
        <v>33.0</v>
      </c>
      <c r="U64" s="96">
        <v>0.0</v>
      </c>
      <c r="V64" s="96">
        <v>252.0</v>
      </c>
      <c r="W64" s="96">
        <v>96.0</v>
      </c>
      <c r="X64" s="96">
        <v>84.0</v>
      </c>
      <c r="Y64" s="96">
        <v>126.0</v>
      </c>
      <c r="Z64" s="96">
        <v>126.0</v>
      </c>
      <c r="AA64" s="96">
        <v>246.0</v>
      </c>
      <c r="AB64" s="96">
        <v>221.0</v>
      </c>
      <c r="AC64" s="96">
        <v>126.0</v>
      </c>
      <c r="AD64" s="96">
        <v>96.0</v>
      </c>
      <c r="AE64" s="96">
        <v>114.0</v>
      </c>
      <c r="AF64" s="96">
        <v>138.0</v>
      </c>
      <c r="AG64" s="96">
        <v>66.0</v>
      </c>
      <c r="AH64" s="96">
        <v>102.0</v>
      </c>
      <c r="AI64" s="96">
        <v>42.0</v>
      </c>
      <c r="AJ64" s="96">
        <v>90.0</v>
      </c>
      <c r="AK64" s="49">
        <v>126.0</v>
      </c>
      <c r="AL64" s="49">
        <v>96.0</v>
      </c>
      <c r="AM64" s="49">
        <v>126.0</v>
      </c>
      <c r="AN64" s="49">
        <v>156.0</v>
      </c>
      <c r="AO64" s="49">
        <v>96.0</v>
      </c>
      <c r="AP64" s="49">
        <v>48.0</v>
      </c>
      <c r="AQ64" s="49">
        <v>124.0</v>
      </c>
      <c r="AR64" s="98">
        <f t="shared" si="4"/>
        <v>1210.0</v>
      </c>
      <c r="AS64" s="98">
        <f t="shared" si="167"/>
        <v>564.0</v>
      </c>
      <c r="AT64" s="98">
        <f t="shared" si="6"/>
        <v>620.4</v>
      </c>
      <c r="AU64" s="49">
        <f>AT64*$AU$4/$AT$4</f>
        <v>83.3181818181818</v>
      </c>
      <c r="AV64" s="49">
        <f>AT64*$AV$4/$AT$4</f>
        <v>89.7272727272727</v>
      </c>
      <c r="AW64" s="49">
        <f>AT64*$AW$4/$AT$4</f>
        <v>124.336363636363</v>
      </c>
      <c r="AX64" s="49">
        <f>AT64*$AX$4/$AT$4</f>
        <v>58.9636363636363</v>
      </c>
      <c r="AY64" s="49">
        <f>AT64*$AY$4/$AT$4</f>
        <v>114.081818181818</v>
      </c>
      <c r="AZ64" s="49">
        <f>AT64*$AZ$4/$AT$4</f>
        <v>93.5727272727272</v>
      </c>
      <c r="BA64" s="51">
        <f t="shared" si="13"/>
        <v>563.999999999999</v>
      </c>
      <c r="BB64" s="51">
        <f>VLOOKUP(D64,FEB23SOH,2,false)</f>
        <v>1356.0</v>
      </c>
      <c r="BC64" s="99">
        <f>VLOOKUP(C64,UNITVALUE,5,false)</f>
        <v>1.4362</v>
      </c>
      <c r="BD64" s="53">
        <f t="shared" si="16"/>
        <v>1947.4872</v>
      </c>
      <c r="BG64" s="98">
        <f t="shared" si="202"/>
        <v>792.000000000001</v>
      </c>
      <c r="BH64" s="49">
        <f>VLOOKUP(C64,MOQ,3,false)</f>
        <v>1008.0</v>
      </c>
      <c r="BI64" s="51"/>
      <c r="BJ64" s="115"/>
      <c r="BK64" s="49">
        <f t="shared" si="204"/>
        <v>1356.0</v>
      </c>
      <c r="BM64" s="49">
        <f t="shared" si="205"/>
        <v>83.3181818181818</v>
      </c>
      <c r="BN64" s="49">
        <f t="shared" si="177"/>
      </c>
      <c r="BO64" s="100">
        <f t="shared" si="178"/>
        <v>1272.68181818181</v>
      </c>
      <c r="BP64" s="101">
        <f t="shared" si="179"/>
        <v>1827.82562727271</v>
      </c>
      <c r="BQ64" s="49">
        <f t="shared" si="206"/>
        <v>89.7272727272727</v>
      </c>
      <c r="BR64" s="49">
        <f t="shared" si="181"/>
      </c>
      <c r="BS64" s="100">
        <f t="shared" si="207"/>
        <v>1182.95454545453</v>
      </c>
      <c r="BT64" s="102">
        <f t="shared" si="183"/>
        <v>1698.9593181818</v>
      </c>
      <c r="BU64" s="49">
        <f t="shared" si="208"/>
        <v>124.336363636363</v>
      </c>
      <c r="BW64" s="100">
        <f t="shared" si="209"/>
        <v>1058.6181818181</v>
      </c>
      <c r="BX64" s="102">
        <f t="shared" si="186"/>
        <v>1520.38743272716</v>
      </c>
      <c r="BY64" s="49">
        <f t="shared" si="210"/>
        <v>58.9636363636363</v>
      </c>
      <c r="CA64" s="100">
        <f t="shared" si="211"/>
        <v>999.654545454463</v>
      </c>
      <c r="CB64" s="102">
        <f t="shared" si="189"/>
        <v>1435.7038581817</v>
      </c>
      <c r="CC64" s="49">
        <f t="shared" si="212"/>
        <v>114.081818181818</v>
      </c>
      <c r="CE64" s="100">
        <f t="shared" si="213"/>
        <v>885.572727272645</v>
      </c>
      <c r="CF64" s="102">
        <f t="shared" si="192"/>
        <v>1271.85955090897</v>
      </c>
      <c r="CG64" s="49">
        <f t="shared" si="214"/>
        <v>93.5727272727272</v>
      </c>
      <c r="CI64" s="100">
        <f t="shared" si="215"/>
        <v>791.999999999918</v>
      </c>
      <c r="CJ64" s="55">
        <f t="shared" si="195"/>
        <v>1137.47039999988</v>
      </c>
    </row>
    <row r="65" ht="14.0">
      <c r="A65" s="96" t="s">
        <v>28</v>
      </c>
      <c r="B65" s="96" t="s">
        <v>98</v>
      </c>
      <c r="C65" s="96" t="s">
        <v>133</v>
      </c>
      <c r="D65" s="97" t="s">
        <v>134</v>
      </c>
      <c r="E65" s="96">
        <v>0.0</v>
      </c>
      <c r="F65" s="96">
        <v>0.0</v>
      </c>
      <c r="G65" s="96">
        <v>0.0</v>
      </c>
      <c r="H65" s="96">
        <v>0.0</v>
      </c>
      <c r="I65" s="96">
        <v>0.0</v>
      </c>
      <c r="J65" s="96">
        <v>0.0</v>
      </c>
      <c r="K65" s="96">
        <v>0.0</v>
      </c>
      <c r="L65" s="96">
        <v>0.0</v>
      </c>
      <c r="M65" s="96">
        <v>0.0</v>
      </c>
      <c r="N65" s="96">
        <v>0.0</v>
      </c>
      <c r="O65" s="96">
        <v>0.0</v>
      </c>
      <c r="P65" s="96">
        <v>0.0</v>
      </c>
      <c r="Q65" s="96">
        <v>0.0</v>
      </c>
      <c r="R65" s="96">
        <v>0.0</v>
      </c>
      <c r="S65" s="96">
        <v>0.0</v>
      </c>
      <c r="T65" s="96">
        <v>0.0</v>
      </c>
      <c r="U65" s="96">
        <v>0.0</v>
      </c>
      <c r="V65" s="96">
        <v>0.0</v>
      </c>
      <c r="W65" s="96">
        <v>0.0</v>
      </c>
      <c r="X65" s="96">
        <v>0.0</v>
      </c>
      <c r="Y65" s="96">
        <v>0.0</v>
      </c>
      <c r="Z65" s="96">
        <v>252.0</v>
      </c>
      <c r="AA65" s="96">
        <v>336.0</v>
      </c>
      <c r="AB65" s="96">
        <v>420.0</v>
      </c>
      <c r="AC65" s="96">
        <v>0.0</v>
      </c>
      <c r="AD65" s="96">
        <v>0.0</v>
      </c>
      <c r="AE65" s="96">
        <v>0.0</v>
      </c>
      <c r="AF65" s="96">
        <v>90.0</v>
      </c>
      <c r="AG65" s="96">
        <v>126.0</v>
      </c>
      <c r="AH65" s="96">
        <v>108.0</v>
      </c>
      <c r="AI65" s="96">
        <v>78.0</v>
      </c>
      <c r="AJ65" s="96">
        <v>132.0</v>
      </c>
      <c r="AK65" s="49">
        <v>84.0</v>
      </c>
      <c r="AL65" s="49">
        <v>84.0</v>
      </c>
      <c r="AM65" s="49">
        <v>132.0</v>
      </c>
      <c r="AN65" s="49">
        <v>168.0</v>
      </c>
      <c r="AO65" s="49">
        <v>120.0</v>
      </c>
      <c r="AP65" s="49">
        <v>49.0</v>
      </c>
      <c r="AQ65" s="49">
        <v>66.0</v>
      </c>
      <c r="AR65" s="98">
        <f t="shared" si="4"/>
        <v>1237.0</v>
      </c>
      <c r="AS65" s="98">
        <f t="shared" si="167"/>
        <v>618.0</v>
      </c>
      <c r="AT65" s="98">
        <f t="shared" si="6"/>
        <v>679.8</v>
      </c>
      <c r="AU65" s="49">
        <f t="shared" ref="AU65:AU69" si="295">AT65*$AU$4/$AT$3</f>
        <v>71.7321428571429</v>
      </c>
      <c r="AV65" s="49">
        <f t="shared" ref="AV65:AV69" si="296">AT65*$AV$4/$AT$3</f>
        <v>77.25</v>
      </c>
      <c r="AW65" s="49">
        <f t="shared" ref="AW65:AW69" si="297">AT65*$AW$4/$AT$3</f>
        <v>107.04642857142</v>
      </c>
      <c r="AX65" s="49">
        <f t="shared" ref="AX65:AX69" si="298">AT65*$AX$4/$AT$3</f>
        <v>50.7642857142857</v>
      </c>
      <c r="AY65" s="49">
        <f t="shared" ref="AY65:AY69" si="299">AT65*$AY$4/$AT$3</f>
        <v>98.2178571428571</v>
      </c>
      <c r="AZ65" s="49">
        <f t="shared" ref="AZ65:AZ69" si="300">AT65*$AZ$4/$AT$3</f>
        <v>80.5607142857142</v>
      </c>
      <c r="BA65" s="51">
        <f t="shared" si="13"/>
        <v>485.57142857142</v>
      </c>
      <c r="BB65" s="51">
        <f>VLOOKUP(D65,FEB23SOH,2,false)</f>
        <v>1799.0</v>
      </c>
      <c r="BC65" s="99">
        <f>VLOOKUP(C65,UNITVALUE,5,false)</f>
        <v>1.4095</v>
      </c>
      <c r="BD65" s="53">
        <f t="shared" si="16"/>
        <v>2535.6905</v>
      </c>
      <c r="BG65" s="98">
        <f t="shared" si="202"/>
        <v>1313.42857142858</v>
      </c>
      <c r="BH65" s="49">
        <v>1008.0</v>
      </c>
      <c r="BI65" s="51"/>
      <c r="BJ65" s="50"/>
      <c r="BK65" s="49">
        <f t="shared" si="204"/>
        <v>1799.0</v>
      </c>
      <c r="BM65" s="49">
        <f t="shared" si="205"/>
        <v>71.7321428571429</v>
      </c>
      <c r="BN65" s="49">
        <f t="shared" si="177"/>
      </c>
      <c r="BO65" s="100">
        <f t="shared" si="178"/>
        <v>1727.26785714286</v>
      </c>
      <c r="BP65" s="101">
        <f t="shared" si="179"/>
        <v>2434.58404464286</v>
      </c>
      <c r="BQ65" s="49">
        <f t="shared" si="206"/>
        <v>77.25</v>
      </c>
      <c r="BR65" s="49">
        <f t="shared" si="181"/>
      </c>
      <c r="BS65" s="100">
        <f t="shared" si="207"/>
        <v>1650.01785714286</v>
      </c>
      <c r="BT65" s="102">
        <f t="shared" si="183"/>
        <v>2325.70016964286</v>
      </c>
      <c r="BU65" s="49">
        <f t="shared" si="208"/>
        <v>107.04642857142</v>
      </c>
      <c r="BW65" s="100">
        <f t="shared" si="209"/>
        <v>1542.97142857144</v>
      </c>
      <c r="BX65" s="102">
        <f t="shared" si="186"/>
        <v>2174.81822857144</v>
      </c>
      <c r="BY65" s="49">
        <f t="shared" si="210"/>
        <v>50.7642857142857</v>
      </c>
      <c r="CA65" s="100">
        <f t="shared" si="211"/>
        <v>1492.20714285715</v>
      </c>
      <c r="CB65" s="102">
        <f t="shared" si="189"/>
        <v>2103.26596785715</v>
      </c>
      <c r="CC65" s="49">
        <f t="shared" si="212"/>
        <v>98.2178571428571</v>
      </c>
      <c r="CE65" s="100">
        <f t="shared" si="213"/>
        <v>1393.98928571429</v>
      </c>
      <c r="CF65" s="102">
        <f t="shared" si="192"/>
        <v>1964.82789821429</v>
      </c>
      <c r="CG65" s="49">
        <f t="shared" si="214"/>
        <v>80.5607142857142</v>
      </c>
      <c r="CI65" s="100">
        <f t="shared" si="215"/>
        <v>1313.42857142858</v>
      </c>
      <c r="CJ65" s="55">
        <f t="shared" si="195"/>
        <v>1851.27757142858</v>
      </c>
    </row>
    <row r="66" ht="14.0">
      <c r="A66" s="96" t="s">
        <v>28</v>
      </c>
      <c r="B66" s="96" t="s">
        <v>98</v>
      </c>
      <c r="C66" s="96" t="s">
        <v>135</v>
      </c>
      <c r="D66" s="97" t="s">
        <v>136</v>
      </c>
      <c r="E66" s="96">
        <v>0.0</v>
      </c>
      <c r="F66" s="96">
        <v>0.0</v>
      </c>
      <c r="G66" s="96">
        <v>0.0</v>
      </c>
      <c r="H66" s="96">
        <v>0.0</v>
      </c>
      <c r="I66" s="96">
        <v>0.0</v>
      </c>
      <c r="J66" s="96">
        <v>0.0</v>
      </c>
      <c r="K66" s="96">
        <v>0.0</v>
      </c>
      <c r="L66" s="96">
        <v>0.0</v>
      </c>
      <c r="M66" s="96">
        <v>0.0</v>
      </c>
      <c r="N66" s="96">
        <v>0.0</v>
      </c>
      <c r="O66" s="96">
        <v>0.0</v>
      </c>
      <c r="P66" s="96">
        <v>0.0</v>
      </c>
      <c r="Q66" s="96">
        <v>0.0</v>
      </c>
      <c r="R66" s="96">
        <v>0.0</v>
      </c>
      <c r="S66" s="96">
        <v>0.0</v>
      </c>
      <c r="T66" s="96">
        <v>0.0</v>
      </c>
      <c r="U66" s="96">
        <v>0.0</v>
      </c>
      <c r="V66" s="96">
        <v>0.0</v>
      </c>
      <c r="W66" s="96">
        <v>0.0</v>
      </c>
      <c r="X66" s="96">
        <v>0.0</v>
      </c>
      <c r="Y66" s="96">
        <v>0.0</v>
      </c>
      <c r="Z66" s="96">
        <v>0.0</v>
      </c>
      <c r="AA66" s="96">
        <v>0.0</v>
      </c>
      <c r="AB66" s="96">
        <v>0.0</v>
      </c>
      <c r="AC66" s="96">
        <v>0.0</v>
      </c>
      <c r="AD66" s="96">
        <v>0.0</v>
      </c>
      <c r="AE66" s="96">
        <v>0.0</v>
      </c>
      <c r="AF66" s="96">
        <v>102.0</v>
      </c>
      <c r="AG66" s="96">
        <v>144.0</v>
      </c>
      <c r="AH66" s="96">
        <v>168.0</v>
      </c>
      <c r="AI66" s="96">
        <v>92.0</v>
      </c>
      <c r="AJ66" s="96">
        <v>90.0</v>
      </c>
      <c r="AK66" s="49">
        <v>84.0</v>
      </c>
      <c r="AL66" s="49">
        <v>72.0</v>
      </c>
      <c r="AM66" s="49">
        <v>114.0</v>
      </c>
      <c r="AN66" s="49">
        <v>136.0</v>
      </c>
      <c r="AO66" s="49">
        <v>96.0</v>
      </c>
      <c r="AP66" s="49">
        <v>31.0</v>
      </c>
      <c r="AQ66" s="49">
        <v>102.0</v>
      </c>
      <c r="AR66" s="98">
        <f t="shared" si="4"/>
        <v>1231.0</v>
      </c>
      <c r="AS66" s="98">
        <f t="shared" si="167"/>
        <v>680.0</v>
      </c>
      <c r="AT66" s="98">
        <f t="shared" si="6"/>
        <v>748.0</v>
      </c>
      <c r="AU66" s="49">
        <f t="shared" si="295"/>
        <v>78.9285714285714</v>
      </c>
      <c r="AV66" s="49">
        <f t="shared" si="296"/>
        <v>85.0</v>
      </c>
      <c r="AW66" s="49">
        <f t="shared" si="297"/>
        <v>117.785714285714</v>
      </c>
      <c r="AX66" s="49">
        <f t="shared" si="298"/>
        <v>55.8571428571429</v>
      </c>
      <c r="AY66" s="49">
        <f t="shared" si="299"/>
        <v>108.071428571429</v>
      </c>
      <c r="AZ66" s="49">
        <f t="shared" si="300"/>
        <v>88.6428571428571</v>
      </c>
      <c r="BA66" s="51">
        <f t="shared" si="13"/>
        <v>534.285714285714</v>
      </c>
      <c r="BB66" s="51">
        <f>VLOOKUP(D66,FEB23SOH,2,false)</f>
        <v>803.0</v>
      </c>
      <c r="BC66" s="99">
        <f>VLOOKUP(C66,UNITVALUE,5,false)</f>
        <v>1.474</v>
      </c>
      <c r="BD66" s="53">
        <f t="shared" si="16"/>
        <v>1183.622</v>
      </c>
      <c r="BG66" s="98">
        <f t="shared" si="202"/>
        <v>268.714285714286</v>
      </c>
      <c r="BH66" s="49">
        <v>1008.0</v>
      </c>
      <c r="BI66" s="51"/>
      <c r="BJ66" s="50"/>
      <c r="BK66" s="49">
        <f t="shared" si="204"/>
        <v>803.0</v>
      </c>
      <c r="BM66" s="49">
        <f t="shared" si="205"/>
        <v>78.9285714285714</v>
      </c>
      <c r="BN66" s="49">
        <f t="shared" si="177"/>
      </c>
      <c r="BO66" s="100">
        <f t="shared" si="178"/>
        <v>724.071428571429</v>
      </c>
      <c r="BP66" s="101">
        <f t="shared" si="179"/>
        <v>1067.28128571429</v>
      </c>
      <c r="BQ66" s="49">
        <f t="shared" si="206"/>
        <v>85.0</v>
      </c>
      <c r="BR66" s="49">
        <f t="shared" si="181"/>
      </c>
      <c r="BS66" s="100">
        <f t="shared" si="207"/>
        <v>639.071428571429</v>
      </c>
      <c r="BT66" s="102">
        <f t="shared" si="183"/>
        <v>941.991285714286</v>
      </c>
      <c r="BU66" s="49">
        <f t="shared" si="208"/>
        <v>117.785714285714</v>
      </c>
      <c r="BW66" s="100">
        <f t="shared" si="209"/>
        <v>521.285714285715</v>
      </c>
      <c r="BX66" s="102">
        <f t="shared" si="186"/>
        <v>768.375142857143</v>
      </c>
      <c r="BY66" s="49">
        <f t="shared" si="210"/>
        <v>55.8571428571429</v>
      </c>
      <c r="CA66" s="100">
        <f t="shared" si="211"/>
        <v>465.428571428572</v>
      </c>
      <c r="CB66" s="102">
        <f t="shared" si="189"/>
        <v>686.041714285715</v>
      </c>
      <c r="CC66" s="49">
        <f t="shared" si="212"/>
        <v>108.071428571429</v>
      </c>
      <c r="CE66" s="100">
        <f t="shared" si="213"/>
        <v>357.357142857143</v>
      </c>
      <c r="CF66" s="102">
        <f t="shared" si="192"/>
        <v>526.744428571429</v>
      </c>
      <c r="CG66" s="49">
        <f t="shared" si="214"/>
        <v>88.6428571428571</v>
      </c>
      <c r="CI66" s="100">
        <f t="shared" si="215"/>
        <v>268.714285714286</v>
      </c>
      <c r="CJ66" s="55">
        <f t="shared" si="195"/>
        <v>396.084857142858</v>
      </c>
    </row>
    <row r="67" ht="14.0">
      <c r="A67" s="96" t="s">
        <v>28</v>
      </c>
      <c r="B67" s="96" t="s">
        <v>98</v>
      </c>
      <c r="C67" s="96" t="s">
        <v>137</v>
      </c>
      <c r="D67" s="97" t="s">
        <v>138</v>
      </c>
      <c r="E67" s="96">
        <v>0.0</v>
      </c>
      <c r="F67" s="96">
        <v>0.0</v>
      </c>
      <c r="G67" s="96">
        <v>0.0</v>
      </c>
      <c r="H67" s="96">
        <v>0.0</v>
      </c>
      <c r="I67" s="96">
        <v>0.0</v>
      </c>
      <c r="J67" s="96">
        <v>0.0</v>
      </c>
      <c r="K67" s="96">
        <v>0.0</v>
      </c>
      <c r="L67" s="96">
        <v>0.0</v>
      </c>
      <c r="M67" s="96">
        <v>0.0</v>
      </c>
      <c r="N67" s="96">
        <v>0.0</v>
      </c>
      <c r="O67" s="96">
        <v>0.0</v>
      </c>
      <c r="P67" s="96">
        <v>0.0</v>
      </c>
      <c r="Q67" s="96">
        <v>0.0</v>
      </c>
      <c r="R67" s="96">
        <v>0.0</v>
      </c>
      <c r="S67" s="96">
        <v>0.0</v>
      </c>
      <c r="T67" s="96">
        <v>0.0</v>
      </c>
      <c r="U67" s="96">
        <v>0.0</v>
      </c>
      <c r="V67" s="96">
        <v>0.0</v>
      </c>
      <c r="W67" s="96">
        <v>0.0</v>
      </c>
      <c r="X67" s="96">
        <v>0.0</v>
      </c>
      <c r="Y67" s="96">
        <v>0.0</v>
      </c>
      <c r="Z67" s="96">
        <v>0.0</v>
      </c>
      <c r="AA67" s="96">
        <v>0.0</v>
      </c>
      <c r="AB67" s="96">
        <v>0.0</v>
      </c>
      <c r="AC67" s="96">
        <v>0.0</v>
      </c>
      <c r="AD67" s="96">
        <v>0.0</v>
      </c>
      <c r="AE67" s="96">
        <v>0.0</v>
      </c>
      <c r="AF67" s="96">
        <v>126.0</v>
      </c>
      <c r="AG67" s="96">
        <v>168.0</v>
      </c>
      <c r="AH67" s="96">
        <v>180.0</v>
      </c>
      <c r="AI67" s="96">
        <v>104.0</v>
      </c>
      <c r="AJ67" s="96">
        <v>84.0</v>
      </c>
      <c r="AK67" s="49">
        <v>90.0</v>
      </c>
      <c r="AL67" s="49">
        <v>72.0</v>
      </c>
      <c r="AM67" s="49">
        <v>138.0</v>
      </c>
      <c r="AN67" s="49">
        <v>40.0</v>
      </c>
      <c r="AO67" s="49">
        <v>102.0</v>
      </c>
      <c r="AP67" s="49">
        <v>50.0</v>
      </c>
      <c r="AQ67" s="49">
        <v>66.0</v>
      </c>
      <c r="AR67" s="98">
        <f t="shared" si="4"/>
        <v>1220.0</v>
      </c>
      <c r="AS67" s="98">
        <f t="shared" si="167"/>
        <v>752.0</v>
      </c>
      <c r="AT67" s="98">
        <f t="shared" si="6"/>
        <v>827.2</v>
      </c>
      <c r="AU67" s="49">
        <f t="shared" si="295"/>
        <v>87.2857142857142</v>
      </c>
      <c r="AV67" s="49">
        <f t="shared" si="296"/>
        <v>94.0</v>
      </c>
      <c r="AW67" s="49">
        <f t="shared" si="297"/>
        <v>130.257142857142</v>
      </c>
      <c r="AX67" s="49">
        <f t="shared" si="298"/>
        <v>61.7714285714286</v>
      </c>
      <c r="AY67" s="49">
        <f t="shared" si="299"/>
        <v>119.5142857142</v>
      </c>
      <c r="AZ67" s="49">
        <f t="shared" si="300"/>
        <v>98.0285714285714</v>
      </c>
      <c r="BA67" s="51">
        <f t="shared" si="13"/>
        <v>590.857142857056</v>
      </c>
      <c r="BB67" s="51">
        <f>VLOOKUP(D67,FEB23SOH,2,false)</f>
        <v>802.0</v>
      </c>
      <c r="BC67" s="99">
        <f>VLOOKUP(C67,UNITVALUE,5,false)</f>
        <v>1.4741</v>
      </c>
      <c r="BD67" s="53">
        <f t="shared" si="16"/>
        <v>1182.2282</v>
      </c>
      <c r="BG67" s="98">
        <f t="shared" si="202"/>
        <v>211.142857142943</v>
      </c>
      <c r="BH67" s="49">
        <v>1008.0</v>
      </c>
      <c r="BI67" s="51"/>
      <c r="BJ67" s="50"/>
      <c r="BK67" s="49">
        <f t="shared" si="204"/>
        <v>802.0</v>
      </c>
      <c r="BM67" s="49">
        <f t="shared" si="205"/>
        <v>87.2857142857142</v>
      </c>
      <c r="BN67" s="49">
        <f t="shared" si="177"/>
      </c>
      <c r="BO67" s="100">
        <f t="shared" si="178"/>
        <v>714.714285714286</v>
      </c>
      <c r="BP67" s="101">
        <f t="shared" si="179"/>
        <v>1053.56032857142</v>
      </c>
      <c r="BQ67" s="49">
        <f t="shared" si="206"/>
        <v>94.0</v>
      </c>
      <c r="BR67" s="49">
        <f t="shared" si="181"/>
      </c>
      <c r="BS67" s="100">
        <f t="shared" si="207"/>
        <v>620.714285714286</v>
      </c>
      <c r="BT67" s="102">
        <f t="shared" si="183"/>
        <v>914.994928571429</v>
      </c>
      <c r="BU67" s="49">
        <f t="shared" si="208"/>
        <v>130.257142857142</v>
      </c>
      <c r="BW67" s="100">
        <f t="shared" si="209"/>
        <v>490.457142857144</v>
      </c>
      <c r="BX67" s="102">
        <f t="shared" si="186"/>
        <v>722.982874285716</v>
      </c>
      <c r="BY67" s="49">
        <f t="shared" si="210"/>
        <v>61.7714285714286</v>
      </c>
      <c r="CA67" s="100">
        <f t="shared" si="211"/>
        <v>428.685714285715</v>
      </c>
      <c r="CB67" s="102">
        <f t="shared" si="189"/>
        <v>631.925611428572</v>
      </c>
      <c r="CC67" s="49">
        <f t="shared" si="212"/>
        <v>119.5142857142</v>
      </c>
      <c r="CE67" s="100">
        <f t="shared" si="213"/>
        <v>309.171428571515</v>
      </c>
      <c r="CF67" s="102">
        <f t="shared" si="192"/>
        <v>455.74960285727</v>
      </c>
      <c r="CG67" s="49">
        <f t="shared" si="214"/>
        <v>98.0285714285714</v>
      </c>
      <c r="CI67" s="100">
        <f t="shared" si="215"/>
        <v>211.142857142943</v>
      </c>
      <c r="CJ67" s="55">
        <f t="shared" si="195"/>
        <v>311.245685714412</v>
      </c>
    </row>
    <row r="68" ht="14.0">
      <c r="A68" s="96" t="s">
        <v>28</v>
      </c>
      <c r="B68" s="96" t="s">
        <v>98</v>
      </c>
      <c r="C68" s="96" t="s">
        <v>139</v>
      </c>
      <c r="D68" s="97" t="s">
        <v>140</v>
      </c>
      <c r="E68" s="96">
        <v>0.0</v>
      </c>
      <c r="F68" s="96">
        <v>0.0</v>
      </c>
      <c r="G68" s="96">
        <v>0.0</v>
      </c>
      <c r="H68" s="96">
        <v>0.0</v>
      </c>
      <c r="I68" s="96">
        <v>0.0</v>
      </c>
      <c r="J68" s="96">
        <v>0.0</v>
      </c>
      <c r="K68" s="96">
        <v>0.0</v>
      </c>
      <c r="L68" s="96">
        <v>0.0</v>
      </c>
      <c r="M68" s="96">
        <v>0.0</v>
      </c>
      <c r="N68" s="96">
        <v>0.0</v>
      </c>
      <c r="O68" s="96">
        <v>0.0</v>
      </c>
      <c r="P68" s="96">
        <v>0.0</v>
      </c>
      <c r="Q68" s="96">
        <v>0.0</v>
      </c>
      <c r="R68" s="96">
        <v>0.0</v>
      </c>
      <c r="S68" s="96">
        <v>0.0</v>
      </c>
      <c r="T68" s="96">
        <v>0.0</v>
      </c>
      <c r="U68" s="96">
        <v>0.0</v>
      </c>
      <c r="V68" s="96">
        <v>0.0</v>
      </c>
      <c r="W68" s="96">
        <v>0.0</v>
      </c>
      <c r="X68" s="96">
        <v>0.0</v>
      </c>
      <c r="Y68" s="96">
        <v>0.0</v>
      </c>
      <c r="Z68" s="96">
        <v>0.0</v>
      </c>
      <c r="AA68" s="96">
        <v>0.0</v>
      </c>
      <c r="AB68" s="96">
        <v>0.0</v>
      </c>
      <c r="AC68" s="96">
        <v>0.0</v>
      </c>
      <c r="AD68" s="96">
        <v>0.0</v>
      </c>
      <c r="AE68" s="96">
        <v>0.0</v>
      </c>
      <c r="AF68" s="96">
        <v>114.0</v>
      </c>
      <c r="AG68" s="96">
        <v>156.0</v>
      </c>
      <c r="AH68" s="96">
        <v>216.0</v>
      </c>
      <c r="AI68" s="96">
        <v>146.0</v>
      </c>
      <c r="AJ68" s="96">
        <v>120.0</v>
      </c>
      <c r="AK68" s="49">
        <v>162.0</v>
      </c>
      <c r="AL68" s="49">
        <v>84.0</v>
      </c>
      <c r="AM68" s="49">
        <v>0.0</v>
      </c>
      <c r="AN68" s="49">
        <v>0.0</v>
      </c>
      <c r="AO68" s="49">
        <v>240.0</v>
      </c>
      <c r="AP68" s="49">
        <v>72.0</v>
      </c>
      <c r="AQ68" s="49">
        <v>80.0</v>
      </c>
      <c r="AR68" s="98">
        <f t="shared" si="4"/>
        <v>1390.0</v>
      </c>
      <c r="AS68" s="98">
        <f t="shared" si="167"/>
        <v>914.0</v>
      </c>
      <c r="AT68" s="98">
        <f t="shared" si="6"/>
        <v>1005.4</v>
      </c>
      <c r="AU68" s="49">
        <f t="shared" si="295"/>
        <v>106.08928571429</v>
      </c>
      <c r="AV68" s="49">
        <f t="shared" si="296"/>
        <v>114.25</v>
      </c>
      <c r="AW68" s="49">
        <f t="shared" si="297"/>
        <v>158.317857142857</v>
      </c>
      <c r="AX68" s="49">
        <f t="shared" si="298"/>
        <v>75.0785714285714</v>
      </c>
      <c r="AY68" s="49">
        <f t="shared" si="299"/>
        <v>145.260714285714</v>
      </c>
      <c r="AZ68" s="49">
        <f t="shared" si="300"/>
        <v>119.146428571429</v>
      </c>
      <c r="BA68" s="51">
        <f t="shared" si="13"/>
        <v>718.142857142861</v>
      </c>
      <c r="BB68" s="51">
        <f>VLOOKUP(D68,FEB23SOH,2,false)</f>
        <v>1638.0</v>
      </c>
      <c r="BC68" s="99">
        <f>VLOOKUP(C68,UNITVALUE,5,false)</f>
        <v>1.4344</v>
      </c>
      <c r="BD68" s="53">
        <f t="shared" si="16"/>
        <v>2349.5472</v>
      </c>
      <c r="BG68" s="98">
        <f t="shared" si="202"/>
        <v>919.857142857139</v>
      </c>
      <c r="BH68" s="49">
        <v>1008.0</v>
      </c>
      <c r="BI68" s="51"/>
      <c r="BJ68" s="115"/>
      <c r="BK68" s="49">
        <f t="shared" si="204"/>
        <v>1638.0</v>
      </c>
      <c r="BM68" s="49">
        <f t="shared" si="205"/>
        <v>106.08928571429</v>
      </c>
      <c r="BN68" s="49">
        <f t="shared" si="177"/>
      </c>
      <c r="BO68" s="100">
        <f t="shared" si="178"/>
        <v>1531.91071428571</v>
      </c>
      <c r="BP68" s="120">
        <f t="shared" ref="BP68:BP69" si="301">BO68*1.45</f>
        <v>2221.27053571428</v>
      </c>
      <c r="BQ68" s="49">
        <f t="shared" si="206"/>
        <v>114.25</v>
      </c>
      <c r="BR68" s="49">
        <f t="shared" si="181"/>
      </c>
      <c r="BS68" s="100">
        <f t="shared" si="207"/>
        <v>1417.66071428571</v>
      </c>
      <c r="BT68" s="102">
        <f t="shared" ref="BT68:BT69" si="302">BS68*1.45</f>
        <v>2055.60803571428</v>
      </c>
      <c r="BU68" s="49">
        <f t="shared" si="208"/>
        <v>158.317857142857</v>
      </c>
      <c r="BW68" s="100">
        <f t="shared" si="209"/>
        <v>1259.34285714285</v>
      </c>
      <c r="BX68" s="102">
        <f t="shared" ref="BX68:BX69" si="303">BW68*1.45</f>
        <v>1826.04714285713</v>
      </c>
      <c r="BY68" s="49">
        <f t="shared" si="210"/>
        <v>75.0785714285714</v>
      </c>
      <c r="CA68" s="100">
        <f t="shared" si="211"/>
        <v>1184.26428571428</v>
      </c>
      <c r="CB68" s="102">
        <f t="shared" ref="CB68:CB69" si="304">CA68*1.45</f>
        <v>1717.1832142857</v>
      </c>
      <c r="CC68" s="49">
        <f t="shared" si="212"/>
        <v>145.260714285714</v>
      </c>
      <c r="CE68" s="100">
        <f t="shared" si="213"/>
        <v>1039.00357142857</v>
      </c>
      <c r="CF68" s="102">
        <f t="shared" ref="CF68:CF69" si="305">CE68*1.45</f>
        <v>1506.55517857142</v>
      </c>
      <c r="CG68" s="49">
        <f t="shared" si="214"/>
        <v>119.146428571429</v>
      </c>
      <c r="CI68" s="100">
        <f t="shared" si="215"/>
        <v>919.857142857141</v>
      </c>
      <c r="CJ68" s="102">
        <f t="shared" ref="CJ68:CJ69" si="306">CI68*1.45</f>
        <v>1333.79285714285</v>
      </c>
    </row>
    <row r="69" ht="14.0">
      <c r="A69" s="96" t="s">
        <v>28</v>
      </c>
      <c r="B69" s="96" t="s">
        <v>98</v>
      </c>
      <c r="C69" s="96" t="s">
        <v>141</v>
      </c>
      <c r="D69" s="97" t="s">
        <v>142</v>
      </c>
      <c r="E69" s="96">
        <v>0.0</v>
      </c>
      <c r="F69" s="96">
        <v>0.0</v>
      </c>
      <c r="G69" s="96">
        <v>0.0</v>
      </c>
      <c r="H69" s="96">
        <v>0.0</v>
      </c>
      <c r="I69" s="96">
        <v>0.0</v>
      </c>
      <c r="J69" s="96">
        <v>0.0</v>
      </c>
      <c r="K69" s="96">
        <v>0.0</v>
      </c>
      <c r="L69" s="96">
        <v>0.0</v>
      </c>
      <c r="M69" s="96">
        <v>0.0</v>
      </c>
      <c r="N69" s="96">
        <v>0.0</v>
      </c>
      <c r="O69" s="96">
        <v>0.0</v>
      </c>
      <c r="P69" s="96">
        <v>0.0</v>
      </c>
      <c r="Q69" s="96">
        <v>0.0</v>
      </c>
      <c r="R69" s="96">
        <v>0.0</v>
      </c>
      <c r="S69" s="96">
        <v>0.0</v>
      </c>
      <c r="T69" s="96">
        <v>0.0</v>
      </c>
      <c r="U69" s="96">
        <v>0.0</v>
      </c>
      <c r="V69" s="96">
        <v>0.0</v>
      </c>
      <c r="W69" s="96">
        <v>0.0</v>
      </c>
      <c r="X69" s="96">
        <v>0.0</v>
      </c>
      <c r="Y69" s="96">
        <v>0.0</v>
      </c>
      <c r="Z69" s="96">
        <v>0.0</v>
      </c>
      <c r="AA69" s="96">
        <v>0.0</v>
      </c>
      <c r="AB69" s="96">
        <v>0.0</v>
      </c>
      <c r="AC69" s="96">
        <v>0.0</v>
      </c>
      <c r="AD69" s="96">
        <v>0.0</v>
      </c>
      <c r="AE69" s="96">
        <v>0.0</v>
      </c>
      <c r="AF69" s="96">
        <v>120.0</v>
      </c>
      <c r="AG69" s="96">
        <v>216.0</v>
      </c>
      <c r="AH69" s="96">
        <v>240.0</v>
      </c>
      <c r="AI69" s="96">
        <v>128.0</v>
      </c>
      <c r="AJ69" s="96">
        <v>144.0</v>
      </c>
      <c r="AK69" s="49">
        <v>156.0</v>
      </c>
      <c r="AL69" s="49">
        <v>0.0</v>
      </c>
      <c r="AM69" s="49">
        <v>4.0</v>
      </c>
      <c r="AN69" s="49">
        <v>0.0</v>
      </c>
      <c r="AO69" s="49">
        <v>186.0</v>
      </c>
      <c r="AP69" s="49">
        <v>62.0</v>
      </c>
      <c r="AQ69" s="49">
        <v>146.0</v>
      </c>
      <c r="AR69" s="98">
        <f t="shared" si="4"/>
        <v>1402.0</v>
      </c>
      <c r="AS69" s="98">
        <f t="shared" si="167"/>
        <v>1004.0</v>
      </c>
      <c r="AT69" s="98">
        <f t="shared" si="6"/>
        <v>1104.4</v>
      </c>
      <c r="AU69" s="49">
        <f t="shared" si="295"/>
        <v>116.535714285714</v>
      </c>
      <c r="AV69" s="49">
        <f t="shared" si="296"/>
        <v>125.5</v>
      </c>
      <c r="AW69" s="49">
        <f t="shared" si="297"/>
        <v>173.907142857142</v>
      </c>
      <c r="AX69" s="49">
        <f t="shared" si="298"/>
        <v>82.4714285714286</v>
      </c>
      <c r="AY69" s="49">
        <f t="shared" si="299"/>
        <v>159.564285714286</v>
      </c>
      <c r="AZ69" s="49">
        <f t="shared" si="300"/>
        <v>130.878571428571</v>
      </c>
      <c r="BA69" s="51">
        <f t="shared" si="13"/>
        <v>788.857142857141</v>
      </c>
      <c r="BB69" s="51">
        <f>VLOOKUP(D69,FEB23SOH,2,false)</f>
        <v>1648.0</v>
      </c>
      <c r="BC69" s="99">
        <f>VLOOKUP(C69,UNITVALUE,5,false)</f>
        <v>1.4347</v>
      </c>
      <c r="BD69" s="53">
        <f t="shared" si="16"/>
        <v>2364.3856</v>
      </c>
      <c r="BG69" s="98">
        <f t="shared" si="202"/>
        <v>859.142857142859</v>
      </c>
      <c r="BH69" s="49">
        <v>1008.0</v>
      </c>
      <c r="BI69" s="51"/>
      <c r="BJ69" s="115"/>
      <c r="BK69" s="49">
        <f t="shared" si="204"/>
        <v>1648.0</v>
      </c>
      <c r="BM69" s="49">
        <f t="shared" si="205"/>
        <v>116.535714285714</v>
      </c>
      <c r="BN69" s="49">
        <f t="shared" si="177"/>
      </c>
      <c r="BO69" s="100">
        <f t="shared" si="178"/>
        <v>1531.46428571429</v>
      </c>
      <c r="BP69" s="120">
        <f t="shared" si="301"/>
        <v>2220.62321428572</v>
      </c>
      <c r="BQ69" s="49">
        <f t="shared" si="206"/>
        <v>125.5</v>
      </c>
      <c r="BR69" s="49">
        <f t="shared" si="181"/>
      </c>
      <c r="BS69" s="100">
        <f t="shared" si="207"/>
        <v>1405.96428571429</v>
      </c>
      <c r="BT69" s="102">
        <f t="shared" si="302"/>
        <v>2038.64821428572</v>
      </c>
      <c r="BU69" s="49">
        <f t="shared" si="208"/>
        <v>173.907142857142</v>
      </c>
      <c r="BW69" s="100">
        <f t="shared" si="209"/>
        <v>1232.05714285714</v>
      </c>
      <c r="BX69" s="102">
        <f t="shared" si="303"/>
        <v>1786.48285714285</v>
      </c>
      <c r="BY69" s="49">
        <f t="shared" si="210"/>
        <v>82.4714285714286</v>
      </c>
      <c r="CA69" s="100">
        <f t="shared" si="211"/>
        <v>1149.58571428571</v>
      </c>
      <c r="CB69" s="102">
        <f t="shared" si="304"/>
        <v>1666.89928571428</v>
      </c>
      <c r="CC69" s="49">
        <f t="shared" si="212"/>
        <v>159.564285714286</v>
      </c>
      <c r="CE69" s="100">
        <f t="shared" si="213"/>
        <v>990.021428571424</v>
      </c>
      <c r="CF69" s="102">
        <f t="shared" si="305"/>
        <v>1435.53107142857</v>
      </c>
      <c r="CG69" s="49">
        <f t="shared" si="214"/>
        <v>130.878571428571</v>
      </c>
      <c r="CI69" s="100">
        <f t="shared" si="215"/>
        <v>859.142857142853</v>
      </c>
      <c r="CJ69" s="102">
        <f t="shared" si="306"/>
        <v>1245.75714285713</v>
      </c>
    </row>
    <row r="70" ht="14.0">
      <c r="A70" s="96" t="s">
        <v>28</v>
      </c>
      <c r="B70" s="96" t="s">
        <v>98</v>
      </c>
      <c r="C70" s="96" t="s">
        <v>143</v>
      </c>
      <c r="D70" s="97" t="s">
        <v>144</v>
      </c>
      <c r="E70" s="96">
        <v>2.0</v>
      </c>
      <c r="F70" s="96">
        <v>1.0</v>
      </c>
      <c r="G70" s="96">
        <v>3.0</v>
      </c>
      <c r="H70" s="96">
        <v>1.0</v>
      </c>
      <c r="I70" s="96">
        <v>3.0</v>
      </c>
      <c r="J70" s="96">
        <v>4.0</v>
      </c>
      <c r="K70" s="96">
        <v>4.0</v>
      </c>
      <c r="L70" s="96">
        <v>3.0</v>
      </c>
      <c r="M70" s="96">
        <v>5.0</v>
      </c>
      <c r="N70" s="96">
        <v>2.0</v>
      </c>
      <c r="O70" s="96">
        <v>5.0</v>
      </c>
      <c r="P70" s="96">
        <v>1.0</v>
      </c>
      <c r="Q70" s="96">
        <v>0.0</v>
      </c>
      <c r="R70" s="96">
        <v>2.0</v>
      </c>
      <c r="S70" s="96">
        <v>1.0</v>
      </c>
      <c r="T70" s="96">
        <v>7.0</v>
      </c>
      <c r="U70" s="96">
        <v>3.0</v>
      </c>
      <c r="V70" s="96">
        <v>4.0</v>
      </c>
      <c r="W70" s="96">
        <v>0.0</v>
      </c>
      <c r="X70" s="96">
        <v>4.0</v>
      </c>
      <c r="Y70" s="96">
        <v>6.0</v>
      </c>
      <c r="Z70" s="96">
        <v>2.0</v>
      </c>
      <c r="AA70" s="96">
        <v>8.0</v>
      </c>
      <c r="AB70" s="96">
        <v>8.0</v>
      </c>
      <c r="AC70" s="96">
        <v>2.0</v>
      </c>
      <c r="AD70" s="96">
        <v>1.0</v>
      </c>
      <c r="AE70" s="96">
        <v>2.0</v>
      </c>
      <c r="AF70" s="96">
        <v>3.0</v>
      </c>
      <c r="AG70" s="96">
        <v>2.0</v>
      </c>
      <c r="AH70" s="96">
        <v>0.0</v>
      </c>
      <c r="AI70" s="96">
        <v>2.0</v>
      </c>
      <c r="AJ70" s="96">
        <v>0.0</v>
      </c>
      <c r="AK70" s="49">
        <v>2.0</v>
      </c>
      <c r="AL70" s="49">
        <v>3.0</v>
      </c>
      <c r="AM70" s="49">
        <v>2.0</v>
      </c>
      <c r="AN70" s="49">
        <v>2.0</v>
      </c>
      <c r="AO70" s="49">
        <v>1.0</v>
      </c>
      <c r="AP70" s="49">
        <v>0.0</v>
      </c>
      <c r="AQ70" s="49">
        <v>2.0</v>
      </c>
      <c r="AR70" s="98">
        <f t="shared" si="4"/>
        <v>19.0</v>
      </c>
      <c r="AS70" s="98">
        <f t="shared" si="167"/>
        <v>9.0</v>
      </c>
      <c r="AT70" s="98">
        <f t="shared" si="6"/>
        <v>9.9</v>
      </c>
      <c r="AU70" s="111">
        <f t="shared" ref="AU70:AU71" si="307">AT70*$AU$4/$AT$4</f>
        <v>1.32954545454545</v>
      </c>
      <c r="AV70" s="111">
        <f t="shared" ref="AV70:AV71" si="308">AT70*$AV$4/$AT$4</f>
        <v>1.43181818181818</v>
      </c>
      <c r="AW70" s="111">
        <f t="shared" ref="AW70:AW71" si="309">AT70*$AW$4/$AT$4</f>
        <v>1.9840909090909</v>
      </c>
      <c r="AX70" s="111">
        <f t="shared" ref="AX70:AX71" si="310">AT70*$AX$4/$AT$4</f>
        <v>0.940909090909091</v>
      </c>
      <c r="AY70" s="111">
        <f t="shared" ref="AY70:AY71" si="311">AT70*$AY$4/$AT$4</f>
        <v>1.82045454545454</v>
      </c>
      <c r="AZ70" s="111">
        <f t="shared" ref="AZ70:AZ71" si="312">AT70*$AZ$4/$AT$4</f>
        <v>1.49318181818181</v>
      </c>
      <c r="BA70" s="51">
        <f t="shared" si="13"/>
        <v>8.99999999999997</v>
      </c>
      <c r="BB70" s="51">
        <f>VLOOKUP(D70,FEB23SOH,2,false)</f>
        <v>1.0</v>
      </c>
      <c r="BC70" s="99">
        <f>VLOOKUP(C70,UNITVALUE,5,false)</f>
        <v>74.64</v>
      </c>
      <c r="BD70" s="53">
        <f t="shared" si="16"/>
        <v>74.64</v>
      </c>
      <c r="BI70" s="51"/>
      <c r="BJ70" s="50"/>
      <c r="BP70" s="52">
        <f>SUM(BP35:BP69)</f>
        <v>136622.286340747</v>
      </c>
      <c r="BT70" s="52">
        <f>SUM(BT35:BT69)</f>
        <v>127659.717538473</v>
      </c>
      <c r="BX70" s="52">
        <f>SUM(BX35:BX69)</f>
        <v>115209.254963896</v>
      </c>
      <c r="CB70" s="52">
        <f>SUM(CB35:CB69)</f>
        <v>109362.058448116</v>
      </c>
      <c r="CF70" s="52">
        <f>SUM(CF35:CF69)</f>
        <v>98040.1869023695</v>
      </c>
      <c r="CJ70" s="52">
        <f>SUM(CJ35:CJ69)</f>
        <v>88705.0966142852</v>
      </c>
    </row>
    <row r="71" ht="14.0">
      <c r="A71" s="96" t="s">
        <v>28</v>
      </c>
      <c r="B71" s="96" t="s">
        <v>98</v>
      </c>
      <c r="C71" s="96" t="s">
        <v>145</v>
      </c>
      <c r="D71" s="97" t="s">
        <v>146</v>
      </c>
      <c r="E71" s="96">
        <v>0.0</v>
      </c>
      <c r="F71" s="96">
        <v>0.0</v>
      </c>
      <c r="G71" s="96">
        <v>0.0</v>
      </c>
      <c r="H71" s="96">
        <v>2.0</v>
      </c>
      <c r="I71" s="96">
        <v>1.0</v>
      </c>
      <c r="J71" s="96">
        <v>1.0</v>
      </c>
      <c r="K71" s="96">
        <v>3.0</v>
      </c>
      <c r="L71" s="96">
        <v>0.0</v>
      </c>
      <c r="M71" s="96">
        <v>0.0</v>
      </c>
      <c r="N71" s="96">
        <v>1.0</v>
      </c>
      <c r="O71" s="96">
        <v>0.0</v>
      </c>
      <c r="P71" s="96">
        <v>1.0</v>
      </c>
      <c r="Q71" s="96">
        <v>1.0</v>
      </c>
      <c r="R71" s="96">
        <v>1.0</v>
      </c>
      <c r="S71" s="96">
        <v>1.0</v>
      </c>
      <c r="T71" s="96">
        <v>0.0</v>
      </c>
      <c r="U71" s="96">
        <v>2.0</v>
      </c>
      <c r="V71" s="96">
        <v>0.0</v>
      </c>
      <c r="W71" s="96">
        <v>2.0</v>
      </c>
      <c r="X71" s="96">
        <v>0.0</v>
      </c>
      <c r="Y71" s="96">
        <v>0.0</v>
      </c>
      <c r="Z71" s="96">
        <v>0.0</v>
      </c>
      <c r="AA71" s="96">
        <v>1.0</v>
      </c>
      <c r="AB71" s="96">
        <v>1.0</v>
      </c>
      <c r="AC71" s="96">
        <v>0.0</v>
      </c>
      <c r="AD71" s="96">
        <v>0.0</v>
      </c>
      <c r="AE71" s="96">
        <v>1.0</v>
      </c>
      <c r="AF71" s="96">
        <v>0.0</v>
      </c>
      <c r="AG71" s="96">
        <v>0.0</v>
      </c>
      <c r="AH71" s="96">
        <v>0.0</v>
      </c>
      <c r="AI71" s="96">
        <v>0.0</v>
      </c>
      <c r="AJ71" s="96">
        <v>0.0</v>
      </c>
      <c r="AK71" s="49">
        <v>1.0</v>
      </c>
      <c r="AL71" s="49">
        <v>0.0</v>
      </c>
      <c r="AM71" s="49">
        <v>0.0</v>
      </c>
      <c r="AN71" s="49">
        <v>0.0</v>
      </c>
      <c r="AO71" s="49">
        <v>0.0</v>
      </c>
      <c r="AP71" s="49">
        <v>0.0</v>
      </c>
      <c r="AQ71" s="49">
        <v>0.0</v>
      </c>
      <c r="AR71" s="98">
        <f t="shared" si="4"/>
        <v>1.0</v>
      </c>
      <c r="AS71" s="98">
        <f t="shared" si="167"/>
        <v>1.0</v>
      </c>
      <c r="AT71" s="98">
        <f t="shared" si="6"/>
        <v>1.1</v>
      </c>
      <c r="AU71" s="111">
        <f t="shared" si="307"/>
        <v>0.147727272727272</v>
      </c>
      <c r="AV71" s="111">
        <f t="shared" si="308"/>
        <v>0.159090909090909</v>
      </c>
      <c r="AW71" s="111">
        <f t="shared" si="309"/>
        <v>0.220454545454545</v>
      </c>
      <c r="AX71" s="111">
        <f t="shared" si="310"/>
        <v>0.104545454545454</v>
      </c>
      <c r="AY71" s="111">
        <f t="shared" si="311"/>
        <v>0.202272727272727</v>
      </c>
      <c r="AZ71" s="111">
        <f t="shared" si="312"/>
        <v>0.16590909090909</v>
      </c>
      <c r="BA71" s="51">
        <f t="shared" si="13"/>
        <v>0.999999999999997</v>
      </c>
      <c r="BB71" s="51">
        <f>VLOOKUP(D71,FEB23SOH,2,false)</f>
        <v>2.0</v>
      </c>
      <c r="BC71" s="99">
        <f>VLOOKUP(C71,UNITVALUE,5,false)</f>
        <v>75.24</v>
      </c>
      <c r="BD71" s="53">
        <f t="shared" si="16"/>
        <v>150.48</v>
      </c>
      <c r="BI71" s="51"/>
      <c r="BJ71" s="50"/>
      <c r="BP71" s="60"/>
    </row>
    <row r="72" ht="14.0" customFormat="1" s="49">
      <c r="D72" s="50"/>
      <c r="AR72" s="51"/>
      <c r="AS72" s="61">
        <f>SUM(AL73:AQ73)</f>
        <v>0.496</v>
      </c>
      <c r="AT72" s="62">
        <f t="shared" si="6"/>
        <v>0.5456</v>
      </c>
      <c r="BA72" s="51"/>
      <c r="BC72" s="52"/>
      <c r="BD72" s="121">
        <f>SUM(BD7:BD71)</f>
        <v>284571.7908</v>
      </c>
      <c r="BI72" s="51"/>
      <c r="BJ72" s="50"/>
      <c r="BP72" s="60"/>
      <c r="BT72" s="55"/>
      <c r="BX72" s="55"/>
      <c r="CB72" s="55"/>
      <c r="CF72" s="55"/>
      <c r="CJ72" s="55"/>
    </row>
    <row r="73" ht="17.0" customFormat="1" s="49">
      <c r="A73" s="56"/>
      <c r="B73" s="56"/>
      <c r="C73" s="56"/>
      <c r="D73" s="57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122"/>
      <c r="Z73" s="122"/>
      <c r="AA73" s="122"/>
      <c r="AB73" s="122">
        <v>0.052</v>
      </c>
      <c r="AC73" s="122">
        <v>0.106</v>
      </c>
      <c r="AD73" s="122">
        <v>0.153</v>
      </c>
      <c r="AE73" s="122">
        <v>0.054</v>
      </c>
      <c r="AF73" s="122">
        <v>0.073</v>
      </c>
      <c r="AG73" s="123">
        <v>0.058</v>
      </c>
      <c r="AH73" s="122">
        <v>0.122</v>
      </c>
      <c r="AI73" s="122">
        <v>0.103</v>
      </c>
      <c r="AJ73" s="122">
        <v>0.079</v>
      </c>
      <c r="AK73" s="122">
        <v>0.069</v>
      </c>
      <c r="AL73" s="122">
        <v>0.065</v>
      </c>
      <c r="AM73" s="122">
        <v>0.066</v>
      </c>
      <c r="AN73" s="122">
        <v>0.052</v>
      </c>
      <c r="AO73" s="122">
        <v>0.106</v>
      </c>
      <c r="AP73" s="122">
        <v>0.153</v>
      </c>
      <c r="AQ73" s="122">
        <v>0.054</v>
      </c>
      <c r="AR73" s="51">
        <f>SUM(AF73:AQ73)</f>
        <v>1.0</v>
      </c>
      <c r="AS73" s="51">
        <f>SUM(AF73:AK73)</f>
        <v>0.504</v>
      </c>
      <c r="AT73" s="70">
        <f t="shared" si="6"/>
        <v>0.5544</v>
      </c>
      <c r="AU73" s="122">
        <v>0.054</v>
      </c>
      <c r="AV73" s="122">
        <v>0.073</v>
      </c>
      <c r="AW73" s="123">
        <v>0.058</v>
      </c>
      <c r="AX73" s="122">
        <v>0.122</v>
      </c>
      <c r="AY73" s="122">
        <v>0.103</v>
      </c>
      <c r="AZ73" s="122">
        <v>0.079</v>
      </c>
      <c r="BA73" s="51"/>
      <c r="BB73" s="51"/>
      <c r="BC73" s="52"/>
      <c r="BD73" s="53"/>
      <c r="BE73" s="51"/>
      <c r="BF73" s="51"/>
      <c r="BG73" s="51"/>
      <c r="BH73" s="51"/>
      <c r="BI73" s="51"/>
      <c r="BJ73" s="59"/>
      <c r="BK73" s="51"/>
      <c r="BL73" s="51"/>
      <c r="BM73" s="51"/>
      <c r="BN73" s="51"/>
      <c r="BO73" s="51"/>
      <c r="BP73" s="60"/>
      <c r="BQ73" s="51"/>
      <c r="BR73" s="51"/>
      <c r="BS73" s="51"/>
      <c r="BT73" s="54"/>
      <c r="BU73" s="51"/>
      <c r="BV73" s="51"/>
      <c r="BW73" s="51"/>
      <c r="BX73" s="54"/>
      <c r="BY73" s="51"/>
      <c r="BZ73" s="51"/>
      <c r="CA73" s="51"/>
      <c r="CB73" s="54"/>
      <c r="CC73" s="51"/>
      <c r="CD73" s="51"/>
      <c r="CE73" s="51"/>
      <c r="CF73" s="54"/>
      <c r="CG73" s="51"/>
      <c r="CH73" s="51"/>
      <c r="CI73" s="51"/>
      <c r="CJ73" s="54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</row>
    <row r="74" ht="17.0" customFormat="1" s="49">
      <c r="A74" s="51" t="s">
        <v>210</v>
      </c>
      <c r="D74" s="50"/>
      <c r="E74" s="71">
        <v>46013</v>
      </c>
      <c r="F74" s="71">
        <v>45680</v>
      </c>
      <c r="G74" s="71">
        <v>45711</v>
      </c>
      <c r="H74" s="71">
        <v>45739</v>
      </c>
      <c r="I74" s="71">
        <v>45770</v>
      </c>
      <c r="J74" s="71">
        <v>45800</v>
      </c>
      <c r="K74" s="71">
        <v>45831</v>
      </c>
      <c r="L74" s="71">
        <v>45861</v>
      </c>
      <c r="M74" s="71">
        <v>45892</v>
      </c>
      <c r="N74" s="71">
        <v>45923</v>
      </c>
      <c r="O74" s="71">
        <v>45953</v>
      </c>
      <c r="P74" s="71">
        <v>45984</v>
      </c>
      <c r="Q74" s="71">
        <v>46014</v>
      </c>
      <c r="R74" s="71">
        <v>45681</v>
      </c>
      <c r="S74" s="72">
        <v>45712</v>
      </c>
      <c r="T74" s="72">
        <v>45740</v>
      </c>
      <c r="U74" s="72">
        <v>45771</v>
      </c>
      <c r="V74" s="72">
        <v>45801</v>
      </c>
      <c r="W74" s="72">
        <v>45832</v>
      </c>
      <c r="X74" s="72">
        <v>45862</v>
      </c>
      <c r="Y74" s="72">
        <v>45893</v>
      </c>
      <c r="Z74" s="72">
        <v>45924</v>
      </c>
      <c r="AA74" s="72">
        <v>45954</v>
      </c>
      <c r="AB74" s="72">
        <v>45985</v>
      </c>
      <c r="AC74" s="73">
        <v>46015</v>
      </c>
      <c r="AD74" s="73">
        <v>45682</v>
      </c>
      <c r="AE74" s="58">
        <v>45713</v>
      </c>
      <c r="AF74" s="73">
        <v>45741</v>
      </c>
      <c r="AG74" s="73">
        <v>45772</v>
      </c>
      <c r="AH74" s="73">
        <v>45802</v>
      </c>
      <c r="AI74" s="73">
        <v>45833</v>
      </c>
      <c r="AJ74" s="73">
        <v>45863</v>
      </c>
      <c r="AK74" s="73">
        <v>45894</v>
      </c>
      <c r="AL74" s="73">
        <v>45925</v>
      </c>
      <c r="AM74" s="73">
        <v>45955</v>
      </c>
      <c r="AN74" s="73">
        <v>45986</v>
      </c>
      <c r="AO74" s="73">
        <v>46016</v>
      </c>
      <c r="AP74" s="73">
        <v>46048</v>
      </c>
      <c r="AQ74" s="73">
        <v>46079</v>
      </c>
      <c r="AR74" s="59" t="s">
        <v>1</v>
      </c>
      <c r="AS74" s="59" t="s">
        <v>180</v>
      </c>
      <c r="AT74" s="59" t="s">
        <v>180</v>
      </c>
      <c r="AU74" s="73">
        <f>AU5</f>
        <v>46107</v>
      </c>
      <c r="AV74" s="73">
        <f>AV5</f>
        <v>46138</v>
      </c>
      <c r="AW74" s="73">
        <f>AW5</f>
        <v>46168</v>
      </c>
      <c r="AX74" s="73">
        <f>AX5</f>
        <v>45833</v>
      </c>
      <c r="AY74" s="73">
        <f>AY5</f>
        <v>45863</v>
      </c>
      <c r="AZ74" s="73">
        <f>AZ5</f>
        <v>45894</v>
      </c>
      <c r="BA74" s="74" t="s">
        <v>3</v>
      </c>
      <c r="BB74" s="74" t="s">
        <v>3</v>
      </c>
      <c r="BC74" s="75"/>
      <c r="BD74" s="76"/>
      <c r="BE74" s="74" t="s">
        <v>3</v>
      </c>
      <c r="BF74" s="74" t="s">
        <v>3</v>
      </c>
      <c r="BG74" s="77" t="s">
        <v>3</v>
      </c>
      <c r="BH74" s="74" t="s">
        <v>3</v>
      </c>
      <c r="BI74" s="78" t="s">
        <v>3</v>
      </c>
      <c r="BJ74" s="59"/>
      <c r="BK74" s="59" t="s">
        <v>211</v>
      </c>
      <c r="BL74" s="59"/>
      <c r="BM74" s="59" t="s">
        <v>212</v>
      </c>
      <c r="BN74" s="59"/>
      <c r="BO74" s="59"/>
      <c r="BP74" s="124"/>
      <c r="BQ74" s="79">
        <v>46023</v>
      </c>
      <c r="BR74" s="59"/>
      <c r="BS74" s="59"/>
      <c r="BT74" s="80"/>
      <c r="BU74" s="79">
        <v>46054</v>
      </c>
      <c r="BV74" s="59"/>
      <c r="BW74" s="59"/>
      <c r="BX74" s="80"/>
      <c r="BY74" s="79">
        <v>46082</v>
      </c>
      <c r="BZ74" s="59"/>
      <c r="CA74" s="59"/>
      <c r="CB74" s="80"/>
      <c r="CC74" s="79">
        <v>46113</v>
      </c>
      <c r="CD74" s="59"/>
      <c r="CE74" s="59"/>
      <c r="CF74" s="80"/>
      <c r="CG74" s="79">
        <v>46143</v>
      </c>
      <c r="CH74" s="59"/>
      <c r="CI74" s="59"/>
      <c r="CJ74" s="54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</row>
    <row r="75" ht="33.0" customFormat="1" s="49">
      <c r="A75" s="81" t="s">
        <v>11</v>
      </c>
      <c r="B75" s="81" t="s">
        <v>12</v>
      </c>
      <c r="C75" s="81" t="s">
        <v>13</v>
      </c>
      <c r="D75" s="82" t="s">
        <v>14</v>
      </c>
      <c r="E75" s="83" t="s">
        <v>15</v>
      </c>
      <c r="F75" s="83" t="s">
        <v>15</v>
      </c>
      <c r="G75" s="83" t="s">
        <v>15</v>
      </c>
      <c r="H75" s="83" t="s">
        <v>15</v>
      </c>
      <c r="I75" s="83" t="s">
        <v>15</v>
      </c>
      <c r="J75" s="83" t="s">
        <v>15</v>
      </c>
      <c r="K75" s="83" t="s">
        <v>15</v>
      </c>
      <c r="L75" s="83" t="s">
        <v>15</v>
      </c>
      <c r="M75" s="83" t="s">
        <v>15</v>
      </c>
      <c r="N75" s="83" t="s">
        <v>15</v>
      </c>
      <c r="O75" s="83" t="s">
        <v>15</v>
      </c>
      <c r="P75" s="83" t="s">
        <v>15</v>
      </c>
      <c r="Q75" s="83" t="s">
        <v>15</v>
      </c>
      <c r="R75" s="83" t="s">
        <v>15</v>
      </c>
      <c r="S75" s="83" t="s">
        <v>15</v>
      </c>
      <c r="T75" s="83" t="s">
        <v>15</v>
      </c>
      <c r="U75" s="83" t="s">
        <v>15</v>
      </c>
      <c r="V75" s="83" t="s">
        <v>15</v>
      </c>
      <c r="W75" s="83" t="s">
        <v>15</v>
      </c>
      <c r="X75" s="83" t="s">
        <v>15</v>
      </c>
      <c r="Y75" s="83" t="s">
        <v>15</v>
      </c>
      <c r="Z75" s="83" t="s">
        <v>15</v>
      </c>
      <c r="AA75" s="83" t="s">
        <v>15</v>
      </c>
      <c r="AB75" s="83" t="s">
        <v>15</v>
      </c>
      <c r="AC75" s="83" t="s">
        <v>15</v>
      </c>
      <c r="AD75" s="83" t="s">
        <v>15</v>
      </c>
      <c r="AE75" s="83" t="s">
        <v>15</v>
      </c>
      <c r="AF75" s="83" t="s">
        <v>15</v>
      </c>
      <c r="AG75" s="83" t="s">
        <v>15</v>
      </c>
      <c r="AH75" s="83" t="s">
        <v>15</v>
      </c>
      <c r="AI75" s="83" t="s">
        <v>15</v>
      </c>
      <c r="AJ75" s="83" t="s">
        <v>15</v>
      </c>
      <c r="AK75" s="83" t="s">
        <v>15</v>
      </c>
      <c r="AL75" s="83" t="s">
        <v>15</v>
      </c>
      <c r="AM75" s="83" t="s">
        <v>15</v>
      </c>
      <c r="AN75" s="83" t="s">
        <v>15</v>
      </c>
      <c r="AO75" s="83" t="s">
        <v>15</v>
      </c>
      <c r="AP75" s="83" t="s">
        <v>15</v>
      </c>
      <c r="AQ75" s="83" t="s">
        <v>15</v>
      </c>
      <c r="AR75" s="84" t="s">
        <v>3</v>
      </c>
      <c r="AS75" s="84" t="s">
        <v>3</v>
      </c>
      <c r="AT75" s="84" t="s">
        <v>16</v>
      </c>
      <c r="AU75" s="85" t="s">
        <v>17</v>
      </c>
      <c r="AV75" s="85" t="s">
        <v>17</v>
      </c>
      <c r="AW75" s="85" t="s">
        <v>17</v>
      </c>
      <c r="AX75" s="85" t="s">
        <v>17</v>
      </c>
      <c r="AY75" s="85" t="s">
        <v>17</v>
      </c>
      <c r="AZ75" s="85" t="s">
        <v>17</v>
      </c>
      <c r="BA75" s="86" t="s">
        <v>17</v>
      </c>
      <c r="BB75" s="87" t="s">
        <v>213</v>
      </c>
      <c r="BC75" s="88" t="s">
        <v>184</v>
      </c>
      <c r="BD75" s="89" t="s">
        <v>185</v>
      </c>
      <c r="BE75" s="90" t="s">
        <v>186</v>
      </c>
      <c r="BF75" s="90" t="s">
        <v>187</v>
      </c>
      <c r="BG75" s="91" t="s">
        <v>21</v>
      </c>
      <c r="BH75" s="87" t="s">
        <v>22</v>
      </c>
      <c r="BI75" s="92" t="s">
        <v>23</v>
      </c>
      <c r="BJ75" s="93" t="s">
        <v>188</v>
      </c>
      <c r="BK75" s="93" t="s">
        <v>25</v>
      </c>
      <c r="BL75" s="93" t="s">
        <v>26</v>
      </c>
      <c r="BM75" s="93" t="s">
        <v>17</v>
      </c>
      <c r="BN75" s="93" t="s">
        <v>26</v>
      </c>
      <c r="BO75" s="93" t="s">
        <v>27</v>
      </c>
      <c r="BP75" s="94" t="s">
        <v>185</v>
      </c>
      <c r="BQ75" s="93" t="s">
        <v>17</v>
      </c>
      <c r="BR75" s="93" t="s">
        <v>26</v>
      </c>
      <c r="BS75" s="93" t="s">
        <v>27</v>
      </c>
      <c r="BT75" s="94" t="s">
        <v>185</v>
      </c>
      <c r="BU75" s="93" t="s">
        <v>17</v>
      </c>
      <c r="BV75" s="93" t="s">
        <v>26</v>
      </c>
      <c r="BW75" s="93" t="s">
        <v>27</v>
      </c>
      <c r="BX75" s="94" t="s">
        <v>185</v>
      </c>
      <c r="BY75" s="93" t="s">
        <v>17</v>
      </c>
      <c r="BZ75" s="93" t="s">
        <v>26</v>
      </c>
      <c r="CA75" s="93" t="s">
        <v>27</v>
      </c>
      <c r="CB75" s="94" t="s">
        <v>185</v>
      </c>
      <c r="CC75" s="93" t="s">
        <v>17</v>
      </c>
      <c r="CD75" s="93" t="s">
        <v>26</v>
      </c>
      <c r="CE75" s="93" t="s">
        <v>27</v>
      </c>
      <c r="CF75" s="94" t="s">
        <v>185</v>
      </c>
      <c r="CG75" s="93" t="s">
        <v>17</v>
      </c>
      <c r="CH75" s="93" t="s">
        <v>26</v>
      </c>
      <c r="CI75" s="93" t="s">
        <v>27</v>
      </c>
      <c r="CJ75" s="94" t="s">
        <v>185</v>
      </c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</row>
    <row r="76" ht="14.0">
      <c r="A76" s="104" t="s">
        <v>45</v>
      </c>
      <c r="B76" s="104" t="s">
        <v>29</v>
      </c>
      <c r="C76" s="104" t="s">
        <v>30</v>
      </c>
      <c r="D76" s="125" t="s">
        <v>31</v>
      </c>
      <c r="E76" s="49">
        <v>600.0</v>
      </c>
      <c r="F76" s="49">
        <v>60.0</v>
      </c>
      <c r="G76" s="49">
        <v>300.0</v>
      </c>
      <c r="H76" s="49">
        <v>420.0</v>
      </c>
      <c r="I76" s="49">
        <v>359.0</v>
      </c>
      <c r="J76" s="49">
        <v>419.0</v>
      </c>
      <c r="K76" s="49">
        <v>180.0</v>
      </c>
      <c r="L76" s="49">
        <v>240.0</v>
      </c>
      <c r="M76" s="49">
        <v>359.0</v>
      </c>
      <c r="N76" s="49">
        <v>360.0</v>
      </c>
      <c r="O76" s="49">
        <v>240.0</v>
      </c>
      <c r="P76" s="49">
        <v>120.0</v>
      </c>
      <c r="Q76" s="49">
        <v>420.0</v>
      </c>
      <c r="R76" s="49">
        <v>600.0</v>
      </c>
      <c r="S76" s="49">
        <v>240.0</v>
      </c>
      <c r="T76" s="49">
        <v>240.0</v>
      </c>
      <c r="U76" s="49">
        <v>240.0</v>
      </c>
      <c r="V76" s="49">
        <v>240.0</v>
      </c>
      <c r="W76" s="49">
        <v>240.0</v>
      </c>
      <c r="X76" s="49">
        <v>179.0</v>
      </c>
      <c r="Y76" s="49">
        <v>238.0</v>
      </c>
      <c r="Z76" s="49">
        <v>180.0</v>
      </c>
      <c r="AA76" s="49">
        <v>120.0</v>
      </c>
      <c r="AB76" s="49">
        <v>180.0</v>
      </c>
      <c r="AC76" s="49">
        <v>120.0</v>
      </c>
      <c r="AD76" s="49">
        <v>720.0</v>
      </c>
      <c r="AE76" s="49">
        <v>180.0</v>
      </c>
      <c r="AF76" s="49">
        <v>60.0</v>
      </c>
      <c r="AG76" s="49">
        <v>240.0</v>
      </c>
      <c r="AH76" s="49">
        <v>240.0</v>
      </c>
      <c r="AI76" s="49">
        <v>119.0</v>
      </c>
      <c r="AJ76" s="49">
        <v>0.0</v>
      </c>
      <c r="AK76" s="49">
        <v>0.0</v>
      </c>
      <c r="AL76" s="49">
        <v>-2.0</v>
      </c>
      <c r="AM76" s="49">
        <v>0.0</v>
      </c>
      <c r="AN76" s="49">
        <v>0.0</v>
      </c>
      <c r="AO76" s="49">
        <v>0.0</v>
      </c>
      <c r="AP76" s="49">
        <v>0.0</v>
      </c>
      <c r="AQ76" s="49">
        <v>0.0</v>
      </c>
      <c r="AR76" s="98">
        <f t="shared" ref="AR76:AR104" si="329">SUM(AF76:AQ76)</f>
        <v>657.0</v>
      </c>
      <c r="AS76" s="98">
        <f t="shared" ref="AS76:AS104" si="330">SUM(AF76:AK76)</f>
        <v>659.0</v>
      </c>
      <c r="AT76" s="98">
        <f t="shared" ref="AT76:AT104" si="331">AS76*1.1</f>
        <v>724.9</v>
      </c>
      <c r="AU76" s="104">
        <v>0.0</v>
      </c>
      <c r="AV76" s="104">
        <v>0.0</v>
      </c>
      <c r="AW76" s="104">
        <v>0.0</v>
      </c>
      <c r="AX76" s="104">
        <v>0.0</v>
      </c>
      <c r="AY76" s="104">
        <v>0.0</v>
      </c>
      <c r="AZ76" s="104">
        <v>0.0</v>
      </c>
      <c r="BA76" s="51">
        <f>SUM(AU76:AZ76)</f>
        <v>0.0</v>
      </c>
      <c r="BB76" s="51">
        <f>VLOOKUP(D76,FEB23SOH,2,false)</f>
        <v>0.0</v>
      </c>
      <c r="BC76" s="99">
        <f>VLOOKUP(C76,UNITVALUE,5,false)</f>
      </c>
      <c r="BD76" s="53">
        <f t="shared" ref="BD76:BD93" si="335">BC76*BB76</f>
        <v>0.0</v>
      </c>
      <c r="BH76" s="49">
        <v>1008.0</v>
      </c>
      <c r="BI76" s="104"/>
      <c r="BJ76" s="50" t="s">
        <v>189</v>
      </c>
      <c r="BK76" s="100">
        <f t="shared" ref="BK76:BK104" si="336">BB76</f>
        <v>0.0</v>
      </c>
      <c r="BM76" s="100"/>
      <c r="BO76" s="100"/>
      <c r="BP76" s="107"/>
      <c r="BQ76" s="100"/>
      <c r="BS76" s="100"/>
      <c r="BT76" s="102"/>
      <c r="BU76" s="100"/>
      <c r="BV76" s="100"/>
      <c r="BW76" s="100"/>
      <c r="BX76" s="102"/>
      <c r="BY76" s="100"/>
      <c r="BZ76" s="100"/>
      <c r="CA76" s="100"/>
      <c r="CB76" s="102"/>
      <c r="CC76" s="100"/>
      <c r="CD76" s="100"/>
      <c r="CE76" s="100"/>
      <c r="CF76" s="102"/>
      <c r="CG76" s="100"/>
      <c r="CH76" s="100"/>
      <c r="CI76" s="100"/>
      <c r="CJ76" s="102"/>
    </row>
    <row r="77" ht="14.0">
      <c r="A77" s="104" t="s">
        <v>45</v>
      </c>
      <c r="B77" s="104" t="s">
        <v>29</v>
      </c>
      <c r="C77" s="104" t="s">
        <v>33</v>
      </c>
      <c r="D77" s="125" t="s">
        <v>34</v>
      </c>
      <c r="E77" s="126">
        <v>0.0</v>
      </c>
      <c r="F77" s="126">
        <v>0.0</v>
      </c>
      <c r="G77" s="126">
        <v>0.0</v>
      </c>
      <c r="H77" s="126">
        <v>0.0</v>
      </c>
      <c r="I77" s="126">
        <v>0.0</v>
      </c>
      <c r="J77" s="126">
        <v>0.0</v>
      </c>
      <c r="K77" s="126">
        <v>0.0</v>
      </c>
      <c r="L77" s="126">
        <v>0.0</v>
      </c>
      <c r="M77" s="126">
        <v>0.0</v>
      </c>
      <c r="N77" s="126">
        <v>0.0</v>
      </c>
      <c r="O77" s="126">
        <v>0.0</v>
      </c>
      <c r="P77" s="126">
        <v>0.0</v>
      </c>
      <c r="Q77" s="126">
        <v>0.0</v>
      </c>
      <c r="R77" s="126">
        <v>0.0</v>
      </c>
      <c r="S77" s="126">
        <v>0.0</v>
      </c>
      <c r="T77" s="126">
        <v>0.0</v>
      </c>
      <c r="U77" s="126">
        <v>0.0</v>
      </c>
      <c r="V77" s="126">
        <v>0.0</v>
      </c>
      <c r="W77" s="49">
        <v>336.0</v>
      </c>
      <c r="X77" s="49">
        <v>24.0</v>
      </c>
      <c r="Y77" s="49">
        <v>0.0</v>
      </c>
      <c r="Z77" s="49">
        <v>72.0</v>
      </c>
      <c r="AA77" s="49">
        <v>72.0</v>
      </c>
      <c r="AB77" s="49">
        <v>72.0</v>
      </c>
      <c r="AC77" s="49">
        <v>0.0</v>
      </c>
      <c r="AD77" s="49">
        <v>216.0</v>
      </c>
      <c r="AE77" s="49">
        <v>78.0</v>
      </c>
      <c r="AF77" s="49">
        <v>0.0</v>
      </c>
      <c r="AG77" s="49">
        <v>72.0</v>
      </c>
      <c r="AH77" s="49">
        <v>144.0</v>
      </c>
      <c r="AI77" s="49">
        <v>72.0</v>
      </c>
      <c r="AJ77" s="126">
        <v>72.0</v>
      </c>
      <c r="AK77" s="49">
        <v>0.0</v>
      </c>
      <c r="AL77" s="49">
        <v>72.0</v>
      </c>
      <c r="AM77" s="49">
        <v>0.0</v>
      </c>
      <c r="AN77" s="49">
        <v>0.0</v>
      </c>
      <c r="AO77" s="49">
        <v>0.0</v>
      </c>
      <c r="AP77" s="49">
        <v>0.0</v>
      </c>
      <c r="AQ77" s="49">
        <v>0.0</v>
      </c>
      <c r="AR77" s="98">
        <f t="shared" si="329"/>
        <v>432.0</v>
      </c>
      <c r="AS77" s="98">
        <f t="shared" si="330"/>
        <v>360.0</v>
      </c>
      <c r="AT77" s="98">
        <f t="shared" si="331"/>
        <v>396.0</v>
      </c>
      <c r="AU77" s="104">
        <v>66.0</v>
      </c>
      <c r="AV77" s="104">
        <v>0.0</v>
      </c>
      <c r="AW77" s="104">
        <v>0.0</v>
      </c>
      <c r="AX77" s="104">
        <v>0.0</v>
      </c>
      <c r="AY77" s="104">
        <v>0.0</v>
      </c>
      <c r="AZ77" s="104">
        <v>0.0</v>
      </c>
      <c r="BA77" s="98">
        <f>SUM(AU77:AZ77)+BA13</f>
        <v>132.0</v>
      </c>
      <c r="BB77" s="51">
        <f>VLOOKUP(D77,FEB23SOH,2,false)</f>
        <v>54.0</v>
      </c>
      <c r="BC77" s="99">
        <f>VLOOKUP(C77,UNITVALUE,5,false)</f>
        <v>5.8643</v>
      </c>
      <c r="BD77" s="53">
        <f t="shared" si="335"/>
        <v>316.6722</v>
      </c>
      <c r="BH77" s="49">
        <v>1008.0</v>
      </c>
      <c r="BI77" s="104"/>
      <c r="BJ77" s="50" t="s">
        <v>189</v>
      </c>
      <c r="BK77" s="100">
        <f t="shared" si="336"/>
        <v>54.0</v>
      </c>
      <c r="BM77" s="100"/>
      <c r="BO77" s="100"/>
      <c r="BP77" s="107"/>
      <c r="BQ77" s="100"/>
      <c r="BS77" s="100"/>
      <c r="BT77" s="102"/>
      <c r="BU77" s="100"/>
      <c r="BV77" s="100"/>
      <c r="BW77" s="100"/>
      <c r="BX77" s="102"/>
      <c r="BY77" s="100"/>
      <c r="BZ77" s="100"/>
      <c r="CA77" s="100"/>
      <c r="CB77" s="102"/>
      <c r="CC77" s="100"/>
      <c r="CD77" s="100"/>
      <c r="CE77" s="100"/>
      <c r="CF77" s="102"/>
      <c r="CG77" s="100"/>
      <c r="CH77" s="100"/>
      <c r="CI77" s="100"/>
      <c r="CJ77" s="102"/>
    </row>
    <row r="78" ht="14.0">
      <c r="A78" s="49" t="s">
        <v>28</v>
      </c>
      <c r="B78" s="49" t="s">
        <v>29</v>
      </c>
      <c r="C78" s="49" t="s">
        <v>192</v>
      </c>
      <c r="D78" s="50" t="s">
        <v>193</v>
      </c>
      <c r="E78" s="126">
        <v>0.0</v>
      </c>
      <c r="F78" s="126">
        <v>0.0</v>
      </c>
      <c r="G78" s="126">
        <v>0.0</v>
      </c>
      <c r="H78" s="126">
        <v>0.0</v>
      </c>
      <c r="I78" s="126">
        <v>0.0</v>
      </c>
      <c r="J78" s="126">
        <v>0.0</v>
      </c>
      <c r="K78" s="126">
        <v>0.0</v>
      </c>
      <c r="L78" s="126">
        <v>0.0</v>
      </c>
      <c r="M78" s="126">
        <v>0.0</v>
      </c>
      <c r="N78" s="126">
        <v>0.0</v>
      </c>
      <c r="O78" s="126">
        <v>0.0</v>
      </c>
      <c r="P78" s="126">
        <v>0.0</v>
      </c>
      <c r="Q78" s="126">
        <v>0.0</v>
      </c>
      <c r="R78" s="126">
        <v>0.0</v>
      </c>
      <c r="S78" s="126">
        <v>0.0</v>
      </c>
      <c r="T78" s="126">
        <v>0.0</v>
      </c>
      <c r="U78" s="126">
        <v>0.0</v>
      </c>
      <c r="V78" s="126">
        <v>0.0</v>
      </c>
      <c r="W78" s="126">
        <v>0.0</v>
      </c>
      <c r="X78" s="126">
        <v>0.0</v>
      </c>
      <c r="Y78" s="126">
        <v>0.0</v>
      </c>
      <c r="Z78" s="49">
        <v>0.0</v>
      </c>
      <c r="AA78" s="126">
        <v>0.0</v>
      </c>
      <c r="AB78" s="126">
        <v>0.0</v>
      </c>
      <c r="AC78" s="126">
        <v>0.0</v>
      </c>
      <c r="AD78" s="126">
        <v>0.0</v>
      </c>
      <c r="AE78" s="49">
        <v>0.0</v>
      </c>
      <c r="AF78" s="126">
        <v>0.0</v>
      </c>
      <c r="AG78" s="126">
        <v>0.0</v>
      </c>
      <c r="AH78" s="126">
        <v>0.0</v>
      </c>
      <c r="AI78" s="126">
        <v>0.0</v>
      </c>
      <c r="AJ78" s="126">
        <v>0.0</v>
      </c>
      <c r="AK78" s="49">
        <v>420.0</v>
      </c>
      <c r="AL78" s="49">
        <v>0.0</v>
      </c>
      <c r="AM78" s="49">
        <v>0.0</v>
      </c>
      <c r="AN78" s="49">
        <v>0.0</v>
      </c>
      <c r="AO78" s="49">
        <v>102.0</v>
      </c>
      <c r="AP78" s="49">
        <v>0.0</v>
      </c>
      <c r="AQ78" s="49">
        <v>0.0</v>
      </c>
      <c r="AR78" s="98">
        <f t="shared" si="329"/>
        <v>522.0</v>
      </c>
      <c r="AS78" s="98">
        <f t="shared" si="330"/>
        <v>420.0</v>
      </c>
      <c r="AT78" s="98">
        <f t="shared" si="331"/>
        <v>462.0</v>
      </c>
      <c r="AU78" s="100">
        <f>AF78+AU73*0.25+AU80*0.25</f>
        <v>0.6385</v>
      </c>
      <c r="AV78" s="100">
        <f>AG78+AV73*0.25+AV80*0.25</f>
        <v>0.01825</v>
      </c>
      <c r="AW78" s="100">
        <f>AH78+AW73*0.25+AW80*0.25</f>
        <v>0.0145</v>
      </c>
      <c r="AX78" s="100">
        <f>AI78+AX73*0.25+AX80*0.25</f>
        <v>30.0305</v>
      </c>
      <c r="AY78" s="100">
        <f>AJ78+AY73*0.25+AY80*0.25</f>
        <v>0.02575</v>
      </c>
      <c r="AZ78" s="100">
        <f>AK78+AZ73*0.25+AZ80*0.25</f>
        <v>480.01975</v>
      </c>
      <c r="BA78" s="98">
        <f>SUM(AU78:AZ78)+BA21</f>
        <v>2110.08921428571</v>
      </c>
      <c r="BB78" s="51">
        <f>VLOOKUP(D78,FEB23SOH,2,false)</f>
        <v>6810.0</v>
      </c>
      <c r="BC78" s="99">
        <f>VLOOKUP(C78,UNITVALUE,5,false)</f>
        <v>3.8415</v>
      </c>
      <c r="BD78" s="53">
        <f t="shared" si="335"/>
        <v>26160.615</v>
      </c>
      <c r="BG78" s="98">
        <f t="shared" ref="BG78:BG81" si="345">BB78+BE78+BF78-BA78</f>
        <v>4699.91078571429</v>
      </c>
      <c r="BH78" s="49">
        <v>1008.0</v>
      </c>
      <c r="BI78" s="51"/>
      <c r="BJ78" s="50"/>
      <c r="BK78" s="100">
        <f t="shared" si="336"/>
        <v>6810.0</v>
      </c>
      <c r="BM78" s="100">
        <f>AU78+BM21</f>
        <v>236.872874999999</v>
      </c>
      <c r="BN78" s="49">
        <f t="shared" ref="BN78:BN81" si="347">BE78</f>
      </c>
      <c r="BO78" s="100">
        <f t="shared" ref="BO78:BO81" si="348">BK78+BN78-BM78+BL78</f>
        <v>6573.127125</v>
      </c>
      <c r="BP78" s="101">
        <f t="shared" ref="BP78:BP81" si="349">BO78*BC78</f>
        <v>25250.6678506875</v>
      </c>
      <c r="BQ78" s="100">
        <f>AV78+BQ21</f>
        <v>254.4245</v>
      </c>
      <c r="BR78" s="49">
        <f t="shared" ref="BR78:BR81" si="351">BF78</f>
      </c>
      <c r="BS78" s="100">
        <f t="shared" ref="BS78:BS81" si="352">BO78+BR78-BQ78</f>
        <v>6318.702625</v>
      </c>
      <c r="BT78" s="102">
        <f t="shared" ref="BT78:BT81" si="353">BS78*1.45</f>
        <v>9162.11880625</v>
      </c>
      <c r="BU78" s="100">
        <f>AW78+BU21</f>
        <v>352.548874999999</v>
      </c>
      <c r="BV78" s="100"/>
      <c r="BW78" s="100">
        <f t="shared" ref="BW78:BW81" si="355">BS78+BV78-BU78</f>
        <v>5966.15375</v>
      </c>
      <c r="BX78" s="102">
        <f t="shared" ref="BX78:BX81" si="356">BW78*1.45</f>
        <v>8650.9229375</v>
      </c>
      <c r="BY78" s="100">
        <f>AX78+BY21</f>
        <v>197.21175</v>
      </c>
      <c r="BZ78" s="100"/>
      <c r="CA78" s="100">
        <f t="shared" ref="CA78:CA81" si="358">BW78+BZ78-BY78</f>
        <v>5768.942</v>
      </c>
      <c r="CB78" s="102">
        <f t="shared" ref="CB78:CB81" si="359">CA78*1.45</f>
        <v>8364.9659</v>
      </c>
      <c r="CC78" s="100">
        <f>AY78+CC21</f>
        <v>323.60432142857</v>
      </c>
      <c r="CD78" s="100"/>
      <c r="CE78" s="100">
        <f t="shared" ref="CE78:CE81" si="361">CA78+CD78-CC78</f>
        <v>5445.33767857143</v>
      </c>
      <c r="CF78" s="102">
        <f t="shared" ref="CF78:CF81" si="362">CE78*1.45</f>
        <v>7895.73963392857</v>
      </c>
      <c r="CG78" s="100">
        <f>AZ78+CG21</f>
        <v>745.426892857143</v>
      </c>
      <c r="CH78" s="100"/>
      <c r="CI78" s="100">
        <f t="shared" ref="CI78:CI81" si="364">CE78+CH78-CG78</f>
        <v>4699.91078571429</v>
      </c>
      <c r="CJ78" s="102">
        <f t="shared" ref="CJ78:CJ81" si="365">CI78*1.45</f>
        <v>6814.87063928572</v>
      </c>
    </row>
    <row r="79" ht="14.0">
      <c r="A79" s="49" t="s">
        <v>28</v>
      </c>
      <c r="B79" s="49" t="s">
        <v>29</v>
      </c>
      <c r="C79" s="49" t="s">
        <v>198</v>
      </c>
      <c r="D79" s="50" t="s">
        <v>199</v>
      </c>
      <c r="E79" s="126">
        <v>0.0</v>
      </c>
      <c r="F79" s="126">
        <v>0.0</v>
      </c>
      <c r="G79" s="126">
        <v>0.0</v>
      </c>
      <c r="H79" s="126">
        <v>0.0</v>
      </c>
      <c r="I79" s="126">
        <v>0.0</v>
      </c>
      <c r="J79" s="126">
        <v>0.0</v>
      </c>
      <c r="K79" s="126">
        <v>0.0</v>
      </c>
      <c r="L79" s="126">
        <v>0.0</v>
      </c>
      <c r="M79" s="126">
        <v>0.0</v>
      </c>
      <c r="N79" s="126">
        <v>0.0</v>
      </c>
      <c r="O79" s="126">
        <v>0.0</v>
      </c>
      <c r="P79" s="126">
        <v>0.0</v>
      </c>
      <c r="Q79" s="126">
        <v>0.0</v>
      </c>
      <c r="R79" s="126">
        <v>0.0</v>
      </c>
      <c r="S79" s="126">
        <v>0.0</v>
      </c>
      <c r="T79" s="126">
        <v>0.0</v>
      </c>
      <c r="U79" s="126">
        <v>0.0</v>
      </c>
      <c r="V79" s="126">
        <v>0.0</v>
      </c>
      <c r="W79" s="126">
        <v>0.0</v>
      </c>
      <c r="X79" s="126">
        <v>0.0</v>
      </c>
      <c r="Y79" s="126">
        <v>0.0</v>
      </c>
      <c r="Z79" s="49">
        <v>0.0</v>
      </c>
      <c r="AA79" s="126">
        <v>0.0</v>
      </c>
      <c r="AB79" s="126">
        <v>0.0</v>
      </c>
      <c r="AC79" s="126">
        <v>0.0</v>
      </c>
      <c r="AD79" s="126">
        <v>0.0</v>
      </c>
      <c r="AE79" s="49">
        <v>0.0</v>
      </c>
      <c r="AF79" s="126">
        <v>0.0</v>
      </c>
      <c r="AG79" s="126">
        <v>0.0</v>
      </c>
      <c r="AH79" s="126">
        <v>0.0</v>
      </c>
      <c r="AI79" s="126">
        <v>0.0</v>
      </c>
      <c r="AJ79" s="126">
        <v>0.0</v>
      </c>
      <c r="AK79" s="49">
        <v>180.0</v>
      </c>
      <c r="AL79" s="49">
        <v>0.0</v>
      </c>
      <c r="AM79" s="49">
        <v>0.0</v>
      </c>
      <c r="AN79" s="49">
        <v>0.0</v>
      </c>
      <c r="AO79" s="49">
        <v>198.0</v>
      </c>
      <c r="AP79" s="49">
        <v>0.0</v>
      </c>
      <c r="AQ79" s="49">
        <v>0.0</v>
      </c>
      <c r="AR79" s="98">
        <f t="shared" si="329"/>
        <v>378.0</v>
      </c>
      <c r="AS79" s="98">
        <f t="shared" si="330"/>
        <v>180.0</v>
      </c>
      <c r="AT79" s="98">
        <f t="shared" si="331"/>
        <v>198.0</v>
      </c>
      <c r="AU79" s="100">
        <f>AF79*1.1+AU77*0.75</f>
        <v>49.5</v>
      </c>
      <c r="AV79" s="100">
        <f>AV77*0.75+AU79</f>
        <v>49.5</v>
      </c>
      <c r="AW79" s="100">
        <f>AW77*0.75+AV79</f>
        <v>49.5</v>
      </c>
      <c r="AX79" s="100">
        <f>AX77*0.75+AW79</f>
        <v>49.5</v>
      </c>
      <c r="AY79" s="100">
        <f>AW79</f>
        <v>49.5</v>
      </c>
      <c r="AZ79" s="100">
        <f>AZ77*0.75+AY79</f>
        <v>49.5</v>
      </c>
      <c r="BA79" s="98">
        <f>SUM(AU79:AZ79)+BA24</f>
        <v>2799.92857142857</v>
      </c>
      <c r="BB79" s="51">
        <f>VLOOKUP(D79,FEB23SOH,2,false)</f>
        <v>3513.0</v>
      </c>
      <c r="BC79" s="99">
        <f>VLOOKUP(C79,UNITVALUE,5,false)</f>
        <v>3.8164</v>
      </c>
      <c r="BD79" s="53">
        <f t="shared" si="335"/>
        <v>13407.0132</v>
      </c>
      <c r="BG79" s="98">
        <f t="shared" si="345"/>
        <v>713.07142857143</v>
      </c>
      <c r="BH79" s="49">
        <v>1008.0</v>
      </c>
      <c r="BI79" s="51"/>
      <c r="BJ79" s="50"/>
      <c r="BK79" s="100">
        <f t="shared" si="336"/>
        <v>3513.0</v>
      </c>
      <c r="BM79" s="100">
        <f>AU79+BM24</f>
        <v>421.296266233766</v>
      </c>
      <c r="BN79" s="49">
        <f t="shared" si="347"/>
      </c>
      <c r="BO79" s="100">
        <f t="shared" si="348"/>
        <v>3091.70373376623</v>
      </c>
      <c r="BP79" s="101">
        <f t="shared" si="349"/>
        <v>11799.1781295454</v>
      </c>
      <c r="BQ79" s="100">
        <f>AV79+BQ24</f>
        <v>448.511363636363</v>
      </c>
      <c r="BR79" s="49">
        <f t="shared" si="351"/>
      </c>
      <c r="BS79" s="100">
        <f t="shared" si="352"/>
        <v>2643.19237012987</v>
      </c>
      <c r="BT79" s="102">
        <f t="shared" si="353"/>
        <v>3832.62893668831</v>
      </c>
      <c r="BU79" s="100">
        <f>AW79+BU24</f>
        <v>604.472889610389</v>
      </c>
      <c r="BV79" s="100"/>
      <c r="BW79" s="100">
        <f t="shared" si="355"/>
        <v>2038.71948051948</v>
      </c>
      <c r="BX79" s="102">
        <f t="shared" si="356"/>
        <v>2956.14324675324</v>
      </c>
      <c r="BY79" s="100">
        <f>AX79+BY24</f>
        <v>308.878896103894</v>
      </c>
      <c r="BZ79" s="100"/>
      <c r="CA79" s="100">
        <f t="shared" si="358"/>
        <v>1729.84058441559</v>
      </c>
      <c r="CB79" s="102">
        <f t="shared" si="359"/>
        <v>2508.2688474026</v>
      </c>
      <c r="CC79" s="100">
        <f>AY79+CC24</f>
        <v>551.928733766232</v>
      </c>
      <c r="CD79" s="100"/>
      <c r="CE79" s="100">
        <f t="shared" si="361"/>
        <v>1177.91185064936</v>
      </c>
      <c r="CF79" s="102">
        <f t="shared" si="362"/>
        <v>1707.97218344157</v>
      </c>
      <c r="CG79" s="100">
        <f>AZ79+CG24</f>
        <v>464.840422077921</v>
      </c>
      <c r="CH79" s="100"/>
      <c r="CI79" s="100">
        <f t="shared" si="364"/>
        <v>713.071428571439</v>
      </c>
      <c r="CJ79" s="102">
        <f t="shared" si="365"/>
        <v>1033.95357142859</v>
      </c>
    </row>
    <row r="80" ht="14.0">
      <c r="A80" s="49" t="s">
        <v>28</v>
      </c>
      <c r="B80" s="49" t="s">
        <v>29</v>
      </c>
      <c r="C80" s="49" t="s">
        <v>60</v>
      </c>
      <c r="D80" s="50" t="s">
        <v>61</v>
      </c>
      <c r="E80" s="126">
        <v>0.0</v>
      </c>
      <c r="F80" s="126">
        <v>0.0</v>
      </c>
      <c r="G80" s="126">
        <v>0.0</v>
      </c>
      <c r="H80" s="126">
        <v>0.0</v>
      </c>
      <c r="I80" s="126">
        <v>0.0</v>
      </c>
      <c r="J80" s="126">
        <v>0.0</v>
      </c>
      <c r="K80" s="126">
        <v>0.0</v>
      </c>
      <c r="L80" s="126">
        <v>0.0</v>
      </c>
      <c r="M80" s="126">
        <v>0.0</v>
      </c>
      <c r="N80" s="126">
        <v>0.0</v>
      </c>
      <c r="O80" s="126">
        <v>0.0</v>
      </c>
      <c r="P80" s="126">
        <v>0.0</v>
      </c>
      <c r="Q80" s="126">
        <v>0.0</v>
      </c>
      <c r="R80" s="126">
        <v>0.0</v>
      </c>
      <c r="S80" s="126">
        <v>0.0</v>
      </c>
      <c r="T80" s="126">
        <v>0.0</v>
      </c>
      <c r="U80" s="126">
        <v>0.0</v>
      </c>
      <c r="V80" s="126">
        <v>0.0</v>
      </c>
      <c r="W80" s="49">
        <v>120.0</v>
      </c>
      <c r="X80" s="49">
        <v>0.0</v>
      </c>
      <c r="Y80" s="49">
        <v>60.0</v>
      </c>
      <c r="Z80" s="49">
        <v>0.0</v>
      </c>
      <c r="AA80" s="49">
        <v>60.0</v>
      </c>
      <c r="AB80" s="49">
        <v>59.0</v>
      </c>
      <c r="AC80" s="49">
        <v>0.0</v>
      </c>
      <c r="AD80" s="49">
        <v>0.0</v>
      </c>
      <c r="AE80" s="49">
        <v>11.0</v>
      </c>
      <c r="AF80" s="49">
        <v>0.0</v>
      </c>
      <c r="AG80" s="126">
        <v>0.0</v>
      </c>
      <c r="AH80" s="126">
        <v>0.0</v>
      </c>
      <c r="AI80" s="49">
        <v>120.0</v>
      </c>
      <c r="AJ80" s="49">
        <v>0.0</v>
      </c>
      <c r="AK80" s="49">
        <v>240.0</v>
      </c>
      <c r="AL80" s="49">
        <v>17.0</v>
      </c>
      <c r="AM80" s="49">
        <v>0.0</v>
      </c>
      <c r="AN80" s="49">
        <v>0.0</v>
      </c>
      <c r="AO80" s="49">
        <v>300.0</v>
      </c>
      <c r="AP80" s="49">
        <v>0.0</v>
      </c>
      <c r="AQ80" s="49">
        <v>0.0</v>
      </c>
      <c r="AR80" s="98">
        <f t="shared" si="329"/>
        <v>677.0</v>
      </c>
      <c r="AS80" s="98">
        <f t="shared" si="330"/>
        <v>360.0</v>
      </c>
      <c r="AT80" s="98">
        <f t="shared" si="331"/>
        <v>396.0</v>
      </c>
      <c r="AU80" s="100">
        <f>AF80+AU76*0.25+AU82*0.25</f>
        <v>2.5</v>
      </c>
      <c r="AV80" s="100">
        <f>AG80+AV76*0.25+AV82*0.25</f>
        <v>0.0</v>
      </c>
      <c r="AW80" s="100">
        <f>AH80+AW76*0.25+AW82*0.25</f>
        <v>0.0</v>
      </c>
      <c r="AX80" s="100">
        <f>AI80+AX76*0.25+AX82*0.25</f>
        <v>120.0</v>
      </c>
      <c r="AY80" s="100">
        <f>AJ80+AY76*0.25+AY82*0.25</f>
        <v>0.0</v>
      </c>
      <c r="AZ80" s="100">
        <f>AK80+AZ76*0.25+AZ82*0.25</f>
        <v>240.0</v>
      </c>
      <c r="BA80" s="127">
        <f>SUM(AU80:AZ80)+BA30</f>
        <v>3742.13214285714</v>
      </c>
      <c r="BB80" s="51">
        <f>VLOOKUP(D80,FEB23SOH,2,false)</f>
        <v>4733.0</v>
      </c>
      <c r="BC80" s="99">
        <f>VLOOKUP(C80,UNITVALUE,5,false)</f>
        <v>3.4853</v>
      </c>
      <c r="BD80" s="53">
        <f t="shared" si="335"/>
        <v>16495.9249</v>
      </c>
      <c r="BG80" s="98">
        <f t="shared" si="345"/>
        <v>990.86785714286</v>
      </c>
      <c r="BH80" s="49">
        <v>1008.0</v>
      </c>
      <c r="BI80" s="51"/>
      <c r="BJ80" s="50"/>
      <c r="BK80" s="100">
        <f t="shared" si="336"/>
        <v>4733.0</v>
      </c>
      <c r="BM80" s="100">
        <f>AU80+BM30</f>
        <v>482.75</v>
      </c>
      <c r="BN80" s="49">
        <f t="shared" si="347"/>
      </c>
      <c r="BO80" s="100">
        <f t="shared" si="348"/>
        <v>4250.25</v>
      </c>
      <c r="BP80" s="101">
        <f t="shared" si="349"/>
        <v>14813.396325</v>
      </c>
      <c r="BQ80" s="100">
        <f>AV80+BQ30</f>
        <v>514.5</v>
      </c>
      <c r="BR80" s="49">
        <f t="shared" si="351"/>
      </c>
      <c r="BS80" s="100">
        <f t="shared" si="352"/>
        <v>3735.75</v>
      </c>
      <c r="BT80" s="102">
        <f t="shared" si="353"/>
        <v>5416.8375</v>
      </c>
      <c r="BU80" s="100">
        <f>AW80+BU30</f>
        <v>712.95</v>
      </c>
      <c r="BV80" s="100"/>
      <c r="BW80" s="100">
        <f t="shared" si="355"/>
        <v>3022.8</v>
      </c>
      <c r="BX80" s="102">
        <f t="shared" si="356"/>
        <v>4383.06</v>
      </c>
      <c r="BY80" s="100">
        <f>AX80+BY30</f>
        <v>458.099999999999</v>
      </c>
      <c r="BZ80" s="100"/>
      <c r="CA80" s="100">
        <f t="shared" si="358"/>
        <v>2564.7</v>
      </c>
      <c r="CB80" s="102">
        <f t="shared" si="359"/>
        <v>3718.815</v>
      </c>
      <c r="CC80" s="100">
        <f>AY80+CC30</f>
        <v>654.15</v>
      </c>
      <c r="CD80" s="100"/>
      <c r="CE80" s="100">
        <f t="shared" si="361"/>
        <v>1910.55</v>
      </c>
      <c r="CF80" s="102">
        <f t="shared" si="362"/>
        <v>2770.2975</v>
      </c>
      <c r="CG80" s="100">
        <f>AZ80+CG30</f>
        <v>919.682142857142</v>
      </c>
      <c r="CH80" s="100"/>
      <c r="CI80" s="100">
        <f t="shared" si="364"/>
        <v>990.867857142858</v>
      </c>
      <c r="CJ80" s="102">
        <f t="shared" si="365"/>
        <v>1436.75839285714</v>
      </c>
    </row>
    <row r="81" ht="14.0">
      <c r="A81" s="49" t="s">
        <v>28</v>
      </c>
      <c r="B81" s="49" t="s">
        <v>29</v>
      </c>
      <c r="C81" s="49" t="s">
        <v>65</v>
      </c>
      <c r="D81" s="50" t="s">
        <v>66</v>
      </c>
      <c r="E81" s="126">
        <v>0.0</v>
      </c>
      <c r="F81" s="126">
        <v>0.0</v>
      </c>
      <c r="G81" s="126">
        <v>0.0</v>
      </c>
      <c r="H81" s="126">
        <v>0.0</v>
      </c>
      <c r="I81" s="126">
        <v>0.0</v>
      </c>
      <c r="J81" s="126">
        <v>0.0</v>
      </c>
      <c r="K81" s="126">
        <v>0.0</v>
      </c>
      <c r="L81" s="126">
        <v>0.0</v>
      </c>
      <c r="M81" s="126">
        <v>0.0</v>
      </c>
      <c r="N81" s="126">
        <v>0.0</v>
      </c>
      <c r="O81" s="126">
        <v>0.0</v>
      </c>
      <c r="P81" s="126">
        <v>0.0</v>
      </c>
      <c r="Q81" s="126">
        <v>0.0</v>
      </c>
      <c r="R81" s="126">
        <v>0.0</v>
      </c>
      <c r="S81" s="126">
        <v>0.0</v>
      </c>
      <c r="T81" s="126">
        <v>0.0</v>
      </c>
      <c r="U81" s="126">
        <v>0.0</v>
      </c>
      <c r="V81" s="126">
        <v>0.0</v>
      </c>
      <c r="W81" s="49">
        <v>120.0</v>
      </c>
      <c r="X81" s="49">
        <v>0.0</v>
      </c>
      <c r="Y81" s="126">
        <v>0.0</v>
      </c>
      <c r="Z81" s="49">
        <v>0.0</v>
      </c>
      <c r="AA81" s="126">
        <v>0.0</v>
      </c>
      <c r="AB81" s="126">
        <v>0.0</v>
      </c>
      <c r="AC81" s="126">
        <v>0.0</v>
      </c>
      <c r="AD81" s="49">
        <v>59.0</v>
      </c>
      <c r="AE81" s="49">
        <v>0.0</v>
      </c>
      <c r="AF81" s="126">
        <v>0.0</v>
      </c>
      <c r="AG81" s="49">
        <v>60.0</v>
      </c>
      <c r="AH81" s="49">
        <v>0.0</v>
      </c>
      <c r="AI81" s="49">
        <v>60.0</v>
      </c>
      <c r="AJ81" s="49">
        <v>0.0</v>
      </c>
      <c r="AK81" s="49">
        <v>240.0</v>
      </c>
      <c r="AL81" s="49">
        <v>-7.0</v>
      </c>
      <c r="AM81" s="49">
        <v>0.0</v>
      </c>
      <c r="AN81" s="49">
        <v>0.0</v>
      </c>
      <c r="AO81" s="49">
        <v>198.0</v>
      </c>
      <c r="AP81" s="49">
        <v>0.0</v>
      </c>
      <c r="AQ81" s="49">
        <v>0.0</v>
      </c>
      <c r="AR81" s="98">
        <f t="shared" si="329"/>
        <v>551.0</v>
      </c>
      <c r="AS81" s="98">
        <f t="shared" si="330"/>
        <v>360.0</v>
      </c>
      <c r="AT81" s="98">
        <f t="shared" si="331"/>
        <v>396.0</v>
      </c>
      <c r="AU81" s="100">
        <f>AF80*1.1</f>
        <v>0.0</v>
      </c>
      <c r="AV81" s="100">
        <f>AG80*1.1</f>
        <v>0.0</v>
      </c>
      <c r="AW81" s="100">
        <f>AH80*1.1</f>
        <v>0.0</v>
      </c>
      <c r="AX81" s="100">
        <f>AI80*1.1</f>
        <v>132.0</v>
      </c>
      <c r="AY81" s="100">
        <f>AJ80*1.1</f>
        <v>0.0</v>
      </c>
      <c r="AZ81" s="100">
        <f>AK80*1.1</f>
        <v>264.0</v>
      </c>
      <c r="BA81" s="127">
        <f>SUM(AU81:AZ81)+BA32</f>
        <v>2849.08352272727</v>
      </c>
      <c r="BB81" s="51">
        <f>VLOOKUP(D81,FEB23SOH,2,false)</f>
        <v>2863.0</v>
      </c>
      <c r="BC81" s="99">
        <f>VLOOKUP(C81,UNITVALUE,5,false)</f>
        <v>3.4971</v>
      </c>
      <c r="BD81" s="53">
        <f t="shared" si="335"/>
        <v>10012.1973</v>
      </c>
      <c r="BG81" s="98">
        <f t="shared" si="345"/>
        <v>13.9164772727299</v>
      </c>
      <c r="BH81" s="49">
        <v>1008.0</v>
      </c>
      <c r="BI81" s="51"/>
      <c r="BJ81" s="50"/>
      <c r="BK81" s="100">
        <f t="shared" si="336"/>
        <v>2863.0</v>
      </c>
      <c r="BM81" s="100">
        <f>AU81+BM32</f>
        <v>347.140624999999</v>
      </c>
      <c r="BN81" s="49">
        <f t="shared" si="347"/>
      </c>
      <c r="BO81" s="100">
        <f t="shared" si="348"/>
        <v>2515.859375</v>
      </c>
      <c r="BP81" s="101">
        <f t="shared" si="349"/>
        <v>8798.2118203125</v>
      </c>
      <c r="BQ81" s="100">
        <f>AV81+BQ32</f>
        <v>373.84375</v>
      </c>
      <c r="BR81" s="49">
        <f t="shared" si="351"/>
      </c>
      <c r="BS81" s="100">
        <f t="shared" si="352"/>
        <v>2142.015625</v>
      </c>
      <c r="BT81" s="102">
        <f t="shared" si="353"/>
        <v>3105.92265625</v>
      </c>
      <c r="BU81" s="100">
        <f>AW81+BU32</f>
        <v>518.040624999999</v>
      </c>
      <c r="BV81" s="100"/>
      <c r="BW81" s="100">
        <f t="shared" si="355"/>
        <v>1623.975</v>
      </c>
      <c r="BX81" s="102">
        <f t="shared" si="356"/>
        <v>2354.76375</v>
      </c>
      <c r="BY81" s="100">
        <f>AX81+BY32</f>
        <v>377.66875</v>
      </c>
      <c r="BZ81" s="100"/>
      <c r="CA81" s="100">
        <f t="shared" si="358"/>
        <v>1246.30625</v>
      </c>
      <c r="CB81" s="102">
        <f t="shared" si="359"/>
        <v>1807.1440625</v>
      </c>
      <c r="CC81" s="100">
        <f>AY81+CC32</f>
        <v>475.355357142861</v>
      </c>
      <c r="CD81" s="100"/>
      <c r="CE81" s="100">
        <f t="shared" si="361"/>
        <v>770.950892857139</v>
      </c>
      <c r="CF81" s="102">
        <f t="shared" si="362"/>
        <v>1117.87879464285</v>
      </c>
      <c r="CG81" s="100">
        <f>AZ81+CG32</f>
        <v>757.034415584414</v>
      </c>
      <c r="CH81" s="100"/>
      <c r="CI81" s="100">
        <f t="shared" si="364"/>
        <v>13.916477272725</v>
      </c>
      <c r="CJ81" s="102">
        <f t="shared" si="365"/>
        <v>20.1788920454512</v>
      </c>
    </row>
    <row r="82" ht="14.0">
      <c r="A82" s="104" t="s">
        <v>45</v>
      </c>
      <c r="B82" s="104" t="s">
        <v>29</v>
      </c>
      <c r="C82" s="104" t="s">
        <v>69</v>
      </c>
      <c r="D82" s="125" t="s">
        <v>70</v>
      </c>
      <c r="E82" s="49">
        <v>768.0</v>
      </c>
      <c r="F82" s="49">
        <v>143.0</v>
      </c>
      <c r="G82" s="49">
        <v>144.0</v>
      </c>
      <c r="H82" s="126">
        <v>144.0</v>
      </c>
      <c r="I82" s="49">
        <v>286.0</v>
      </c>
      <c r="J82" s="49">
        <v>288.0</v>
      </c>
      <c r="K82" s="49">
        <v>144.0</v>
      </c>
      <c r="L82" s="49">
        <v>192.0</v>
      </c>
      <c r="M82" s="49">
        <v>240.0</v>
      </c>
      <c r="N82" s="126">
        <v>240.0</v>
      </c>
      <c r="O82" s="49">
        <v>192.0</v>
      </c>
      <c r="P82" s="49">
        <v>144.0</v>
      </c>
      <c r="Q82" s="49">
        <v>278.0</v>
      </c>
      <c r="R82" s="49">
        <v>528.0</v>
      </c>
      <c r="S82" s="49">
        <v>0.0</v>
      </c>
      <c r="T82" s="49">
        <v>336.0</v>
      </c>
      <c r="U82" s="49">
        <v>96.0</v>
      </c>
      <c r="V82" s="49">
        <v>192.0</v>
      </c>
      <c r="W82" s="126">
        <v>192.0</v>
      </c>
      <c r="X82" s="49">
        <v>240.0</v>
      </c>
      <c r="Y82" s="49">
        <v>87.0</v>
      </c>
      <c r="Z82" s="49">
        <v>192.0</v>
      </c>
      <c r="AA82" s="49">
        <v>96.0</v>
      </c>
      <c r="AB82" s="49">
        <v>191.0</v>
      </c>
      <c r="AC82" s="49">
        <v>144.0</v>
      </c>
      <c r="AD82" s="49">
        <v>575.0</v>
      </c>
      <c r="AE82" s="49">
        <v>48.0</v>
      </c>
      <c r="AF82" s="49">
        <v>96.0</v>
      </c>
      <c r="AG82" s="49">
        <v>144.0</v>
      </c>
      <c r="AH82" s="49">
        <v>240.0</v>
      </c>
      <c r="AI82" s="49">
        <v>143.0</v>
      </c>
      <c r="AJ82" s="49">
        <v>144.0</v>
      </c>
      <c r="AK82" s="49">
        <v>0.0</v>
      </c>
      <c r="AL82" s="49">
        <v>-1.0</v>
      </c>
      <c r="AM82" s="49">
        <v>0.0</v>
      </c>
      <c r="AN82" s="49">
        <v>0.0</v>
      </c>
      <c r="AO82" s="49">
        <v>0.0</v>
      </c>
      <c r="AP82" s="49">
        <v>0.0</v>
      </c>
      <c r="AQ82" s="49">
        <v>0.0</v>
      </c>
      <c r="AR82" s="98">
        <f t="shared" si="329"/>
        <v>766.0</v>
      </c>
      <c r="AS82" s="98">
        <f t="shared" si="330"/>
        <v>767.0</v>
      </c>
      <c r="AT82" s="98">
        <f t="shared" si="331"/>
        <v>843.7</v>
      </c>
      <c r="AU82" s="104">
        <v>10.0</v>
      </c>
      <c r="AV82" s="104">
        <v>0.0</v>
      </c>
      <c r="AW82" s="104">
        <v>0.0</v>
      </c>
      <c r="AX82" s="104">
        <v>0.0</v>
      </c>
      <c r="AY82" s="104">
        <v>0.0</v>
      </c>
      <c r="AZ82" s="104">
        <v>0.0</v>
      </c>
      <c r="BA82" s="51">
        <f>SUM(AU82:AZ82)</f>
        <v>10.0</v>
      </c>
      <c r="BB82" s="51">
        <f>VLOOKUP(D82,FEB23SOH,2,false)</f>
        <v>10.0</v>
      </c>
      <c r="BC82" s="99">
        <f>VLOOKUP(C82,UNITVALUE,5,false)</f>
        <v>4.374</v>
      </c>
      <c r="BD82" s="53">
        <f t="shared" si="335"/>
        <v>43.74</v>
      </c>
      <c r="BH82" s="49">
        <v>1008.0</v>
      </c>
      <c r="BI82" s="104"/>
      <c r="BJ82" s="50" t="s">
        <v>189</v>
      </c>
      <c r="BK82" s="100">
        <f t="shared" si="336"/>
        <v>10.0</v>
      </c>
      <c r="BL82" s="49">
        <f>BE82</f>
      </c>
      <c r="BM82" s="100"/>
      <c r="BO82" s="100"/>
      <c r="BP82" s="107"/>
      <c r="BQ82" s="100"/>
      <c r="BS82" s="100"/>
      <c r="BT82" s="102"/>
      <c r="BU82" s="100"/>
      <c r="BV82" s="100"/>
      <c r="BW82" s="100"/>
      <c r="BX82" s="102"/>
      <c r="BY82" s="100"/>
      <c r="BZ82" s="100"/>
      <c r="CA82" s="100"/>
      <c r="CB82" s="102"/>
      <c r="CC82" s="100"/>
      <c r="CD82" s="100"/>
      <c r="CE82" s="100"/>
      <c r="CF82" s="102"/>
      <c r="CG82" s="100"/>
      <c r="CH82" s="100"/>
      <c r="CI82" s="100"/>
      <c r="CJ82" s="102"/>
    </row>
    <row r="83" ht="14.0">
      <c r="A83" s="49" t="s">
        <v>28</v>
      </c>
      <c r="B83" s="49" t="s">
        <v>29</v>
      </c>
      <c r="C83" s="49" t="s">
        <v>80</v>
      </c>
      <c r="D83" s="50" t="s">
        <v>81</v>
      </c>
      <c r="E83" s="126">
        <v>0.0</v>
      </c>
      <c r="F83" s="126">
        <v>0.0</v>
      </c>
      <c r="G83" s="126">
        <v>0.0</v>
      </c>
      <c r="H83" s="126">
        <v>0.0</v>
      </c>
      <c r="I83" s="126">
        <v>0.0</v>
      </c>
      <c r="J83" s="126">
        <v>0.0</v>
      </c>
      <c r="K83" s="126">
        <v>0.0</v>
      </c>
      <c r="L83" s="126">
        <v>0.0</v>
      </c>
      <c r="M83" s="126">
        <v>0.0</v>
      </c>
      <c r="N83" s="126">
        <v>0.0</v>
      </c>
      <c r="O83" s="126">
        <v>0.0</v>
      </c>
      <c r="P83" s="126">
        <v>0.0</v>
      </c>
      <c r="Q83" s="126">
        <v>0.0</v>
      </c>
      <c r="R83" s="126">
        <v>0.0</v>
      </c>
      <c r="S83" s="126">
        <v>0.0</v>
      </c>
      <c r="T83" s="126">
        <v>0.0</v>
      </c>
      <c r="U83" s="126">
        <v>0.0</v>
      </c>
      <c r="V83" s="126">
        <v>0.0</v>
      </c>
      <c r="W83" s="49">
        <v>360.0</v>
      </c>
      <c r="X83" s="49">
        <v>0.0</v>
      </c>
      <c r="Y83" s="49">
        <v>60.0</v>
      </c>
      <c r="Z83" s="49">
        <v>60.0</v>
      </c>
      <c r="AA83" s="49">
        <v>60.0</v>
      </c>
      <c r="AB83" s="49">
        <v>120.0</v>
      </c>
      <c r="AC83" s="49">
        <v>60.0</v>
      </c>
      <c r="AD83" s="49">
        <v>180.0</v>
      </c>
      <c r="AE83" s="49">
        <v>120.0</v>
      </c>
      <c r="AF83" s="49">
        <v>60.0</v>
      </c>
      <c r="AG83" s="49">
        <v>120.0</v>
      </c>
      <c r="AH83" s="126">
        <v>120.0</v>
      </c>
      <c r="AI83" s="49">
        <v>60.0</v>
      </c>
      <c r="AJ83" s="126">
        <v>60.0</v>
      </c>
      <c r="AK83" s="49">
        <v>0.0</v>
      </c>
      <c r="AL83" s="49">
        <v>120.0</v>
      </c>
      <c r="AM83" s="49">
        <v>0.0</v>
      </c>
      <c r="AN83" s="49">
        <v>120.0</v>
      </c>
      <c r="AO83" s="49">
        <v>360.0</v>
      </c>
      <c r="AP83" s="49">
        <v>180.0</v>
      </c>
      <c r="AQ83" s="49">
        <v>0.0</v>
      </c>
      <c r="AR83" s="98">
        <f t="shared" si="329"/>
        <v>1200.0</v>
      </c>
      <c r="AS83" s="98">
        <f t="shared" si="330"/>
        <v>420.0</v>
      </c>
      <c r="AT83" s="98">
        <f t="shared" si="331"/>
        <v>462.0</v>
      </c>
      <c r="AU83" s="100">
        <f t="shared" ref="AU83:AU93" si="407">AF82*1.1</f>
        <v>105.6</v>
      </c>
      <c r="AV83" s="100">
        <f t="shared" ref="AV83:AV93" si="408">AG82*1.1</f>
        <v>158.4</v>
      </c>
      <c r="AW83" s="100">
        <f t="shared" ref="AW83:AW93" si="409">AH82*1.1</f>
        <v>264.0</v>
      </c>
      <c r="AX83" s="100">
        <f t="shared" ref="AX83:AX93" si="410">AI82*1.1</f>
        <v>157.3</v>
      </c>
      <c r="AY83" s="100">
        <f t="shared" ref="AY83:AY93" si="411">AJ82*1.1</f>
        <v>158.4</v>
      </c>
      <c r="AZ83" s="100">
        <f t="shared" ref="AZ83:AZ93" si="412">AK82*1.1</f>
        <v>0.0</v>
      </c>
      <c r="BA83" s="51">
        <f>SUM(AU83:AZ83)+BA39</f>
        <v>2459.7</v>
      </c>
      <c r="BB83" s="51">
        <f>VLOOKUP(D83,FEB23SOH,2,false)</f>
        <v>6158.0</v>
      </c>
      <c r="BC83" s="99">
        <f>VLOOKUP(C83,UNITVALUE,5,false)</f>
        <v>2.259</v>
      </c>
      <c r="BD83" s="53">
        <f t="shared" si="335"/>
        <v>13910.922</v>
      </c>
      <c r="BG83" s="98">
        <f t="shared" ref="BG83:BG93" si="414">BB83+BE83+BF83-BA83</f>
        <v>3698.3</v>
      </c>
      <c r="BH83" s="49">
        <v>1008.0</v>
      </c>
      <c r="BI83" s="51"/>
      <c r="BJ83" s="50"/>
      <c r="BK83" s="100">
        <f t="shared" si="336"/>
        <v>6158.0</v>
      </c>
      <c r="BM83" s="100">
        <f>AU83+BM39</f>
        <v>347.054545454545</v>
      </c>
      <c r="BN83" s="49">
        <f t="shared" ref="BN83:BN93" si="416">BE83</f>
      </c>
      <c r="BO83" s="100">
        <f t="shared" ref="BO83:BO93" si="417">BK83+BN83-BM83+BL83</f>
        <v>5810.94545454546</v>
      </c>
      <c r="BP83" s="101">
        <f t="shared" ref="BP83:BP93" si="418">BO83*BC83</f>
        <v>13126.9257818181</v>
      </c>
      <c r="BQ83" s="100">
        <f>AV83+BQ39</f>
        <v>416.581818181818</v>
      </c>
      <c r="BR83" s="49">
        <f t="shared" ref="BR83:BR93" si="420">BF83</f>
      </c>
      <c r="BS83" s="100">
        <f t="shared" ref="BS83:BS93" si="421">BO83+BR83-BQ83</f>
        <v>5394.36363636364</v>
      </c>
      <c r="BT83" s="102">
        <f t="shared" ref="BT83:BT93" si="422">BS83*1.45</f>
        <v>7821.82727272728</v>
      </c>
      <c r="BU83" s="100">
        <f>AW83+BU39</f>
        <v>624.50909090909</v>
      </c>
      <c r="BV83" s="100"/>
      <c r="BW83" s="100">
        <f t="shared" ref="BW83:BW93" si="424">BS83+BV83-BU83</f>
        <v>4769.85454545454</v>
      </c>
      <c r="BX83" s="102">
        <f t="shared" ref="BX83:BX93" si="425">BW83*1.45</f>
        <v>6916.28909090908</v>
      </c>
      <c r="BY83" s="100">
        <f>AX83+BY39</f>
        <v>323.190909090909</v>
      </c>
      <c r="BZ83" s="100"/>
      <c r="CA83" s="100">
        <f t="shared" ref="CA83:CA93" si="427">BW83+BZ83-BY83</f>
        <v>4446.66363636363</v>
      </c>
      <c r="CB83" s="102">
        <f t="shared" ref="CB83:CB93" si="428">CA83*1.45</f>
        <v>6447.66227272726</v>
      </c>
      <c r="CC83" s="100">
        <f>AY83+CC39</f>
        <v>480.145454545453</v>
      </c>
      <c r="CD83" s="100"/>
      <c r="CE83" s="100">
        <f t="shared" ref="CE83:CE93" si="430">CA83+CD83-CC83</f>
        <v>3966.51818181818</v>
      </c>
      <c r="CF83" s="102">
        <f t="shared" ref="CF83:CF93" si="431">CE83*1.45</f>
        <v>5751.45136363636</v>
      </c>
      <c r="CG83" s="100">
        <f>AZ83+CG39</f>
        <v>268.218181818181</v>
      </c>
      <c r="CH83" s="100"/>
      <c r="CI83" s="100">
        <f t="shared" ref="CI83:CI93" si="433">CE83+CH83-CG83</f>
        <v>3698.3</v>
      </c>
      <c r="CJ83" s="102">
        <f t="shared" ref="CJ83:CJ91" si="434">CI83*1.45</f>
        <v>5362.535</v>
      </c>
    </row>
    <row r="84" ht="14.0">
      <c r="A84" s="49" t="s">
        <v>28</v>
      </c>
      <c r="B84" s="49" t="s">
        <v>29</v>
      </c>
      <c r="C84" s="49" t="s">
        <v>86</v>
      </c>
      <c r="D84" s="50" t="s">
        <v>87</v>
      </c>
      <c r="E84" s="126">
        <v>0.0</v>
      </c>
      <c r="F84" s="126">
        <v>0.0</v>
      </c>
      <c r="G84" s="126">
        <v>0.0</v>
      </c>
      <c r="H84" s="126">
        <v>0.0</v>
      </c>
      <c r="I84" s="126">
        <v>0.0</v>
      </c>
      <c r="J84" s="126">
        <v>0.0</v>
      </c>
      <c r="K84" s="126">
        <v>0.0</v>
      </c>
      <c r="L84" s="126">
        <v>0.0</v>
      </c>
      <c r="M84" s="126">
        <v>0.0</v>
      </c>
      <c r="N84" s="126">
        <v>0.0</v>
      </c>
      <c r="O84" s="126">
        <v>0.0</v>
      </c>
      <c r="P84" s="126">
        <v>0.0</v>
      </c>
      <c r="Q84" s="126">
        <v>0.0</v>
      </c>
      <c r="R84" s="126">
        <v>0.0</v>
      </c>
      <c r="S84" s="126">
        <v>0.0</v>
      </c>
      <c r="T84" s="126">
        <v>0.0</v>
      </c>
      <c r="U84" s="126">
        <v>0.0</v>
      </c>
      <c r="V84" s="126">
        <v>0.0</v>
      </c>
      <c r="W84" s="49">
        <v>324.0</v>
      </c>
      <c r="X84" s="49">
        <v>0.0</v>
      </c>
      <c r="Y84" s="49">
        <v>60.0</v>
      </c>
      <c r="Z84" s="49">
        <v>60.0</v>
      </c>
      <c r="AA84" s="49">
        <v>60.0</v>
      </c>
      <c r="AB84" s="49">
        <v>60.0</v>
      </c>
      <c r="AC84" s="49">
        <v>60.0</v>
      </c>
      <c r="AD84" s="49">
        <v>240.0</v>
      </c>
      <c r="AE84" s="49">
        <v>60.0</v>
      </c>
      <c r="AF84" s="126">
        <v>60.0</v>
      </c>
      <c r="AG84" s="126">
        <v>60.0</v>
      </c>
      <c r="AH84" s="49">
        <v>120.0</v>
      </c>
      <c r="AI84" s="49">
        <v>0.0</v>
      </c>
      <c r="AJ84" s="49">
        <v>120.0</v>
      </c>
      <c r="AK84" s="49">
        <v>0.0</v>
      </c>
      <c r="AL84" s="49">
        <v>60.0</v>
      </c>
      <c r="AM84" s="49">
        <v>60.0</v>
      </c>
      <c r="AN84" s="49">
        <v>120.0</v>
      </c>
      <c r="AO84" s="49">
        <v>300.0</v>
      </c>
      <c r="AP84" s="49">
        <v>120.0</v>
      </c>
      <c r="AQ84" s="49">
        <v>0.0</v>
      </c>
      <c r="AR84" s="98">
        <f t="shared" si="329"/>
        <v>1020.0</v>
      </c>
      <c r="AS84" s="98">
        <f t="shared" si="330"/>
        <v>360.0</v>
      </c>
      <c r="AT84" s="98">
        <f t="shared" si="331"/>
        <v>396.0</v>
      </c>
      <c r="AU84" s="100">
        <f t="shared" si="407"/>
        <v>66.0</v>
      </c>
      <c r="AV84" s="100">
        <f t="shared" si="408"/>
        <v>132.0</v>
      </c>
      <c r="AW84" s="100">
        <f t="shared" si="409"/>
        <v>132.0</v>
      </c>
      <c r="AX84" s="100">
        <f t="shared" si="410"/>
        <v>66.0</v>
      </c>
      <c r="AY84" s="100">
        <f t="shared" si="411"/>
        <v>66.0</v>
      </c>
      <c r="AZ84" s="100">
        <f t="shared" si="412"/>
        <v>0.0</v>
      </c>
      <c r="BA84" s="51">
        <f t="shared" ref="BA84:BA85" si="435">SUM(AU84:AZ84)+BA42</f>
        <v>1807.0</v>
      </c>
      <c r="BB84" s="51">
        <f>VLOOKUP(D84,FEB23SOH,2,false)</f>
        <v>5360.0</v>
      </c>
      <c r="BC84" s="99">
        <f>VLOOKUP(C84,UNITVALUE,5,false)</f>
        <v>2.2665</v>
      </c>
      <c r="BD84" s="53">
        <f t="shared" si="335"/>
        <v>12148.44</v>
      </c>
      <c r="BG84" s="98">
        <f t="shared" si="414"/>
        <v>3553.0</v>
      </c>
      <c r="BH84" s="49">
        <v>1008.0</v>
      </c>
      <c r="BI84" s="51"/>
      <c r="BJ84" s="50"/>
      <c r="BK84" s="100">
        <f t="shared" si="336"/>
        <v>5360.0</v>
      </c>
      <c r="BM84" s="100">
        <f t="shared" ref="BM84:BM85" si="436">AU84+BM42</f>
        <v>267.420454545454</v>
      </c>
      <c r="BN84" s="49">
        <f t="shared" si="416"/>
      </c>
      <c r="BO84" s="100">
        <f t="shared" si="417"/>
        <v>5092.57954545454</v>
      </c>
      <c r="BP84" s="101">
        <f t="shared" si="418"/>
        <v>11542.3315397727</v>
      </c>
      <c r="BQ84" s="100">
        <f t="shared" ref="BQ84:BQ85" si="437">AV84+BQ42</f>
        <v>347.06818181818</v>
      </c>
      <c r="BR84" s="49">
        <f t="shared" si="420"/>
      </c>
      <c r="BS84" s="100">
        <f t="shared" si="421"/>
        <v>4745.51136363636</v>
      </c>
      <c r="BT84" s="102">
        <f t="shared" si="422"/>
        <v>6880.99147727272</v>
      </c>
      <c r="BU84" s="100">
        <f t="shared" ref="BU84:BU85" si="438">AW84+BU42</f>
        <v>432.765909090909</v>
      </c>
      <c r="BV84" s="100"/>
      <c r="BW84" s="100">
        <f t="shared" si="424"/>
        <v>4312.74545454545</v>
      </c>
      <c r="BX84" s="102">
        <f t="shared" si="425"/>
        <v>6253.4809090909</v>
      </c>
      <c r="BY84" s="100">
        <f t="shared" ref="BY84:BY85" si="439">AX84+BY42</f>
        <v>203.55909090909</v>
      </c>
      <c r="BZ84" s="100"/>
      <c r="CA84" s="100">
        <f t="shared" si="427"/>
        <v>4109.18636363636</v>
      </c>
      <c r="CB84" s="102">
        <f t="shared" si="428"/>
        <v>5958.32022727272</v>
      </c>
      <c r="CC84" s="100">
        <f t="shared" ref="CC84:CC85" si="440">AY84+CC42</f>
        <v>332.929545454545</v>
      </c>
      <c r="CD84" s="100"/>
      <c r="CE84" s="100">
        <f t="shared" si="430"/>
        <v>3776.25681818181</v>
      </c>
      <c r="CF84" s="102">
        <f t="shared" si="431"/>
        <v>5475.57238636362</v>
      </c>
      <c r="CG84" s="100">
        <f t="shared" ref="CG84:CG85" si="441">AZ84+CG42</f>
        <v>223.256818181818</v>
      </c>
      <c r="CH84" s="100"/>
      <c r="CI84" s="100">
        <f t="shared" si="433"/>
        <v>3552.99999999999</v>
      </c>
      <c r="CJ84" s="102">
        <f t="shared" si="434"/>
        <v>5151.84999999999</v>
      </c>
    </row>
    <row r="85" ht="14.0">
      <c r="A85" s="49" t="s">
        <v>28</v>
      </c>
      <c r="B85" s="49" t="s">
        <v>29</v>
      </c>
      <c r="C85" s="49" t="s">
        <v>88</v>
      </c>
      <c r="D85" s="50" t="s">
        <v>89</v>
      </c>
      <c r="E85" s="126">
        <v>0.0</v>
      </c>
      <c r="F85" s="126">
        <v>0.0</v>
      </c>
      <c r="G85" s="126">
        <v>0.0</v>
      </c>
      <c r="H85" s="126">
        <v>0.0</v>
      </c>
      <c r="I85" s="126">
        <v>0.0</v>
      </c>
      <c r="J85" s="126">
        <v>0.0</v>
      </c>
      <c r="K85" s="126">
        <v>0.0</v>
      </c>
      <c r="L85" s="126">
        <v>0.0</v>
      </c>
      <c r="M85" s="126">
        <v>0.0</v>
      </c>
      <c r="N85" s="126">
        <v>0.0</v>
      </c>
      <c r="O85" s="126">
        <v>0.0</v>
      </c>
      <c r="P85" s="126">
        <v>0.0</v>
      </c>
      <c r="Q85" s="126">
        <v>0.0</v>
      </c>
      <c r="R85" s="126">
        <v>0.0</v>
      </c>
      <c r="S85" s="126">
        <v>0.0</v>
      </c>
      <c r="T85" s="126">
        <v>0.0</v>
      </c>
      <c r="U85" s="126">
        <v>0.0</v>
      </c>
      <c r="V85" s="126">
        <v>0.0</v>
      </c>
      <c r="W85" s="49">
        <v>324.0</v>
      </c>
      <c r="X85" s="49">
        <v>0.0</v>
      </c>
      <c r="Y85" s="126">
        <v>0.0</v>
      </c>
      <c r="Z85" s="49">
        <v>0.0</v>
      </c>
      <c r="AA85" s="49">
        <v>60.0</v>
      </c>
      <c r="AB85" s="49">
        <v>120.0</v>
      </c>
      <c r="AC85" s="49">
        <v>60.0</v>
      </c>
      <c r="AD85" s="49">
        <v>120.0</v>
      </c>
      <c r="AE85" s="49">
        <v>60.0</v>
      </c>
      <c r="AF85" s="49">
        <v>66.0</v>
      </c>
      <c r="AG85" s="49">
        <v>60.0</v>
      </c>
      <c r="AH85" s="49">
        <v>42.0</v>
      </c>
      <c r="AI85" s="49">
        <v>90.0</v>
      </c>
      <c r="AJ85" s="49">
        <v>42.0</v>
      </c>
      <c r="AK85" s="49">
        <v>0.0</v>
      </c>
      <c r="AL85" s="49">
        <v>54.0</v>
      </c>
      <c r="AM85" s="49">
        <v>6.0</v>
      </c>
      <c r="AN85" s="49">
        <v>66.0</v>
      </c>
      <c r="AO85" s="49">
        <v>366.0</v>
      </c>
      <c r="AP85" s="49">
        <v>198.0</v>
      </c>
      <c r="AQ85" s="49">
        <v>0.0</v>
      </c>
      <c r="AR85" s="98">
        <f t="shared" si="329"/>
        <v>990.0</v>
      </c>
      <c r="AS85" s="98">
        <f t="shared" si="330"/>
        <v>300.0</v>
      </c>
      <c r="AT85" s="98">
        <f t="shared" si="331"/>
        <v>330.0</v>
      </c>
      <c r="AU85" s="100">
        <f t="shared" si="407"/>
        <v>66.0</v>
      </c>
      <c r="AV85" s="100">
        <f t="shared" si="408"/>
        <v>66.0</v>
      </c>
      <c r="AW85" s="100">
        <f t="shared" si="409"/>
        <v>132.0</v>
      </c>
      <c r="AX85" s="100">
        <f t="shared" si="410"/>
        <v>0.0</v>
      </c>
      <c r="AY85" s="100">
        <f t="shared" si="411"/>
        <v>132.0</v>
      </c>
      <c r="AZ85" s="100">
        <f t="shared" si="412"/>
        <v>0.0</v>
      </c>
      <c r="BA85" s="51">
        <f t="shared" si="435"/>
        <v>1206.0</v>
      </c>
      <c r="BB85" s="51">
        <f>VLOOKUP(D85,FEB23SOH,2,false)</f>
        <v>3786.0</v>
      </c>
      <c r="BC85" s="99">
        <f>VLOOKUP(C85,UNITVALUE,5,false)</f>
        <v>2.2845</v>
      </c>
      <c r="BD85" s="53">
        <f t="shared" si="335"/>
        <v>8649.117</v>
      </c>
      <c r="BG85" s="98">
        <f t="shared" si="414"/>
        <v>2580.0</v>
      </c>
      <c r="BH85" s="49">
        <v>1008.0</v>
      </c>
      <c r="BI85" s="51"/>
      <c r="BJ85" s="50"/>
      <c r="BK85" s="100">
        <f t="shared" si="336"/>
        <v>3786.0</v>
      </c>
      <c r="BM85" s="100">
        <f t="shared" si="436"/>
        <v>188.386363636363</v>
      </c>
      <c r="BN85" s="49">
        <f t="shared" si="416"/>
      </c>
      <c r="BO85" s="100">
        <f t="shared" si="417"/>
        <v>3597.61363636363</v>
      </c>
      <c r="BP85" s="101">
        <f t="shared" si="418"/>
        <v>8218.74835227271</v>
      </c>
      <c r="BQ85" s="100">
        <f t="shared" si="437"/>
        <v>195.954545454544</v>
      </c>
      <c r="BR85" s="49">
        <f t="shared" si="420"/>
      </c>
      <c r="BS85" s="100">
        <f t="shared" si="421"/>
        <v>3401.65909090909</v>
      </c>
      <c r="BT85" s="102">
        <f t="shared" si="422"/>
        <v>4932.40568181818</v>
      </c>
      <c r="BU85" s="100">
        <f t="shared" si="438"/>
        <v>314.822727272727</v>
      </c>
      <c r="BV85" s="100"/>
      <c r="BW85" s="100">
        <f t="shared" si="424"/>
        <v>3086.83636363636</v>
      </c>
      <c r="BX85" s="102">
        <f t="shared" si="425"/>
        <v>4475.91272727272</v>
      </c>
      <c r="BY85" s="100">
        <f t="shared" si="439"/>
        <v>81.6272727272727</v>
      </c>
      <c r="BZ85" s="100"/>
      <c r="CA85" s="100">
        <f t="shared" si="427"/>
        <v>3005.20909090909</v>
      </c>
      <c r="CB85" s="102">
        <f t="shared" si="428"/>
        <v>4357.55318181818</v>
      </c>
      <c r="CC85" s="100">
        <f t="shared" si="440"/>
        <v>290.713636363636</v>
      </c>
      <c r="CD85" s="100"/>
      <c r="CE85" s="100">
        <f t="shared" si="430"/>
        <v>2714.49545454545</v>
      </c>
      <c r="CF85" s="102">
        <f t="shared" si="431"/>
        <v>3936.0184090909</v>
      </c>
      <c r="CG85" s="100">
        <f t="shared" si="441"/>
        <v>134.495454545453</v>
      </c>
      <c r="CH85" s="100"/>
      <c r="CI85" s="100">
        <f t="shared" si="433"/>
        <v>2580.0</v>
      </c>
      <c r="CJ85" s="102">
        <f t="shared" si="434"/>
        <v>3741.0</v>
      </c>
    </row>
    <row r="86" ht="14.0">
      <c r="A86" s="49" t="s">
        <v>28</v>
      </c>
      <c r="B86" s="49" t="s">
        <v>29</v>
      </c>
      <c r="C86" s="49" t="s">
        <v>94</v>
      </c>
      <c r="D86" s="50" t="s">
        <v>95</v>
      </c>
      <c r="E86" s="126">
        <v>0.0</v>
      </c>
      <c r="F86" s="126">
        <v>0.0</v>
      </c>
      <c r="G86" s="126">
        <v>0.0</v>
      </c>
      <c r="H86" s="126">
        <v>0.0</v>
      </c>
      <c r="I86" s="126">
        <v>0.0</v>
      </c>
      <c r="J86" s="126">
        <v>0.0</v>
      </c>
      <c r="K86" s="126">
        <v>0.0</v>
      </c>
      <c r="L86" s="126">
        <v>0.0</v>
      </c>
      <c r="M86" s="126">
        <v>0.0</v>
      </c>
      <c r="N86" s="126">
        <v>0.0</v>
      </c>
      <c r="O86" s="126">
        <v>0.0</v>
      </c>
      <c r="P86" s="126">
        <v>0.0</v>
      </c>
      <c r="Q86" s="126">
        <v>0.0</v>
      </c>
      <c r="R86" s="126">
        <v>0.0</v>
      </c>
      <c r="S86" s="126">
        <v>0.0</v>
      </c>
      <c r="T86" s="126">
        <v>0.0</v>
      </c>
      <c r="U86" s="126">
        <v>0.0</v>
      </c>
      <c r="V86" s="126">
        <v>0.0</v>
      </c>
      <c r="W86" s="49">
        <v>36.0</v>
      </c>
      <c r="X86" s="49">
        <v>0.0</v>
      </c>
      <c r="Y86" s="126">
        <v>0.0</v>
      </c>
      <c r="Z86" s="49">
        <v>0.0</v>
      </c>
      <c r="AA86" s="49">
        <v>0.0</v>
      </c>
      <c r="AB86" s="49">
        <v>0.0</v>
      </c>
      <c r="AC86" s="49">
        <v>0.0</v>
      </c>
      <c r="AD86" s="49">
        <v>120.0</v>
      </c>
      <c r="AE86" s="49">
        <v>0.0</v>
      </c>
      <c r="AF86" s="126">
        <v>0.0</v>
      </c>
      <c r="AG86" s="126">
        <v>0.0</v>
      </c>
      <c r="AH86" s="126">
        <v>0.0</v>
      </c>
      <c r="AI86" s="126">
        <v>0.0</v>
      </c>
      <c r="AJ86" s="126">
        <v>0.0</v>
      </c>
      <c r="AK86" s="49">
        <v>0.0</v>
      </c>
      <c r="AL86" s="49">
        <v>0.0</v>
      </c>
      <c r="AM86" s="49">
        <v>0.0</v>
      </c>
      <c r="AN86" s="49">
        <v>0.0</v>
      </c>
      <c r="AO86" s="49">
        <v>0.0</v>
      </c>
      <c r="AP86" s="49">
        <v>0.0</v>
      </c>
      <c r="AQ86" s="49">
        <v>0.0</v>
      </c>
      <c r="AR86" s="98">
        <f t="shared" si="329"/>
        <v>0.0</v>
      </c>
      <c r="AS86" s="98">
        <f t="shared" si="330"/>
        <v>0.0</v>
      </c>
      <c r="AT86" s="98">
        <f t="shared" si="331"/>
        <v>0.0</v>
      </c>
      <c r="AU86" s="100">
        <f t="shared" si="407"/>
        <v>72.6</v>
      </c>
      <c r="AV86" s="100">
        <f t="shared" si="408"/>
        <v>66.0</v>
      </c>
      <c r="AW86" s="100">
        <f t="shared" si="409"/>
        <v>46.2</v>
      </c>
      <c r="AX86" s="100">
        <f t="shared" si="410"/>
        <v>99.0</v>
      </c>
      <c r="AY86" s="100">
        <f t="shared" si="411"/>
        <v>46.2</v>
      </c>
      <c r="AZ86" s="100">
        <f t="shared" si="412"/>
        <v>0.0</v>
      </c>
      <c r="BA86" s="51">
        <f>SUM(AU86:AZ86)+BA46</f>
        <v>785.0</v>
      </c>
      <c r="BB86" s="51">
        <f>VLOOKUP(D86,FEB23SOH,2,false)</f>
        <v>1425.0</v>
      </c>
      <c r="BC86" s="99">
        <f>VLOOKUP(C86,UNITVALUE,5,false)</f>
        <v>8.1063</v>
      </c>
      <c r="BD86" s="53">
        <f t="shared" si="335"/>
        <v>11551.4775</v>
      </c>
      <c r="BG86" s="98">
        <f t="shared" si="414"/>
        <v>640.0</v>
      </c>
      <c r="BH86" s="49">
        <v>1008.0</v>
      </c>
      <c r="BI86" s="51"/>
      <c r="BJ86" s="50"/>
      <c r="BK86" s="100">
        <f t="shared" si="336"/>
        <v>1425.0</v>
      </c>
      <c r="BM86" s="100">
        <f>AU86+BM46</f>
        <v>139.815909090909</v>
      </c>
      <c r="BN86" s="49">
        <f t="shared" si="416"/>
      </c>
      <c r="BO86" s="100">
        <f t="shared" si="417"/>
        <v>1285.18409090909</v>
      </c>
      <c r="BP86" s="101">
        <f t="shared" si="418"/>
        <v>10418.0877961363</v>
      </c>
      <c r="BQ86" s="100">
        <f>AV86+BQ46</f>
        <v>138.386363636363</v>
      </c>
      <c r="BR86" s="49">
        <f t="shared" si="420"/>
      </c>
      <c r="BS86" s="100">
        <f t="shared" si="421"/>
        <v>1146.79772727272</v>
      </c>
      <c r="BT86" s="102">
        <f t="shared" si="422"/>
        <v>1662.85670454544</v>
      </c>
      <c r="BU86" s="100">
        <f>AW86+BU46</f>
        <v>146.506818181818</v>
      </c>
      <c r="BV86" s="100"/>
      <c r="BW86" s="100">
        <f t="shared" si="424"/>
        <v>1000.2909090909</v>
      </c>
      <c r="BX86" s="102">
        <f t="shared" si="425"/>
        <v>1450.4218181818</v>
      </c>
      <c r="BY86" s="100">
        <f>AX86+BY46</f>
        <v>146.568181818181</v>
      </c>
      <c r="BZ86" s="100"/>
      <c r="CA86" s="100">
        <f t="shared" si="427"/>
        <v>853.722727272719</v>
      </c>
      <c r="CB86" s="102">
        <f t="shared" si="428"/>
        <v>1237.89795454544</v>
      </c>
      <c r="CC86" s="100">
        <f>AY86+CC46</f>
        <v>138.23409090909</v>
      </c>
      <c r="CD86" s="100"/>
      <c r="CE86" s="100">
        <f t="shared" si="430"/>
        <v>715.488636363629</v>
      </c>
      <c r="CF86" s="102">
        <f t="shared" si="431"/>
        <v>1037.45852272726</v>
      </c>
      <c r="CG86" s="100">
        <f>AZ86+CG46</f>
        <v>75.4886363636363</v>
      </c>
      <c r="CH86" s="100"/>
      <c r="CI86" s="100">
        <f t="shared" si="433"/>
        <v>639.999999999992</v>
      </c>
      <c r="CJ86" s="102">
        <f t="shared" si="434"/>
        <v>927.999999999988</v>
      </c>
    </row>
    <row r="87" ht="14.0">
      <c r="A87" s="49" t="s">
        <v>28</v>
      </c>
      <c r="B87" s="49" t="s">
        <v>98</v>
      </c>
      <c r="C87" s="49" t="s">
        <v>99</v>
      </c>
      <c r="D87" s="50" t="s">
        <v>100</v>
      </c>
      <c r="E87" s="49">
        <v>126.0</v>
      </c>
      <c r="F87" s="49">
        <v>252.0</v>
      </c>
      <c r="G87" s="49">
        <v>42.0</v>
      </c>
      <c r="H87" s="126">
        <v>42.0</v>
      </c>
      <c r="I87" s="49">
        <v>84.0</v>
      </c>
      <c r="J87" s="49">
        <v>126.0</v>
      </c>
      <c r="K87" s="126">
        <v>126.0</v>
      </c>
      <c r="L87" s="126">
        <v>126.0</v>
      </c>
      <c r="M87" s="49">
        <v>42.0</v>
      </c>
      <c r="N87" s="49">
        <v>84.0</v>
      </c>
      <c r="O87" s="49">
        <v>42.0</v>
      </c>
      <c r="P87" s="49">
        <v>84.0</v>
      </c>
      <c r="Q87" s="49">
        <v>252.0</v>
      </c>
      <c r="R87" s="49">
        <v>84.0</v>
      </c>
      <c r="S87" s="49">
        <v>0.0</v>
      </c>
      <c r="T87" s="49">
        <v>42.0</v>
      </c>
      <c r="U87" s="49">
        <v>0.0</v>
      </c>
      <c r="V87" s="49">
        <v>42.0</v>
      </c>
      <c r="W87" s="49">
        <v>336.0</v>
      </c>
      <c r="X87" s="49">
        <v>42.0</v>
      </c>
      <c r="Y87" s="49">
        <v>84.0</v>
      </c>
      <c r="Z87" s="49">
        <v>42.0</v>
      </c>
      <c r="AA87" s="49">
        <v>42.0</v>
      </c>
      <c r="AB87" s="49">
        <v>42.0</v>
      </c>
      <c r="AC87" s="49">
        <v>84.0</v>
      </c>
      <c r="AD87" s="49">
        <v>168.0</v>
      </c>
      <c r="AE87" s="49">
        <v>42.0</v>
      </c>
      <c r="AF87" s="126">
        <v>42.0</v>
      </c>
      <c r="AG87" s="49">
        <v>0.0</v>
      </c>
      <c r="AH87" s="49">
        <v>84.0</v>
      </c>
      <c r="AI87" s="49">
        <v>42.0</v>
      </c>
      <c r="AJ87" s="126">
        <v>42.0</v>
      </c>
      <c r="AK87" s="49">
        <v>0.0</v>
      </c>
      <c r="AL87" s="49">
        <v>126.0</v>
      </c>
      <c r="AM87" s="49">
        <v>42.0</v>
      </c>
      <c r="AN87" s="49">
        <v>42.0</v>
      </c>
      <c r="AO87" s="49">
        <v>378.0</v>
      </c>
      <c r="AP87" s="49">
        <v>210.0</v>
      </c>
      <c r="AQ87" s="49">
        <v>0.0</v>
      </c>
      <c r="AR87" s="98">
        <f t="shared" si="329"/>
        <v>1008.0</v>
      </c>
      <c r="AS87" s="98">
        <f t="shared" si="330"/>
        <v>210.0</v>
      </c>
      <c r="AT87" s="98">
        <f t="shared" si="331"/>
        <v>231.0</v>
      </c>
      <c r="AU87" s="100">
        <f t="shared" si="407"/>
        <v>0.0</v>
      </c>
      <c r="AV87" s="100">
        <f t="shared" si="408"/>
        <v>0.0</v>
      </c>
      <c r="AW87" s="100">
        <f t="shared" si="409"/>
        <v>0.0</v>
      </c>
      <c r="AX87" s="100">
        <f t="shared" si="410"/>
        <v>0.0</v>
      </c>
      <c r="AY87" s="100">
        <f t="shared" si="411"/>
        <v>0.0</v>
      </c>
      <c r="AZ87" s="100">
        <f t="shared" si="412"/>
        <v>0.0</v>
      </c>
      <c r="BA87" s="51">
        <f>SUM(AU87:AZ87)+BA48</f>
        <v>2178.99999999999</v>
      </c>
      <c r="BB87" s="51">
        <f>VLOOKUP(D87,FEB23SOH,2,false)</f>
        <v>5190.0</v>
      </c>
      <c r="BC87" s="99">
        <f>VLOOKUP(C87,UNITVALUE,5,false)</f>
        <v>1.4345</v>
      </c>
      <c r="BD87" s="53">
        <f t="shared" si="335"/>
        <v>7445.055</v>
      </c>
      <c r="BG87" s="98">
        <f t="shared" si="414"/>
        <v>3011.00000000001</v>
      </c>
      <c r="BH87" s="49">
        <v>1008.0</v>
      </c>
      <c r="BI87" s="51"/>
      <c r="BJ87" s="50"/>
      <c r="BK87" s="100">
        <f t="shared" si="336"/>
        <v>5190.0</v>
      </c>
      <c r="BM87" s="100">
        <f>AU87+BM48</f>
        <v>321.897727272726</v>
      </c>
      <c r="BN87" s="49">
        <f t="shared" si="416"/>
      </c>
      <c r="BO87" s="100">
        <f t="shared" si="417"/>
        <v>4868.10227272727</v>
      </c>
      <c r="BP87" s="101">
        <f t="shared" si="418"/>
        <v>6983.29271022727</v>
      </c>
      <c r="BQ87" s="100">
        <f>AV87+BQ48</f>
        <v>346.65909090909</v>
      </c>
      <c r="BR87" s="49">
        <f t="shared" si="420"/>
      </c>
      <c r="BS87" s="100">
        <f t="shared" si="421"/>
        <v>4521.44318181818</v>
      </c>
      <c r="BT87" s="102">
        <f t="shared" si="422"/>
        <v>6556.09261363636</v>
      </c>
      <c r="BU87" s="100">
        <f>AW87+BU48</f>
        <v>480.370454545453</v>
      </c>
      <c r="BV87" s="100"/>
      <c r="BW87" s="100">
        <f t="shared" si="424"/>
        <v>4041.07272727272</v>
      </c>
      <c r="BX87" s="102">
        <f t="shared" si="425"/>
        <v>5859.55545454544</v>
      </c>
      <c r="BY87" s="100">
        <f>AX87+BY48</f>
        <v>227.804545454544</v>
      </c>
      <c r="BZ87" s="100"/>
      <c r="CA87" s="100">
        <f t="shared" si="427"/>
        <v>3813.26818181818</v>
      </c>
      <c r="CB87" s="102">
        <f t="shared" si="428"/>
        <v>5529.23886363636</v>
      </c>
      <c r="CC87" s="100">
        <f>AY87+CC48</f>
        <v>440.752272727272</v>
      </c>
      <c r="CD87" s="100"/>
      <c r="CE87" s="100">
        <f t="shared" si="430"/>
        <v>3372.5159090909</v>
      </c>
      <c r="CF87" s="102">
        <f t="shared" si="431"/>
        <v>4890.1480681818</v>
      </c>
      <c r="CG87" s="100">
        <f>AZ87+CG48</f>
        <v>361.515909090908</v>
      </c>
      <c r="CH87" s="100"/>
      <c r="CI87" s="100">
        <f t="shared" si="433"/>
        <v>3010.99999999999</v>
      </c>
      <c r="CJ87" s="102">
        <f t="shared" si="434"/>
        <v>4365.94999999999</v>
      </c>
    </row>
    <row r="88" ht="14.0">
      <c r="A88" s="49" t="s">
        <v>28</v>
      </c>
      <c r="B88" s="49" t="s">
        <v>98</v>
      </c>
      <c r="C88" s="49" t="s">
        <v>103</v>
      </c>
      <c r="D88" s="50" t="s">
        <v>104</v>
      </c>
      <c r="E88" s="49">
        <v>210.0</v>
      </c>
      <c r="F88" s="49">
        <v>0.0</v>
      </c>
      <c r="G88" s="49">
        <v>420.0</v>
      </c>
      <c r="H88" s="49">
        <v>42.0</v>
      </c>
      <c r="I88" s="49">
        <v>126.0</v>
      </c>
      <c r="J88" s="126">
        <v>126.0</v>
      </c>
      <c r="K88" s="49">
        <v>84.0</v>
      </c>
      <c r="L88" s="49">
        <v>126.0</v>
      </c>
      <c r="M88" s="126">
        <v>126.0</v>
      </c>
      <c r="N88" s="49">
        <v>84.0</v>
      </c>
      <c r="O88" s="49">
        <v>126.0</v>
      </c>
      <c r="P88" s="126">
        <v>126.0</v>
      </c>
      <c r="Q88" s="49">
        <v>168.0</v>
      </c>
      <c r="R88" s="49">
        <v>252.0</v>
      </c>
      <c r="S88" s="49">
        <v>42.0</v>
      </c>
      <c r="T88" s="126">
        <v>42.0</v>
      </c>
      <c r="U88" s="49">
        <v>0.0</v>
      </c>
      <c r="V88" s="49">
        <v>336.0</v>
      </c>
      <c r="W88" s="49">
        <v>0.0</v>
      </c>
      <c r="X88" s="49">
        <v>168.0</v>
      </c>
      <c r="Y88" s="49">
        <v>42.0</v>
      </c>
      <c r="Z88" s="49">
        <v>42.0</v>
      </c>
      <c r="AA88" s="49">
        <v>84.0</v>
      </c>
      <c r="AB88" s="49">
        <v>84.0</v>
      </c>
      <c r="AC88" s="49">
        <v>84.0</v>
      </c>
      <c r="AD88" s="49">
        <v>210.0</v>
      </c>
      <c r="AE88" s="49">
        <v>42.0</v>
      </c>
      <c r="AF88" s="126">
        <v>42.0</v>
      </c>
      <c r="AG88" s="49">
        <v>84.0</v>
      </c>
      <c r="AH88" s="126">
        <v>84.0</v>
      </c>
      <c r="AI88" s="49">
        <v>126.0</v>
      </c>
      <c r="AJ88" s="49">
        <v>84.0</v>
      </c>
      <c r="AK88" s="49">
        <v>0.0</v>
      </c>
      <c r="AL88" s="49">
        <v>252.0</v>
      </c>
      <c r="AM88" s="49">
        <v>0.0</v>
      </c>
      <c r="AN88" s="49">
        <v>84.0</v>
      </c>
      <c r="AO88" s="49">
        <v>546.0</v>
      </c>
      <c r="AP88" s="49">
        <v>252.0</v>
      </c>
      <c r="AQ88" s="49">
        <v>0.0</v>
      </c>
      <c r="AR88" s="98">
        <f t="shared" si="329"/>
        <v>1554.0</v>
      </c>
      <c r="AS88" s="98">
        <f t="shared" si="330"/>
        <v>420.0</v>
      </c>
      <c r="AT88" s="98">
        <f t="shared" si="331"/>
        <v>462.0</v>
      </c>
      <c r="AU88" s="100">
        <f t="shared" si="407"/>
        <v>46.2</v>
      </c>
      <c r="AV88" s="100">
        <f t="shared" si="408"/>
        <v>0.0</v>
      </c>
      <c r="AW88" s="100">
        <f t="shared" si="409"/>
        <v>92.4</v>
      </c>
      <c r="AX88" s="100">
        <f t="shared" si="410"/>
        <v>46.2</v>
      </c>
      <c r="AY88" s="100">
        <f t="shared" si="411"/>
        <v>46.2</v>
      </c>
      <c r="AZ88" s="100">
        <f t="shared" si="412"/>
        <v>0.0</v>
      </c>
      <c r="BA88" s="51">
        <f>SUM(AU88:AZ88)+BA50</f>
        <v>2182.99999999999</v>
      </c>
      <c r="BB88" s="51">
        <f>VLOOKUP(D88,FEB23SOH,2,false)</f>
        <v>4089.0</v>
      </c>
      <c r="BC88" s="99">
        <f>VLOOKUP(C88,UNITVALUE,5,false)</f>
        <v>1.4202</v>
      </c>
      <c r="BD88" s="53">
        <f t="shared" si="335"/>
        <v>5807.1978</v>
      </c>
      <c r="BG88" s="98">
        <f t="shared" si="414"/>
        <v>1906.00000000001</v>
      </c>
      <c r="BH88" s="49">
        <v>1008.0</v>
      </c>
      <c r="BI88" s="51"/>
      <c r="BJ88" s="50"/>
      <c r="BK88" s="100">
        <f t="shared" si="336"/>
        <v>4089.0</v>
      </c>
      <c r="BM88" s="100">
        <f>AU88+BM50</f>
        <v>334.563636363636</v>
      </c>
      <c r="BN88" s="49">
        <f t="shared" si="416"/>
      </c>
      <c r="BO88" s="100">
        <f t="shared" si="417"/>
        <v>3754.43636363636</v>
      </c>
      <c r="BP88" s="101">
        <f t="shared" si="418"/>
        <v>5332.05052363636</v>
      </c>
      <c r="BQ88" s="100">
        <f>AV88+BQ50</f>
        <v>310.545454545454</v>
      </c>
      <c r="BR88" s="49">
        <f t="shared" si="420"/>
      </c>
      <c r="BS88" s="100">
        <f t="shared" si="421"/>
        <v>3443.8909090909</v>
      </c>
      <c r="BT88" s="102">
        <f t="shared" si="422"/>
        <v>4993.6418181818</v>
      </c>
      <c r="BU88" s="100">
        <f>AW88+BU50</f>
        <v>522.727272727272</v>
      </c>
      <c r="BV88" s="100"/>
      <c r="BW88" s="100">
        <f t="shared" si="424"/>
        <v>2921.16363636362</v>
      </c>
      <c r="BX88" s="102">
        <f t="shared" si="425"/>
        <v>4235.68727272724</v>
      </c>
      <c r="BY88" s="100">
        <f>AX88+BY50</f>
        <v>250.272727272727</v>
      </c>
      <c r="BZ88" s="100"/>
      <c r="CA88" s="100">
        <f t="shared" si="427"/>
        <v>2670.89090909089</v>
      </c>
      <c r="CB88" s="102">
        <f t="shared" si="428"/>
        <v>3872.79181818179</v>
      </c>
      <c r="CC88" s="100">
        <f>AY88+CC50</f>
        <v>441.036363636363</v>
      </c>
      <c r="CD88" s="100"/>
      <c r="CE88" s="100">
        <f t="shared" si="430"/>
        <v>2229.85454545452</v>
      </c>
      <c r="CF88" s="102">
        <f t="shared" si="431"/>
        <v>3233.28909090905</v>
      </c>
      <c r="CG88" s="100">
        <f>AZ88+CG50</f>
        <v>323.85454545454</v>
      </c>
      <c r="CH88" s="100"/>
      <c r="CI88" s="100">
        <f t="shared" si="433"/>
        <v>1905.99999999998</v>
      </c>
      <c r="CJ88" s="102">
        <f t="shared" si="434"/>
        <v>2763.69999999997</v>
      </c>
    </row>
    <row r="89" ht="14.0">
      <c r="A89" s="49" t="s">
        <v>28</v>
      </c>
      <c r="B89" s="49" t="s">
        <v>98</v>
      </c>
      <c r="C89" s="49" t="s">
        <v>113</v>
      </c>
      <c r="D89" s="50" t="s">
        <v>114</v>
      </c>
      <c r="E89" s="126">
        <v>84.0</v>
      </c>
      <c r="F89" s="49">
        <v>126.0</v>
      </c>
      <c r="G89" s="49">
        <v>0.0</v>
      </c>
      <c r="H89" s="49">
        <v>84.0</v>
      </c>
      <c r="I89" s="49">
        <v>42.0</v>
      </c>
      <c r="J89" s="126">
        <v>42.0</v>
      </c>
      <c r="K89" s="126">
        <v>42.0</v>
      </c>
      <c r="L89" s="126">
        <v>42.0</v>
      </c>
      <c r="M89" s="126">
        <v>42.0</v>
      </c>
      <c r="N89" s="49">
        <v>0.0</v>
      </c>
      <c r="O89" s="49">
        <v>126.0</v>
      </c>
      <c r="P89" s="49">
        <v>0.0</v>
      </c>
      <c r="Q89" s="49">
        <v>84.0</v>
      </c>
      <c r="R89" s="49">
        <v>126.0</v>
      </c>
      <c r="S89" s="49">
        <v>42.0</v>
      </c>
      <c r="T89" s="126">
        <v>42.0</v>
      </c>
      <c r="U89" s="126">
        <v>42.0</v>
      </c>
      <c r="V89" s="126">
        <v>42.0</v>
      </c>
      <c r="W89" s="126">
        <v>42.0</v>
      </c>
      <c r="X89" s="126">
        <v>42.0</v>
      </c>
      <c r="Y89" s="126">
        <v>42.0</v>
      </c>
      <c r="Z89" s="49">
        <v>0.0</v>
      </c>
      <c r="AA89" s="49">
        <v>42.0</v>
      </c>
      <c r="AB89" s="49">
        <v>42.0</v>
      </c>
      <c r="AC89" s="49">
        <v>0.0</v>
      </c>
      <c r="AD89" s="49">
        <v>84.0</v>
      </c>
      <c r="AE89" s="49">
        <v>42.0</v>
      </c>
      <c r="AF89" s="49">
        <v>0.0</v>
      </c>
      <c r="AG89" s="49">
        <v>84.0</v>
      </c>
      <c r="AH89" s="49">
        <v>42.0</v>
      </c>
      <c r="AI89" s="49">
        <v>0.0</v>
      </c>
      <c r="AJ89" s="49">
        <v>42.0</v>
      </c>
      <c r="AK89" s="49">
        <v>0.0</v>
      </c>
      <c r="AL89" s="49">
        <v>42.0</v>
      </c>
      <c r="AM89" s="49">
        <v>42.0</v>
      </c>
      <c r="AN89" s="49">
        <v>42.0</v>
      </c>
      <c r="AO89" s="49">
        <v>126.0</v>
      </c>
      <c r="AP89" s="49">
        <v>84.0</v>
      </c>
      <c r="AQ89" s="49">
        <v>0.0</v>
      </c>
      <c r="AR89" s="98">
        <f t="shared" si="329"/>
        <v>504.0</v>
      </c>
      <c r="AS89" s="98">
        <f t="shared" si="330"/>
        <v>168.0</v>
      </c>
      <c r="AT89" s="98">
        <f t="shared" si="331"/>
        <v>184.8</v>
      </c>
      <c r="AU89" s="100">
        <f t="shared" si="407"/>
        <v>46.2</v>
      </c>
      <c r="AV89" s="100">
        <f t="shared" si="408"/>
        <v>92.4</v>
      </c>
      <c r="AW89" s="100">
        <f t="shared" si="409"/>
        <v>92.4</v>
      </c>
      <c r="AX89" s="100">
        <f t="shared" si="410"/>
        <v>138.6</v>
      </c>
      <c r="AY89" s="100">
        <f t="shared" si="411"/>
        <v>92.4</v>
      </c>
      <c r="AZ89" s="100">
        <f t="shared" si="412"/>
        <v>0.0</v>
      </c>
      <c r="BA89" s="51">
        <f>SUM(AU89:AZ89)+BA55</f>
        <v>636.999999999999</v>
      </c>
      <c r="BB89" s="51">
        <f>VLOOKUP(D89,FEB23SOH,2,false)</f>
        <v>864.0</v>
      </c>
      <c r="BC89" s="99">
        <f>VLOOKUP(C89,UNITVALUE,5,false)</f>
        <v>1.4219</v>
      </c>
      <c r="BD89" s="53">
        <f t="shared" si="335"/>
        <v>1228.5216</v>
      </c>
      <c r="BG89" s="98">
        <f t="shared" si="414"/>
        <v>227.000000000001</v>
      </c>
      <c r="BH89" s="49">
        <v>1008.0</v>
      </c>
      <c r="BI89" s="51"/>
      <c r="BJ89" s="50"/>
      <c r="BK89" s="100">
        <f t="shared" si="336"/>
        <v>864.0</v>
      </c>
      <c r="BM89" s="100">
        <f>AU89+BM55</f>
        <v>72.052272727272</v>
      </c>
      <c r="BN89" s="49">
        <f t="shared" si="416"/>
      </c>
      <c r="BO89" s="100">
        <f t="shared" si="417"/>
        <v>791.947727272728</v>
      </c>
      <c r="BP89" s="101">
        <f t="shared" si="418"/>
        <v>1126.07047340909</v>
      </c>
      <c r="BQ89" s="100">
        <f>AV89+BQ55</f>
        <v>120.240909090909</v>
      </c>
      <c r="BR89" s="49">
        <f t="shared" si="420"/>
      </c>
      <c r="BS89" s="100">
        <f t="shared" si="421"/>
        <v>671.706818181819</v>
      </c>
      <c r="BT89" s="102">
        <f t="shared" si="422"/>
        <v>973.974886363638</v>
      </c>
      <c r="BU89" s="100">
        <f>AW89+BU55</f>
        <v>130.979545454545</v>
      </c>
      <c r="BV89" s="100"/>
      <c r="BW89" s="100">
        <f t="shared" si="424"/>
        <v>540.727272727274</v>
      </c>
      <c r="BX89" s="102">
        <f t="shared" si="425"/>
        <v>784.054545454547</v>
      </c>
      <c r="BY89" s="100">
        <f>AX89+BY55</f>
        <v>156.895454545454</v>
      </c>
      <c r="BZ89" s="100"/>
      <c r="CA89" s="100">
        <f t="shared" si="427"/>
        <v>383.83181818182</v>
      </c>
      <c r="CB89" s="102">
        <f t="shared" si="428"/>
        <v>556.556136363639</v>
      </c>
      <c r="CC89" s="100">
        <f>AY89+CC55</f>
        <v>127.797727272727</v>
      </c>
      <c r="CD89" s="100"/>
      <c r="CE89" s="100">
        <f t="shared" si="430"/>
        <v>256.034090909093</v>
      </c>
      <c r="CF89" s="102">
        <f t="shared" si="431"/>
        <v>371.249431818184</v>
      </c>
      <c r="CG89" s="100">
        <f>AZ89+CG55</f>
        <v>29.0340909090909</v>
      </c>
      <c r="CH89" s="100"/>
      <c r="CI89" s="100">
        <f t="shared" si="433"/>
        <v>227.000000000002</v>
      </c>
      <c r="CJ89" s="102">
        <f t="shared" si="434"/>
        <v>329.150000000002</v>
      </c>
    </row>
    <row r="90" ht="14.0">
      <c r="A90" s="49" t="s">
        <v>28</v>
      </c>
      <c r="B90" s="49" t="s">
        <v>98</v>
      </c>
      <c r="C90" s="49" t="s">
        <v>117</v>
      </c>
      <c r="D90" s="50" t="s">
        <v>118</v>
      </c>
      <c r="E90" s="49">
        <v>168.0</v>
      </c>
      <c r="F90" s="49">
        <v>0.0</v>
      </c>
      <c r="G90" s="49">
        <v>462.0</v>
      </c>
      <c r="H90" s="49">
        <v>0.0</v>
      </c>
      <c r="I90" s="49">
        <v>84.0</v>
      </c>
      <c r="J90" s="49">
        <v>42.0</v>
      </c>
      <c r="K90" s="126">
        <v>42.0</v>
      </c>
      <c r="L90" s="49">
        <v>84.0</v>
      </c>
      <c r="M90" s="126">
        <v>84.0</v>
      </c>
      <c r="N90" s="126">
        <v>84.0</v>
      </c>
      <c r="O90" s="49">
        <v>126.0</v>
      </c>
      <c r="P90" s="49">
        <v>42.0</v>
      </c>
      <c r="Q90" s="49">
        <v>168.0</v>
      </c>
      <c r="R90" s="49">
        <v>84.0</v>
      </c>
      <c r="S90" s="126">
        <v>84.0</v>
      </c>
      <c r="T90" s="49">
        <v>42.0</v>
      </c>
      <c r="U90" s="49">
        <v>0.0</v>
      </c>
      <c r="V90" s="49">
        <v>210.0</v>
      </c>
      <c r="W90" s="49">
        <v>42.0</v>
      </c>
      <c r="X90" s="49">
        <v>84.0</v>
      </c>
      <c r="Y90" s="126">
        <v>84.0</v>
      </c>
      <c r="Z90" s="49">
        <v>42.0</v>
      </c>
      <c r="AA90" s="49">
        <v>0.0</v>
      </c>
      <c r="AB90" s="49">
        <v>84.0</v>
      </c>
      <c r="AC90" s="49">
        <v>42.0</v>
      </c>
      <c r="AD90" s="49">
        <v>252.0</v>
      </c>
      <c r="AE90" s="49">
        <v>42.0</v>
      </c>
      <c r="AF90" s="49">
        <v>0.0</v>
      </c>
      <c r="AG90" s="49">
        <v>42.0</v>
      </c>
      <c r="AH90" s="49">
        <v>84.0</v>
      </c>
      <c r="AI90" s="49">
        <v>42.0</v>
      </c>
      <c r="AJ90" s="49">
        <v>84.0</v>
      </c>
      <c r="AK90" s="49">
        <v>0.0</v>
      </c>
      <c r="AL90" s="49">
        <v>84.0</v>
      </c>
      <c r="AM90" s="49">
        <v>42.0</v>
      </c>
      <c r="AN90" s="49">
        <v>42.0</v>
      </c>
      <c r="AO90" s="49">
        <v>378.0</v>
      </c>
      <c r="AP90" s="49">
        <v>210.0</v>
      </c>
      <c r="AQ90" s="49">
        <v>0.0</v>
      </c>
      <c r="AR90" s="98">
        <f t="shared" si="329"/>
        <v>1008.0</v>
      </c>
      <c r="AS90" s="98">
        <f t="shared" si="330"/>
        <v>252.0</v>
      </c>
      <c r="AT90" s="98">
        <f t="shared" si="331"/>
        <v>277.2</v>
      </c>
      <c r="AU90" s="100">
        <f t="shared" si="407"/>
        <v>0.0</v>
      </c>
      <c r="AV90" s="100">
        <f t="shared" si="408"/>
        <v>92.4</v>
      </c>
      <c r="AW90" s="100">
        <f t="shared" si="409"/>
        <v>46.2</v>
      </c>
      <c r="AX90" s="100">
        <f t="shared" si="410"/>
        <v>0.0</v>
      </c>
      <c r="AY90" s="100">
        <f t="shared" si="411"/>
        <v>46.2</v>
      </c>
      <c r="AZ90" s="100">
        <f t="shared" si="412"/>
        <v>0.0</v>
      </c>
      <c r="BA90" s="51">
        <f t="shared" ref="BA90:BA92" si="470">SUM(AU90:AZ90)+BA57</f>
        <v>2083.8</v>
      </c>
      <c r="BB90" s="51">
        <f>VLOOKUP(D90,FEB23SOH,2,false)</f>
        <v>4687.0</v>
      </c>
      <c r="BC90" s="99">
        <f>VLOOKUP(C90,UNITVALUE,5,false)</f>
        <v>1.4288</v>
      </c>
      <c r="BD90" s="53">
        <f t="shared" si="335"/>
        <v>6696.7856</v>
      </c>
      <c r="BG90" s="98">
        <f t="shared" si="414"/>
        <v>2603.2</v>
      </c>
      <c r="BH90" s="49">
        <v>1008.0</v>
      </c>
      <c r="BI90" s="51"/>
      <c r="BJ90" s="50"/>
      <c r="BK90" s="100">
        <f t="shared" si="336"/>
        <v>4687.0</v>
      </c>
      <c r="BM90" s="100">
        <f t="shared" ref="BM90:BM92" si="471">AU90+BM57</f>
        <v>280.53409090909</v>
      </c>
      <c r="BN90" s="49">
        <f t="shared" si="416"/>
      </c>
      <c r="BO90" s="100">
        <f t="shared" si="417"/>
        <v>4406.46590909091</v>
      </c>
      <c r="BP90" s="101">
        <f t="shared" si="418"/>
        <v>6295.95849090909</v>
      </c>
      <c r="BQ90" s="100">
        <f t="shared" ref="BQ90:BQ92" si="472">AV90+BQ57</f>
        <v>394.513636363636</v>
      </c>
      <c r="BR90" s="49">
        <f t="shared" si="420"/>
      </c>
      <c r="BS90" s="100">
        <f t="shared" si="421"/>
        <v>4011.95227272727</v>
      </c>
      <c r="BT90" s="102">
        <f t="shared" si="422"/>
        <v>5817.33079545454</v>
      </c>
      <c r="BU90" s="100">
        <f t="shared" ref="BU90:BU92" si="473">AW90+BU57</f>
        <v>464.843181818181</v>
      </c>
      <c r="BV90" s="100"/>
      <c r="BW90" s="100">
        <f t="shared" si="424"/>
        <v>3547.10909090909</v>
      </c>
      <c r="BX90" s="102">
        <f t="shared" si="425"/>
        <v>5143.30818181818</v>
      </c>
      <c r="BY90" s="100">
        <f t="shared" ref="BY90:BY92" si="474">AX90+BY57</f>
        <v>198.531818181818</v>
      </c>
      <c r="BZ90" s="100"/>
      <c r="CA90" s="100">
        <f t="shared" si="427"/>
        <v>3348.57727272727</v>
      </c>
      <c r="CB90" s="102">
        <f t="shared" si="428"/>
        <v>4855.43704545454</v>
      </c>
      <c r="CC90" s="100">
        <f t="shared" ref="CC90:CC92" si="475">AY90+CC57</f>
        <v>430.315909090909</v>
      </c>
      <c r="CD90" s="100"/>
      <c r="CE90" s="100">
        <f t="shared" si="430"/>
        <v>2918.26136363636</v>
      </c>
      <c r="CF90" s="102">
        <f t="shared" si="431"/>
        <v>4231.47897727272</v>
      </c>
      <c r="CG90" s="100">
        <f t="shared" ref="CG90:CG92" si="476">AZ90+CG57</f>
        <v>315.061363636363</v>
      </c>
      <c r="CH90" s="100"/>
      <c r="CI90" s="100">
        <f t="shared" si="433"/>
        <v>2603.2</v>
      </c>
      <c r="CJ90" s="102">
        <f t="shared" si="434"/>
        <v>3774.64</v>
      </c>
    </row>
    <row r="91" ht="14.0">
      <c r="A91" s="49" t="s">
        <v>28</v>
      </c>
      <c r="B91" s="49" t="s">
        <v>98</v>
      </c>
      <c r="C91" s="49" t="s">
        <v>119</v>
      </c>
      <c r="D91" s="50" t="s">
        <v>120</v>
      </c>
      <c r="E91" s="126">
        <v>252.0</v>
      </c>
      <c r="F91" s="49">
        <v>0.0</v>
      </c>
      <c r="G91" s="49">
        <v>252.0</v>
      </c>
      <c r="H91" s="49">
        <v>0.0</v>
      </c>
      <c r="I91" s="126">
        <v>0.0</v>
      </c>
      <c r="J91" s="49">
        <v>252.0</v>
      </c>
      <c r="K91" s="49">
        <v>0.0</v>
      </c>
      <c r="L91" s="126">
        <v>0.0</v>
      </c>
      <c r="M91" s="49">
        <v>252.0</v>
      </c>
      <c r="N91" s="49">
        <v>0.0</v>
      </c>
      <c r="O91" s="49">
        <v>252.0</v>
      </c>
      <c r="P91" s="49">
        <v>0.0</v>
      </c>
      <c r="Q91" s="49">
        <v>252.0</v>
      </c>
      <c r="R91" s="49">
        <v>0.0</v>
      </c>
      <c r="S91" s="126">
        <v>0.0</v>
      </c>
      <c r="T91" s="49">
        <v>252.0</v>
      </c>
      <c r="U91" s="49">
        <v>0.0</v>
      </c>
      <c r="V91" s="126">
        <v>0.0</v>
      </c>
      <c r="W91" s="126">
        <v>0.0</v>
      </c>
      <c r="X91" s="49">
        <v>252.0</v>
      </c>
      <c r="Y91" s="49">
        <v>0.0</v>
      </c>
      <c r="Z91" s="49">
        <v>0.0</v>
      </c>
      <c r="AA91" s="49">
        <v>0.0</v>
      </c>
      <c r="AB91" s="49">
        <v>0.0</v>
      </c>
      <c r="AC91" s="49">
        <v>252.0</v>
      </c>
      <c r="AD91" s="49">
        <v>0.0</v>
      </c>
      <c r="AE91" s="49">
        <v>252.0</v>
      </c>
      <c r="AF91" s="49">
        <v>0.0</v>
      </c>
      <c r="AG91" s="126">
        <v>0.0</v>
      </c>
      <c r="AH91" s="126">
        <v>0.0</v>
      </c>
      <c r="AI91" s="126">
        <v>0.0</v>
      </c>
      <c r="AJ91" s="49">
        <v>126.0</v>
      </c>
      <c r="AK91" s="49">
        <v>0.0</v>
      </c>
      <c r="AL91" s="49">
        <v>0.0</v>
      </c>
      <c r="AM91" s="49">
        <v>0.0</v>
      </c>
      <c r="AN91" s="49">
        <v>0.0</v>
      </c>
      <c r="AO91" s="49">
        <v>0.0</v>
      </c>
      <c r="AP91" s="49">
        <v>0.0</v>
      </c>
      <c r="AQ91" s="49">
        <v>0.0</v>
      </c>
      <c r="AR91" s="98">
        <f t="shared" si="329"/>
        <v>126.0</v>
      </c>
      <c r="AS91" s="98">
        <f t="shared" si="330"/>
        <v>126.0</v>
      </c>
      <c r="AT91" s="98">
        <f t="shared" si="331"/>
        <v>138.6</v>
      </c>
      <c r="AU91" s="100">
        <f t="shared" si="407"/>
        <v>0.0</v>
      </c>
      <c r="AV91" s="100">
        <f t="shared" si="408"/>
        <v>46.2</v>
      </c>
      <c r="AW91" s="100">
        <f t="shared" si="409"/>
        <v>92.4</v>
      </c>
      <c r="AX91" s="100">
        <f t="shared" si="410"/>
        <v>46.2</v>
      </c>
      <c r="AY91" s="100">
        <f t="shared" si="411"/>
        <v>92.4</v>
      </c>
      <c r="AZ91" s="100">
        <f t="shared" si="412"/>
        <v>0.0</v>
      </c>
      <c r="BA91" s="51">
        <f t="shared" si="470"/>
        <v>918.199999999998</v>
      </c>
      <c r="BB91" s="51">
        <f>VLOOKUP(D91,FEB23SOH,2,false)</f>
        <v>1949.0</v>
      </c>
      <c r="BC91" s="99">
        <f>VLOOKUP(C91,UNITVALUE,5,false)</f>
        <v>1.4095</v>
      </c>
      <c r="BD91" s="53">
        <f t="shared" si="335"/>
        <v>2747.1155</v>
      </c>
      <c r="BG91" s="98">
        <f t="shared" si="414"/>
        <v>1030.8</v>
      </c>
      <c r="BH91" s="49">
        <v>1008.0</v>
      </c>
      <c r="BI91" s="51"/>
      <c r="BJ91" s="50"/>
      <c r="BK91" s="100">
        <f t="shared" si="336"/>
        <v>1949.0</v>
      </c>
      <c r="BM91" s="100">
        <f t="shared" si="471"/>
        <v>94.6931818181818</v>
      </c>
      <c r="BN91" s="49">
        <f t="shared" si="416"/>
      </c>
      <c r="BO91" s="100">
        <f t="shared" si="417"/>
        <v>1854.30681818181</v>
      </c>
      <c r="BP91" s="101">
        <f t="shared" si="418"/>
        <v>2613.64546022726</v>
      </c>
      <c r="BQ91" s="100">
        <f t="shared" si="472"/>
        <v>148.177272727272</v>
      </c>
      <c r="BR91" s="49">
        <f t="shared" si="420"/>
      </c>
      <c r="BS91" s="100">
        <f t="shared" si="421"/>
        <v>1706.12954545453</v>
      </c>
      <c r="BT91" s="102">
        <f t="shared" si="422"/>
        <v>2473.88784090907</v>
      </c>
      <c r="BU91" s="100">
        <f t="shared" si="473"/>
        <v>233.711363636363</v>
      </c>
      <c r="BV91" s="100"/>
      <c r="BW91" s="100">
        <f t="shared" si="424"/>
        <v>1472.41818181817</v>
      </c>
      <c r="BX91" s="102">
        <f t="shared" si="425"/>
        <v>2135.00636363634</v>
      </c>
      <c r="BY91" s="100">
        <f t="shared" si="474"/>
        <v>113.213636363636</v>
      </c>
      <c r="BZ91" s="100"/>
      <c r="CA91" s="100">
        <f t="shared" si="427"/>
        <v>1359.20454545453</v>
      </c>
      <c r="CB91" s="102">
        <f t="shared" si="428"/>
        <v>1970.84659090907</v>
      </c>
      <c r="CC91" s="100">
        <f t="shared" si="475"/>
        <v>222.056818181818</v>
      </c>
      <c r="CD91" s="100"/>
      <c r="CE91" s="100">
        <f t="shared" si="430"/>
        <v>1137.14772727271</v>
      </c>
      <c r="CF91" s="102">
        <f t="shared" si="431"/>
        <v>1648.86420454542</v>
      </c>
      <c r="CG91" s="100">
        <f t="shared" si="476"/>
        <v>106.347727272727</v>
      </c>
      <c r="CH91" s="100"/>
      <c r="CI91" s="100">
        <f t="shared" si="433"/>
        <v>1030.79999999998</v>
      </c>
      <c r="CJ91" s="102">
        <f t="shared" si="434"/>
        <v>1494.65999999997</v>
      </c>
    </row>
    <row r="92" ht="14.0">
      <c r="A92" s="49" t="s">
        <v>28</v>
      </c>
      <c r="B92" s="49" t="s">
        <v>98</v>
      </c>
      <c r="C92" s="49" t="s">
        <v>121</v>
      </c>
      <c r="D92" s="50" t="s">
        <v>122</v>
      </c>
      <c r="E92" s="126">
        <v>252.0</v>
      </c>
      <c r="F92" s="49">
        <v>0.0</v>
      </c>
      <c r="G92" s="126">
        <v>0.0</v>
      </c>
      <c r="H92" s="126">
        <v>0.0</v>
      </c>
      <c r="I92" s="126">
        <v>0.0</v>
      </c>
      <c r="J92" s="49">
        <v>252.0</v>
      </c>
      <c r="K92" s="49">
        <v>0.0</v>
      </c>
      <c r="L92" s="49">
        <v>252.0</v>
      </c>
      <c r="M92" s="49">
        <v>0.0</v>
      </c>
      <c r="N92" s="126">
        <v>0.0</v>
      </c>
      <c r="O92" s="49">
        <v>252.0</v>
      </c>
      <c r="P92" s="49">
        <v>0.0</v>
      </c>
      <c r="Q92" s="49">
        <v>252.0</v>
      </c>
      <c r="R92" s="49">
        <v>0.0</v>
      </c>
      <c r="S92" s="126">
        <v>0.0</v>
      </c>
      <c r="T92" s="49">
        <v>246.0</v>
      </c>
      <c r="U92" s="49">
        <v>0.0</v>
      </c>
      <c r="V92" s="126">
        <v>0.0</v>
      </c>
      <c r="W92" s="49">
        <v>252.0</v>
      </c>
      <c r="X92" s="49">
        <v>0.0</v>
      </c>
      <c r="Y92" s="126">
        <v>0.0</v>
      </c>
      <c r="Z92" s="49">
        <v>0.0</v>
      </c>
      <c r="AA92" s="49">
        <v>0.0</v>
      </c>
      <c r="AB92" s="49">
        <v>0.0</v>
      </c>
      <c r="AC92" s="49">
        <v>252.0</v>
      </c>
      <c r="AD92" s="49">
        <v>0.0</v>
      </c>
      <c r="AE92" s="49">
        <v>240.0</v>
      </c>
      <c r="AF92" s="49">
        <v>0.0</v>
      </c>
      <c r="AG92" s="126">
        <v>0.0</v>
      </c>
      <c r="AH92" s="126">
        <v>0.0</v>
      </c>
      <c r="AI92" s="49">
        <v>252.0</v>
      </c>
      <c r="AJ92" s="49">
        <v>0.0</v>
      </c>
      <c r="AK92" s="49">
        <v>0.0</v>
      </c>
      <c r="AL92" s="49">
        <v>252.0</v>
      </c>
      <c r="AM92" s="49">
        <v>0.0</v>
      </c>
      <c r="AN92" s="49">
        <v>0.0</v>
      </c>
      <c r="AO92" s="49">
        <v>420.0</v>
      </c>
      <c r="AP92" s="49">
        <v>252.0</v>
      </c>
      <c r="AQ92" s="49">
        <v>0.0</v>
      </c>
      <c r="AR92" s="98">
        <f t="shared" si="329"/>
        <v>1176.0</v>
      </c>
      <c r="AS92" s="98">
        <f t="shared" si="330"/>
        <v>252.0</v>
      </c>
      <c r="AT92" s="98">
        <f t="shared" si="331"/>
        <v>277.2</v>
      </c>
      <c r="AU92" s="100">
        <f t="shared" si="407"/>
        <v>0.0</v>
      </c>
      <c r="AV92" s="100">
        <f t="shared" si="408"/>
        <v>0.0</v>
      </c>
      <c r="AW92" s="100">
        <f t="shared" si="409"/>
        <v>0.0</v>
      </c>
      <c r="AX92" s="100">
        <f t="shared" si="410"/>
        <v>0.0</v>
      </c>
      <c r="AY92" s="100">
        <f t="shared" si="411"/>
        <v>138.6</v>
      </c>
      <c r="AZ92" s="100">
        <f t="shared" si="412"/>
        <v>0.0</v>
      </c>
      <c r="BA92" s="51">
        <f t="shared" si="470"/>
        <v>1719.6</v>
      </c>
      <c r="BB92" s="51">
        <f>VLOOKUP(D92,FEB23SOH,2,false)</f>
        <v>2248.0</v>
      </c>
      <c r="BC92" s="99">
        <f>VLOOKUP(C92,UNITVALUE,5,false)</f>
        <v>1.429</v>
      </c>
      <c r="BD92" s="53">
        <f t="shared" si="335"/>
        <v>3212.392</v>
      </c>
      <c r="BG92" s="98">
        <f t="shared" si="414"/>
        <v>528.4</v>
      </c>
      <c r="BH92" s="49">
        <v>1008.0</v>
      </c>
      <c r="BI92" s="51"/>
      <c r="BJ92" s="50"/>
      <c r="BK92" s="100">
        <f t="shared" si="336"/>
        <v>2248.0</v>
      </c>
      <c r="BM92" s="100">
        <f t="shared" si="471"/>
        <v>233.556818181818</v>
      </c>
      <c r="BN92" s="49">
        <f t="shared" si="416"/>
      </c>
      <c r="BO92" s="100">
        <f t="shared" si="417"/>
        <v>2014.44318181818</v>
      </c>
      <c r="BP92" s="101">
        <f t="shared" si="418"/>
        <v>2878.63930681818</v>
      </c>
      <c r="BQ92" s="100">
        <f t="shared" si="472"/>
        <v>251.522727272727</v>
      </c>
      <c r="BR92" s="49">
        <f t="shared" si="420"/>
      </c>
      <c r="BS92" s="100">
        <f t="shared" si="421"/>
        <v>1762.92045454545</v>
      </c>
      <c r="BT92" s="102">
        <f t="shared" si="422"/>
        <v>2556.2346590909</v>
      </c>
      <c r="BU92" s="100">
        <f t="shared" si="473"/>
        <v>348.538636363635</v>
      </c>
      <c r="BV92" s="100"/>
      <c r="BW92" s="100">
        <f t="shared" si="424"/>
        <v>1414.38181818181</v>
      </c>
      <c r="BX92" s="102">
        <f t="shared" si="425"/>
        <v>2050.85363636362</v>
      </c>
      <c r="BY92" s="100">
        <f t="shared" si="474"/>
        <v>165.286363636363</v>
      </c>
      <c r="BZ92" s="100"/>
      <c r="CA92" s="100">
        <f t="shared" si="427"/>
        <v>1249.09545454544</v>
      </c>
      <c r="CB92" s="102">
        <f t="shared" si="428"/>
        <v>1811.18840909089</v>
      </c>
      <c r="CC92" s="100">
        <f t="shared" si="475"/>
        <v>458.393181818181</v>
      </c>
      <c r="CD92" s="100"/>
      <c r="CE92" s="100">
        <f t="shared" si="430"/>
        <v>790.702272727259</v>
      </c>
      <c r="CF92" s="102">
        <f t="shared" si="431"/>
        <v>1146.51829545452</v>
      </c>
      <c r="CG92" s="100">
        <f t="shared" si="476"/>
        <v>262.302272727271</v>
      </c>
      <c r="CH92" s="100"/>
      <c r="CI92" s="100">
        <f t="shared" si="433"/>
        <v>528.399999999988</v>
      </c>
      <c r="CJ92" s="102"/>
    </row>
    <row r="93" ht="14.0" customFormat="1" s="49">
      <c r="A93" s="96" t="s">
        <v>28</v>
      </c>
      <c r="B93" s="49" t="s">
        <v>166</v>
      </c>
      <c r="C93" s="49" t="s">
        <v>167</v>
      </c>
      <c r="D93" s="50" t="s">
        <v>168</v>
      </c>
      <c r="E93" s="49">
        <v>0.0</v>
      </c>
      <c r="F93" s="49">
        <v>0.0</v>
      </c>
      <c r="G93" s="49">
        <v>0.0</v>
      </c>
      <c r="H93" s="49">
        <v>0.0</v>
      </c>
      <c r="I93" s="49">
        <v>0.0</v>
      </c>
      <c r="J93" s="49">
        <v>0.0</v>
      </c>
      <c r="K93" s="49">
        <v>0.0</v>
      </c>
      <c r="L93" s="49">
        <v>0.0</v>
      </c>
      <c r="M93" s="49">
        <v>0.0</v>
      </c>
      <c r="N93" s="49">
        <v>0.0</v>
      </c>
      <c r="O93" s="49">
        <v>0.0</v>
      </c>
      <c r="P93" s="49">
        <v>0.0</v>
      </c>
      <c r="Q93" s="49">
        <v>0.0</v>
      </c>
      <c r="R93" s="49">
        <v>0.0</v>
      </c>
      <c r="S93" s="49">
        <v>0.0</v>
      </c>
      <c r="T93" s="49">
        <v>0.0</v>
      </c>
      <c r="U93" s="49">
        <v>0.0</v>
      </c>
      <c r="V93" s="49">
        <v>0.0</v>
      </c>
      <c r="W93" s="49">
        <v>0.0</v>
      </c>
      <c r="X93" s="49">
        <v>0.0</v>
      </c>
      <c r="Y93" s="49">
        <v>1.0</v>
      </c>
      <c r="Z93" s="49">
        <v>60.0</v>
      </c>
      <c r="AA93" s="49">
        <v>0.0</v>
      </c>
      <c r="AB93" s="49">
        <v>0.0</v>
      </c>
      <c r="AC93" s="49">
        <v>0.0</v>
      </c>
      <c r="AD93" s="49">
        <v>0.0</v>
      </c>
      <c r="AE93" s="49">
        <v>0.0</v>
      </c>
      <c r="AF93" s="49">
        <v>0.0</v>
      </c>
      <c r="AG93" s="49">
        <v>0.0</v>
      </c>
      <c r="AH93" s="49">
        <v>0.0</v>
      </c>
      <c r="AI93" s="49">
        <v>0.0</v>
      </c>
      <c r="AJ93" s="49">
        <v>0.0</v>
      </c>
      <c r="AK93" s="49">
        <v>0.0</v>
      </c>
      <c r="AL93" s="49">
        <v>0.0</v>
      </c>
      <c r="AM93" s="49">
        <v>0.0</v>
      </c>
      <c r="AN93" s="49">
        <v>0.0</v>
      </c>
      <c r="AO93" s="49">
        <v>0.0</v>
      </c>
      <c r="AP93" s="49">
        <v>0.0</v>
      </c>
      <c r="AQ93" s="49">
        <v>0.0</v>
      </c>
      <c r="AR93" s="98">
        <f t="shared" si="329"/>
        <v>0.0</v>
      </c>
      <c r="AS93" s="98">
        <f t="shared" si="330"/>
        <v>0.0</v>
      </c>
      <c r="AT93" s="98">
        <f t="shared" si="331"/>
        <v>0.0</v>
      </c>
      <c r="AU93" s="100">
        <f t="shared" si="407"/>
        <v>0.0</v>
      </c>
      <c r="AV93" s="100">
        <f t="shared" si="408"/>
        <v>0.0</v>
      </c>
      <c r="AW93" s="100">
        <f t="shared" si="409"/>
        <v>0.0</v>
      </c>
      <c r="AX93" s="100">
        <f t="shared" si="410"/>
        <v>277.2</v>
      </c>
      <c r="AY93" s="100">
        <f t="shared" si="411"/>
        <v>0.0</v>
      </c>
      <c r="AZ93" s="100">
        <f t="shared" si="412"/>
        <v>0.0</v>
      </c>
      <c r="BA93" s="51">
        <f t="shared" ref="BA93:BA104" si="477">SUM(AU93:AZ93)</f>
        <v>277.2</v>
      </c>
      <c r="BB93" s="51">
        <f>VLOOKUP(D93,FEB23SOH,2,false)</f>
        <v>34.0</v>
      </c>
      <c r="BC93" s="99">
        <f>VLOOKUP(C93,UNITVALUE,5,false)</f>
        <v>3.7582</v>
      </c>
      <c r="BD93" s="53">
        <f t="shared" si="335"/>
        <v>127.7788</v>
      </c>
      <c r="BG93" s="98">
        <f t="shared" si="414"/>
        <v>-243.2</v>
      </c>
      <c r="BH93" s="49">
        <v>1008.0</v>
      </c>
      <c r="BI93" s="49">
        <f>BH93</f>
        <v>1008.0</v>
      </c>
      <c r="BJ93" s="50" t="s">
        <v>6</v>
      </c>
      <c r="BK93" s="49">
        <f t="shared" si="336"/>
        <v>34.0</v>
      </c>
      <c r="BM93" s="49">
        <f>AU93</f>
        <v>0.0</v>
      </c>
      <c r="BN93" s="49">
        <f t="shared" si="416"/>
      </c>
      <c r="BO93" s="100">
        <f t="shared" si="417"/>
        <v>34.0</v>
      </c>
      <c r="BP93" s="101">
        <f t="shared" si="418"/>
        <v>127.7788</v>
      </c>
      <c r="BQ93" s="49">
        <f>AV93</f>
        <v>0.0</v>
      </c>
      <c r="BR93" s="49">
        <f t="shared" si="420"/>
      </c>
      <c r="BS93" s="100">
        <f t="shared" si="421"/>
        <v>34.0</v>
      </c>
      <c r="BT93" s="102">
        <f t="shared" si="422"/>
        <v>49.3</v>
      </c>
      <c r="BU93" s="49">
        <f>AW93</f>
        <v>0.0</v>
      </c>
      <c r="BW93" s="100">
        <f t="shared" si="424"/>
        <v>34.0</v>
      </c>
      <c r="BX93" s="102">
        <f t="shared" si="425"/>
        <v>49.3</v>
      </c>
      <c r="BY93" s="49">
        <f>AX93</f>
        <v>277.2</v>
      </c>
      <c r="CA93" s="100">
        <f t="shared" si="427"/>
        <v>-243.2</v>
      </c>
      <c r="CB93" s="102">
        <f t="shared" si="428"/>
        <v>-352.64</v>
      </c>
      <c r="CC93" s="49">
        <f>AY93</f>
        <v>0.0</v>
      </c>
      <c r="CE93" s="100">
        <f t="shared" si="430"/>
        <v>-243.2</v>
      </c>
      <c r="CF93" s="102">
        <f t="shared" si="431"/>
        <v>-352.64</v>
      </c>
      <c r="CG93" s="49">
        <f>AZ93</f>
        <v>0.0</v>
      </c>
      <c r="CI93" s="100">
        <f t="shared" si="433"/>
        <v>-243.2</v>
      </c>
      <c r="CJ93" s="102">
        <f>CI93*1.45</f>
        <v>-352.64</v>
      </c>
    </row>
    <row r="94" ht="14.0">
      <c r="A94" s="104" t="s">
        <v>45</v>
      </c>
      <c r="B94" s="104" t="s">
        <v>151</v>
      </c>
      <c r="C94" s="104" t="s">
        <v>152</v>
      </c>
      <c r="D94" s="125" t="s">
        <v>153</v>
      </c>
      <c r="E94" s="126">
        <v>0.0</v>
      </c>
      <c r="F94" s="126">
        <v>0.0</v>
      </c>
      <c r="G94" s="126">
        <v>0.0</v>
      </c>
      <c r="H94" s="126">
        <v>0.0</v>
      </c>
      <c r="I94" s="126">
        <v>0.0</v>
      </c>
      <c r="J94" s="49">
        <v>400.0</v>
      </c>
      <c r="K94" s="49">
        <v>0.0</v>
      </c>
      <c r="L94" s="126">
        <v>0.0</v>
      </c>
      <c r="M94" s="126">
        <v>0.0</v>
      </c>
      <c r="N94" s="126">
        <v>0.0</v>
      </c>
      <c r="O94" s="126">
        <v>0.0</v>
      </c>
      <c r="P94" s="126">
        <v>0.0</v>
      </c>
      <c r="Q94" s="126">
        <v>0.0</v>
      </c>
      <c r="R94" s="126">
        <v>0.0</v>
      </c>
      <c r="S94" s="126">
        <v>0.0</v>
      </c>
      <c r="T94" s="126">
        <v>0.0</v>
      </c>
      <c r="U94" s="126">
        <v>0.0</v>
      </c>
      <c r="V94" s="126">
        <v>0.0</v>
      </c>
      <c r="W94" s="126">
        <v>0.0</v>
      </c>
      <c r="X94" s="126">
        <v>0.0</v>
      </c>
      <c r="Y94" s="126">
        <v>0.0</v>
      </c>
      <c r="Z94" s="49">
        <v>0.0</v>
      </c>
      <c r="AA94" s="49">
        <v>0.0</v>
      </c>
      <c r="AB94" s="49">
        <v>0.0</v>
      </c>
      <c r="AC94" s="49">
        <v>0.0</v>
      </c>
      <c r="AD94" s="49">
        <v>0.0</v>
      </c>
      <c r="AE94" s="49">
        <v>0.0</v>
      </c>
      <c r="AF94" s="126">
        <v>0.0</v>
      </c>
      <c r="AG94" s="126">
        <v>0.0</v>
      </c>
      <c r="AH94" s="126">
        <v>0.0</v>
      </c>
      <c r="AI94" s="126">
        <v>0.0</v>
      </c>
      <c r="AJ94" s="126">
        <v>0.0</v>
      </c>
      <c r="AK94" s="49">
        <v>0.0</v>
      </c>
      <c r="AL94" s="49">
        <v>0.0</v>
      </c>
      <c r="AM94" s="49">
        <v>0.0</v>
      </c>
      <c r="AN94" s="49">
        <v>0.0</v>
      </c>
      <c r="AO94" s="49">
        <v>0.0</v>
      </c>
      <c r="AP94" s="49">
        <v>0.0</v>
      </c>
      <c r="AQ94" s="49">
        <v>0.0</v>
      </c>
      <c r="AR94" s="98">
        <f t="shared" si="329"/>
        <v>0.0</v>
      </c>
      <c r="AS94" s="98">
        <f t="shared" si="330"/>
        <v>0.0</v>
      </c>
      <c r="AT94" s="98">
        <f t="shared" si="331"/>
        <v>0.0</v>
      </c>
      <c r="AU94" s="104">
        <f>AT94*$AU$73/$AT$72</f>
        <v>0.0</v>
      </c>
      <c r="AV94" s="104">
        <f>AT94*$AV$73/$AT$72</f>
        <v>0.0</v>
      </c>
      <c r="AW94" s="104">
        <f>AT94*$AW$73/$AT$72</f>
        <v>0.0</v>
      </c>
      <c r="AX94" s="104">
        <f>AT94*$AX$73/$AT$72</f>
        <v>0.0</v>
      </c>
      <c r="AY94" s="104">
        <f>AT94*$AY$73/$AT$72</f>
        <v>0.0</v>
      </c>
      <c r="AZ94" s="104">
        <f>AT94*$AZ$73/$AT$72</f>
        <v>0.0</v>
      </c>
      <c r="BA94" s="51">
        <f t="shared" si="477"/>
        <v>0.0</v>
      </c>
      <c r="BB94" s="51">
        <f>VLOOKUP(D94,FEB23SOH,2,false)</f>
        <v>0.0</v>
      </c>
      <c r="BC94" s="99">
        <f>VLOOKUP(C94,UNITVALUE,5,false)</f>
      </c>
      <c r="BH94" s="49">
        <v>1008.0</v>
      </c>
      <c r="BI94" s="104"/>
      <c r="BJ94" s="50" t="s">
        <v>189</v>
      </c>
      <c r="BK94" s="49">
        <f t="shared" si="336"/>
        <v>0.0</v>
      </c>
      <c r="BO94" s="100"/>
      <c r="BP94" s="107"/>
      <c r="BS94" s="100"/>
      <c r="BT94" s="102"/>
      <c r="BW94" s="100"/>
      <c r="BX94" s="102"/>
      <c r="CA94" s="100"/>
      <c r="CB94" s="102"/>
      <c r="CE94" s="100"/>
      <c r="CF94" s="102"/>
      <c r="CI94" s="100"/>
      <c r="CJ94" s="102"/>
    </row>
    <row r="95" customHeight="1" ht="14.0" customFormat="1" s="49">
      <c r="A95" s="49" t="s">
        <v>150</v>
      </c>
      <c r="B95" s="49" t="s">
        <v>151</v>
      </c>
      <c r="C95" s="49" t="s">
        <v>162</v>
      </c>
      <c r="D95" s="50" t="s">
        <v>163</v>
      </c>
      <c r="E95" s="49">
        <v>0.0</v>
      </c>
      <c r="F95" s="49">
        <v>0.0</v>
      </c>
      <c r="G95" s="49">
        <v>0.0</v>
      </c>
      <c r="H95" s="49">
        <v>0.0</v>
      </c>
      <c r="I95" s="49">
        <v>0.0</v>
      </c>
      <c r="J95" s="49">
        <v>144.0</v>
      </c>
      <c r="K95" s="49">
        <v>0.0</v>
      </c>
      <c r="L95" s="49">
        <v>0.0</v>
      </c>
      <c r="M95" s="49">
        <v>0.0</v>
      </c>
      <c r="N95" s="49">
        <v>0.0</v>
      </c>
      <c r="O95" s="49">
        <v>0.0</v>
      </c>
      <c r="P95" s="49">
        <v>0.0</v>
      </c>
      <c r="Q95" s="49">
        <v>0.0</v>
      </c>
      <c r="R95" s="49">
        <v>0.0</v>
      </c>
      <c r="S95" s="49">
        <v>0.0</v>
      </c>
      <c r="T95" s="49">
        <v>0.0</v>
      </c>
      <c r="U95" s="49">
        <v>0.0</v>
      </c>
      <c r="V95" s="49">
        <v>0.0</v>
      </c>
      <c r="W95" s="49">
        <v>0.0</v>
      </c>
      <c r="X95" s="49">
        <v>31.0</v>
      </c>
      <c r="Y95" s="49">
        <v>0.0</v>
      </c>
      <c r="Z95" s="49">
        <v>0.0</v>
      </c>
      <c r="AA95" s="49">
        <v>0.0</v>
      </c>
      <c r="AB95" s="49">
        <v>8.0</v>
      </c>
      <c r="AC95" s="49">
        <v>8.0</v>
      </c>
      <c r="AD95" s="49">
        <v>24.0</v>
      </c>
      <c r="AE95" s="49">
        <v>0.0</v>
      </c>
      <c r="AF95" s="49">
        <v>0.0</v>
      </c>
      <c r="AG95" s="49">
        <v>0.0</v>
      </c>
      <c r="AH95" s="49">
        <v>0.0</v>
      </c>
      <c r="AI95" s="49">
        <v>0.0</v>
      </c>
      <c r="AJ95" s="49">
        <v>0.0</v>
      </c>
      <c r="AK95" s="49">
        <v>0.0</v>
      </c>
      <c r="AL95" s="49">
        <v>8.0</v>
      </c>
      <c r="AM95" s="49">
        <v>0.0</v>
      </c>
      <c r="AN95" s="49">
        <v>0.0</v>
      </c>
      <c r="AO95" s="49">
        <v>16.0</v>
      </c>
      <c r="AP95" s="49">
        <v>8.0</v>
      </c>
      <c r="AQ95" s="49">
        <v>0.0</v>
      </c>
      <c r="AR95" s="98">
        <f t="shared" si="329"/>
        <v>32.0</v>
      </c>
      <c r="AS95" s="98">
        <f t="shared" si="330"/>
        <v>0.0</v>
      </c>
      <c r="AT95" s="98">
        <f t="shared" si="331"/>
        <v>0.0</v>
      </c>
      <c r="AU95" s="100">
        <f>AF94*1.1</f>
        <v>0.0</v>
      </c>
      <c r="AV95" s="100">
        <f>AG94*1.1</f>
        <v>0.0</v>
      </c>
      <c r="AW95" s="100">
        <f>AH94*1.1</f>
        <v>0.0</v>
      </c>
      <c r="AX95" s="100">
        <f>AI94*1.1</f>
        <v>0.0</v>
      </c>
      <c r="AY95" s="100">
        <f>AJ94*1.1</f>
        <v>0.0</v>
      </c>
      <c r="AZ95" s="100">
        <f>AK94*1.1</f>
        <v>0.0</v>
      </c>
      <c r="BA95" s="51">
        <f t="shared" si="477"/>
        <v>0.0</v>
      </c>
      <c r="BB95" s="51">
        <f>VLOOKUP(D95,FEB23SOH,2,false)</f>
        <v>877.0</v>
      </c>
      <c r="BC95" s="99">
        <f>VLOOKUP(C95,UNITVALUE,5,false)</f>
        <v>5.5676</v>
      </c>
      <c r="BD95" s="53">
        <f>BC95*BB95</f>
        <v>4882.7852</v>
      </c>
      <c r="BG95" s="98">
        <f>BB95+BE95+BF95-BA95</f>
        <v>877.0</v>
      </c>
      <c r="BH95" s="49">
        <v>1008.0</v>
      </c>
      <c r="BI95" s="51"/>
      <c r="BJ95" s="50"/>
      <c r="BK95" s="49">
        <f t="shared" si="336"/>
        <v>877.0</v>
      </c>
      <c r="BM95" s="49">
        <f>AU95</f>
        <v>0.0</v>
      </c>
      <c r="BN95" s="49">
        <f>BE95</f>
      </c>
      <c r="BO95" s="100">
        <f>BK95+BN95-BM95+BL95</f>
        <v>877.0</v>
      </c>
      <c r="BP95" s="101">
        <f>BO95*BC95</f>
        <v>4882.7852</v>
      </c>
      <c r="BQ95" s="49">
        <f>AV95</f>
        <v>0.0</v>
      </c>
      <c r="BR95" s="49">
        <f>BF95</f>
      </c>
      <c r="BS95" s="100">
        <f>BO95+BR95-BQ95</f>
        <v>877.0</v>
      </c>
      <c r="BT95" s="102">
        <f>BS95*1.45</f>
        <v>1271.65</v>
      </c>
      <c r="BU95" s="49">
        <f>AW95</f>
        <v>0.0</v>
      </c>
      <c r="BW95" s="100">
        <f>BS95+BV95-BU95</f>
        <v>877.0</v>
      </c>
      <c r="BX95" s="102">
        <f>BW95*1.45</f>
        <v>1271.65</v>
      </c>
      <c r="BY95" s="49">
        <f>AX95</f>
        <v>0.0</v>
      </c>
      <c r="CA95" s="100">
        <f>BW95+BZ95-BY95</f>
        <v>877.0</v>
      </c>
      <c r="CB95" s="102">
        <f>CA95*1.45</f>
        <v>1271.65</v>
      </c>
      <c r="CC95" s="49">
        <f>AY95</f>
        <v>0.0</v>
      </c>
      <c r="CE95" s="100">
        <f>CA95+CD95-CC95</f>
        <v>877.0</v>
      </c>
      <c r="CF95" s="102">
        <f>CE95*1.45</f>
        <v>1271.65</v>
      </c>
      <c r="CG95" s="49">
        <f>AZ95</f>
        <v>0.0</v>
      </c>
      <c r="CI95" s="100">
        <f>CE95+CH95-CG95</f>
        <v>877.0</v>
      </c>
      <c r="CJ95" s="102">
        <f>CI95*1.45</f>
        <v>1271.65</v>
      </c>
    </row>
    <row r="96" ht="14.0">
      <c r="A96" s="104" t="s">
        <v>45</v>
      </c>
      <c r="B96" s="104" t="s">
        <v>151</v>
      </c>
      <c r="C96" s="104" t="s">
        <v>154</v>
      </c>
      <c r="D96" s="125" t="s">
        <v>155</v>
      </c>
      <c r="E96" s="126">
        <v>0.0</v>
      </c>
      <c r="F96" s="126">
        <v>0.0</v>
      </c>
      <c r="G96" s="126">
        <v>0.0</v>
      </c>
      <c r="H96" s="126">
        <v>0.0</v>
      </c>
      <c r="I96" s="126">
        <v>0.0</v>
      </c>
      <c r="J96" s="49">
        <v>192.0</v>
      </c>
      <c r="K96" s="49">
        <v>0.0</v>
      </c>
      <c r="L96" s="126">
        <v>0.0</v>
      </c>
      <c r="M96" s="126">
        <v>0.0</v>
      </c>
      <c r="N96" s="126">
        <v>0.0</v>
      </c>
      <c r="O96" s="126">
        <v>0.0</v>
      </c>
      <c r="P96" s="126">
        <v>0.0</v>
      </c>
      <c r="Q96" s="126">
        <v>0.0</v>
      </c>
      <c r="R96" s="126">
        <v>0.0</v>
      </c>
      <c r="S96" s="126">
        <v>0.0</v>
      </c>
      <c r="T96" s="126">
        <v>0.0</v>
      </c>
      <c r="U96" s="126">
        <v>0.0</v>
      </c>
      <c r="V96" s="126">
        <v>0.0</v>
      </c>
      <c r="W96" s="126">
        <v>0.0</v>
      </c>
      <c r="X96" s="126">
        <v>0.0</v>
      </c>
      <c r="Y96" s="126">
        <v>0.0</v>
      </c>
      <c r="Z96" s="49">
        <v>0.0</v>
      </c>
      <c r="AA96" s="49">
        <v>0.0</v>
      </c>
      <c r="AB96" s="49">
        <v>0.0</v>
      </c>
      <c r="AC96" s="49">
        <v>0.0</v>
      </c>
      <c r="AD96" s="49">
        <v>0.0</v>
      </c>
      <c r="AE96" s="49">
        <v>0.0</v>
      </c>
      <c r="AF96" s="126">
        <v>0.0</v>
      </c>
      <c r="AG96" s="126">
        <v>0.0</v>
      </c>
      <c r="AH96" s="126">
        <v>0.0</v>
      </c>
      <c r="AI96" s="126">
        <v>0.0</v>
      </c>
      <c r="AJ96" s="126">
        <v>0.0</v>
      </c>
      <c r="AK96" s="49">
        <v>0.0</v>
      </c>
      <c r="AL96" s="49">
        <v>0.0</v>
      </c>
      <c r="AM96" s="49">
        <v>0.0</v>
      </c>
      <c r="AN96" s="49">
        <v>0.0</v>
      </c>
      <c r="AO96" s="49">
        <v>0.0</v>
      </c>
      <c r="AP96" s="49">
        <v>0.0</v>
      </c>
      <c r="AQ96" s="49">
        <v>0.0</v>
      </c>
      <c r="AR96" s="98">
        <f t="shared" si="329"/>
        <v>0.0</v>
      </c>
      <c r="AS96" s="98">
        <f t="shared" si="330"/>
        <v>0.0</v>
      </c>
      <c r="AT96" s="98">
        <f t="shared" si="331"/>
        <v>0.0</v>
      </c>
      <c r="AU96" s="104">
        <f t="shared" ref="AU96:AU100" si="520">AT96*$AU$73/$AT$72</f>
        <v>0.0</v>
      </c>
      <c r="AV96" s="104">
        <f t="shared" ref="AV96:AV100" si="521">AT96*$AV$73/$AT$72</f>
        <v>0.0</v>
      </c>
      <c r="AW96" s="104">
        <f t="shared" ref="AW96:AW100" si="522">AT96*$AW$73/$AT$72</f>
        <v>0.0</v>
      </c>
      <c r="AX96" s="104">
        <f t="shared" ref="AX96:AX100" si="523">AT96*$AX$73/$AT$72</f>
        <v>0.0</v>
      </c>
      <c r="AY96" s="104">
        <f t="shared" ref="AY96:AY100" si="524">AT96*$AY$73/$AT$72</f>
        <v>0.0</v>
      </c>
      <c r="AZ96" s="104">
        <f t="shared" ref="AZ96:AZ100" si="525">AT96*$AZ$73/$AT$72</f>
        <v>0.0</v>
      </c>
      <c r="BA96" s="51">
        <f t="shared" si="477"/>
        <v>0.0</v>
      </c>
      <c r="BB96" s="51">
        <f>VLOOKUP(D96,FEB23SOH,2,false)</f>
        <v>0.0</v>
      </c>
      <c r="BC96" s="99">
        <f>VLOOKUP(C96,UNITVALUE,5,false)</f>
      </c>
      <c r="BH96" s="49">
        <v>1008.0</v>
      </c>
      <c r="BI96" s="104"/>
      <c r="BJ96" s="50" t="s">
        <v>189</v>
      </c>
      <c r="BK96" s="49">
        <f t="shared" si="336"/>
        <v>0.0</v>
      </c>
      <c r="BO96" s="100"/>
      <c r="BP96" s="107"/>
      <c r="BS96" s="100"/>
      <c r="BT96" s="102"/>
      <c r="BW96" s="100"/>
      <c r="BX96" s="102"/>
      <c r="CA96" s="100"/>
      <c r="CB96" s="102"/>
      <c r="CE96" s="100"/>
      <c r="CF96" s="102"/>
      <c r="CI96" s="100"/>
      <c r="CJ96" s="102"/>
    </row>
    <row r="97" ht="14.0">
      <c r="A97" s="104" t="s">
        <v>45</v>
      </c>
      <c r="B97" s="104" t="s">
        <v>151</v>
      </c>
      <c r="C97" s="104" t="s">
        <v>156</v>
      </c>
      <c r="D97" s="125" t="s">
        <v>157</v>
      </c>
      <c r="E97" s="126">
        <v>0.0</v>
      </c>
      <c r="F97" s="126">
        <v>0.0</v>
      </c>
      <c r="G97" s="126">
        <v>0.0</v>
      </c>
      <c r="H97" s="126">
        <v>0.0</v>
      </c>
      <c r="I97" s="126">
        <v>0.0</v>
      </c>
      <c r="J97" s="49">
        <v>240.0</v>
      </c>
      <c r="K97" s="49">
        <v>0.0</v>
      </c>
      <c r="L97" s="126">
        <v>0.0</v>
      </c>
      <c r="M97" s="126">
        <v>0.0</v>
      </c>
      <c r="N97" s="126">
        <v>0.0</v>
      </c>
      <c r="O97" s="126">
        <v>0.0</v>
      </c>
      <c r="P97" s="126">
        <v>0.0</v>
      </c>
      <c r="Q97" s="126">
        <v>0.0</v>
      </c>
      <c r="R97" s="126">
        <v>0.0</v>
      </c>
      <c r="S97" s="126">
        <v>0.0</v>
      </c>
      <c r="T97" s="126">
        <v>0.0</v>
      </c>
      <c r="U97" s="126">
        <v>0.0</v>
      </c>
      <c r="V97" s="126">
        <v>0.0</v>
      </c>
      <c r="W97" s="49">
        <v>168.0</v>
      </c>
      <c r="X97" s="49">
        <v>0.0</v>
      </c>
      <c r="Y97" s="49">
        <v>48.0</v>
      </c>
      <c r="Z97" s="49">
        <v>0.0</v>
      </c>
      <c r="AA97" s="49">
        <v>0.0</v>
      </c>
      <c r="AB97" s="49">
        <v>0.0</v>
      </c>
      <c r="AC97" s="49">
        <v>0.0</v>
      </c>
      <c r="AD97" s="49">
        <v>0.0</v>
      </c>
      <c r="AE97" s="49">
        <v>0.0</v>
      </c>
      <c r="AF97" s="126">
        <v>0.0</v>
      </c>
      <c r="AG97" s="126">
        <v>0.0</v>
      </c>
      <c r="AH97" s="126">
        <v>0.0</v>
      </c>
      <c r="AI97" s="126">
        <v>0.0</v>
      </c>
      <c r="AJ97" s="126">
        <v>0.0</v>
      </c>
      <c r="AK97" s="49">
        <v>0.0</v>
      </c>
      <c r="AL97" s="49">
        <v>0.0</v>
      </c>
      <c r="AM97" s="49">
        <v>0.0</v>
      </c>
      <c r="AN97" s="49">
        <v>0.0</v>
      </c>
      <c r="AO97" s="49">
        <v>0.0</v>
      </c>
      <c r="AP97" s="49">
        <v>0.0</v>
      </c>
      <c r="AQ97" s="49">
        <v>0.0</v>
      </c>
      <c r="AR97" s="98">
        <f t="shared" si="329"/>
        <v>0.0</v>
      </c>
      <c r="AS97" s="98">
        <f t="shared" si="330"/>
        <v>0.0</v>
      </c>
      <c r="AT97" s="98">
        <f t="shared" si="331"/>
        <v>0.0</v>
      </c>
      <c r="AU97" s="104">
        <f t="shared" si="520"/>
        <v>0.0</v>
      </c>
      <c r="AV97" s="104">
        <f t="shared" si="521"/>
        <v>0.0</v>
      </c>
      <c r="AW97" s="104">
        <f t="shared" si="522"/>
        <v>0.0</v>
      </c>
      <c r="AX97" s="104">
        <f t="shared" si="523"/>
        <v>0.0</v>
      </c>
      <c r="AY97" s="104">
        <f t="shared" si="524"/>
        <v>0.0</v>
      </c>
      <c r="AZ97" s="104">
        <f t="shared" si="525"/>
        <v>0.0</v>
      </c>
      <c r="BA97" s="51">
        <f t="shared" si="477"/>
        <v>0.0</v>
      </c>
      <c r="BB97" s="51">
        <f>VLOOKUP(D97,FEB23SOH,2,false)</f>
        <v>0.0</v>
      </c>
      <c r="BC97" s="99">
        <f>VLOOKUP(C97,UNITVALUE,5,false)</f>
      </c>
      <c r="BH97" s="49">
        <v>1008.0</v>
      </c>
      <c r="BI97" s="104"/>
      <c r="BJ97" s="50" t="s">
        <v>189</v>
      </c>
      <c r="BK97" s="49">
        <f t="shared" si="336"/>
        <v>0.0</v>
      </c>
      <c r="BO97" s="100"/>
      <c r="BP97" s="107"/>
      <c r="BS97" s="100"/>
      <c r="BT97" s="102"/>
      <c r="BW97" s="100"/>
      <c r="BX97" s="102"/>
      <c r="CA97" s="100"/>
      <c r="CB97" s="102"/>
      <c r="CE97" s="100"/>
      <c r="CF97" s="102"/>
      <c r="CI97" s="100"/>
      <c r="CJ97" s="102"/>
    </row>
    <row r="98" ht="14.0">
      <c r="A98" s="104" t="s">
        <v>45</v>
      </c>
      <c r="B98" s="104" t="s">
        <v>151</v>
      </c>
      <c r="C98" s="104" t="s">
        <v>158</v>
      </c>
      <c r="D98" s="125" t="s">
        <v>159</v>
      </c>
      <c r="E98" s="126">
        <v>0.0</v>
      </c>
      <c r="F98" s="126">
        <v>0.0</v>
      </c>
      <c r="G98" s="126">
        <v>0.0</v>
      </c>
      <c r="H98" s="126">
        <v>0.0</v>
      </c>
      <c r="I98" s="126">
        <v>0.0</v>
      </c>
      <c r="J98" s="49">
        <v>144.0</v>
      </c>
      <c r="K98" s="49">
        <v>0.0</v>
      </c>
      <c r="L98" s="126">
        <v>0.0</v>
      </c>
      <c r="M98" s="126">
        <v>0.0</v>
      </c>
      <c r="N98" s="126">
        <v>0.0</v>
      </c>
      <c r="O98" s="126">
        <v>0.0</v>
      </c>
      <c r="P98" s="126">
        <v>0.0</v>
      </c>
      <c r="Q98" s="126">
        <v>0.0</v>
      </c>
      <c r="R98" s="126">
        <v>0.0</v>
      </c>
      <c r="S98" s="126">
        <v>0.0</v>
      </c>
      <c r="T98" s="126">
        <v>0.0</v>
      </c>
      <c r="U98" s="126">
        <v>0.0</v>
      </c>
      <c r="V98" s="126">
        <v>0.0</v>
      </c>
      <c r="W98" s="126">
        <v>0.0</v>
      </c>
      <c r="X98" s="126">
        <v>0.0</v>
      </c>
      <c r="Y98" s="126">
        <v>0.0</v>
      </c>
      <c r="Z98" s="49">
        <v>0.0</v>
      </c>
      <c r="AA98" s="49">
        <v>0.0</v>
      </c>
      <c r="AB98" s="49">
        <v>0.0</v>
      </c>
      <c r="AC98" s="49">
        <v>0.0</v>
      </c>
      <c r="AD98" s="49">
        <v>0.0</v>
      </c>
      <c r="AE98" s="49">
        <v>0.0</v>
      </c>
      <c r="AF98" s="126">
        <v>0.0</v>
      </c>
      <c r="AG98" s="126">
        <v>0.0</v>
      </c>
      <c r="AH98" s="126">
        <v>0.0</v>
      </c>
      <c r="AI98" s="126">
        <v>0.0</v>
      </c>
      <c r="AJ98" s="126">
        <v>0.0</v>
      </c>
      <c r="AK98" s="49">
        <v>0.0</v>
      </c>
      <c r="AL98" s="49">
        <v>0.0</v>
      </c>
      <c r="AM98" s="49">
        <v>0.0</v>
      </c>
      <c r="AN98" s="49">
        <v>0.0</v>
      </c>
      <c r="AO98" s="49">
        <v>0.0</v>
      </c>
      <c r="AP98" s="49">
        <v>0.0</v>
      </c>
      <c r="AQ98" s="49">
        <v>0.0</v>
      </c>
      <c r="AR98" s="98">
        <f t="shared" si="329"/>
        <v>0.0</v>
      </c>
      <c r="AS98" s="98">
        <f t="shared" si="330"/>
        <v>0.0</v>
      </c>
      <c r="AT98" s="98">
        <f t="shared" si="331"/>
        <v>0.0</v>
      </c>
      <c r="AU98" s="104">
        <f t="shared" si="520"/>
        <v>0.0</v>
      </c>
      <c r="AV98" s="104">
        <f t="shared" si="521"/>
        <v>0.0</v>
      </c>
      <c r="AW98" s="104">
        <f t="shared" si="522"/>
        <v>0.0</v>
      </c>
      <c r="AX98" s="104">
        <f t="shared" si="523"/>
        <v>0.0</v>
      </c>
      <c r="AY98" s="104">
        <f t="shared" si="524"/>
        <v>0.0</v>
      </c>
      <c r="AZ98" s="104">
        <f t="shared" si="525"/>
        <v>0.0</v>
      </c>
      <c r="BA98" s="51">
        <f t="shared" si="477"/>
        <v>0.0</v>
      </c>
      <c r="BB98" s="51">
        <f>VLOOKUP(D98,FEB23SOH,2,false)</f>
        <v>0.0</v>
      </c>
      <c r="BC98" s="99">
        <f>VLOOKUP(C98,UNITVALUE,5,false)</f>
      </c>
      <c r="BH98" s="49">
        <v>1008.0</v>
      </c>
      <c r="BI98" s="104"/>
      <c r="BJ98" s="50" t="s">
        <v>189</v>
      </c>
      <c r="BK98" s="49">
        <f t="shared" si="336"/>
        <v>0.0</v>
      </c>
      <c r="BO98" s="100"/>
      <c r="BP98" s="107"/>
      <c r="BS98" s="100"/>
      <c r="BT98" s="102"/>
      <c r="BW98" s="100"/>
      <c r="BX98" s="102"/>
      <c r="CA98" s="100"/>
      <c r="CB98" s="102"/>
      <c r="CE98" s="100"/>
      <c r="CF98" s="102"/>
      <c r="CI98" s="100"/>
      <c r="CJ98" s="102"/>
    </row>
    <row r="99" ht="14.0" customFormat="1" s="49">
      <c r="A99" s="104" t="s">
        <v>45</v>
      </c>
      <c r="B99" s="104" t="s">
        <v>151</v>
      </c>
      <c r="C99" s="104" t="s">
        <v>160</v>
      </c>
      <c r="D99" s="125" t="s">
        <v>161</v>
      </c>
      <c r="E99" s="49">
        <v>0.0</v>
      </c>
      <c r="F99" s="49">
        <v>0.0</v>
      </c>
      <c r="G99" s="49">
        <v>0.0</v>
      </c>
      <c r="H99" s="49">
        <v>0.0</v>
      </c>
      <c r="I99" s="49">
        <v>0.0</v>
      </c>
      <c r="J99" s="49">
        <v>144.0</v>
      </c>
      <c r="K99" s="49">
        <v>0.0</v>
      </c>
      <c r="L99" s="49">
        <v>0.0</v>
      </c>
      <c r="M99" s="49">
        <v>0.0</v>
      </c>
      <c r="N99" s="49">
        <v>0.0</v>
      </c>
      <c r="O99" s="49">
        <v>0.0</v>
      </c>
      <c r="P99" s="49">
        <v>0.0</v>
      </c>
      <c r="Q99" s="49">
        <v>0.0</v>
      </c>
      <c r="R99" s="49">
        <v>0.0</v>
      </c>
      <c r="S99" s="49">
        <v>0.0</v>
      </c>
      <c r="T99" s="49">
        <v>0.0</v>
      </c>
      <c r="U99" s="49">
        <v>0.0</v>
      </c>
      <c r="V99" s="49">
        <v>0.0</v>
      </c>
      <c r="W99" s="49">
        <v>0.0</v>
      </c>
      <c r="X99" s="49">
        <v>47.0</v>
      </c>
      <c r="Y99" s="49">
        <v>-1.0</v>
      </c>
      <c r="Z99" s="49">
        <v>0.0</v>
      </c>
      <c r="AA99" s="49">
        <v>16.0</v>
      </c>
      <c r="AB99" s="49">
        <v>16.0</v>
      </c>
      <c r="AC99" s="49">
        <v>0.0</v>
      </c>
      <c r="AD99" s="49">
        <v>0.0</v>
      </c>
      <c r="AE99" s="49">
        <v>0.0</v>
      </c>
      <c r="AF99" s="49">
        <v>0.0</v>
      </c>
      <c r="AG99" s="49">
        <v>0.0</v>
      </c>
      <c r="AH99" s="49">
        <v>0.0</v>
      </c>
      <c r="AI99" s="49">
        <v>0.0</v>
      </c>
      <c r="AJ99" s="49">
        <v>0.0</v>
      </c>
      <c r="AK99" s="49">
        <v>0.0</v>
      </c>
      <c r="AL99" s="49">
        <v>0.0</v>
      </c>
      <c r="AM99" s="49">
        <v>0.0</v>
      </c>
      <c r="AN99" s="49">
        <v>0.0</v>
      </c>
      <c r="AO99" s="49">
        <v>0.0</v>
      </c>
      <c r="AP99" s="49">
        <v>0.0</v>
      </c>
      <c r="AQ99" s="49">
        <v>0.0</v>
      </c>
      <c r="AR99" s="98">
        <f t="shared" si="329"/>
        <v>0.0</v>
      </c>
      <c r="AS99" s="98">
        <f t="shared" si="330"/>
        <v>0.0</v>
      </c>
      <c r="AT99" s="98">
        <f t="shared" si="331"/>
        <v>0.0</v>
      </c>
      <c r="AU99" s="104">
        <f t="shared" si="520"/>
        <v>0.0</v>
      </c>
      <c r="AV99" s="104">
        <f t="shared" si="521"/>
        <v>0.0</v>
      </c>
      <c r="AW99" s="104">
        <f t="shared" si="522"/>
        <v>0.0</v>
      </c>
      <c r="AX99" s="104">
        <f t="shared" si="523"/>
        <v>0.0</v>
      </c>
      <c r="AY99" s="104">
        <f t="shared" si="524"/>
        <v>0.0</v>
      </c>
      <c r="AZ99" s="104">
        <f t="shared" si="525"/>
        <v>0.0</v>
      </c>
      <c r="BA99" s="51">
        <f t="shared" si="477"/>
        <v>0.0</v>
      </c>
      <c r="BB99" s="51">
        <f>VLOOKUP(D99,FEB23SOH,2,false)</f>
        <v>0.0</v>
      </c>
      <c r="BC99" s="99">
        <f>VLOOKUP(C99,UNITVALUE,5,false)</f>
      </c>
      <c r="BD99" s="53"/>
      <c r="BH99" s="49">
        <v>1008.0</v>
      </c>
      <c r="BI99" s="104"/>
      <c r="BJ99" s="50" t="s">
        <v>189</v>
      </c>
      <c r="BK99" s="49">
        <f t="shared" si="336"/>
        <v>0.0</v>
      </c>
      <c r="BO99" s="100"/>
      <c r="BP99" s="107"/>
      <c r="BS99" s="100"/>
      <c r="BT99" s="102"/>
      <c r="BW99" s="100"/>
      <c r="BX99" s="102"/>
      <c r="CA99" s="100"/>
      <c r="CB99" s="102"/>
      <c r="CE99" s="100"/>
      <c r="CF99" s="102"/>
      <c r="CI99" s="100"/>
      <c r="CJ99" s="102"/>
    </row>
    <row r="100" ht="14.0" customFormat="1" s="49">
      <c r="A100" s="104" t="s">
        <v>45</v>
      </c>
      <c r="B100" s="104" t="s">
        <v>151</v>
      </c>
      <c r="C100" s="104" t="s">
        <v>164</v>
      </c>
      <c r="D100" s="125" t="s">
        <v>165</v>
      </c>
      <c r="E100" s="49">
        <v>0.0</v>
      </c>
      <c r="F100" s="49">
        <v>0.0</v>
      </c>
      <c r="G100" s="49">
        <v>0.0</v>
      </c>
      <c r="H100" s="49">
        <v>0.0</v>
      </c>
      <c r="I100" s="49">
        <v>0.0</v>
      </c>
      <c r="J100" s="49">
        <v>0.0</v>
      </c>
      <c r="K100" s="49">
        <v>0.0</v>
      </c>
      <c r="L100" s="49">
        <v>0.0</v>
      </c>
      <c r="M100" s="49">
        <v>0.0</v>
      </c>
      <c r="N100" s="49">
        <v>0.0</v>
      </c>
      <c r="O100" s="49">
        <v>0.0</v>
      </c>
      <c r="P100" s="49">
        <v>0.0</v>
      </c>
      <c r="Q100" s="49">
        <v>0.0</v>
      </c>
      <c r="R100" s="49">
        <v>0.0</v>
      </c>
      <c r="S100" s="49">
        <v>0.0</v>
      </c>
      <c r="T100" s="49">
        <v>0.0</v>
      </c>
      <c r="U100" s="49">
        <v>0.0</v>
      </c>
      <c r="V100" s="49">
        <v>0.0</v>
      </c>
      <c r="W100" s="49">
        <v>0.0</v>
      </c>
      <c r="X100" s="49">
        <v>0.0</v>
      </c>
      <c r="Y100" s="49">
        <v>1.0</v>
      </c>
      <c r="Z100" s="49">
        <v>224.0</v>
      </c>
      <c r="AA100" s="49">
        <v>0.0</v>
      </c>
      <c r="AB100" s="49">
        <v>0.0</v>
      </c>
      <c r="AC100" s="49">
        <v>0.0</v>
      </c>
      <c r="AD100" s="49">
        <v>0.0</v>
      </c>
      <c r="AE100" s="49">
        <v>0.0</v>
      </c>
      <c r="AF100" s="49">
        <v>0.0</v>
      </c>
      <c r="AG100" s="49">
        <v>0.0</v>
      </c>
      <c r="AH100" s="49">
        <v>0.0</v>
      </c>
      <c r="AI100" s="49">
        <v>0.0</v>
      </c>
      <c r="AJ100" s="49">
        <v>0.0</v>
      </c>
      <c r="AK100" s="49">
        <v>0.0</v>
      </c>
      <c r="AL100" s="49">
        <v>0.0</v>
      </c>
      <c r="AM100" s="49">
        <v>0.0</v>
      </c>
      <c r="AN100" s="49">
        <v>0.0</v>
      </c>
      <c r="AO100" s="49">
        <v>0.0</v>
      </c>
      <c r="AP100" s="49">
        <v>0.0</v>
      </c>
      <c r="AQ100" s="49">
        <v>0.0</v>
      </c>
      <c r="AR100" s="98">
        <f t="shared" si="329"/>
        <v>0.0</v>
      </c>
      <c r="AS100" s="98">
        <f t="shared" si="330"/>
        <v>0.0</v>
      </c>
      <c r="AT100" s="98">
        <f t="shared" si="331"/>
        <v>0.0</v>
      </c>
      <c r="AU100" s="104">
        <f t="shared" si="520"/>
        <v>0.0</v>
      </c>
      <c r="AV100" s="104">
        <f t="shared" si="521"/>
        <v>0.0</v>
      </c>
      <c r="AW100" s="104">
        <f t="shared" si="522"/>
        <v>0.0</v>
      </c>
      <c r="AX100" s="104">
        <f t="shared" si="523"/>
        <v>0.0</v>
      </c>
      <c r="AY100" s="104">
        <f t="shared" si="524"/>
        <v>0.0</v>
      </c>
      <c r="AZ100" s="104">
        <f t="shared" si="525"/>
        <v>0.0</v>
      </c>
      <c r="BA100" s="51">
        <f t="shared" si="477"/>
        <v>0.0</v>
      </c>
      <c r="BB100" s="51">
        <f>VLOOKUP(D100,FEB23SOH,2,false)</f>
        <v>102.0</v>
      </c>
      <c r="BC100" s="99">
        <f>VLOOKUP(C100,UNITVALUE,5,false)</f>
        <v>7.2006</v>
      </c>
      <c r="BD100" s="53">
        <f t="shared" ref="BD100:BD104" si="526">BC100*BB100</f>
        <v>734.4612</v>
      </c>
      <c r="BH100" s="49">
        <v>1008.0</v>
      </c>
      <c r="BI100" s="104"/>
      <c r="BJ100" s="50" t="s">
        <v>189</v>
      </c>
      <c r="BK100" s="49">
        <f t="shared" si="336"/>
        <v>102.0</v>
      </c>
      <c r="BO100" s="100"/>
      <c r="BP100" s="107"/>
      <c r="BS100" s="100"/>
      <c r="BT100" s="102"/>
      <c r="BW100" s="100"/>
      <c r="BX100" s="102"/>
      <c r="CA100" s="100"/>
      <c r="CB100" s="102"/>
      <c r="CE100" s="100"/>
      <c r="CF100" s="102"/>
      <c r="CI100" s="100"/>
      <c r="CJ100" s="102"/>
    </row>
    <row r="101" ht="14.0" customFormat="1" s="49">
      <c r="A101" s="49" t="s">
        <v>214</v>
      </c>
      <c r="B101" s="49" t="s">
        <v>170</v>
      </c>
      <c r="C101" s="49" t="s">
        <v>177</v>
      </c>
      <c r="D101" s="50" t="s">
        <v>178</v>
      </c>
      <c r="E101" s="49">
        <v>72.0</v>
      </c>
      <c r="F101" s="49">
        <v>48.0</v>
      </c>
      <c r="G101" s="49">
        <v>48.0</v>
      </c>
      <c r="H101" s="49">
        <v>24.0</v>
      </c>
      <c r="I101" s="49">
        <v>240.0</v>
      </c>
      <c r="J101" s="49">
        <v>48.0</v>
      </c>
      <c r="K101" s="49">
        <v>24.0</v>
      </c>
      <c r="L101" s="49">
        <v>24.0</v>
      </c>
      <c r="M101" s="49">
        <v>24.0</v>
      </c>
      <c r="N101" s="49">
        <v>48.0</v>
      </c>
      <c r="O101" s="49">
        <v>24.0</v>
      </c>
      <c r="P101" s="49">
        <v>0.0</v>
      </c>
      <c r="Q101" s="49">
        <v>72.0</v>
      </c>
      <c r="R101" s="49">
        <v>48.0</v>
      </c>
      <c r="S101" s="49">
        <v>72.0</v>
      </c>
      <c r="T101" s="49">
        <v>240.0</v>
      </c>
      <c r="U101" s="49">
        <v>0.0</v>
      </c>
      <c r="V101" s="49">
        <v>24.0</v>
      </c>
      <c r="W101" s="49">
        <v>0.0</v>
      </c>
      <c r="X101" s="49">
        <v>48.0</v>
      </c>
      <c r="Y101" s="49">
        <v>24.0</v>
      </c>
      <c r="Z101" s="49">
        <v>72.0</v>
      </c>
      <c r="AA101" s="49">
        <v>24.0</v>
      </c>
      <c r="AB101" s="49">
        <v>48.0</v>
      </c>
      <c r="AC101" s="49">
        <v>120.0</v>
      </c>
      <c r="AD101" s="49">
        <v>120.0</v>
      </c>
      <c r="AE101" s="49">
        <v>72.0</v>
      </c>
      <c r="AF101" s="49">
        <v>0.0</v>
      </c>
      <c r="AG101" s="49">
        <v>264.0</v>
      </c>
      <c r="AH101" s="49">
        <v>100.0</v>
      </c>
      <c r="AI101" s="49">
        <v>48.0</v>
      </c>
      <c r="AJ101" s="49">
        <v>48.0</v>
      </c>
      <c r="AK101" s="49">
        <v>0.0</v>
      </c>
      <c r="AL101" s="128">
        <f t="shared" ref="AL101:AL104" si="527">Z101</f>
        <v>72.0</v>
      </c>
      <c r="AM101" s="49">
        <v>120.0</v>
      </c>
      <c r="AN101" s="49">
        <v>48.0</v>
      </c>
      <c r="AO101" s="49">
        <v>144.0</v>
      </c>
      <c r="AP101" s="49">
        <v>96.0</v>
      </c>
      <c r="AQ101" s="49">
        <v>58.0</v>
      </c>
      <c r="AR101" s="98">
        <f t="shared" si="329"/>
        <v>998.0</v>
      </c>
      <c r="AS101" s="98">
        <f t="shared" si="330"/>
        <v>460.0</v>
      </c>
      <c r="AT101" s="98">
        <f t="shared" si="331"/>
        <v>506.0</v>
      </c>
      <c r="AU101" s="100">
        <f t="shared" ref="AU101:AU104" si="528">AF101*1.1</f>
        <v>0.0</v>
      </c>
      <c r="AV101" s="103">
        <v>384.0</v>
      </c>
      <c r="AW101" s="100">
        <f t="shared" ref="AW101:AW104" si="529">AH101*1.1</f>
        <v>110.0</v>
      </c>
      <c r="AX101" s="100">
        <f t="shared" ref="AX101:AX104" si="530">AI101*1.1</f>
        <v>52.8</v>
      </c>
      <c r="AY101" s="100">
        <f t="shared" ref="AY101:AY104" si="531">AJ101*1.1</f>
        <v>52.8</v>
      </c>
      <c r="AZ101" s="100">
        <f t="shared" ref="AZ101:AZ104" si="532">AK101*1.1</f>
        <v>0.0</v>
      </c>
      <c r="BA101" s="98">
        <f t="shared" si="477"/>
        <v>599.6</v>
      </c>
      <c r="BB101" s="51">
        <f>VLOOKUP(D101,FEB23SOH,2,false)</f>
        <v>948.0</v>
      </c>
      <c r="BC101" s="99">
        <f>VLOOKUP(C101,UNITVALUE,5,false)</f>
        <v>6.3287</v>
      </c>
      <c r="BD101" s="53">
        <f t="shared" si="526"/>
        <v>5999.6076</v>
      </c>
      <c r="BH101" s="49">
        <v>180.0</v>
      </c>
      <c r="BI101" s="51"/>
      <c r="BJ101" s="50"/>
      <c r="BK101" s="49">
        <f t="shared" si="336"/>
        <v>948.0</v>
      </c>
      <c r="BM101" s="49">
        <f t="shared" ref="BM101:BM104" si="533">AU101</f>
        <v>0.0</v>
      </c>
      <c r="BN101" s="49">
        <f t="shared" ref="BN101:BN104" si="534">BE101</f>
      </c>
      <c r="BO101" s="100">
        <f t="shared" ref="BO101:BO104" si="535">BK101+BN101-BM101+BL101</f>
        <v>948.0</v>
      </c>
      <c r="BP101" s="101">
        <f t="shared" ref="BP101:BP104" si="536">BO101*BC101</f>
        <v>5999.6076</v>
      </c>
      <c r="BQ101" s="49">
        <f t="shared" ref="BQ101:BQ104" si="537">AV101</f>
        <v>384.0</v>
      </c>
      <c r="BR101" s="49">
        <f t="shared" ref="BR101:BR104" si="538">BF101</f>
      </c>
      <c r="BS101" s="100">
        <f t="shared" ref="BS101:BS104" si="539">BO101+BR101-BQ101</f>
        <v>564.0</v>
      </c>
      <c r="BT101" s="102">
        <f t="shared" ref="BT101:BT104" si="540">BS101*1.45</f>
        <v>817.8</v>
      </c>
      <c r="BU101" s="49">
        <f t="shared" ref="BU101:BU104" si="541">AW101</f>
        <v>110.0</v>
      </c>
      <c r="BW101" s="100">
        <f t="shared" ref="BW101:BW104" si="542">BS101+BV101-BU101</f>
        <v>454.0</v>
      </c>
      <c r="BX101" s="102">
        <f t="shared" ref="BX101:BX104" si="543">BW101*1.45</f>
        <v>658.3</v>
      </c>
      <c r="BY101" s="49">
        <f t="shared" ref="BY101:BY104" si="544">AX101</f>
        <v>52.8</v>
      </c>
      <c r="CA101" s="100">
        <f t="shared" ref="CA101:CA104" si="545">BW101+BZ101-BY101</f>
        <v>401.2</v>
      </c>
      <c r="CB101" s="102">
        <f t="shared" ref="CB101:CB104" si="546">CA101*1.45</f>
        <v>581.74</v>
      </c>
      <c r="CC101" s="49">
        <f t="shared" ref="CC101:CC104" si="547">AY101</f>
        <v>52.8</v>
      </c>
      <c r="CE101" s="100">
        <f t="shared" ref="CE101:CE104" si="548">CA101+CD101-CC101</f>
        <v>348.4</v>
      </c>
      <c r="CF101" s="102">
        <f t="shared" ref="CF101:CF104" si="549">CE101*1.45</f>
        <v>505.18</v>
      </c>
      <c r="CG101" s="49">
        <f t="shared" ref="CG101:CG104" si="550">AZ101</f>
        <v>0.0</v>
      </c>
      <c r="CI101" s="100">
        <f t="shared" ref="CI101:CI104" si="551">CE101+CH101-CG101</f>
        <v>348.4</v>
      </c>
      <c r="CJ101" s="102">
        <f t="shared" ref="CJ101:CJ104" si="552">CI101*1.45</f>
        <v>505.18</v>
      </c>
    </row>
    <row r="102" ht="14.0" customFormat="1" s="49">
      <c r="A102" s="49" t="s">
        <v>214</v>
      </c>
      <c r="B102" s="49" t="s">
        <v>170</v>
      </c>
      <c r="C102" s="49" t="s">
        <v>175</v>
      </c>
      <c r="D102" s="50" t="s">
        <v>176</v>
      </c>
      <c r="E102" s="49">
        <v>96.0</v>
      </c>
      <c r="F102" s="49">
        <v>24.0</v>
      </c>
      <c r="G102" s="49">
        <v>48.0</v>
      </c>
      <c r="H102" s="49">
        <v>24.0</v>
      </c>
      <c r="I102" s="49">
        <v>216.0</v>
      </c>
      <c r="J102" s="49">
        <v>24.0</v>
      </c>
      <c r="K102" s="126">
        <v>24.0</v>
      </c>
      <c r="L102" s="126">
        <v>24.0</v>
      </c>
      <c r="M102" s="126">
        <v>24.0</v>
      </c>
      <c r="N102" s="126">
        <v>24.0</v>
      </c>
      <c r="O102" s="126">
        <v>24.0</v>
      </c>
      <c r="P102" s="126">
        <v>24.0</v>
      </c>
      <c r="Q102" s="49">
        <v>96.0</v>
      </c>
      <c r="R102" s="49">
        <v>48.0</v>
      </c>
      <c r="S102" s="49">
        <v>24.0</v>
      </c>
      <c r="T102" s="49">
        <v>240.0</v>
      </c>
      <c r="U102" s="49">
        <v>0.0</v>
      </c>
      <c r="V102" s="126">
        <v>0.0</v>
      </c>
      <c r="W102" s="49">
        <v>24.0</v>
      </c>
      <c r="X102" s="49">
        <v>0.0</v>
      </c>
      <c r="Y102" s="49">
        <v>48.0</v>
      </c>
      <c r="Z102" s="49">
        <v>24.0</v>
      </c>
      <c r="AA102" s="49">
        <v>24.0</v>
      </c>
      <c r="AB102" s="49">
        <v>24.0</v>
      </c>
      <c r="AC102" s="49">
        <v>72.0</v>
      </c>
      <c r="AD102" s="49">
        <v>144.0</v>
      </c>
      <c r="AE102" s="49">
        <v>12.0</v>
      </c>
      <c r="AF102" s="49">
        <v>24.0</v>
      </c>
      <c r="AG102" s="49">
        <v>216.0</v>
      </c>
      <c r="AH102" s="49">
        <v>24.0</v>
      </c>
      <c r="AI102" s="49">
        <v>0.0</v>
      </c>
      <c r="AJ102" s="49">
        <v>24.0</v>
      </c>
      <c r="AK102" s="49">
        <v>96.0</v>
      </c>
      <c r="AL102" s="128">
        <f t="shared" si="527"/>
        <v>24.0</v>
      </c>
      <c r="AM102" s="49">
        <v>0.0</v>
      </c>
      <c r="AN102" s="49">
        <v>0.0</v>
      </c>
      <c r="AO102" s="49">
        <v>120.0</v>
      </c>
      <c r="AP102" s="49">
        <v>0.0</v>
      </c>
      <c r="AQ102" s="49">
        <v>0.0</v>
      </c>
      <c r="AR102" s="98">
        <f t="shared" si="329"/>
        <v>528.0</v>
      </c>
      <c r="AS102" s="98">
        <f t="shared" si="330"/>
        <v>384.0</v>
      </c>
      <c r="AT102" s="98">
        <f t="shared" si="331"/>
        <v>422.4</v>
      </c>
      <c r="AU102" s="100">
        <f t="shared" si="528"/>
        <v>26.4</v>
      </c>
      <c r="AV102" s="103">
        <v>216.0</v>
      </c>
      <c r="AW102" s="100">
        <f t="shared" si="529"/>
        <v>26.4</v>
      </c>
      <c r="AX102" s="100">
        <f t="shared" si="530"/>
        <v>0.0</v>
      </c>
      <c r="AY102" s="100">
        <f t="shared" si="531"/>
        <v>26.4</v>
      </c>
      <c r="AZ102" s="100">
        <f t="shared" si="532"/>
        <v>105.6</v>
      </c>
      <c r="BA102" s="98">
        <f t="shared" si="477"/>
        <v>400.8</v>
      </c>
      <c r="BB102" s="51">
        <f>VLOOKUP(D102,FEB23SOH,2,false)</f>
        <v>800.0</v>
      </c>
      <c r="BC102" s="99">
        <f>VLOOKUP(C102,UNITVALUE,5,false)</f>
        <v>6.3043</v>
      </c>
      <c r="BD102" s="53">
        <f t="shared" si="526"/>
        <v>5043.44</v>
      </c>
      <c r="BH102" s="49">
        <v>180.0</v>
      </c>
      <c r="BI102" s="51"/>
      <c r="BJ102" s="50"/>
      <c r="BK102" s="49">
        <f t="shared" si="336"/>
        <v>800.0</v>
      </c>
      <c r="BM102" s="49">
        <f t="shared" si="533"/>
        <v>26.4</v>
      </c>
      <c r="BN102" s="49">
        <f t="shared" si="534"/>
      </c>
      <c r="BO102" s="100">
        <f t="shared" si="535"/>
        <v>773.6</v>
      </c>
      <c r="BP102" s="101">
        <f t="shared" si="536"/>
        <v>4877.00648</v>
      </c>
      <c r="BQ102" s="49">
        <f t="shared" si="537"/>
        <v>216.0</v>
      </c>
      <c r="BR102" s="49">
        <f t="shared" si="538"/>
      </c>
      <c r="BS102" s="100">
        <f t="shared" si="539"/>
        <v>557.6</v>
      </c>
      <c r="BT102" s="102">
        <f t="shared" si="540"/>
        <v>808.52</v>
      </c>
      <c r="BU102" s="49">
        <f t="shared" si="541"/>
        <v>26.4</v>
      </c>
      <c r="BW102" s="100">
        <f t="shared" si="542"/>
        <v>531.2</v>
      </c>
      <c r="BX102" s="102">
        <f t="shared" si="543"/>
        <v>770.24</v>
      </c>
      <c r="BY102" s="49">
        <f t="shared" si="544"/>
        <v>0.0</v>
      </c>
      <c r="CA102" s="100">
        <f t="shared" si="545"/>
        <v>531.2</v>
      </c>
      <c r="CB102" s="102">
        <f t="shared" si="546"/>
        <v>770.24</v>
      </c>
      <c r="CC102" s="49">
        <f t="shared" si="547"/>
        <v>26.4</v>
      </c>
      <c r="CE102" s="100">
        <f t="shared" si="548"/>
        <v>504.8</v>
      </c>
      <c r="CF102" s="102">
        <f t="shared" si="549"/>
        <v>731.96</v>
      </c>
      <c r="CG102" s="49">
        <f t="shared" si="550"/>
        <v>105.6</v>
      </c>
      <c r="CI102" s="100">
        <f t="shared" si="551"/>
        <v>399.2</v>
      </c>
      <c r="CJ102" s="102">
        <f t="shared" si="552"/>
        <v>578.84</v>
      </c>
    </row>
    <row r="103" ht="14.0">
      <c r="A103" s="49" t="s">
        <v>214</v>
      </c>
      <c r="B103" s="49" t="s">
        <v>170</v>
      </c>
      <c r="C103" s="49" t="s">
        <v>171</v>
      </c>
      <c r="D103" s="50" t="s">
        <v>172</v>
      </c>
      <c r="E103" s="126">
        <v>24.0</v>
      </c>
      <c r="F103" s="49">
        <v>48.0</v>
      </c>
      <c r="G103" s="49">
        <v>24.0</v>
      </c>
      <c r="H103" s="49">
        <v>0.0</v>
      </c>
      <c r="I103" s="49">
        <v>24.0</v>
      </c>
      <c r="J103" s="126">
        <v>24.0</v>
      </c>
      <c r="K103" s="126">
        <v>24.0</v>
      </c>
      <c r="L103" s="49">
        <v>192.0</v>
      </c>
      <c r="M103" s="49">
        <v>0.0</v>
      </c>
      <c r="N103" s="49">
        <v>48.0</v>
      </c>
      <c r="O103" s="49">
        <v>0.0</v>
      </c>
      <c r="P103" s="49">
        <v>24.0</v>
      </c>
      <c r="Q103" s="126">
        <v>24.0</v>
      </c>
      <c r="R103" s="126">
        <v>24.0</v>
      </c>
      <c r="S103" s="126">
        <v>24.0</v>
      </c>
      <c r="T103" s="49">
        <v>0.0</v>
      </c>
      <c r="U103" s="49">
        <v>24.0</v>
      </c>
      <c r="V103" s="126">
        <v>24.0</v>
      </c>
      <c r="W103" s="49">
        <v>0.0</v>
      </c>
      <c r="X103" s="49">
        <v>24.0</v>
      </c>
      <c r="Y103" s="49">
        <v>168.0</v>
      </c>
      <c r="Z103" s="49">
        <v>120.0</v>
      </c>
      <c r="AA103" s="49">
        <v>24.0</v>
      </c>
      <c r="AB103" s="49">
        <v>48.0</v>
      </c>
      <c r="AC103" s="49">
        <v>72.0</v>
      </c>
      <c r="AD103" s="49">
        <v>144.0</v>
      </c>
      <c r="AE103" s="49">
        <v>24.0</v>
      </c>
      <c r="AF103" s="126">
        <v>24.0</v>
      </c>
      <c r="AG103" s="126">
        <v>24.0</v>
      </c>
      <c r="AH103" s="49">
        <v>72.0</v>
      </c>
      <c r="AI103" s="49">
        <v>24.0</v>
      </c>
      <c r="AJ103" s="49">
        <v>48.0</v>
      </c>
      <c r="AK103" s="129">
        <v>384.0</v>
      </c>
      <c r="AL103" s="128">
        <f t="shared" si="527"/>
        <v>120.0</v>
      </c>
      <c r="AM103" s="49">
        <v>0.0</v>
      </c>
      <c r="AN103" s="49">
        <v>0.0</v>
      </c>
      <c r="AO103" s="49">
        <v>120.0</v>
      </c>
      <c r="AP103" s="49">
        <v>0.0</v>
      </c>
      <c r="AQ103" s="49">
        <v>0.0</v>
      </c>
      <c r="AR103" s="98">
        <f t="shared" si="329"/>
        <v>816.0</v>
      </c>
      <c r="AS103" s="98">
        <f t="shared" si="330"/>
        <v>576.0</v>
      </c>
      <c r="AT103" s="98">
        <f t="shared" si="331"/>
        <v>633.6</v>
      </c>
      <c r="AU103" s="100">
        <f t="shared" si="528"/>
        <v>26.4</v>
      </c>
      <c r="AV103" s="100">
        <f t="shared" ref="AV103:AV104" si="553">AG103*1.1</f>
        <v>26.4</v>
      </c>
      <c r="AW103" s="100">
        <f t="shared" si="529"/>
        <v>79.2</v>
      </c>
      <c r="AX103" s="100">
        <f t="shared" si="530"/>
        <v>26.4</v>
      </c>
      <c r="AY103" s="100">
        <f t="shared" si="531"/>
        <v>52.8</v>
      </c>
      <c r="AZ103" s="130">
        <f t="shared" si="532"/>
        <v>422.4</v>
      </c>
      <c r="BA103" s="98">
        <f t="shared" si="477"/>
        <v>633.6</v>
      </c>
      <c r="BB103" s="51">
        <f>VLOOKUP(D103,FEB23SOH,2,false)</f>
        <v>713.0</v>
      </c>
      <c r="BC103" s="99">
        <f>VLOOKUP(C103,UNITVALUE,5,false)</f>
        <v>6.4454</v>
      </c>
      <c r="BD103" s="53">
        <f t="shared" si="526"/>
        <v>4595.5702</v>
      </c>
      <c r="BH103" s="49">
        <v>180.0</v>
      </c>
      <c r="BI103" s="51"/>
      <c r="BJ103" s="50"/>
      <c r="BK103" s="49">
        <f t="shared" si="336"/>
        <v>713.0</v>
      </c>
      <c r="BM103" s="49">
        <f t="shared" si="533"/>
        <v>26.4</v>
      </c>
      <c r="BN103" s="49">
        <f t="shared" si="534"/>
      </c>
      <c r="BO103" s="100">
        <f t="shared" si="535"/>
        <v>686.6</v>
      </c>
      <c r="BP103" s="101">
        <f t="shared" si="536"/>
        <v>4425.41164</v>
      </c>
      <c r="BQ103" s="49">
        <f t="shared" si="537"/>
        <v>26.4</v>
      </c>
      <c r="BR103" s="49">
        <f t="shared" si="538"/>
      </c>
      <c r="BS103" s="100">
        <f t="shared" si="539"/>
        <v>660.2</v>
      </c>
      <c r="BT103" s="102">
        <f t="shared" si="540"/>
        <v>957.29</v>
      </c>
      <c r="BU103" s="49">
        <f t="shared" si="541"/>
        <v>79.2</v>
      </c>
      <c r="BW103" s="100">
        <f t="shared" si="542"/>
        <v>581.0</v>
      </c>
      <c r="BX103" s="102">
        <f t="shared" si="543"/>
        <v>842.45</v>
      </c>
      <c r="BY103" s="49">
        <f t="shared" si="544"/>
        <v>26.4</v>
      </c>
      <c r="CA103" s="100">
        <f t="shared" si="545"/>
        <v>554.6</v>
      </c>
      <c r="CB103" s="102">
        <f t="shared" si="546"/>
        <v>804.17</v>
      </c>
      <c r="CC103" s="49">
        <f t="shared" si="547"/>
        <v>52.8</v>
      </c>
      <c r="CE103" s="100">
        <f t="shared" si="548"/>
        <v>501.8</v>
      </c>
      <c r="CF103" s="102">
        <f t="shared" si="549"/>
        <v>727.61</v>
      </c>
      <c r="CG103" s="49">
        <f t="shared" si="550"/>
        <v>422.4</v>
      </c>
      <c r="CI103" s="100">
        <f t="shared" si="551"/>
        <v>79.4</v>
      </c>
      <c r="CJ103" s="102">
        <f t="shared" si="552"/>
        <v>115.13</v>
      </c>
    </row>
    <row r="104" ht="14.0" customFormat="1" s="49">
      <c r="A104" s="49" t="s">
        <v>214</v>
      </c>
      <c r="B104" s="49" t="s">
        <v>170</v>
      </c>
      <c r="C104" s="49" t="s">
        <v>173</v>
      </c>
      <c r="D104" s="50" t="s">
        <v>174</v>
      </c>
      <c r="E104" s="49">
        <v>72.0</v>
      </c>
      <c r="F104" s="49">
        <v>24.0</v>
      </c>
      <c r="G104" s="126">
        <v>24.0</v>
      </c>
      <c r="H104" s="126">
        <v>24.0</v>
      </c>
      <c r="I104" s="126">
        <v>24.0</v>
      </c>
      <c r="J104" s="126">
        <v>24.0</v>
      </c>
      <c r="K104" s="126">
        <v>24.0</v>
      </c>
      <c r="L104" s="49">
        <v>192.0</v>
      </c>
      <c r="M104" s="49">
        <v>0.0</v>
      </c>
      <c r="N104" s="49">
        <v>24.0</v>
      </c>
      <c r="O104" s="49">
        <v>0.0</v>
      </c>
      <c r="P104" s="49">
        <v>24.0</v>
      </c>
      <c r="Q104" s="126">
        <v>24.0</v>
      </c>
      <c r="R104" s="49">
        <v>48.0</v>
      </c>
      <c r="S104" s="49">
        <v>24.0</v>
      </c>
      <c r="T104" s="49">
        <v>0.0</v>
      </c>
      <c r="U104" s="49">
        <v>24.0</v>
      </c>
      <c r="V104" s="126">
        <v>24.0</v>
      </c>
      <c r="W104" s="126">
        <v>24.0</v>
      </c>
      <c r="X104" s="49">
        <v>0.0</v>
      </c>
      <c r="Y104" s="49">
        <v>120.0</v>
      </c>
      <c r="Z104" s="49">
        <v>48.0</v>
      </c>
      <c r="AA104" s="49">
        <v>24.0</v>
      </c>
      <c r="AB104" s="49">
        <v>24.0</v>
      </c>
      <c r="AC104" s="49">
        <v>48.0</v>
      </c>
      <c r="AD104" s="49">
        <v>96.0</v>
      </c>
      <c r="AE104" s="49">
        <v>0.0</v>
      </c>
      <c r="AF104" s="49">
        <v>24.0</v>
      </c>
      <c r="AG104" s="49">
        <v>0.0</v>
      </c>
      <c r="AH104" s="49">
        <v>48.0</v>
      </c>
      <c r="AI104" s="49">
        <v>24.0</v>
      </c>
      <c r="AJ104" s="126">
        <v>24.0</v>
      </c>
      <c r="AK104" s="129">
        <v>240.0</v>
      </c>
      <c r="AL104" s="128">
        <f t="shared" si="527"/>
        <v>48.0</v>
      </c>
      <c r="AM104" s="49">
        <v>0.0</v>
      </c>
      <c r="AN104" s="49">
        <v>0.0</v>
      </c>
      <c r="AO104" s="49">
        <v>144.0</v>
      </c>
      <c r="AP104" s="49">
        <v>0.0</v>
      </c>
      <c r="AQ104" s="49">
        <v>0.0</v>
      </c>
      <c r="AR104" s="98">
        <f t="shared" si="329"/>
        <v>552.0</v>
      </c>
      <c r="AS104" s="98">
        <f t="shared" si="330"/>
        <v>360.0</v>
      </c>
      <c r="AT104" s="98">
        <f t="shared" si="331"/>
        <v>396.0</v>
      </c>
      <c r="AU104" s="100">
        <f t="shared" si="528"/>
        <v>26.4</v>
      </c>
      <c r="AV104" s="100">
        <f t="shared" si="553"/>
        <v>0.0</v>
      </c>
      <c r="AW104" s="100">
        <f t="shared" si="529"/>
        <v>52.8</v>
      </c>
      <c r="AX104" s="100">
        <f t="shared" si="530"/>
        <v>26.4</v>
      </c>
      <c r="AY104" s="100">
        <f t="shared" si="531"/>
        <v>26.4</v>
      </c>
      <c r="AZ104" s="130">
        <f t="shared" si="532"/>
        <v>264.0</v>
      </c>
      <c r="BA104" s="98">
        <f t="shared" si="477"/>
        <v>396.0</v>
      </c>
      <c r="BB104" s="51">
        <f>VLOOKUP(D104,FEB23SOH,2,false)</f>
        <v>370.0</v>
      </c>
      <c r="BC104" s="99">
        <f>VLOOKUP(C104,UNITVALUE,5,false)</f>
        <v>6.0959</v>
      </c>
      <c r="BD104" s="53">
        <f t="shared" si="526"/>
        <v>2255.483</v>
      </c>
      <c r="BH104" s="49">
        <v>180.0</v>
      </c>
      <c r="BI104" s="51"/>
      <c r="BJ104" s="50"/>
      <c r="BK104" s="49">
        <f t="shared" si="336"/>
        <v>370.0</v>
      </c>
      <c r="BM104" s="49">
        <f t="shared" si="533"/>
        <v>26.4</v>
      </c>
      <c r="BN104" s="49">
        <f t="shared" si="534"/>
      </c>
      <c r="BO104" s="100">
        <f t="shared" si="535"/>
        <v>343.6</v>
      </c>
      <c r="BP104" s="101">
        <f t="shared" si="536"/>
        <v>2094.55124</v>
      </c>
      <c r="BQ104" s="49">
        <f t="shared" si="537"/>
        <v>0.0</v>
      </c>
      <c r="BR104" s="49">
        <f t="shared" si="538"/>
      </c>
      <c r="BS104" s="100">
        <f t="shared" si="539"/>
        <v>343.6</v>
      </c>
      <c r="BT104" s="102">
        <f t="shared" si="540"/>
        <v>498.22</v>
      </c>
      <c r="BU104" s="49">
        <f t="shared" si="541"/>
        <v>52.8</v>
      </c>
      <c r="BW104" s="100">
        <f t="shared" si="542"/>
        <v>290.8</v>
      </c>
      <c r="BX104" s="102">
        <f t="shared" si="543"/>
        <v>421.66</v>
      </c>
      <c r="BY104" s="49">
        <f t="shared" si="544"/>
        <v>26.4</v>
      </c>
      <c r="CA104" s="100">
        <f t="shared" si="545"/>
        <v>264.4</v>
      </c>
      <c r="CB104" s="102">
        <f t="shared" si="546"/>
        <v>383.38</v>
      </c>
      <c r="CC104" s="49">
        <f t="shared" si="547"/>
        <v>26.4</v>
      </c>
      <c r="CE104" s="100">
        <f t="shared" si="548"/>
        <v>238.0</v>
      </c>
      <c r="CF104" s="102">
        <f t="shared" si="549"/>
        <v>345.1</v>
      </c>
      <c r="CG104" s="49">
        <f t="shared" si="550"/>
        <v>264.0</v>
      </c>
      <c r="CI104" s="100">
        <f t="shared" si="551"/>
        <v>-26.0</v>
      </c>
      <c r="CJ104" s="102">
        <f t="shared" si="552"/>
        <v>-37.699999999998</v>
      </c>
    </row>
    <row r="105" ht="14.0" customFormat="1" s="49">
      <c r="D105" s="50"/>
      <c r="BA105" s="51"/>
      <c r="BC105" s="52"/>
      <c r="BD105" s="121">
        <f>SUM(BD76:BD104)</f>
        <v>163472.3126</v>
      </c>
      <c r="BI105" s="51"/>
      <c r="BJ105" s="50"/>
      <c r="BP105" s="54">
        <f>SUM(BP78:BP104)</f>
        <v>151604.345520772</v>
      </c>
      <c r="BT105" s="54">
        <f>SUM(BT76:BT104)</f>
        <v>70589.5316491882</v>
      </c>
      <c r="BX105" s="54">
        <f>SUM(BX76:BX104)</f>
        <v>61663.0599342531</v>
      </c>
      <c r="CB105" s="54">
        <f>SUM(CB76:CB104)</f>
        <v>56455.2263099024</v>
      </c>
      <c r="CF105" s="54">
        <f>SUM(CF76:CF104)</f>
        <v>48442.7968620128</v>
      </c>
      <c r="CJ105" s="54">
        <f>SUM(CJ76:CJ104)</f>
        <v>39297.7064956168</v>
      </c>
    </row>
    <row r="106">
      <c r="AK106" s="50"/>
      <c r="AL106" s="100"/>
      <c r="BI106" s="51"/>
      <c r="BJ106" s="50"/>
      <c r="BP106" s="60"/>
    </row>
    <row r="107">
      <c r="AK107" s="50"/>
      <c r="AL107" s="100"/>
      <c r="BI107" s="51"/>
      <c r="BJ107" s="50"/>
      <c r="BP107" s="60"/>
    </row>
    <row r="108">
      <c r="AK108" s="50"/>
      <c r="AL108" s="100"/>
      <c r="BI108" s="51"/>
      <c r="BJ108" s="50"/>
      <c r="BP108" s="60"/>
    </row>
    <row r="109">
      <c r="AK109" s="50"/>
      <c r="AL109" s="100"/>
      <c r="BI109" s="51"/>
      <c r="BJ109" s="50"/>
      <c r="BP109" s="60"/>
    </row>
    <row r="110">
      <c r="BI110" s="51"/>
      <c r="BJ110" s="50"/>
      <c r="BP110" s="60"/>
    </row>
    <row r="262105">
      <c r="BI262105" s="51"/>
      <c r="BJ262105" s="50"/>
      <c r="BP262105" s="60"/>
    </row>
    <row r="262106">
      <c r="BI262106" s="51"/>
      <c r="BJ262106" s="50"/>
      <c r="BP262106" s="60"/>
    </row>
    <row r="262107">
      <c r="BI262107" s="51"/>
      <c r="BJ262107" s="50"/>
      <c r="BP262107" s="60"/>
    </row>
    <row r="262108">
      <c r="BI262108" s="51"/>
      <c r="BJ262108" s="50"/>
      <c r="BP262108" s="60"/>
    </row>
    <row r="262109">
      <c r="BI262109" s="51"/>
      <c r="BJ262109" s="50"/>
      <c r="BP262109" s="60"/>
    </row>
    <row r="262110">
      <c r="BI262110" s="51"/>
      <c r="BJ262110" s="50"/>
      <c r="BP262110" s="60"/>
    </row>
    <row r="262111">
      <c r="BI262111" s="51"/>
      <c r="BJ262111" s="50"/>
      <c r="BP262111" s="60"/>
    </row>
    <row r="262112">
      <c r="BI262112" s="51"/>
      <c r="BJ262112" s="50"/>
      <c r="BP262112" s="60"/>
    </row>
    <row r="262113">
      <c r="BI262113" s="51"/>
      <c r="BJ262113" s="50"/>
      <c r="BP262113" s="60"/>
    </row>
    <row r="262114">
      <c r="BI262114" s="51"/>
      <c r="BJ262114" s="50"/>
      <c r="BP262114" s="60"/>
    </row>
    <row r="262115">
      <c r="BI262115" s="51"/>
      <c r="BJ262115" s="50"/>
      <c r="BP262115" s="60"/>
    </row>
    <row r="262116">
      <c r="BI262116" s="51"/>
      <c r="BJ262116" s="50"/>
      <c r="BP262116" s="60"/>
    </row>
    <row r="262117">
      <c r="BI262117" s="51"/>
      <c r="BJ262117" s="50"/>
      <c r="BP262117" s="60"/>
    </row>
    <row r="262118">
      <c r="BP262118" s="60"/>
    </row>
    <row r="262119">
      <c r="BP262119" s="60"/>
    </row>
    <row r="262120">
      <c r="BP262120" s="60"/>
    </row>
    <row r="262121">
      <c r="BP262121" s="60"/>
    </row>
    <row r="262122">
      <c r="BP262122" s="60"/>
    </row>
    <row r="262123">
      <c r="BP262123" s="60"/>
    </row>
    <row r="262124">
      <c r="BP262124" s="60"/>
    </row>
    <row r="262125">
      <c r="BP262125" s="60"/>
    </row>
    <row r="262126">
      <c r="BP262126" s="60"/>
    </row>
    <row r="262127">
      <c r="BP262127" s="60"/>
    </row>
    <row r="262128">
      <c r="BP262128" s="60"/>
    </row>
    <row r="262129">
      <c r="BP262129" s="60"/>
    </row>
    <row r="262130">
      <c r="BP262130" s="60"/>
    </row>
    <row r="262131">
      <c r="BP262131" s="60"/>
    </row>
    <row r="262132">
      <c r="BP262132" s="60"/>
    </row>
    <row r="262133">
      <c r="BP262133" s="60"/>
    </row>
    <row r="262134">
      <c r="BP262134" s="60"/>
    </row>
    <row r="262135">
      <c r="BP262135" s="60"/>
    </row>
    <row r="262136">
      <c r="BP262136" s="60"/>
    </row>
    <row r="262137">
      <c r="BP262137" s="60"/>
    </row>
    <row r="262138">
      <c r="BP262138" s="60"/>
    </row>
    <row r="262139">
      <c r="BP262139" s="60"/>
    </row>
    <row r="262140">
      <c r="BP262140" s="60"/>
    </row>
  </sheetData>
  <mergeCells count="14">
    <mergeCell ref="BM5:BO5"/>
    <mergeCell ref="BM74:BO74"/>
    <mergeCell ref="BQ5:BS5"/>
    <mergeCell ref="BQ74:BS74"/>
    <mergeCell ref="BU5:BW5"/>
    <mergeCell ref="BU74:BW74"/>
    <mergeCell ref="BY5:CA5"/>
    <mergeCell ref="BY74:CA74"/>
    <mergeCell ref="CD5:CE5"/>
    <mergeCell ref="CC74:CE74"/>
    <mergeCell ref="CG5:CI5"/>
    <mergeCell ref="CG74:CI74"/>
    <mergeCell ref="BK74:BL74"/>
    <mergeCell ref="BK5:BL5"/>
  </mergeCells>
  <conditionalFormatting sqref="Y22:AJ22 Y39:AJ71 Y29:AJ35 Y25:AJ26 Y7:AJ20">
    <cfRule dxfId="4" operator="lessThanOrEqual" type="cellIs" priority="1">
      <formula>0</formula>
    </cfRule>
  </conditionalFormatting>
  <conditionalFormatting sqref="C1:C262105">
    <cfRule dxfId="1" operator="containsText" type="containsText" priority="2" text="set up">
      <formula>NOT(ISERROR(SEARCH("set up",C1)))</formula>
    </cfRule>
  </conditionalFormatting>
  <conditionalFormatting sqref="C1:C262105">
    <cfRule dxfId="1" operator="containsText" type="containsText" priority="3" text="setup">
      <formula>NOT(ISERROR(SEARCH("setup",C1)))</formula>
    </cfRule>
  </conditionalFormatting>
  <conditionalFormatting sqref="C1:C262105">
    <cfRule dxfId="1" operator="containsText" type="containsText" priority="4" text="starter pack">
      <formula>NOT(ISERROR(SEARCH("starter pack",C1)))</formula>
    </cfRule>
  </conditionalFormatting>
  <conditionalFormatting sqref="Y27:AI28">
    <cfRule dxfId="4" operator="lessThanOrEqual" type="cellIs" priority="5">
      <formula>0</formula>
    </cfRule>
  </conditionalFormatting>
  <conditionalFormatting sqref="Y21:AI21 Y36:AI38">
    <cfRule dxfId="4" operator="lessThanOrEqual" type="cellIs" priority="6">
      <formula>0</formula>
    </cfRule>
  </conditionalFormatting>
  <conditionalFormatting sqref="Y23:AI24">
    <cfRule dxfId="4" operator="lessThanOrEqual" type="cellIs" priority="7">
      <formula>0</formula>
    </cfRule>
  </conditionalFormatting>
  <conditionalFormatting sqref="BG5:BG6">
    <cfRule dxfId="2" operator="lessThan" type="cellIs" priority="8">
      <formula>0</formula>
    </cfRule>
  </conditionalFormatting>
  <conditionalFormatting sqref="BG7:BG11 BG21:BG24 BG27:BG28 BG30:BG33 BG39:BG43 BG45:BG69">
    <cfRule dxfId="3" operator="lessThanOrEqual" type="cellIs" priority="9">
      <formula>0</formula>
    </cfRule>
  </conditionalFormatting>
  <conditionalFormatting sqref="BB7:BB71">
    <cfRule dxfId="3" operator="lessThanOrEqual" type="cellIs" priority="10">
      <formula>0</formula>
    </cfRule>
  </conditionalFormatting>
  <conditionalFormatting sqref="BN7:BN12 BN20:BN33 BN39:BN69 BL7:BM69 BO7:BQ69 BS7:CI69">
    <cfRule dxfId="3" operator="lessThan" type="cellIs" priority="11">
      <formula>0</formula>
    </cfRule>
  </conditionalFormatting>
  <conditionalFormatting sqref="BI7:BI33 BI93:BI93">
    <cfRule dxfId="5" operator="greaterThan" type="cellIs" priority="12">
      <formula>0</formula>
    </cfRule>
  </conditionalFormatting>
  <conditionalFormatting sqref="AL8:AQ71">
    <cfRule dxfId="4" operator="lessThanOrEqual" type="cellIs" priority="13">
      <formula>0</formula>
    </cfRule>
  </conditionalFormatting>
  <conditionalFormatting sqref="BG74:BG75">
    <cfRule dxfId="2" operator="lessThan" type="cellIs" priority="14">
      <formula>0</formula>
    </cfRule>
  </conditionalFormatting>
  <conditionalFormatting sqref="BM76:BM104 BQ76:BQ104 BS76:BS104 BU76:BW104 BY76:CA104 CC76:CE104 CG76:CI104">
    <cfRule dxfId="3" operator="lessThan" type="cellIs" priority="15">
      <formula>0</formula>
    </cfRule>
  </conditionalFormatting>
  <conditionalFormatting sqref="AK8:AK71">
    <cfRule dxfId="4" operator="lessThanOrEqual" type="cellIs" priority="16">
      <formula>0</formula>
    </cfRule>
  </conditionalFormatting>
  <conditionalFormatting sqref="AL7:AQ7">
    <cfRule dxfId="4" operator="lessThanOrEqual" type="cellIs" priority="17">
      <formula>0</formula>
    </cfRule>
  </conditionalFormatting>
  <conditionalFormatting sqref="AJ36:AJ36">
    <cfRule dxfId="4" operator="lessThanOrEqual" type="cellIs" priority="18">
      <formula>0</formula>
    </cfRule>
  </conditionalFormatting>
  <conditionalFormatting sqref="AJ37:AJ37">
    <cfRule dxfId="4" operator="lessThanOrEqual" type="cellIs" priority="19">
      <formula>0</formula>
    </cfRule>
  </conditionalFormatting>
  <conditionalFormatting sqref="AJ38:AJ38">
    <cfRule dxfId="4" operator="lessThanOrEqual" type="cellIs" priority="20">
      <formula>0</formula>
    </cfRule>
  </conditionalFormatting>
  <conditionalFormatting sqref="AA76:AQ104">
    <cfRule dxfId="0" operator="lessThanOrEqual" type="cellIs" priority="21">
      <formula>0</formula>
    </cfRule>
  </conditionalFormatting>
  <conditionalFormatting sqref="BL76:BL104">
    <cfRule dxfId="3" operator="lessThan" type="cellIs" priority="22">
      <formula>0</formula>
    </cfRule>
  </conditionalFormatting>
  <conditionalFormatting sqref="BN76:BN77">
    <cfRule dxfId="3" operator="lessThan" type="cellIs" priority="23">
      <formula>0</formula>
    </cfRule>
  </conditionalFormatting>
  <conditionalFormatting sqref="BR76:BR81 BR83:BR93 BR95:BR95 BR101:BR104">
    <cfRule dxfId="3" operator="lessThan" type="cellIs" priority="24">
      <formula>0</formula>
    </cfRule>
  </conditionalFormatting>
  <conditionalFormatting sqref="BO76:BO104">
    <cfRule dxfId="3" operator="lessThan" type="cellIs" priority="25">
      <formula>0</formula>
    </cfRule>
  </conditionalFormatting>
  <conditionalFormatting sqref="BI94:BI94">
    <cfRule dxfId="5" operator="greaterThan" type="cellIs" priority="26">
      <formula>0</formula>
    </cfRule>
  </conditionalFormatting>
  <conditionalFormatting sqref="BI96:BI100">
    <cfRule dxfId="5" operator="greaterThan" type="cellIs" priority="27">
      <formula>0</formula>
    </cfRule>
  </conditionalFormatting>
  <conditionalFormatting sqref="BK1:BK262140">
    <cfRule dxfId="3" operator="lessThan" type="cellIs" priority="28">
      <formula>0</formula>
    </cfRule>
  </conditionalFormatting>
  <conditionalFormatting sqref="BP76:BP104">
    <cfRule dxfId="3" operator="lessThan" type="cellIs" priority="29">
      <formula>0</formula>
    </cfRule>
  </conditionalFormatting>
  <conditionalFormatting sqref="BT76:BT104">
    <cfRule dxfId="3" operator="lessThan" type="cellIs" priority="30">
      <formula>0</formula>
    </cfRule>
  </conditionalFormatting>
  <conditionalFormatting sqref="BX76:BX104">
    <cfRule dxfId="3" operator="lessThan" type="cellIs" priority="31">
      <formula>0</formula>
    </cfRule>
  </conditionalFormatting>
  <conditionalFormatting sqref="CB76:CB104">
    <cfRule dxfId="3" operator="lessThan" type="cellIs" priority="32">
      <formula>0</formula>
    </cfRule>
  </conditionalFormatting>
  <conditionalFormatting sqref="CF76:CF104">
    <cfRule dxfId="3" operator="lessThan" type="cellIs" priority="33">
      <formula>0</formula>
    </cfRule>
  </conditionalFormatting>
  <conditionalFormatting sqref="CJ1:CJ262140">
    <cfRule dxfId="3" operator="lessThan" type="cellIs" priority="34">
      <formula>0</formula>
    </cfRule>
  </conditionalFormatting>
  <conditionalFormatting sqref="BG78:BG81 BG83:BG93 BG95:BG95">
    <cfRule dxfId="3" operator="lessThanOrEqual" type="cellIs" priority="35">
      <formula>0</formula>
    </cfRule>
  </conditionalFormatting>
  <conditionalFormatting sqref="BN78:BN81 BN83:BN93 BN95:BN95 BN101:BN104">
    <cfRule dxfId="3" operator="lessThan" type="cellIs" priority="36">
      <formula>0</formula>
    </cfRule>
  </conditionalFormatting>
  <conditionalFormatting sqref="BR7:BR12 BR20:BR33 BR39:BR69">
    <cfRule dxfId="3" operator="lessThan" type="cellIs" priority="37">
      <formula>0</formula>
    </cfRule>
  </conditionalFormatting>
  <conditionalFormatting sqref="AJ106:AJ109">
    <cfRule dxfId="1" operator="containsText" type="containsText" priority="38" text="set up">
      <formula>NOT(ISERROR(SEARCH("set up",AJ106)))</formula>
    </cfRule>
  </conditionalFormatting>
  <conditionalFormatting sqref="AJ106:AJ109">
    <cfRule dxfId="1" operator="containsText" type="containsText" priority="39" text="setup">
      <formula>NOT(ISERROR(SEARCH("setup",AJ106)))</formula>
    </cfRule>
  </conditionalFormatting>
  <conditionalFormatting sqref="AJ106:AJ109">
    <cfRule dxfId="1" operator="containsText" type="containsText" priority="40" text="starter pack">
      <formula>NOT(ISERROR(SEARCH("starter pack",AJ106)))</formula>
    </cfRule>
  </conditionalFormatting>
  <conditionalFormatting sqref="BB76:BB104">
    <cfRule dxfId="3" operator="lessThanOrEqual" type="cellIs" priority="41">
      <formula>0</formula>
    </cfRule>
  </conditionalFormatting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R65"/>
  <sheetViews>
    <sheetView workbookViewId="0">
      <pane xSplit="4" ySplit="5" topLeftCell="E6" state="frozen"/>
    </sheetView>
  </sheetViews>
  <sheetFormatPr defaultRowHeight="14.0" customHeight="1"/>
  <cols>
    <col min="1" max="1" style="49" width="16.56"/>
    <col min="2" max="2" style="49" width="17.09"/>
    <col min="3" max="3" style="49" width="47.69"/>
    <col min="4" max="4" style="50" width="10.46"/>
    <col min="5" max="5" hidden="1" style="49" width="0.0" outlineLevel="1"/>
    <col min="6" max="6" hidden="1" style="49" width="0.0" outlineLevel="1"/>
    <col min="7" max="7" hidden="1" style="49" width="0.0" outlineLevel="1"/>
    <col min="8" max="8" hidden="1" style="49" width="0.0" outlineLevel="1"/>
    <col min="9" max="9" hidden="1" style="49" width="0.0" outlineLevel="1"/>
    <col min="10" max="10" hidden="1" style="49" width="0.0" outlineLevel="1"/>
    <col min="11" max="11" hidden="1" style="49" width="0.0" outlineLevel="1"/>
    <col min="12" max="12" hidden="1" style="49" width="0.0" outlineLevel="1"/>
    <col min="13" max="13" hidden="1" style="49" width="0.0" outlineLevel="1"/>
    <col min="14" max="14" hidden="1" style="49" width="0.0" outlineLevel="1"/>
    <col min="15" max="15" hidden="1" style="49" width="0.0" outlineLevel="1"/>
    <col min="16" max="16" hidden="1" style="49" width="0.0" outlineLevel="1"/>
    <col min="17" max="17" hidden="1" style="49" width="0.0" outlineLevel="1"/>
    <col min="18" max="18" style="49" width="9.53" collapsed="1"/>
    <col min="19" max="19" hidden="1" style="49" width="0.0" outlineLevel="1"/>
    <col min="20" max="20" hidden="1" style="49" width="0.0" outlineLevel="1"/>
    <col min="21" max="21" hidden="1" style="49" width="0.0" outlineLevel="1"/>
    <col min="22" max="22" hidden="1" style="49" width="0.0" outlineLevel="1"/>
    <col min="23" max="23" hidden="1" style="49" width="0.0" outlineLevel="1"/>
    <col min="24" max="24" hidden="1" style="49" width="0.0" outlineLevel="1"/>
    <col min="25" max="25" hidden="1" style="49" width="0.0" outlineLevel="1"/>
    <col min="26" max="26" hidden="1" style="49" width="0.0" outlineLevel="1"/>
    <col min="27" max="27" hidden="1" style="49" width="0.0" outlineLevel="1"/>
    <col min="28" max="28" hidden="1" style="49" width="0.0" outlineLevel="1"/>
    <col min="29" max="29" hidden="1" style="49" width="0.0" outlineLevel="1"/>
    <col min="30" max="30" hidden="1" style="49" width="0.0" outlineLevel="1"/>
    <col min="31" max="31" style="49" width="9.53" collapsed="1"/>
    <col min="32" max="32" hidden="1" style="49" width="0.0" outlineLevel="1"/>
    <col min="33" max="33" hidden="1" style="49" width="0.0" outlineLevel="1"/>
    <col min="34" max="34" hidden="1" style="49" width="0.0" outlineLevel="1"/>
    <col min="35" max="35" hidden="1" style="49" width="0.0" outlineLevel="1"/>
    <col min="36" max="36" hidden="1" style="49" width="0.0" outlineLevel="1"/>
    <col min="37" max="37" hidden="1" style="49" width="0.0" outlineLevel="1"/>
    <col min="38" max="38" hidden="1" style="49" width="0.0" outlineLevel="1"/>
    <col min="39" max="39" hidden="1" style="49" width="0.0" outlineLevel="1"/>
    <col min="40" max="40" hidden="1" style="49" width="0.0" outlineLevel="1"/>
    <col min="41" max="41" hidden="1" style="49" width="0.0" outlineLevel="1"/>
    <col min="42" max="43" hidden="1" style="49" width="0.0" outlineLevel="1"/>
    <col min="44" max="44" style="49" width="12.85" collapsed="1"/>
    <col min="45" max="990" style="49" width="13.24"/>
    <col min="991" max="2014" style="49" width="13.24"/>
    <col min="2015" max="2048" width="13.24"/>
  </cols>
  <sheetData>
    <row r="1">
      <c r="A1" s="56"/>
      <c r="B1" s="56"/>
      <c r="C1" s="56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</row>
    <row r="2">
      <c r="A2" s="56"/>
      <c r="B2" s="56"/>
      <c r="C2" s="56"/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</row>
    <row r="3">
      <c r="A3" s="56"/>
      <c r="B3" s="56"/>
      <c r="C3" s="56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P3" s="58"/>
      <c r="AQ3" s="58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</row>
    <row r="4" ht="14.0">
      <c r="E4" s="71">
        <v>45952</v>
      </c>
      <c r="F4" s="71">
        <v>45983</v>
      </c>
      <c r="G4" s="71">
        <v>46013</v>
      </c>
      <c r="H4" s="71">
        <v>45680</v>
      </c>
      <c r="I4" s="71">
        <v>45711</v>
      </c>
      <c r="J4" s="71">
        <v>45739</v>
      </c>
      <c r="K4" s="71">
        <v>45770</v>
      </c>
      <c r="L4" s="71">
        <v>45800</v>
      </c>
      <c r="M4" s="71">
        <v>45831</v>
      </c>
      <c r="N4" s="71">
        <v>45861</v>
      </c>
      <c r="O4" s="71">
        <v>45892</v>
      </c>
      <c r="P4" s="71">
        <v>45923</v>
      </c>
      <c r="Q4" s="71">
        <v>45953</v>
      </c>
      <c r="R4" s="131" t="s">
        <v>215</v>
      </c>
      <c r="S4" s="72">
        <v>45984</v>
      </c>
      <c r="T4" s="72">
        <v>46014</v>
      </c>
      <c r="U4" s="72">
        <v>45681</v>
      </c>
      <c r="V4" s="72">
        <v>45712</v>
      </c>
      <c r="W4" s="72">
        <v>45740</v>
      </c>
      <c r="X4" s="72">
        <v>45771</v>
      </c>
      <c r="Y4" s="72">
        <v>45801</v>
      </c>
      <c r="Z4" s="72">
        <v>45832</v>
      </c>
      <c r="AA4" s="72">
        <v>45862</v>
      </c>
      <c r="AB4" s="72">
        <v>45893</v>
      </c>
      <c r="AC4" s="72">
        <v>45924</v>
      </c>
      <c r="AD4" s="72">
        <v>45954</v>
      </c>
      <c r="AE4" s="132" t="s">
        <v>216</v>
      </c>
      <c r="AF4" s="73">
        <v>45985</v>
      </c>
      <c r="AG4" s="73">
        <v>46015</v>
      </c>
      <c r="AH4" s="73">
        <v>45682</v>
      </c>
      <c r="AI4" s="73">
        <v>45713</v>
      </c>
      <c r="AJ4" s="73">
        <v>45741</v>
      </c>
      <c r="AK4" s="73">
        <v>45772</v>
      </c>
      <c r="AL4" s="73">
        <v>45802</v>
      </c>
      <c r="AM4" s="73">
        <v>45833</v>
      </c>
      <c r="AN4" s="73">
        <v>45863</v>
      </c>
      <c r="AO4" s="73">
        <v>45894</v>
      </c>
      <c r="AP4" s="73">
        <v>45925</v>
      </c>
      <c r="AQ4" s="73">
        <v>45955</v>
      </c>
      <c r="AR4" s="133" t="s">
        <v>217</v>
      </c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</row>
    <row r="5" ht="14.0">
      <c r="A5" s="81" t="s">
        <v>11</v>
      </c>
      <c r="B5" s="81" t="s">
        <v>12</v>
      </c>
      <c r="C5" s="81" t="s">
        <v>13</v>
      </c>
      <c r="D5" s="82" t="s">
        <v>14</v>
      </c>
      <c r="E5" s="83" t="s">
        <v>15</v>
      </c>
      <c r="F5" s="83" t="s">
        <v>15</v>
      </c>
      <c r="G5" s="83" t="s">
        <v>15</v>
      </c>
      <c r="H5" s="83" t="s">
        <v>15</v>
      </c>
      <c r="I5" s="83" t="s">
        <v>15</v>
      </c>
      <c r="J5" s="83" t="s">
        <v>15</v>
      </c>
      <c r="K5" s="83" t="s">
        <v>15</v>
      </c>
      <c r="L5" s="83" t="s">
        <v>15</v>
      </c>
      <c r="M5" s="83" t="s">
        <v>15</v>
      </c>
      <c r="N5" s="83" t="s">
        <v>15</v>
      </c>
      <c r="O5" s="83" t="s">
        <v>15</v>
      </c>
      <c r="P5" s="83" t="s">
        <v>15</v>
      </c>
      <c r="Q5" s="83" t="s">
        <v>15</v>
      </c>
      <c r="R5" s="84" t="s">
        <v>3</v>
      </c>
      <c r="S5" s="83" t="s">
        <v>15</v>
      </c>
      <c r="T5" s="83" t="s">
        <v>15</v>
      </c>
      <c r="U5" s="83" t="s">
        <v>15</v>
      </c>
      <c r="V5" s="83" t="s">
        <v>15</v>
      </c>
      <c r="W5" s="83" t="s">
        <v>15</v>
      </c>
      <c r="X5" s="83" t="s">
        <v>15</v>
      </c>
      <c r="Y5" s="83" t="s">
        <v>15</v>
      </c>
      <c r="Z5" s="83" t="s">
        <v>15</v>
      </c>
      <c r="AA5" s="83" t="s">
        <v>15</v>
      </c>
      <c r="AB5" s="83" t="s">
        <v>15</v>
      </c>
      <c r="AC5" s="83" t="s">
        <v>15</v>
      </c>
      <c r="AD5" s="83" t="s">
        <v>15</v>
      </c>
      <c r="AE5" s="84" t="s">
        <v>3</v>
      </c>
      <c r="AF5" s="83" t="s">
        <v>15</v>
      </c>
      <c r="AG5" s="83" t="s">
        <v>15</v>
      </c>
      <c r="AH5" s="83" t="s">
        <v>15</v>
      </c>
      <c r="AI5" s="83" t="s">
        <v>15</v>
      </c>
      <c r="AJ5" s="83" t="s">
        <v>15</v>
      </c>
      <c r="AK5" s="83" t="s">
        <v>15</v>
      </c>
      <c r="AL5" s="83" t="s">
        <v>15</v>
      </c>
      <c r="AM5" s="83" t="s">
        <v>15</v>
      </c>
      <c r="AN5" s="83" t="s">
        <v>15</v>
      </c>
      <c r="AO5" s="83" t="s">
        <v>15</v>
      </c>
      <c r="AP5" s="83" t="s">
        <v>15</v>
      </c>
      <c r="AQ5" s="83" t="s">
        <v>15</v>
      </c>
      <c r="AR5" s="84" t="s">
        <v>3</v>
      </c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</row>
    <row r="6" ht="14.0">
      <c r="A6" s="96" t="s">
        <v>28</v>
      </c>
      <c r="B6" s="96" t="s">
        <v>29</v>
      </c>
      <c r="C6" s="96" t="s">
        <v>35</v>
      </c>
      <c r="D6" s="97" t="s">
        <v>36</v>
      </c>
      <c r="E6" s="96">
        <v>0.0</v>
      </c>
      <c r="F6" s="96">
        <v>0.0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  <c r="M6" s="96">
        <v>0.0</v>
      </c>
      <c r="N6" s="96">
        <v>0.0</v>
      </c>
      <c r="O6" s="96">
        <v>0.0</v>
      </c>
      <c r="P6" s="96">
        <v>0.0</v>
      </c>
      <c r="Q6" s="96">
        <v>0.0</v>
      </c>
      <c r="R6" s="98">
        <f t="shared" ref="R6:R50" si="0">SUM(F6:Q6)</f>
        <v>0.0</v>
      </c>
      <c r="S6" s="96">
        <v>0.0</v>
      </c>
      <c r="T6" s="96">
        <v>0.0</v>
      </c>
      <c r="U6" s="96">
        <v>0.0</v>
      </c>
      <c r="V6" s="96">
        <v>0.0</v>
      </c>
      <c r="W6" s="96">
        <v>168.0</v>
      </c>
      <c r="X6" s="96">
        <v>78.0</v>
      </c>
      <c r="Y6" s="96">
        <v>58.0</v>
      </c>
      <c r="Z6" s="96">
        <v>53.0</v>
      </c>
      <c r="AA6" s="96">
        <v>38.0</v>
      </c>
      <c r="AB6" s="96">
        <v>35.0</v>
      </c>
      <c r="AC6" s="96">
        <v>27.0</v>
      </c>
      <c r="AD6" s="96">
        <v>28.0</v>
      </c>
      <c r="AE6" s="98">
        <f t="shared" ref="AE6:AE50" si="1">SUM(S6:AD6)</f>
        <v>485.0</v>
      </c>
      <c r="AF6" s="96">
        <v>42.0</v>
      </c>
      <c r="AG6" s="96">
        <v>95.0</v>
      </c>
      <c r="AH6" s="96">
        <v>65.0</v>
      </c>
      <c r="AI6" s="96">
        <v>31.0</v>
      </c>
      <c r="AJ6" s="96">
        <v>34.0</v>
      </c>
      <c r="AK6" s="96">
        <v>47.0</v>
      </c>
      <c r="AL6" s="96">
        <v>35.0</v>
      </c>
      <c r="AM6" s="96">
        <v>40.0</v>
      </c>
      <c r="AN6" s="96">
        <v>22.0</v>
      </c>
      <c r="AO6" s="49">
        <v>101.0</v>
      </c>
      <c r="AP6" s="49">
        <v>17.0</v>
      </c>
      <c r="AQ6" s="49">
        <v>84.0</v>
      </c>
      <c r="AR6" s="98">
        <f t="shared" ref="AR6:AR50" si="2">SUM(AF6:AQ6)</f>
        <v>613.0</v>
      </c>
    </row>
    <row r="7" ht="14.0">
      <c r="A7" s="96" t="s">
        <v>28</v>
      </c>
      <c r="B7" s="96" t="s">
        <v>29</v>
      </c>
      <c r="C7" s="96" t="s">
        <v>37</v>
      </c>
      <c r="D7" s="97" t="s">
        <v>38</v>
      </c>
      <c r="E7" s="96">
        <v>0.0</v>
      </c>
      <c r="F7" s="96">
        <v>0.0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8">
        <f t="shared" si="0"/>
        <v>0.0</v>
      </c>
      <c r="S7" s="96">
        <v>0.0</v>
      </c>
      <c r="T7" s="96">
        <v>0.0</v>
      </c>
      <c r="U7" s="96">
        <v>0.0</v>
      </c>
      <c r="V7" s="96">
        <v>0.0</v>
      </c>
      <c r="W7" s="96">
        <v>288.0</v>
      </c>
      <c r="X7" s="96">
        <v>150.0</v>
      </c>
      <c r="Y7" s="96">
        <v>104.0</v>
      </c>
      <c r="Z7" s="96">
        <v>130.0</v>
      </c>
      <c r="AA7" s="96">
        <v>90.0</v>
      </c>
      <c r="AB7" s="96">
        <v>23.0</v>
      </c>
      <c r="AC7" s="96">
        <v>51.0</v>
      </c>
      <c r="AD7" s="96">
        <v>91.0</v>
      </c>
      <c r="AE7" s="98">
        <f t="shared" si="1"/>
        <v>927.0</v>
      </c>
      <c r="AF7" s="96">
        <v>130.0</v>
      </c>
      <c r="AG7" s="96">
        <v>74.0</v>
      </c>
      <c r="AH7" s="96">
        <v>53.0</v>
      </c>
      <c r="AI7" s="96">
        <v>36.0</v>
      </c>
      <c r="AJ7" s="96">
        <v>53.0</v>
      </c>
      <c r="AK7" s="96">
        <v>69.0</v>
      </c>
      <c r="AL7" s="96">
        <v>44.0</v>
      </c>
      <c r="AM7" s="96">
        <v>34.0</v>
      </c>
      <c r="AN7" s="96">
        <v>54.0</v>
      </c>
      <c r="AO7" s="49">
        <v>114.0</v>
      </c>
      <c r="AP7" s="49">
        <v>39.0</v>
      </c>
      <c r="AQ7" s="49">
        <v>65.0</v>
      </c>
      <c r="AR7" s="98">
        <f t="shared" si="2"/>
        <v>765.0</v>
      </c>
    </row>
    <row r="8" ht="14.0">
      <c r="A8" s="96" t="s">
        <v>28</v>
      </c>
      <c r="B8" s="96" t="s">
        <v>29</v>
      </c>
      <c r="C8" s="96" t="s">
        <v>39</v>
      </c>
      <c r="D8" s="97" t="s">
        <v>40</v>
      </c>
      <c r="E8" s="96">
        <v>0.0</v>
      </c>
      <c r="F8" s="96">
        <v>0.0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  <c r="M8" s="96">
        <v>0.0</v>
      </c>
      <c r="N8" s="96">
        <v>0.0</v>
      </c>
      <c r="O8" s="96">
        <v>0.0</v>
      </c>
      <c r="P8" s="96">
        <v>0.0</v>
      </c>
      <c r="Q8" s="96">
        <v>0.0</v>
      </c>
      <c r="R8" s="98">
        <f t="shared" si="0"/>
        <v>0.0</v>
      </c>
      <c r="S8" s="96">
        <v>0.0</v>
      </c>
      <c r="T8" s="96">
        <v>0.0</v>
      </c>
      <c r="U8" s="96">
        <v>0.0</v>
      </c>
      <c r="V8" s="96">
        <v>0.0</v>
      </c>
      <c r="W8" s="96">
        <v>175.0</v>
      </c>
      <c r="X8" s="96">
        <v>102.0</v>
      </c>
      <c r="Y8" s="96">
        <v>58.0</v>
      </c>
      <c r="Z8" s="96">
        <v>63.0</v>
      </c>
      <c r="AA8" s="96">
        <v>30.0</v>
      </c>
      <c r="AB8" s="96">
        <v>50.0</v>
      </c>
      <c r="AC8" s="96">
        <v>42.0</v>
      </c>
      <c r="AD8" s="96">
        <v>73.0</v>
      </c>
      <c r="AE8" s="98">
        <f t="shared" si="1"/>
        <v>593.0</v>
      </c>
      <c r="AF8" s="96">
        <v>101.0</v>
      </c>
      <c r="AG8" s="96">
        <v>94.0</v>
      </c>
      <c r="AH8" s="96">
        <v>34.0</v>
      </c>
      <c r="AI8" s="96">
        <v>48.0</v>
      </c>
      <c r="AJ8" s="96">
        <v>66.0</v>
      </c>
      <c r="AK8" s="96">
        <v>42.0</v>
      </c>
      <c r="AL8" s="96">
        <v>51.0</v>
      </c>
      <c r="AM8" s="96">
        <v>48.0</v>
      </c>
      <c r="AN8" s="96">
        <v>26.0</v>
      </c>
      <c r="AO8" s="49">
        <v>100.0</v>
      </c>
      <c r="AP8" s="49">
        <v>41.0</v>
      </c>
      <c r="AQ8" s="49">
        <v>72.0</v>
      </c>
      <c r="AR8" s="98">
        <f t="shared" si="2"/>
        <v>723.0</v>
      </c>
    </row>
    <row r="9" ht="14.0">
      <c r="A9" s="96" t="s">
        <v>28</v>
      </c>
      <c r="B9" s="96" t="s">
        <v>29</v>
      </c>
      <c r="C9" s="96" t="s">
        <v>41</v>
      </c>
      <c r="D9" s="97" t="s">
        <v>42</v>
      </c>
      <c r="E9" s="96">
        <v>0.0</v>
      </c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8">
        <f t="shared" si="0"/>
        <v>0.0</v>
      </c>
      <c r="S9" s="96">
        <v>0.0</v>
      </c>
      <c r="T9" s="96">
        <v>0.0</v>
      </c>
      <c r="U9" s="96">
        <v>0.0</v>
      </c>
      <c r="V9" s="96">
        <v>0.0</v>
      </c>
      <c r="W9" s="96">
        <v>168.0</v>
      </c>
      <c r="X9" s="96">
        <v>69.0</v>
      </c>
      <c r="Y9" s="96">
        <v>43.0</v>
      </c>
      <c r="Z9" s="96">
        <v>30.0</v>
      </c>
      <c r="AA9" s="96">
        <v>19.0</v>
      </c>
      <c r="AB9" s="96">
        <v>19.0</v>
      </c>
      <c r="AC9" s="96">
        <v>12.0</v>
      </c>
      <c r="AD9" s="96">
        <v>27.0</v>
      </c>
      <c r="AE9" s="98">
        <f t="shared" si="1"/>
        <v>387.0</v>
      </c>
      <c r="AF9" s="96">
        <v>30.0</v>
      </c>
      <c r="AG9" s="96">
        <v>33.0</v>
      </c>
      <c r="AH9" s="96">
        <v>34.0</v>
      </c>
      <c r="AI9" s="96">
        <v>38.0</v>
      </c>
      <c r="AJ9" s="96">
        <v>47.0</v>
      </c>
      <c r="AK9" s="96">
        <v>35.0</v>
      </c>
      <c r="AL9" s="96">
        <v>17.0</v>
      </c>
      <c r="AM9" s="96">
        <v>29.0</v>
      </c>
      <c r="AN9" s="96">
        <v>24.0</v>
      </c>
      <c r="AO9" s="49">
        <v>47.0</v>
      </c>
      <c r="AP9" s="49">
        <v>23.0</v>
      </c>
      <c r="AQ9" s="49">
        <v>53.0</v>
      </c>
      <c r="AR9" s="98">
        <f t="shared" si="2"/>
        <v>410.0</v>
      </c>
    </row>
    <row r="10" ht="14.0">
      <c r="A10" s="96" t="s">
        <v>28</v>
      </c>
      <c r="B10" s="96" t="s">
        <v>29</v>
      </c>
      <c r="C10" s="96" t="s">
        <v>43</v>
      </c>
      <c r="D10" s="97" t="s">
        <v>44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  <c r="M10" s="96">
        <v>0.0</v>
      </c>
      <c r="N10" s="96">
        <v>0.0</v>
      </c>
      <c r="O10" s="96">
        <v>0.0</v>
      </c>
      <c r="P10" s="96">
        <v>0.0</v>
      </c>
      <c r="Q10" s="96">
        <v>0.0</v>
      </c>
      <c r="R10" s="98">
        <f t="shared" si="0"/>
        <v>0.0</v>
      </c>
      <c r="S10" s="96">
        <v>0.0</v>
      </c>
      <c r="T10" s="96">
        <v>0.0</v>
      </c>
      <c r="U10" s="96">
        <v>0.0</v>
      </c>
      <c r="V10" s="96">
        <v>0.0</v>
      </c>
      <c r="W10" s="96">
        <v>234.0</v>
      </c>
      <c r="X10" s="96">
        <v>144.0</v>
      </c>
      <c r="Y10" s="96">
        <v>112.0</v>
      </c>
      <c r="Z10" s="96">
        <v>89.0</v>
      </c>
      <c r="AA10" s="96">
        <v>72.0</v>
      </c>
      <c r="AB10" s="96">
        <v>39.0</v>
      </c>
      <c r="AC10" s="96">
        <v>61.0</v>
      </c>
      <c r="AD10" s="96">
        <v>103.0</v>
      </c>
      <c r="AE10" s="98">
        <f t="shared" si="1"/>
        <v>854.0</v>
      </c>
      <c r="AF10" s="96">
        <v>114.0</v>
      </c>
      <c r="AG10" s="96">
        <v>146.0</v>
      </c>
      <c r="AH10" s="96">
        <v>74.0</v>
      </c>
      <c r="AI10" s="96">
        <v>45.0</v>
      </c>
      <c r="AJ10" s="96">
        <v>82.0</v>
      </c>
      <c r="AK10" s="96">
        <v>59.0</v>
      </c>
      <c r="AL10" s="96">
        <v>89.0</v>
      </c>
      <c r="AM10" s="96">
        <v>53.0</v>
      </c>
      <c r="AN10" s="96">
        <v>38.0</v>
      </c>
      <c r="AO10" s="49">
        <v>119.0</v>
      </c>
      <c r="AP10" s="49">
        <v>42.0</v>
      </c>
      <c r="AQ10" s="49">
        <v>90.0</v>
      </c>
      <c r="AR10" s="98">
        <f t="shared" si="2"/>
        <v>951.0</v>
      </c>
    </row>
    <row r="11" ht="14.0">
      <c r="A11" s="96" t="s">
        <v>28</v>
      </c>
      <c r="B11" s="96" t="s">
        <v>29</v>
      </c>
      <c r="C11" s="96" t="s">
        <v>48</v>
      </c>
      <c r="D11" s="97" t="s">
        <v>49</v>
      </c>
      <c r="E11" s="96">
        <v>3.0</v>
      </c>
      <c r="F11" s="96">
        <v>5.0</v>
      </c>
      <c r="G11" s="96">
        <v>0.0</v>
      </c>
      <c r="H11" s="96">
        <v>1.0</v>
      </c>
      <c r="I11" s="96">
        <v>2.0</v>
      </c>
      <c r="J11" s="96">
        <v>4.0</v>
      </c>
      <c r="K11" s="96">
        <v>1.0</v>
      </c>
      <c r="L11" s="96">
        <v>3.0</v>
      </c>
      <c r="M11" s="96">
        <v>0.0</v>
      </c>
      <c r="N11" s="96">
        <v>1.0</v>
      </c>
      <c r="O11" s="96">
        <v>2.0</v>
      </c>
      <c r="P11" s="96">
        <v>0.0</v>
      </c>
      <c r="Q11" s="96">
        <v>1.0</v>
      </c>
      <c r="R11" s="98">
        <f t="shared" si="0"/>
        <v>20.0</v>
      </c>
      <c r="S11" s="96">
        <v>1.0</v>
      </c>
      <c r="T11" s="96">
        <v>0.0</v>
      </c>
      <c r="U11" s="96">
        <v>0.0</v>
      </c>
      <c r="V11" s="96">
        <v>0.0</v>
      </c>
      <c r="W11" s="96">
        <v>0.0</v>
      </c>
      <c r="X11" s="96">
        <v>1.0</v>
      </c>
      <c r="Y11" s="96">
        <v>0.0</v>
      </c>
      <c r="Z11" s="96">
        <v>0.0</v>
      </c>
      <c r="AA11" s="96">
        <v>2.0</v>
      </c>
      <c r="AB11" s="96">
        <v>0.0</v>
      </c>
      <c r="AC11" s="96">
        <v>0.0</v>
      </c>
      <c r="AD11" s="96">
        <v>2.0</v>
      </c>
      <c r="AE11" s="98">
        <f t="shared" si="1"/>
        <v>6.0</v>
      </c>
      <c r="AF11" s="96">
        <v>4.0</v>
      </c>
      <c r="AG11" s="96">
        <v>0.0</v>
      </c>
      <c r="AH11" s="96">
        <v>0.0</v>
      </c>
      <c r="AI11" s="96">
        <v>-1.0</v>
      </c>
      <c r="AJ11" s="96">
        <v>0.0</v>
      </c>
      <c r="AK11" s="96">
        <v>0.0</v>
      </c>
      <c r="AL11" s="96">
        <v>0.0</v>
      </c>
      <c r="AM11" s="96">
        <v>0.0</v>
      </c>
      <c r="AN11" s="96">
        <v>0.0</v>
      </c>
      <c r="AO11" s="49">
        <v>0.0</v>
      </c>
      <c r="AP11" s="49">
        <v>4.0</v>
      </c>
      <c r="AQ11" s="49">
        <v>0.0</v>
      </c>
      <c r="AR11" s="98">
        <f t="shared" si="2"/>
        <v>7.0</v>
      </c>
    </row>
    <row r="12" ht="14.0">
      <c r="A12" s="104" t="s">
        <v>45</v>
      </c>
      <c r="B12" s="96" t="s">
        <v>29</v>
      </c>
      <c r="C12" s="105" t="s">
        <v>33</v>
      </c>
      <c r="D12" s="106" t="s">
        <v>34</v>
      </c>
      <c r="E12" s="96">
        <v>293.0</v>
      </c>
      <c r="F12" s="96">
        <v>447.0</v>
      </c>
      <c r="G12" s="96">
        <v>473.0</v>
      </c>
      <c r="H12" s="96">
        <v>257.0</v>
      </c>
      <c r="I12" s="96">
        <v>248.0</v>
      </c>
      <c r="J12" s="96">
        <v>237.0</v>
      </c>
      <c r="K12" s="96">
        <v>295.0</v>
      </c>
      <c r="L12" s="96">
        <v>223.0</v>
      </c>
      <c r="M12" s="96">
        <v>180.0</v>
      </c>
      <c r="N12" s="96">
        <v>247.0</v>
      </c>
      <c r="O12" s="96">
        <v>250.0</v>
      </c>
      <c r="P12" s="96">
        <v>156.0</v>
      </c>
      <c r="Q12" s="96">
        <v>155.0</v>
      </c>
      <c r="R12" s="98">
        <f t="shared" si="0"/>
        <v>3168.0</v>
      </c>
      <c r="S12" s="96">
        <v>286.0</v>
      </c>
      <c r="T12" s="96">
        <v>305.0</v>
      </c>
      <c r="U12" s="96">
        <v>297.0</v>
      </c>
      <c r="V12" s="96">
        <v>264.0</v>
      </c>
      <c r="W12" s="96">
        <v>196.0</v>
      </c>
      <c r="X12" s="96">
        <v>262.0</v>
      </c>
      <c r="Y12" s="96">
        <v>180.0</v>
      </c>
      <c r="Z12" s="96">
        <v>126.0</v>
      </c>
      <c r="AA12" s="96">
        <v>185.0</v>
      </c>
      <c r="AB12" s="96">
        <v>156.0</v>
      </c>
      <c r="AC12" s="96">
        <v>186.0</v>
      </c>
      <c r="AD12" s="96">
        <v>344.0</v>
      </c>
      <c r="AE12" s="98">
        <f t="shared" si="1"/>
        <v>2787.0</v>
      </c>
      <c r="AF12" s="96">
        <v>397.0</v>
      </c>
      <c r="AG12" s="96">
        <v>252.0</v>
      </c>
      <c r="AH12" s="96">
        <v>198.0</v>
      </c>
      <c r="AI12" s="96">
        <v>212.0</v>
      </c>
      <c r="AJ12" s="96">
        <v>145.0</v>
      </c>
      <c r="AK12" s="96">
        <v>130.0</v>
      </c>
      <c r="AL12" s="117">
        <v>397.0</v>
      </c>
      <c r="AM12" s="117">
        <v>377.0</v>
      </c>
      <c r="AN12" s="117">
        <v>137.0</v>
      </c>
      <c r="AO12" s="110">
        <v>69.0</v>
      </c>
      <c r="AP12" s="110">
        <v>42.0</v>
      </c>
      <c r="AQ12" s="110">
        <v>150.0</v>
      </c>
      <c r="AR12" s="98">
        <f t="shared" si="2"/>
        <v>2506.0</v>
      </c>
    </row>
    <row r="13" ht="14.0">
      <c r="A13" s="104" t="s">
        <v>45</v>
      </c>
      <c r="B13" s="96" t="s">
        <v>29</v>
      </c>
      <c r="C13" s="105" t="s">
        <v>30</v>
      </c>
      <c r="D13" s="106" t="s">
        <v>31</v>
      </c>
      <c r="E13" s="96">
        <v>372.0</v>
      </c>
      <c r="F13" s="96">
        <v>638.0</v>
      </c>
      <c r="G13" s="96">
        <v>765.0</v>
      </c>
      <c r="H13" s="96">
        <v>626.0</v>
      </c>
      <c r="I13" s="96">
        <v>646.0</v>
      </c>
      <c r="J13" s="96">
        <v>490.0</v>
      </c>
      <c r="K13" s="96">
        <v>880.0</v>
      </c>
      <c r="L13" s="96">
        <v>456.0</v>
      </c>
      <c r="M13" s="96">
        <v>439.0</v>
      </c>
      <c r="N13" s="96">
        <v>396.0</v>
      </c>
      <c r="O13" s="96">
        <v>330.0</v>
      </c>
      <c r="P13" s="96">
        <v>377.0</v>
      </c>
      <c r="Q13" s="96">
        <v>535.0</v>
      </c>
      <c r="R13" s="98">
        <f t="shared" si="0"/>
        <v>6578.0</v>
      </c>
      <c r="S13" s="96">
        <v>489.0</v>
      </c>
      <c r="T13" s="96">
        <v>512.0</v>
      </c>
      <c r="U13" s="96">
        <v>468.0</v>
      </c>
      <c r="V13" s="96">
        <v>520.0</v>
      </c>
      <c r="W13" s="96">
        <v>414.0</v>
      </c>
      <c r="X13" s="96">
        <v>433.0</v>
      </c>
      <c r="Y13" s="96">
        <v>324.0</v>
      </c>
      <c r="Z13" s="96">
        <v>315.0</v>
      </c>
      <c r="AA13" s="96">
        <v>331.0</v>
      </c>
      <c r="AB13" s="96">
        <v>335.0</v>
      </c>
      <c r="AC13" s="96">
        <v>240.0</v>
      </c>
      <c r="AD13" s="96">
        <v>518.0</v>
      </c>
      <c r="AE13" s="98">
        <f t="shared" si="1"/>
        <v>4899.0</v>
      </c>
      <c r="AF13" s="96">
        <v>622.0</v>
      </c>
      <c r="AG13" s="96">
        <v>496.0</v>
      </c>
      <c r="AH13" s="96">
        <v>325.0</v>
      </c>
      <c r="AI13" s="96">
        <v>355.0</v>
      </c>
      <c r="AJ13" s="96">
        <v>415.0</v>
      </c>
      <c r="AK13" s="96">
        <v>240.0</v>
      </c>
      <c r="AL13" s="117">
        <v>143.0</v>
      </c>
      <c r="AM13" s="117">
        <v>307.0</v>
      </c>
      <c r="AN13" s="117">
        <v>0.0</v>
      </c>
      <c r="AO13" s="110">
        <v>1.0</v>
      </c>
      <c r="AP13" s="110">
        <v>0.0</v>
      </c>
      <c r="AQ13" s="110">
        <v>0.0</v>
      </c>
      <c r="AR13" s="98">
        <f t="shared" si="2"/>
        <v>2904.0</v>
      </c>
    </row>
    <row r="14" ht="14.0">
      <c r="A14" s="104" t="s">
        <v>45</v>
      </c>
      <c r="B14" s="96" t="s">
        <v>29</v>
      </c>
      <c r="C14" s="105" t="s">
        <v>58</v>
      </c>
      <c r="D14" s="106" t="s">
        <v>59</v>
      </c>
      <c r="E14" s="96">
        <v>0.0</v>
      </c>
      <c r="F14" s="96">
        <v>3.0</v>
      </c>
      <c r="G14" s="96">
        <v>1.0</v>
      </c>
      <c r="H14" s="96">
        <v>2.0</v>
      </c>
      <c r="I14" s="96">
        <v>1.0</v>
      </c>
      <c r="J14" s="96">
        <v>3.0</v>
      </c>
      <c r="K14" s="96">
        <v>1.0</v>
      </c>
      <c r="L14" s="96">
        <v>1.0</v>
      </c>
      <c r="M14" s="96">
        <v>5.0</v>
      </c>
      <c r="N14" s="96">
        <v>2.0</v>
      </c>
      <c r="O14" s="96">
        <v>2.0</v>
      </c>
      <c r="P14" s="96">
        <v>1.0</v>
      </c>
      <c r="Q14" s="96">
        <v>0.0</v>
      </c>
      <c r="R14" s="98">
        <f t="shared" si="0"/>
        <v>22.0</v>
      </c>
      <c r="S14" s="96">
        <v>2.0</v>
      </c>
      <c r="T14" s="96">
        <v>0.0</v>
      </c>
      <c r="U14" s="96">
        <v>0.0</v>
      </c>
      <c r="V14" s="96">
        <v>1.0</v>
      </c>
      <c r="W14" s="96">
        <v>4.0</v>
      </c>
      <c r="X14" s="96">
        <v>4.0</v>
      </c>
      <c r="Y14" s="96">
        <v>0.0</v>
      </c>
      <c r="Z14" s="96">
        <v>0.0</v>
      </c>
      <c r="AA14" s="96">
        <v>0.0</v>
      </c>
      <c r="AB14" s="96">
        <v>2.0</v>
      </c>
      <c r="AC14" s="96">
        <v>1.0</v>
      </c>
      <c r="AD14" s="96">
        <v>1.0</v>
      </c>
      <c r="AE14" s="98">
        <f t="shared" si="1"/>
        <v>15.0</v>
      </c>
      <c r="AF14" s="96">
        <v>0.0</v>
      </c>
      <c r="AG14" s="96">
        <v>1.0</v>
      </c>
      <c r="AH14" s="96">
        <v>0.0</v>
      </c>
      <c r="AI14" s="96">
        <v>1.0</v>
      </c>
      <c r="AJ14" s="96">
        <v>1.0</v>
      </c>
      <c r="AK14" s="96">
        <v>2.0</v>
      </c>
      <c r="AL14" s="117">
        <v>1.0</v>
      </c>
      <c r="AM14" s="117">
        <v>1.0</v>
      </c>
      <c r="AN14" s="117">
        <v>3.0</v>
      </c>
      <c r="AO14" s="110">
        <v>2.0</v>
      </c>
      <c r="AP14" s="110">
        <v>1.0</v>
      </c>
      <c r="AQ14" s="110">
        <v>0.0</v>
      </c>
      <c r="AR14" s="98">
        <f t="shared" si="2"/>
        <v>13.0</v>
      </c>
    </row>
    <row r="15" ht="14.0" customFormat="1" s="49">
      <c r="A15" s="104" t="s">
        <v>45</v>
      </c>
      <c r="B15" s="96" t="s">
        <v>29</v>
      </c>
      <c r="C15" s="105" t="s">
        <v>50</v>
      </c>
      <c r="D15" s="106" t="s">
        <v>51</v>
      </c>
      <c r="E15" s="96">
        <v>120.0</v>
      </c>
      <c r="F15" s="96">
        <v>143.0</v>
      </c>
      <c r="G15" s="96">
        <v>144.0</v>
      </c>
      <c r="H15" s="96">
        <v>155.0</v>
      </c>
      <c r="I15" s="96">
        <v>60.0</v>
      </c>
      <c r="J15" s="96">
        <v>108.0</v>
      </c>
      <c r="K15" s="96">
        <v>131.0</v>
      </c>
      <c r="L15" s="96">
        <v>91.0</v>
      </c>
      <c r="M15" s="96">
        <v>83.0</v>
      </c>
      <c r="N15" s="96">
        <v>60.0</v>
      </c>
      <c r="O15" s="96">
        <v>76.0</v>
      </c>
      <c r="P15" s="96">
        <v>101.0</v>
      </c>
      <c r="Q15" s="96">
        <v>54.0</v>
      </c>
      <c r="R15" s="98">
        <f t="shared" si="0"/>
        <v>1206.0</v>
      </c>
      <c r="S15" s="96">
        <v>70.0</v>
      </c>
      <c r="T15" s="96">
        <v>156.0</v>
      </c>
      <c r="U15" s="96">
        <v>107.0</v>
      </c>
      <c r="V15" s="96">
        <v>76.0</v>
      </c>
      <c r="W15" s="96">
        <v>138.0</v>
      </c>
      <c r="X15" s="96">
        <v>48.0</v>
      </c>
      <c r="Y15" s="96">
        <v>35.0</v>
      </c>
      <c r="Z15" s="96">
        <v>30.0</v>
      </c>
      <c r="AA15" s="96">
        <v>97.0</v>
      </c>
      <c r="AB15" s="96">
        <v>82.0</v>
      </c>
      <c r="AC15" s="96">
        <v>60.0</v>
      </c>
      <c r="AD15" s="96">
        <v>42.0</v>
      </c>
      <c r="AE15" s="98">
        <f t="shared" si="1"/>
        <v>941.0</v>
      </c>
      <c r="AF15" s="96">
        <v>60.0</v>
      </c>
      <c r="AG15" s="96">
        <v>77.0</v>
      </c>
      <c r="AH15" s="96">
        <v>67.0</v>
      </c>
      <c r="AI15" s="96">
        <v>23.0</v>
      </c>
      <c r="AJ15" s="96">
        <v>47.0</v>
      </c>
      <c r="AK15" s="96">
        <v>24.0</v>
      </c>
      <c r="AL15" s="117">
        <v>36.0</v>
      </c>
      <c r="AM15" s="117">
        <v>36.0</v>
      </c>
      <c r="AN15" s="117">
        <v>13.0</v>
      </c>
      <c r="AO15" s="110">
        <v>60.0</v>
      </c>
      <c r="AP15" s="110">
        <v>24.0</v>
      </c>
      <c r="AQ15" s="110">
        <v>60.0</v>
      </c>
      <c r="AR15" s="98">
        <f t="shared" si="2"/>
        <v>527.0</v>
      </c>
    </row>
    <row r="16" ht="14.0">
      <c r="A16" s="104" t="s">
        <v>45</v>
      </c>
      <c r="B16" s="96" t="s">
        <v>29</v>
      </c>
      <c r="C16" s="105" t="s">
        <v>52</v>
      </c>
      <c r="D16" s="106" t="s">
        <v>53</v>
      </c>
      <c r="E16" s="96">
        <v>78.0</v>
      </c>
      <c r="F16" s="96">
        <v>114.0</v>
      </c>
      <c r="G16" s="96">
        <v>114.0</v>
      </c>
      <c r="H16" s="96">
        <v>135.0</v>
      </c>
      <c r="I16" s="96">
        <v>42.0</v>
      </c>
      <c r="J16" s="96">
        <v>55.0</v>
      </c>
      <c r="K16" s="96">
        <v>95.0</v>
      </c>
      <c r="L16" s="96">
        <v>66.0</v>
      </c>
      <c r="M16" s="96">
        <v>53.0</v>
      </c>
      <c r="N16" s="96">
        <v>72.0</v>
      </c>
      <c r="O16" s="96">
        <v>42.0</v>
      </c>
      <c r="P16" s="96">
        <v>41.0</v>
      </c>
      <c r="Q16" s="96">
        <v>60.0</v>
      </c>
      <c r="R16" s="98">
        <f t="shared" si="0"/>
        <v>889.0</v>
      </c>
      <c r="S16" s="96">
        <v>65.0</v>
      </c>
      <c r="T16" s="96">
        <v>108.0</v>
      </c>
      <c r="U16" s="96">
        <v>84.0</v>
      </c>
      <c r="V16" s="96">
        <v>29.0</v>
      </c>
      <c r="W16" s="96">
        <v>59.0</v>
      </c>
      <c r="X16" s="96">
        <v>36.0</v>
      </c>
      <c r="Y16" s="96">
        <v>42.0</v>
      </c>
      <c r="Z16" s="96">
        <v>48.0</v>
      </c>
      <c r="AA16" s="96">
        <v>48.0</v>
      </c>
      <c r="AB16" s="96">
        <v>66.0</v>
      </c>
      <c r="AC16" s="96">
        <v>48.0</v>
      </c>
      <c r="AD16" s="96">
        <v>30.0</v>
      </c>
      <c r="AE16" s="98">
        <f t="shared" si="1"/>
        <v>663.0</v>
      </c>
      <c r="AF16" s="96">
        <v>42.0</v>
      </c>
      <c r="AG16" s="96">
        <v>52.0</v>
      </c>
      <c r="AH16" s="96">
        <v>48.0</v>
      </c>
      <c r="AI16" s="96">
        <v>18.0</v>
      </c>
      <c r="AJ16" s="96">
        <v>65.0</v>
      </c>
      <c r="AK16" s="96">
        <v>24.0</v>
      </c>
      <c r="AL16" s="117">
        <v>30.0</v>
      </c>
      <c r="AM16" s="117">
        <v>18.0</v>
      </c>
      <c r="AN16" s="117">
        <v>13.0</v>
      </c>
      <c r="AO16" s="110">
        <v>60.0</v>
      </c>
      <c r="AP16" s="110">
        <v>10.0</v>
      </c>
      <c r="AQ16" s="110">
        <v>35.0</v>
      </c>
      <c r="AR16" s="98">
        <f t="shared" si="2"/>
        <v>415.0</v>
      </c>
    </row>
    <row r="17" ht="14.0">
      <c r="A17" s="104" t="s">
        <v>45</v>
      </c>
      <c r="B17" s="96" t="s">
        <v>29</v>
      </c>
      <c r="C17" s="105" t="s">
        <v>54</v>
      </c>
      <c r="D17" s="106" t="s">
        <v>55</v>
      </c>
      <c r="E17" s="96">
        <v>48.0</v>
      </c>
      <c r="F17" s="96">
        <v>77.0</v>
      </c>
      <c r="G17" s="96">
        <v>84.0</v>
      </c>
      <c r="H17" s="96">
        <v>36.0</v>
      </c>
      <c r="I17" s="96">
        <v>24.0</v>
      </c>
      <c r="J17" s="96">
        <v>30.0</v>
      </c>
      <c r="K17" s="96">
        <v>72.0</v>
      </c>
      <c r="L17" s="96">
        <v>18.0</v>
      </c>
      <c r="M17" s="96">
        <v>42.0</v>
      </c>
      <c r="N17" s="96">
        <v>18.0</v>
      </c>
      <c r="O17" s="96">
        <v>48.0</v>
      </c>
      <c r="P17" s="96">
        <v>18.0</v>
      </c>
      <c r="Q17" s="96">
        <v>48.0</v>
      </c>
      <c r="R17" s="98">
        <f t="shared" si="0"/>
        <v>515.0</v>
      </c>
      <c r="S17" s="96">
        <v>23.0</v>
      </c>
      <c r="T17" s="96">
        <v>48.0</v>
      </c>
      <c r="U17" s="96">
        <v>35.0</v>
      </c>
      <c r="V17" s="96">
        <v>18.0</v>
      </c>
      <c r="W17" s="96">
        <v>60.0</v>
      </c>
      <c r="X17" s="96">
        <v>36.0</v>
      </c>
      <c r="Y17" s="96">
        <v>5.0</v>
      </c>
      <c r="Z17" s="96">
        <v>18.0</v>
      </c>
      <c r="AA17" s="96">
        <v>25.0</v>
      </c>
      <c r="AB17" s="96">
        <v>36.0</v>
      </c>
      <c r="AC17" s="96">
        <v>54.0</v>
      </c>
      <c r="AD17" s="96">
        <v>0.0</v>
      </c>
      <c r="AE17" s="98">
        <f t="shared" si="1"/>
        <v>358.0</v>
      </c>
      <c r="AF17" s="96">
        <v>18.0</v>
      </c>
      <c r="AG17" s="96">
        <v>46.0</v>
      </c>
      <c r="AH17" s="96">
        <v>22.0</v>
      </c>
      <c r="AI17" s="96">
        <v>12.0</v>
      </c>
      <c r="AJ17" s="96">
        <v>6.0</v>
      </c>
      <c r="AK17" s="96">
        <v>18.0</v>
      </c>
      <c r="AL17" s="117">
        <v>24.0</v>
      </c>
      <c r="AM17" s="117">
        <v>6.0</v>
      </c>
      <c r="AN17" s="117">
        <v>1.0</v>
      </c>
      <c r="AO17" s="110">
        <v>11.0</v>
      </c>
      <c r="AP17" s="110">
        <v>6.0</v>
      </c>
      <c r="AQ17" s="110">
        <v>18.0</v>
      </c>
      <c r="AR17" s="98">
        <f t="shared" si="2"/>
        <v>188.0</v>
      </c>
    </row>
    <row r="18" ht="14.0">
      <c r="A18" s="104" t="s">
        <v>45</v>
      </c>
      <c r="B18" s="96" t="s">
        <v>29</v>
      </c>
      <c r="C18" s="105" t="s">
        <v>56</v>
      </c>
      <c r="D18" s="106" t="s">
        <v>57</v>
      </c>
      <c r="E18" s="96">
        <v>40.0</v>
      </c>
      <c r="F18" s="96">
        <v>71.0</v>
      </c>
      <c r="G18" s="96">
        <v>113.0</v>
      </c>
      <c r="H18" s="96">
        <v>36.0</v>
      </c>
      <c r="I18" s="96">
        <v>24.0</v>
      </c>
      <c r="J18" s="96">
        <v>30.0</v>
      </c>
      <c r="K18" s="96">
        <v>66.0</v>
      </c>
      <c r="L18" s="96">
        <v>42.0</v>
      </c>
      <c r="M18" s="96">
        <v>24.0</v>
      </c>
      <c r="N18" s="96">
        <v>54.0</v>
      </c>
      <c r="O18" s="96">
        <v>54.0</v>
      </c>
      <c r="P18" s="96">
        <v>36.0</v>
      </c>
      <c r="Q18" s="96">
        <v>48.0</v>
      </c>
      <c r="R18" s="98">
        <f t="shared" si="0"/>
        <v>598.0</v>
      </c>
      <c r="S18" s="96">
        <v>30.0</v>
      </c>
      <c r="T18" s="96">
        <v>66.0</v>
      </c>
      <c r="U18" s="96">
        <v>54.0</v>
      </c>
      <c r="V18" s="96">
        <v>30.0</v>
      </c>
      <c r="W18" s="96">
        <v>66.0</v>
      </c>
      <c r="X18" s="96">
        <v>30.0</v>
      </c>
      <c r="Y18" s="96">
        <v>23.0</v>
      </c>
      <c r="Z18" s="96">
        <v>30.0</v>
      </c>
      <c r="AA18" s="96">
        <v>24.0</v>
      </c>
      <c r="AB18" s="96">
        <v>48.0</v>
      </c>
      <c r="AC18" s="96">
        <v>36.0</v>
      </c>
      <c r="AD18" s="96">
        <v>30.0</v>
      </c>
      <c r="AE18" s="98">
        <f t="shared" si="1"/>
        <v>467.0</v>
      </c>
      <c r="AF18" s="96">
        <v>36.0</v>
      </c>
      <c r="AG18" s="96">
        <v>36.0</v>
      </c>
      <c r="AH18" s="96">
        <v>18.0</v>
      </c>
      <c r="AI18" s="96">
        <v>24.0</v>
      </c>
      <c r="AJ18" s="96">
        <v>48.0</v>
      </c>
      <c r="AK18" s="96">
        <v>18.0</v>
      </c>
      <c r="AL18" s="117">
        <v>18.0</v>
      </c>
      <c r="AM18" s="117">
        <v>18.0</v>
      </c>
      <c r="AN18" s="117">
        <v>19.0</v>
      </c>
      <c r="AO18" s="110">
        <v>18.0</v>
      </c>
      <c r="AP18" s="110">
        <v>7.0</v>
      </c>
      <c r="AQ18" s="110">
        <v>12.0</v>
      </c>
      <c r="AR18" s="98">
        <f t="shared" si="2"/>
        <v>272.0</v>
      </c>
    </row>
    <row r="19" ht="14.0" customFormat="1" s="49">
      <c r="A19" s="96"/>
      <c r="B19" s="96"/>
      <c r="C19" s="96" t="s">
        <v>218</v>
      </c>
      <c r="D19" s="97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8">
        <f t="shared" si="0"/>
        <v>0.0</v>
      </c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8">
        <f t="shared" si="1"/>
        <v>0.0</v>
      </c>
      <c r="AF19" s="96"/>
      <c r="AG19" s="96"/>
      <c r="AH19" s="96"/>
      <c r="AI19" s="96"/>
      <c r="AJ19" s="96"/>
      <c r="AK19" s="96"/>
      <c r="AL19" s="134">
        <f>AL20*6*4</f>
        <v>0.0</v>
      </c>
      <c r="AM19" s="134">
        <f>AM20*6*4</f>
        <v>0.0</v>
      </c>
      <c r="AN19" s="134">
        <f>AN20*6*4</f>
        <v>72.0</v>
      </c>
      <c r="AO19" s="134">
        <f>AO20*6*4</f>
        <v>96.0</v>
      </c>
      <c r="AP19" s="134">
        <f>AP20*6*4</f>
        <v>192.0</v>
      </c>
      <c r="AQ19" s="134">
        <f>AQ20*6*4</f>
        <v>144.0</v>
      </c>
      <c r="AR19" s="98">
        <f t="shared" si="2"/>
        <v>504.0</v>
      </c>
    </row>
    <row r="20" ht="14.0">
      <c r="A20" s="96" t="s">
        <v>28</v>
      </c>
      <c r="B20" s="96" t="s">
        <v>29</v>
      </c>
      <c r="C20" s="96" t="s">
        <v>190</v>
      </c>
      <c r="D20" s="97" t="s">
        <v>191</v>
      </c>
      <c r="E20" s="96">
        <v>0.0</v>
      </c>
      <c r="F20" s="96">
        <v>0.0</v>
      </c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96">
        <v>0.0</v>
      </c>
      <c r="M20" s="96">
        <v>0.0</v>
      </c>
      <c r="N20" s="96">
        <v>0.0</v>
      </c>
      <c r="O20" s="96">
        <v>0.0</v>
      </c>
      <c r="P20" s="96">
        <v>0.0</v>
      </c>
      <c r="Q20" s="96">
        <v>0.0</v>
      </c>
      <c r="R20" s="98">
        <f t="shared" si="0"/>
        <v>0.0</v>
      </c>
      <c r="S20" s="96">
        <v>0.0</v>
      </c>
      <c r="T20" s="96">
        <v>0.0</v>
      </c>
      <c r="U20" s="96">
        <v>0.0</v>
      </c>
      <c r="V20" s="96">
        <v>0.0</v>
      </c>
      <c r="W20" s="96">
        <v>0.0</v>
      </c>
      <c r="X20" s="96">
        <v>0.0</v>
      </c>
      <c r="Y20" s="96">
        <v>0.0</v>
      </c>
      <c r="Z20" s="96">
        <v>0.0</v>
      </c>
      <c r="AA20" s="96">
        <v>0.0</v>
      </c>
      <c r="AB20" s="96">
        <v>0.0</v>
      </c>
      <c r="AC20" s="96">
        <v>0.0</v>
      </c>
      <c r="AD20" s="96">
        <v>0.0</v>
      </c>
      <c r="AE20" s="98">
        <f t="shared" si="1"/>
        <v>0.0</v>
      </c>
      <c r="AF20" s="96">
        <v>0.0</v>
      </c>
      <c r="AG20" s="96">
        <v>0.0</v>
      </c>
      <c r="AH20" s="96">
        <v>0.0</v>
      </c>
      <c r="AI20" s="96">
        <v>0.0</v>
      </c>
      <c r="AJ20" s="96">
        <v>0.0</v>
      </c>
      <c r="AK20" s="96">
        <v>0.0</v>
      </c>
      <c r="AL20" s="96">
        <v>0.0</v>
      </c>
      <c r="AM20" s="96">
        <v>0.0</v>
      </c>
      <c r="AN20" s="117">
        <v>3.0</v>
      </c>
      <c r="AO20" s="110">
        <v>4.0</v>
      </c>
      <c r="AP20" s="110">
        <v>8.0</v>
      </c>
      <c r="AQ20" s="110">
        <v>6.0</v>
      </c>
      <c r="AR20" s="98">
        <f t="shared" si="2"/>
        <v>21.0</v>
      </c>
    </row>
    <row r="21" ht="14.0">
      <c r="A21" s="96" t="s">
        <v>28</v>
      </c>
      <c r="B21" s="96" t="s">
        <v>29</v>
      </c>
      <c r="C21" s="96" t="s">
        <v>192</v>
      </c>
      <c r="D21" s="97" t="s">
        <v>193</v>
      </c>
      <c r="E21" s="96">
        <v>0.0</v>
      </c>
      <c r="F21" s="96">
        <v>0.0</v>
      </c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96">
        <v>0.0</v>
      </c>
      <c r="M21" s="96">
        <v>0.0</v>
      </c>
      <c r="N21" s="96">
        <v>0.0</v>
      </c>
      <c r="O21" s="96">
        <v>0.0</v>
      </c>
      <c r="P21" s="96">
        <v>0.0</v>
      </c>
      <c r="Q21" s="96">
        <v>0.0</v>
      </c>
      <c r="R21" s="98">
        <f t="shared" si="0"/>
        <v>0.0</v>
      </c>
      <c r="S21" s="96">
        <v>0.0</v>
      </c>
      <c r="T21" s="96">
        <v>0.0</v>
      </c>
      <c r="U21" s="96">
        <v>0.0</v>
      </c>
      <c r="V21" s="96">
        <v>0.0</v>
      </c>
      <c r="W21" s="96">
        <v>0.0</v>
      </c>
      <c r="X21" s="96">
        <v>0.0</v>
      </c>
      <c r="Y21" s="96">
        <v>0.0</v>
      </c>
      <c r="Z21" s="96">
        <v>0.0</v>
      </c>
      <c r="AA21" s="96">
        <v>0.0</v>
      </c>
      <c r="AB21" s="96">
        <v>0.0</v>
      </c>
      <c r="AC21" s="96">
        <v>0.0</v>
      </c>
      <c r="AD21" s="96">
        <v>0.0</v>
      </c>
      <c r="AE21" s="98">
        <f t="shared" si="1"/>
        <v>0.0</v>
      </c>
      <c r="AF21" s="96">
        <v>0.0</v>
      </c>
      <c r="AG21" s="96">
        <v>0.0</v>
      </c>
      <c r="AH21" s="96">
        <v>0.0</v>
      </c>
      <c r="AI21" s="96">
        <v>0.0</v>
      </c>
      <c r="AJ21" s="96">
        <v>0.0</v>
      </c>
      <c r="AK21" s="96">
        <v>0.0</v>
      </c>
      <c r="AL21" s="96">
        <v>0.0</v>
      </c>
      <c r="AM21" s="96">
        <v>0.0</v>
      </c>
      <c r="AN21" s="117">
        <v>780.0</v>
      </c>
      <c r="AO21" s="110">
        <v>296.0</v>
      </c>
      <c r="AP21" s="110">
        <v>168.0</v>
      </c>
      <c r="AQ21" s="110">
        <v>311.0</v>
      </c>
      <c r="AR21" s="98">
        <f t="shared" si="2"/>
        <v>1555.0</v>
      </c>
    </row>
    <row r="22" ht="14.0">
      <c r="A22" s="96" t="s">
        <v>28</v>
      </c>
      <c r="B22" s="96" t="s">
        <v>29</v>
      </c>
      <c r="C22" s="96" t="s">
        <v>194</v>
      </c>
      <c r="D22" s="97" t="s">
        <v>195</v>
      </c>
      <c r="E22" s="96">
        <v>0.0</v>
      </c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96">
        <v>0.0</v>
      </c>
      <c r="M22" s="96">
        <v>0.0</v>
      </c>
      <c r="N22" s="96">
        <v>0.0</v>
      </c>
      <c r="O22" s="96">
        <v>0.0</v>
      </c>
      <c r="P22" s="96">
        <v>0.0</v>
      </c>
      <c r="Q22" s="96">
        <v>0.0</v>
      </c>
      <c r="R22" s="98">
        <f t="shared" si="0"/>
        <v>0.0</v>
      </c>
      <c r="S22" s="96">
        <v>0.0</v>
      </c>
      <c r="T22" s="96">
        <v>0.0</v>
      </c>
      <c r="U22" s="96">
        <v>0.0</v>
      </c>
      <c r="V22" s="96">
        <v>0.0</v>
      </c>
      <c r="W22" s="96">
        <v>0.0</v>
      </c>
      <c r="X22" s="96">
        <v>0.0</v>
      </c>
      <c r="Y22" s="96">
        <v>0.0</v>
      </c>
      <c r="Z22" s="96">
        <v>0.0</v>
      </c>
      <c r="AA22" s="96">
        <v>0.0</v>
      </c>
      <c r="AB22" s="96">
        <v>0.0</v>
      </c>
      <c r="AC22" s="96">
        <v>0.0</v>
      </c>
      <c r="AD22" s="96">
        <v>0.0</v>
      </c>
      <c r="AE22" s="98">
        <f t="shared" si="1"/>
        <v>0.0</v>
      </c>
      <c r="AF22" s="96">
        <v>0.0</v>
      </c>
      <c r="AG22" s="96">
        <v>0.0</v>
      </c>
      <c r="AH22" s="96">
        <v>0.0</v>
      </c>
      <c r="AI22" s="96">
        <v>0.0</v>
      </c>
      <c r="AJ22" s="96">
        <v>0.0</v>
      </c>
      <c r="AK22" s="96">
        <v>0.0</v>
      </c>
      <c r="AL22" s="96">
        <v>0.0</v>
      </c>
      <c r="AM22" s="96">
        <v>0.0</v>
      </c>
      <c r="AN22" s="117">
        <v>90.0</v>
      </c>
      <c r="AO22" s="110">
        <v>253.0</v>
      </c>
      <c r="AP22" s="110">
        <v>142.0</v>
      </c>
      <c r="AQ22" s="110">
        <v>221.0</v>
      </c>
      <c r="AR22" s="98">
        <f t="shared" si="2"/>
        <v>706.0</v>
      </c>
    </row>
    <row r="23" ht="14.0">
      <c r="A23" s="96" t="s">
        <v>28</v>
      </c>
      <c r="B23" s="96" t="s">
        <v>29</v>
      </c>
      <c r="C23" s="96" t="s">
        <v>196</v>
      </c>
      <c r="D23" s="97" t="s">
        <v>197</v>
      </c>
      <c r="E23" s="96">
        <v>0.0</v>
      </c>
      <c r="F23" s="96">
        <v>0.0</v>
      </c>
      <c r="G23" s="96">
        <v>0.0</v>
      </c>
      <c r="H23" s="96">
        <v>0.0</v>
      </c>
      <c r="I23" s="96">
        <v>0.0</v>
      </c>
      <c r="J23" s="96">
        <v>0.0</v>
      </c>
      <c r="K23" s="96">
        <v>0.0</v>
      </c>
      <c r="L23" s="96">
        <v>0.0</v>
      </c>
      <c r="M23" s="96">
        <v>0.0</v>
      </c>
      <c r="N23" s="96">
        <v>0.0</v>
      </c>
      <c r="O23" s="96">
        <v>0.0</v>
      </c>
      <c r="P23" s="96">
        <v>0.0</v>
      </c>
      <c r="Q23" s="96">
        <v>0.0</v>
      </c>
      <c r="R23" s="98">
        <f t="shared" si="0"/>
        <v>0.0</v>
      </c>
      <c r="S23" s="96">
        <v>0.0</v>
      </c>
      <c r="T23" s="96">
        <v>0.0</v>
      </c>
      <c r="U23" s="96">
        <v>0.0</v>
      </c>
      <c r="V23" s="96">
        <v>0.0</v>
      </c>
      <c r="W23" s="96">
        <v>0.0</v>
      </c>
      <c r="X23" s="96">
        <v>0.0</v>
      </c>
      <c r="Y23" s="96">
        <v>0.0</v>
      </c>
      <c r="Z23" s="96">
        <v>0.0</v>
      </c>
      <c r="AA23" s="96">
        <v>0.0</v>
      </c>
      <c r="AB23" s="96">
        <v>0.0</v>
      </c>
      <c r="AC23" s="96">
        <v>0.0</v>
      </c>
      <c r="AD23" s="96">
        <v>0.0</v>
      </c>
      <c r="AE23" s="98">
        <f t="shared" si="1"/>
        <v>0.0</v>
      </c>
      <c r="AF23" s="96">
        <v>0.0</v>
      </c>
      <c r="AG23" s="96">
        <v>0.0</v>
      </c>
      <c r="AH23" s="96">
        <v>0.0</v>
      </c>
      <c r="AI23" s="96">
        <v>0.0</v>
      </c>
      <c r="AJ23" s="96">
        <v>0.0</v>
      </c>
      <c r="AK23" s="96">
        <v>0.0</v>
      </c>
      <c r="AL23" s="96">
        <v>0.0</v>
      </c>
      <c r="AM23" s="96">
        <v>0.0</v>
      </c>
      <c r="AN23" s="117">
        <v>60.0</v>
      </c>
      <c r="AO23" s="110">
        <v>175.0</v>
      </c>
      <c r="AP23" s="110">
        <v>101.0</v>
      </c>
      <c r="AQ23" s="110">
        <v>108.0</v>
      </c>
      <c r="AR23" s="98">
        <f t="shared" si="2"/>
        <v>444.0</v>
      </c>
    </row>
    <row r="24" ht="14.0">
      <c r="A24" s="96" t="s">
        <v>28</v>
      </c>
      <c r="B24" s="96" t="s">
        <v>29</v>
      </c>
      <c r="C24" s="96" t="s">
        <v>198</v>
      </c>
      <c r="D24" s="97" t="s">
        <v>199</v>
      </c>
      <c r="E24" s="96">
        <v>0.0</v>
      </c>
      <c r="F24" s="96">
        <v>0.0</v>
      </c>
      <c r="G24" s="96">
        <v>0.0</v>
      </c>
      <c r="H24" s="96">
        <v>0.0</v>
      </c>
      <c r="I24" s="96">
        <v>0.0</v>
      </c>
      <c r="J24" s="96">
        <v>0.0</v>
      </c>
      <c r="K24" s="96">
        <v>0.0</v>
      </c>
      <c r="L24" s="96">
        <v>0.0</v>
      </c>
      <c r="M24" s="96">
        <v>0.0</v>
      </c>
      <c r="N24" s="96">
        <v>0.0</v>
      </c>
      <c r="O24" s="96">
        <v>0.0</v>
      </c>
      <c r="P24" s="96">
        <v>0.0</v>
      </c>
      <c r="Q24" s="96">
        <v>0.0</v>
      </c>
      <c r="R24" s="98">
        <f t="shared" si="0"/>
        <v>0.0</v>
      </c>
      <c r="S24" s="96">
        <v>0.0</v>
      </c>
      <c r="T24" s="96">
        <v>0.0</v>
      </c>
      <c r="U24" s="96">
        <v>0.0</v>
      </c>
      <c r="V24" s="96">
        <v>0.0</v>
      </c>
      <c r="W24" s="96">
        <v>0.0</v>
      </c>
      <c r="X24" s="96">
        <v>0.0</v>
      </c>
      <c r="Y24" s="96">
        <v>0.0</v>
      </c>
      <c r="Z24" s="96">
        <v>0.0</v>
      </c>
      <c r="AA24" s="96">
        <v>0.0</v>
      </c>
      <c r="AB24" s="96">
        <v>0.0</v>
      </c>
      <c r="AC24" s="96">
        <v>0.0</v>
      </c>
      <c r="AD24" s="96">
        <v>0.0</v>
      </c>
      <c r="AE24" s="98">
        <f t="shared" si="1"/>
        <v>0.0</v>
      </c>
      <c r="AF24" s="96">
        <v>0.0</v>
      </c>
      <c r="AG24" s="96">
        <v>0.0</v>
      </c>
      <c r="AH24" s="96">
        <v>0.0</v>
      </c>
      <c r="AI24" s="96">
        <v>0.0</v>
      </c>
      <c r="AJ24" s="96">
        <v>0.0</v>
      </c>
      <c r="AK24" s="96">
        <v>0.0</v>
      </c>
      <c r="AL24" s="96">
        <v>0.0</v>
      </c>
      <c r="AM24" s="96">
        <v>0.0</v>
      </c>
      <c r="AN24" s="117">
        <v>474.0</v>
      </c>
      <c r="AO24" s="110">
        <v>229.0</v>
      </c>
      <c r="AP24" s="110">
        <v>138.0</v>
      </c>
      <c r="AQ24" s="110">
        <v>208.0</v>
      </c>
      <c r="AR24" s="98">
        <f t="shared" si="2"/>
        <v>1049.0</v>
      </c>
    </row>
    <row r="25" ht="14.0" customFormat="1" s="49">
      <c r="A25" s="96"/>
      <c r="B25" s="96"/>
      <c r="C25" s="96" t="s">
        <v>219</v>
      </c>
      <c r="D25" s="97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8">
        <f t="shared" si="0"/>
        <v>0.0</v>
      </c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8">
        <f t="shared" si="1"/>
        <v>0.0</v>
      </c>
      <c r="AF25" s="96"/>
      <c r="AG25" s="96"/>
      <c r="AH25" s="96"/>
      <c r="AI25" s="96"/>
      <c r="AJ25" s="96"/>
      <c r="AK25" s="96"/>
      <c r="AL25" s="134">
        <f>AL26*6*6</f>
        <v>0.0</v>
      </c>
      <c r="AM25" s="134">
        <f>AM26*6*6</f>
        <v>0.0</v>
      </c>
      <c r="AN25" s="134">
        <f>AN26*6*6</f>
        <v>72.0</v>
      </c>
      <c r="AO25" s="134">
        <f>AO26*6*6</f>
        <v>0.0</v>
      </c>
      <c r="AP25" s="134">
        <f>AP26*6*6</f>
        <v>0.0</v>
      </c>
      <c r="AQ25" s="134">
        <f>AQ26*6*6</f>
        <v>0.0</v>
      </c>
      <c r="AR25" s="98">
        <f t="shared" si="2"/>
        <v>72.0</v>
      </c>
    </row>
    <row r="26" ht="14.0">
      <c r="A26" s="96" t="s">
        <v>28</v>
      </c>
      <c r="B26" s="96" t="s">
        <v>29</v>
      </c>
      <c r="C26" s="96" t="s">
        <v>200</v>
      </c>
      <c r="D26" s="97" t="s">
        <v>201</v>
      </c>
      <c r="E26" s="96">
        <v>0.0</v>
      </c>
      <c r="F26" s="96">
        <v>0.0</v>
      </c>
      <c r="G26" s="96">
        <v>0.0</v>
      </c>
      <c r="H26" s="96">
        <v>0.0</v>
      </c>
      <c r="I26" s="96">
        <v>0.0</v>
      </c>
      <c r="J26" s="96">
        <v>0.0</v>
      </c>
      <c r="K26" s="96">
        <v>0.0</v>
      </c>
      <c r="L26" s="96">
        <v>0.0</v>
      </c>
      <c r="M26" s="96">
        <v>0.0</v>
      </c>
      <c r="N26" s="96">
        <v>0.0</v>
      </c>
      <c r="O26" s="96">
        <v>0.0</v>
      </c>
      <c r="P26" s="96">
        <v>0.0</v>
      </c>
      <c r="Q26" s="96">
        <v>0.0</v>
      </c>
      <c r="R26" s="98">
        <f t="shared" si="0"/>
        <v>0.0</v>
      </c>
      <c r="S26" s="96">
        <v>0.0</v>
      </c>
      <c r="T26" s="96">
        <v>0.0</v>
      </c>
      <c r="U26" s="96">
        <v>0.0</v>
      </c>
      <c r="V26" s="96">
        <v>0.0</v>
      </c>
      <c r="W26" s="96">
        <v>0.0</v>
      </c>
      <c r="X26" s="96">
        <v>0.0</v>
      </c>
      <c r="Y26" s="96">
        <v>0.0</v>
      </c>
      <c r="Z26" s="96">
        <v>0.0</v>
      </c>
      <c r="AA26" s="96">
        <v>0.0</v>
      </c>
      <c r="AB26" s="96">
        <v>0.0</v>
      </c>
      <c r="AC26" s="96">
        <v>0.0</v>
      </c>
      <c r="AD26" s="96">
        <v>0.0</v>
      </c>
      <c r="AE26" s="98">
        <f t="shared" si="1"/>
        <v>0.0</v>
      </c>
      <c r="AF26" s="96">
        <v>0.0</v>
      </c>
      <c r="AG26" s="96">
        <v>0.0</v>
      </c>
      <c r="AH26" s="96">
        <v>0.0</v>
      </c>
      <c r="AI26" s="96">
        <v>0.0</v>
      </c>
      <c r="AJ26" s="96">
        <v>0.0</v>
      </c>
      <c r="AK26" s="96">
        <v>0.0</v>
      </c>
      <c r="AL26" s="96">
        <v>0.0</v>
      </c>
      <c r="AM26" s="96">
        <v>0.0</v>
      </c>
      <c r="AN26" s="117">
        <v>2.0</v>
      </c>
      <c r="AO26" s="110">
        <v>0.0</v>
      </c>
      <c r="AP26" s="110">
        <v>0.0</v>
      </c>
      <c r="AQ26" s="110">
        <v>0.0</v>
      </c>
      <c r="AR26" s="98">
        <f t="shared" si="2"/>
        <v>2.0</v>
      </c>
    </row>
    <row r="27" ht="14.0" customFormat="1" s="49">
      <c r="A27" s="96"/>
      <c r="B27" s="96"/>
      <c r="C27" s="96" t="s">
        <v>220</v>
      </c>
      <c r="D27" s="97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8">
        <f t="shared" si="0"/>
        <v>0.0</v>
      </c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8">
        <f t="shared" si="1"/>
        <v>0.0</v>
      </c>
      <c r="AF27" s="96"/>
      <c r="AG27" s="96"/>
      <c r="AH27" s="96"/>
      <c r="AI27" s="96"/>
      <c r="AJ27" s="96"/>
      <c r="AK27" s="96"/>
      <c r="AL27" s="134">
        <f>AL28*6*2</f>
        <v>0.0</v>
      </c>
      <c r="AM27" s="134">
        <f>AM28*6*2</f>
        <v>0.0</v>
      </c>
      <c r="AN27" s="134">
        <f>AN28*6*2</f>
        <v>24.0</v>
      </c>
      <c r="AO27" s="134">
        <f>AO28*6*2</f>
        <v>24.0</v>
      </c>
      <c r="AP27" s="134">
        <f>AP28*6*2</f>
        <v>36.0</v>
      </c>
      <c r="AQ27" s="134">
        <f>AQ28*6*2</f>
        <v>0.0</v>
      </c>
      <c r="AR27" s="98">
        <f t="shared" si="2"/>
        <v>84.0</v>
      </c>
    </row>
    <row r="28" ht="14.0">
      <c r="A28" s="96" t="s">
        <v>28</v>
      </c>
      <c r="B28" s="96" t="s">
        <v>29</v>
      </c>
      <c r="C28" s="96" t="s">
        <v>202</v>
      </c>
      <c r="D28" s="97" t="s">
        <v>203</v>
      </c>
      <c r="E28" s="96">
        <v>0.0</v>
      </c>
      <c r="F28" s="96">
        <v>0.0</v>
      </c>
      <c r="G28" s="96">
        <v>0.0</v>
      </c>
      <c r="H28" s="96">
        <v>0.0</v>
      </c>
      <c r="I28" s="96">
        <v>0.0</v>
      </c>
      <c r="J28" s="96">
        <v>0.0</v>
      </c>
      <c r="K28" s="96">
        <v>0.0</v>
      </c>
      <c r="L28" s="96">
        <v>0.0</v>
      </c>
      <c r="M28" s="96">
        <v>0.0</v>
      </c>
      <c r="N28" s="96">
        <v>0.0</v>
      </c>
      <c r="O28" s="96">
        <v>0.0</v>
      </c>
      <c r="P28" s="96">
        <v>0.0</v>
      </c>
      <c r="Q28" s="96">
        <v>0.0</v>
      </c>
      <c r="R28" s="98">
        <f t="shared" si="0"/>
        <v>0.0</v>
      </c>
      <c r="S28" s="96">
        <v>0.0</v>
      </c>
      <c r="T28" s="96">
        <v>0.0</v>
      </c>
      <c r="U28" s="96">
        <v>0.0</v>
      </c>
      <c r="V28" s="96">
        <v>0.0</v>
      </c>
      <c r="W28" s="96">
        <v>0.0</v>
      </c>
      <c r="X28" s="96">
        <v>0.0</v>
      </c>
      <c r="Y28" s="96">
        <v>0.0</v>
      </c>
      <c r="Z28" s="96">
        <v>0.0</v>
      </c>
      <c r="AA28" s="96">
        <v>0.0</v>
      </c>
      <c r="AB28" s="96">
        <v>0.0</v>
      </c>
      <c r="AC28" s="96">
        <v>0.0</v>
      </c>
      <c r="AD28" s="96">
        <v>0.0</v>
      </c>
      <c r="AE28" s="98">
        <f t="shared" si="1"/>
        <v>0.0</v>
      </c>
      <c r="AF28" s="96">
        <v>0.0</v>
      </c>
      <c r="AG28" s="96">
        <v>0.0</v>
      </c>
      <c r="AH28" s="96">
        <v>0.0</v>
      </c>
      <c r="AI28" s="96">
        <v>0.0</v>
      </c>
      <c r="AJ28" s="96">
        <v>0.0</v>
      </c>
      <c r="AK28" s="96">
        <v>0.0</v>
      </c>
      <c r="AL28" s="96">
        <v>0.0</v>
      </c>
      <c r="AM28" s="96">
        <v>0.0</v>
      </c>
      <c r="AN28" s="117">
        <v>2.0</v>
      </c>
      <c r="AO28" s="110">
        <v>2.0</v>
      </c>
      <c r="AP28" s="110">
        <v>3.0</v>
      </c>
      <c r="AQ28" s="110">
        <v>0.0</v>
      </c>
      <c r="AR28" s="98">
        <f t="shared" si="2"/>
        <v>7.0</v>
      </c>
    </row>
    <row r="29" ht="14.0">
      <c r="A29" s="96" t="s">
        <v>28</v>
      </c>
      <c r="B29" s="96" t="s">
        <v>29</v>
      </c>
      <c r="C29" s="96" t="s">
        <v>204</v>
      </c>
      <c r="D29" s="97" t="s">
        <v>205</v>
      </c>
      <c r="E29" s="96">
        <v>0.0</v>
      </c>
      <c r="F29" s="96">
        <v>0.0</v>
      </c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96">
        <v>0.0</v>
      </c>
      <c r="M29" s="96">
        <v>0.0</v>
      </c>
      <c r="N29" s="96">
        <v>0.0</v>
      </c>
      <c r="O29" s="96">
        <v>0.0</v>
      </c>
      <c r="P29" s="96">
        <v>0.0</v>
      </c>
      <c r="Q29" s="96">
        <v>0.0</v>
      </c>
      <c r="R29" s="98">
        <f t="shared" si="0"/>
        <v>0.0</v>
      </c>
      <c r="S29" s="96">
        <v>0.0</v>
      </c>
      <c r="T29" s="96">
        <v>0.0</v>
      </c>
      <c r="U29" s="96">
        <v>0.0</v>
      </c>
      <c r="V29" s="96">
        <v>0.0</v>
      </c>
      <c r="W29" s="96">
        <v>0.0</v>
      </c>
      <c r="X29" s="96">
        <v>0.0</v>
      </c>
      <c r="Y29" s="96">
        <v>0.0</v>
      </c>
      <c r="Z29" s="96">
        <v>0.0</v>
      </c>
      <c r="AA29" s="96">
        <v>0.0</v>
      </c>
      <c r="AB29" s="96">
        <v>0.0</v>
      </c>
      <c r="AC29" s="96">
        <v>0.0</v>
      </c>
      <c r="AD29" s="96">
        <v>0.0</v>
      </c>
      <c r="AE29" s="98">
        <f t="shared" si="1"/>
        <v>0.0</v>
      </c>
      <c r="AF29" s="96">
        <v>0.0</v>
      </c>
      <c r="AG29" s="96">
        <v>0.0</v>
      </c>
      <c r="AH29" s="96">
        <v>0.0</v>
      </c>
      <c r="AI29" s="96">
        <v>0.0</v>
      </c>
      <c r="AJ29" s="96">
        <v>0.0</v>
      </c>
      <c r="AK29" s="96">
        <v>0.0</v>
      </c>
      <c r="AL29" s="96">
        <v>0.0</v>
      </c>
      <c r="AM29" s="96">
        <v>0.0</v>
      </c>
      <c r="AN29" s="117">
        <v>72.0</v>
      </c>
      <c r="AO29" s="116">
        <v>403.0</v>
      </c>
      <c r="AP29" s="116">
        <v>180.0</v>
      </c>
      <c r="AQ29" s="116">
        <v>306.0</v>
      </c>
      <c r="AR29" s="98">
        <f t="shared" si="2"/>
        <v>961.0</v>
      </c>
    </row>
    <row r="30" ht="14.0">
      <c r="A30" s="96" t="s">
        <v>28</v>
      </c>
      <c r="B30" s="96" t="s">
        <v>29</v>
      </c>
      <c r="C30" s="96" t="s">
        <v>206</v>
      </c>
      <c r="D30" s="97" t="s">
        <v>207</v>
      </c>
      <c r="E30" s="96">
        <v>0.0</v>
      </c>
      <c r="F30" s="96">
        <v>0.0</v>
      </c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96">
        <v>0.0</v>
      </c>
      <c r="M30" s="96">
        <v>0.0</v>
      </c>
      <c r="N30" s="96">
        <v>0.0</v>
      </c>
      <c r="O30" s="96">
        <v>0.0</v>
      </c>
      <c r="P30" s="96">
        <v>0.0</v>
      </c>
      <c r="Q30" s="96">
        <v>0.0</v>
      </c>
      <c r="R30" s="98">
        <f t="shared" si="0"/>
        <v>0.0</v>
      </c>
      <c r="S30" s="96">
        <v>0.0</v>
      </c>
      <c r="T30" s="96">
        <v>0.0</v>
      </c>
      <c r="U30" s="96">
        <v>0.0</v>
      </c>
      <c r="V30" s="96">
        <v>0.0</v>
      </c>
      <c r="W30" s="96">
        <v>0.0</v>
      </c>
      <c r="X30" s="96">
        <v>0.0</v>
      </c>
      <c r="Y30" s="96">
        <v>0.0</v>
      </c>
      <c r="Z30" s="96">
        <v>0.0</v>
      </c>
      <c r="AA30" s="96">
        <v>0.0</v>
      </c>
      <c r="AB30" s="96">
        <v>0.0</v>
      </c>
      <c r="AC30" s="96">
        <v>0.0</v>
      </c>
      <c r="AD30" s="96">
        <v>0.0</v>
      </c>
      <c r="AE30" s="98">
        <f t="shared" si="1"/>
        <v>0.0</v>
      </c>
      <c r="AF30" s="96">
        <v>0.0</v>
      </c>
      <c r="AG30" s="96">
        <v>0.0</v>
      </c>
      <c r="AH30" s="96">
        <v>0.0</v>
      </c>
      <c r="AI30" s="96">
        <v>0.0</v>
      </c>
      <c r="AJ30" s="96">
        <v>0.0</v>
      </c>
      <c r="AK30" s="96">
        <v>0.0</v>
      </c>
      <c r="AL30" s="96">
        <v>0.0</v>
      </c>
      <c r="AM30" s="96">
        <v>0.0</v>
      </c>
      <c r="AN30" s="117">
        <v>66.0</v>
      </c>
      <c r="AO30" s="116">
        <v>277.0</v>
      </c>
      <c r="AP30" s="116">
        <v>107.0</v>
      </c>
      <c r="AQ30" s="116">
        <v>192.0</v>
      </c>
      <c r="AR30" s="98">
        <f t="shared" si="2"/>
        <v>642.0</v>
      </c>
    </row>
    <row r="31" ht="14.0" customFormat="1" s="49">
      <c r="A31" s="96"/>
      <c r="B31" s="96"/>
      <c r="C31" s="96" t="s">
        <v>221</v>
      </c>
      <c r="D31" s="97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8">
        <f t="shared" si="0"/>
        <v>0.0</v>
      </c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8">
        <f t="shared" si="1"/>
        <v>0.0</v>
      </c>
      <c r="AF31" s="96"/>
      <c r="AG31" s="96"/>
      <c r="AH31" s="96"/>
      <c r="AI31" s="96"/>
      <c r="AJ31" s="96"/>
      <c r="AK31" s="96"/>
      <c r="AL31" s="134">
        <f>AL32*6*4</f>
        <v>288.0</v>
      </c>
      <c r="AM31" s="134">
        <f>AM32*6*4</f>
        <v>192.0</v>
      </c>
      <c r="AN31" s="134">
        <f>AN32*6*4</f>
        <v>168.0</v>
      </c>
      <c r="AO31" s="134">
        <f>AO32*6*4</f>
        <v>144.0</v>
      </c>
      <c r="AP31" s="134">
        <f>AP32*6*4</f>
        <v>72.0</v>
      </c>
      <c r="AQ31" s="134">
        <f>AQ32*6*4</f>
        <v>144.0</v>
      </c>
      <c r="AR31" s="98">
        <f t="shared" si="2"/>
        <v>1008.0</v>
      </c>
    </row>
    <row r="32" ht="14.0">
      <c r="A32" s="96" t="s">
        <v>28</v>
      </c>
      <c r="B32" s="96" t="s">
        <v>29</v>
      </c>
      <c r="C32" s="96" t="s">
        <v>208</v>
      </c>
      <c r="D32" s="97" t="s">
        <v>209</v>
      </c>
      <c r="E32" s="96">
        <v>0.0</v>
      </c>
      <c r="F32" s="96">
        <v>0.0</v>
      </c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96">
        <v>0.0</v>
      </c>
      <c r="M32" s="96">
        <v>0.0</v>
      </c>
      <c r="N32" s="96">
        <v>0.0</v>
      </c>
      <c r="O32" s="96">
        <v>0.0</v>
      </c>
      <c r="P32" s="96">
        <v>0.0</v>
      </c>
      <c r="Q32" s="96">
        <v>0.0</v>
      </c>
      <c r="R32" s="98">
        <f t="shared" si="0"/>
        <v>0.0</v>
      </c>
      <c r="S32" s="96">
        <v>0.0</v>
      </c>
      <c r="T32" s="96">
        <v>0.0</v>
      </c>
      <c r="U32" s="96">
        <v>0.0</v>
      </c>
      <c r="V32" s="96">
        <v>0.0</v>
      </c>
      <c r="W32" s="96">
        <v>0.0</v>
      </c>
      <c r="X32" s="96">
        <v>0.0</v>
      </c>
      <c r="Y32" s="96">
        <v>0.0</v>
      </c>
      <c r="Z32" s="96">
        <v>0.0</v>
      </c>
      <c r="AA32" s="96">
        <v>0.0</v>
      </c>
      <c r="AB32" s="96">
        <v>0.0</v>
      </c>
      <c r="AC32" s="96">
        <v>0.0</v>
      </c>
      <c r="AD32" s="96">
        <v>0.0</v>
      </c>
      <c r="AE32" s="98">
        <f t="shared" si="1"/>
        <v>0.0</v>
      </c>
      <c r="AF32" s="96">
        <v>0.0</v>
      </c>
      <c r="AG32" s="96">
        <v>0.0</v>
      </c>
      <c r="AH32" s="96">
        <v>0.0</v>
      </c>
      <c r="AI32" s="96">
        <v>0.0</v>
      </c>
      <c r="AJ32" s="96">
        <v>0.0</v>
      </c>
      <c r="AK32" s="96">
        <v>0.0</v>
      </c>
      <c r="AL32" s="96">
        <v>12.0</v>
      </c>
      <c r="AM32" s="96">
        <v>8.0</v>
      </c>
      <c r="AN32" s="96">
        <v>7.0</v>
      </c>
      <c r="AO32" s="49">
        <v>6.0</v>
      </c>
      <c r="AP32" s="49">
        <v>3.0</v>
      </c>
      <c r="AQ32" s="49">
        <v>6.0</v>
      </c>
      <c r="AR32" s="98">
        <f t="shared" si="2"/>
        <v>42.0</v>
      </c>
    </row>
    <row r="33" ht="14.0">
      <c r="A33" s="96" t="s">
        <v>28</v>
      </c>
      <c r="B33" s="96" t="s">
        <v>29</v>
      </c>
      <c r="C33" s="96" t="s">
        <v>60</v>
      </c>
      <c r="D33" s="97" t="s">
        <v>61</v>
      </c>
      <c r="E33" s="96">
        <v>0.0</v>
      </c>
      <c r="F33" s="96">
        <v>0.0</v>
      </c>
      <c r="G33" s="96">
        <v>0.0</v>
      </c>
      <c r="H33" s="96">
        <v>0.0</v>
      </c>
      <c r="I33" s="96">
        <v>0.0</v>
      </c>
      <c r="J33" s="96">
        <v>0.0</v>
      </c>
      <c r="K33" s="96">
        <v>0.0</v>
      </c>
      <c r="L33" s="96">
        <v>0.0</v>
      </c>
      <c r="M33" s="96">
        <v>0.0</v>
      </c>
      <c r="N33" s="96">
        <v>0.0</v>
      </c>
      <c r="O33" s="96">
        <v>182.0</v>
      </c>
      <c r="P33" s="96">
        <v>96.0</v>
      </c>
      <c r="Q33" s="96">
        <v>630.0</v>
      </c>
      <c r="R33" s="98">
        <f t="shared" si="0"/>
        <v>908.0</v>
      </c>
      <c r="S33" s="96">
        <v>714.0</v>
      </c>
      <c r="T33" s="96">
        <v>1034.0</v>
      </c>
      <c r="U33" s="96">
        <v>266.0</v>
      </c>
      <c r="V33" s="96">
        <v>66.0</v>
      </c>
      <c r="W33" s="96">
        <v>12.0</v>
      </c>
      <c r="X33" s="96">
        <v>18.0</v>
      </c>
      <c r="Y33" s="96">
        <v>1088.0</v>
      </c>
      <c r="Z33" s="96">
        <v>0.0</v>
      </c>
      <c r="AA33" s="96">
        <v>936.0</v>
      </c>
      <c r="AB33" s="96">
        <v>84.0</v>
      </c>
      <c r="AC33" s="96">
        <v>60.0</v>
      </c>
      <c r="AD33" s="96">
        <v>564.0</v>
      </c>
      <c r="AE33" s="98">
        <f t="shared" si="1"/>
        <v>4842.0</v>
      </c>
      <c r="AF33" s="96">
        <v>901.0</v>
      </c>
      <c r="AG33" s="96">
        <v>660.0</v>
      </c>
      <c r="AH33" s="96">
        <v>811.0</v>
      </c>
      <c r="AI33" s="96">
        <v>234.0</v>
      </c>
      <c r="AJ33" s="96">
        <v>54.0</v>
      </c>
      <c r="AK33" s="96">
        <v>348.0</v>
      </c>
      <c r="AL33" s="96">
        <v>595.0</v>
      </c>
      <c r="AM33" s="96">
        <v>402.0</v>
      </c>
      <c r="AN33" s="96">
        <v>628.0</v>
      </c>
      <c r="AO33" s="49">
        <v>722.0</v>
      </c>
      <c r="AP33" s="49">
        <v>203.0</v>
      </c>
      <c r="AQ33" s="49">
        <v>660.0</v>
      </c>
      <c r="AR33" s="98">
        <f t="shared" si="2"/>
        <v>6218.0</v>
      </c>
    </row>
    <row r="34" ht="14.0">
      <c r="A34" s="96" t="s">
        <v>28</v>
      </c>
      <c r="B34" s="96" t="s">
        <v>29</v>
      </c>
      <c r="C34" s="96" t="s">
        <v>62</v>
      </c>
      <c r="D34" s="97" t="s">
        <v>63</v>
      </c>
      <c r="E34" s="96">
        <v>0.0</v>
      </c>
      <c r="F34" s="96">
        <v>0.0</v>
      </c>
      <c r="G34" s="96">
        <v>0.0</v>
      </c>
      <c r="H34" s="96">
        <v>0.0</v>
      </c>
      <c r="I34" s="96">
        <v>0.0</v>
      </c>
      <c r="J34" s="96">
        <v>0.0</v>
      </c>
      <c r="K34" s="96">
        <v>0.0</v>
      </c>
      <c r="L34" s="96">
        <v>0.0</v>
      </c>
      <c r="M34" s="96">
        <v>0.0</v>
      </c>
      <c r="N34" s="96">
        <v>0.0</v>
      </c>
      <c r="O34" s="96">
        <v>181.0</v>
      </c>
      <c r="P34" s="96">
        <v>96.0</v>
      </c>
      <c r="Q34" s="96">
        <v>630.0</v>
      </c>
      <c r="R34" s="98">
        <f t="shared" si="0"/>
        <v>907.0</v>
      </c>
      <c r="S34" s="96">
        <v>618.0</v>
      </c>
      <c r="T34" s="96">
        <v>950.0</v>
      </c>
      <c r="U34" s="96">
        <v>306.0</v>
      </c>
      <c r="V34" s="96">
        <v>54.0</v>
      </c>
      <c r="W34" s="96">
        <v>18.0</v>
      </c>
      <c r="X34" s="96">
        <v>48.0</v>
      </c>
      <c r="Y34" s="96">
        <v>1135.0</v>
      </c>
      <c r="Z34" s="96">
        <v>0.0</v>
      </c>
      <c r="AA34" s="96">
        <v>828.0</v>
      </c>
      <c r="AB34" s="96">
        <v>24.0</v>
      </c>
      <c r="AC34" s="96">
        <v>60.0</v>
      </c>
      <c r="AD34" s="96">
        <v>666.0</v>
      </c>
      <c r="AE34" s="98">
        <f t="shared" si="1"/>
        <v>4707.0</v>
      </c>
      <c r="AF34" s="96">
        <v>733.0</v>
      </c>
      <c r="AG34" s="96">
        <v>246.0</v>
      </c>
      <c r="AH34" s="96">
        <v>882.0</v>
      </c>
      <c r="AI34" s="96">
        <v>162.0</v>
      </c>
      <c r="AJ34" s="96">
        <v>31.0</v>
      </c>
      <c r="AK34" s="96">
        <v>241.0</v>
      </c>
      <c r="AL34" s="96">
        <v>489.0</v>
      </c>
      <c r="AM34" s="96">
        <v>456.0</v>
      </c>
      <c r="AN34" s="96">
        <v>145.0</v>
      </c>
      <c r="AO34" s="49">
        <v>558.0</v>
      </c>
      <c r="AP34" s="49">
        <v>153.0</v>
      </c>
      <c r="AQ34" s="49">
        <v>528.0</v>
      </c>
      <c r="AR34" s="98">
        <f t="shared" si="2"/>
        <v>4624.0</v>
      </c>
    </row>
    <row r="35" ht="14.0">
      <c r="A35" s="96" t="s">
        <v>28</v>
      </c>
      <c r="B35" s="96" t="s">
        <v>29</v>
      </c>
      <c r="C35" s="96" t="s">
        <v>65</v>
      </c>
      <c r="D35" s="97" t="s">
        <v>66</v>
      </c>
      <c r="E35" s="96">
        <v>0.0</v>
      </c>
      <c r="F35" s="96">
        <v>0.0</v>
      </c>
      <c r="G35" s="96">
        <v>0.0</v>
      </c>
      <c r="H35" s="96">
        <v>0.0</v>
      </c>
      <c r="I35" s="96">
        <v>0.0</v>
      </c>
      <c r="J35" s="96">
        <v>0.0</v>
      </c>
      <c r="K35" s="96">
        <v>0.0</v>
      </c>
      <c r="L35" s="96">
        <v>0.0</v>
      </c>
      <c r="M35" s="96">
        <v>0.0</v>
      </c>
      <c r="N35" s="96">
        <v>0.0</v>
      </c>
      <c r="O35" s="96">
        <v>1.0</v>
      </c>
      <c r="P35" s="96">
        <v>96.0</v>
      </c>
      <c r="Q35" s="96">
        <v>36.0</v>
      </c>
      <c r="R35" s="98">
        <f t="shared" si="0"/>
        <v>133.0</v>
      </c>
      <c r="S35" s="96">
        <v>126.0</v>
      </c>
      <c r="T35" s="96">
        <v>44.0</v>
      </c>
      <c r="U35" s="96">
        <v>408.0</v>
      </c>
      <c r="V35" s="96">
        <v>31.0</v>
      </c>
      <c r="W35" s="96">
        <v>36.0</v>
      </c>
      <c r="X35" s="96">
        <v>30.0</v>
      </c>
      <c r="Y35" s="96">
        <v>594.0</v>
      </c>
      <c r="Z35" s="96">
        <v>6.0</v>
      </c>
      <c r="AA35" s="96">
        <v>486.0</v>
      </c>
      <c r="AB35" s="96">
        <v>60.0</v>
      </c>
      <c r="AC35" s="96">
        <v>12.0</v>
      </c>
      <c r="AD35" s="96">
        <v>498.0</v>
      </c>
      <c r="AE35" s="98">
        <f t="shared" si="1"/>
        <v>2331.0</v>
      </c>
      <c r="AF35" s="96">
        <v>572.0</v>
      </c>
      <c r="AG35" s="96">
        <v>470.0</v>
      </c>
      <c r="AH35" s="96">
        <v>715.0</v>
      </c>
      <c r="AI35" s="96">
        <v>139.0</v>
      </c>
      <c r="AJ35" s="96">
        <v>43.0</v>
      </c>
      <c r="AK35" s="96">
        <v>288.0</v>
      </c>
      <c r="AL35" s="96">
        <v>406.0</v>
      </c>
      <c r="AM35" s="96">
        <v>381.0</v>
      </c>
      <c r="AN35" s="96">
        <v>453.0</v>
      </c>
      <c r="AO35" s="49">
        <v>424.0</v>
      </c>
      <c r="AP35" s="49">
        <v>135.0</v>
      </c>
      <c r="AQ35" s="49">
        <v>496.0</v>
      </c>
      <c r="AR35" s="98">
        <f t="shared" si="2"/>
        <v>4522.0</v>
      </c>
    </row>
    <row r="36" ht="14.0">
      <c r="A36" s="96" t="s">
        <v>28</v>
      </c>
      <c r="B36" s="96" t="s">
        <v>29</v>
      </c>
      <c r="C36" s="96" t="s">
        <v>67</v>
      </c>
      <c r="D36" s="97" t="s">
        <v>68</v>
      </c>
      <c r="E36" s="96">
        <v>0.0</v>
      </c>
      <c r="F36" s="96">
        <v>0.0</v>
      </c>
      <c r="G36" s="96">
        <v>0.0</v>
      </c>
      <c r="H36" s="96">
        <v>0.0</v>
      </c>
      <c r="I36" s="96">
        <v>0.0</v>
      </c>
      <c r="J36" s="96">
        <v>0.0</v>
      </c>
      <c r="K36" s="96">
        <v>0.0</v>
      </c>
      <c r="L36" s="96">
        <v>0.0</v>
      </c>
      <c r="M36" s="96">
        <v>0.0</v>
      </c>
      <c r="N36" s="96">
        <v>0.0</v>
      </c>
      <c r="O36" s="96">
        <v>1.0</v>
      </c>
      <c r="P36" s="96">
        <v>132.0</v>
      </c>
      <c r="Q36" s="96">
        <v>36.0</v>
      </c>
      <c r="R36" s="98">
        <f t="shared" si="0"/>
        <v>169.0</v>
      </c>
      <c r="S36" s="96">
        <v>90.0</v>
      </c>
      <c r="T36" s="96">
        <v>37.0</v>
      </c>
      <c r="U36" s="96">
        <v>383.0</v>
      </c>
      <c r="V36" s="96">
        <v>36.0</v>
      </c>
      <c r="W36" s="96">
        <v>30.0</v>
      </c>
      <c r="X36" s="96">
        <v>66.0</v>
      </c>
      <c r="Y36" s="96">
        <v>606.0</v>
      </c>
      <c r="Z36" s="96">
        <v>6.0</v>
      </c>
      <c r="AA36" s="96">
        <v>492.0</v>
      </c>
      <c r="AB36" s="96">
        <v>60.0</v>
      </c>
      <c r="AC36" s="96">
        <v>24.0</v>
      </c>
      <c r="AD36" s="96">
        <v>464.0</v>
      </c>
      <c r="AE36" s="98">
        <f t="shared" si="1"/>
        <v>2294.0</v>
      </c>
      <c r="AF36" s="96">
        <v>595.0</v>
      </c>
      <c r="AG36" s="96">
        <v>560.0</v>
      </c>
      <c r="AH36" s="96">
        <v>770.0</v>
      </c>
      <c r="AI36" s="96">
        <v>282.0</v>
      </c>
      <c r="AJ36" s="96">
        <v>19.0</v>
      </c>
      <c r="AK36" s="96">
        <v>264.0</v>
      </c>
      <c r="AL36" s="96">
        <v>497.0</v>
      </c>
      <c r="AM36" s="96">
        <v>386.0</v>
      </c>
      <c r="AN36" s="96">
        <v>113.0</v>
      </c>
      <c r="AO36" s="49">
        <v>441.0</v>
      </c>
      <c r="AP36" s="49">
        <v>96.0</v>
      </c>
      <c r="AQ36" s="49">
        <v>474.0</v>
      </c>
      <c r="AR36" s="98">
        <f t="shared" si="2"/>
        <v>4497.0</v>
      </c>
    </row>
    <row r="37" ht="14.0" customFormat="1" s="49">
      <c r="A37" s="104" t="s">
        <v>45</v>
      </c>
      <c r="B37" s="96" t="s">
        <v>29</v>
      </c>
      <c r="C37" s="105" t="s">
        <v>78</v>
      </c>
      <c r="D37" s="106" t="s">
        <v>79</v>
      </c>
      <c r="E37" s="96">
        <v>12.0</v>
      </c>
      <c r="F37" s="96">
        <v>14.0</v>
      </c>
      <c r="G37" s="96">
        <v>4.0</v>
      </c>
      <c r="H37" s="96">
        <v>9.0</v>
      </c>
      <c r="I37" s="96">
        <v>9.0</v>
      </c>
      <c r="J37" s="96">
        <v>13.0</v>
      </c>
      <c r="K37" s="96">
        <v>7.0</v>
      </c>
      <c r="L37" s="96">
        <v>6.0</v>
      </c>
      <c r="M37" s="96">
        <v>9.0</v>
      </c>
      <c r="N37" s="96">
        <v>9.0</v>
      </c>
      <c r="O37" s="96">
        <v>10.0</v>
      </c>
      <c r="P37" s="96">
        <v>8.0</v>
      </c>
      <c r="Q37" s="96">
        <v>9.0</v>
      </c>
      <c r="R37" s="98">
        <f t="shared" si="0"/>
        <v>107.0</v>
      </c>
      <c r="S37" s="96">
        <v>4.0</v>
      </c>
      <c r="T37" s="96">
        <v>7.0</v>
      </c>
      <c r="U37" s="96">
        <v>5.0</v>
      </c>
      <c r="V37" s="96">
        <v>1.0</v>
      </c>
      <c r="W37" s="96">
        <v>1.0</v>
      </c>
      <c r="X37" s="96">
        <v>0.0</v>
      </c>
      <c r="Y37" s="96">
        <v>8.0</v>
      </c>
      <c r="Z37" s="96">
        <v>3.0</v>
      </c>
      <c r="AA37" s="96">
        <v>4.0</v>
      </c>
      <c r="AB37" s="96">
        <v>4.0</v>
      </c>
      <c r="AC37" s="96">
        <v>11.0</v>
      </c>
      <c r="AD37" s="96">
        <v>7.0</v>
      </c>
      <c r="AE37" s="98">
        <f t="shared" si="1"/>
        <v>55.0</v>
      </c>
      <c r="AF37" s="96">
        <v>9.0</v>
      </c>
      <c r="AG37" s="96">
        <v>5.0</v>
      </c>
      <c r="AH37" s="96">
        <v>3.0</v>
      </c>
      <c r="AI37" s="96">
        <v>1.0</v>
      </c>
      <c r="AJ37" s="96">
        <v>3.0</v>
      </c>
      <c r="AK37" s="96">
        <v>2.0</v>
      </c>
      <c r="AL37" s="117">
        <v>0.0</v>
      </c>
      <c r="AM37" s="117">
        <v>0.0</v>
      </c>
      <c r="AN37" s="117">
        <v>0.0</v>
      </c>
      <c r="AO37" s="110">
        <v>0.0</v>
      </c>
      <c r="AP37" s="110">
        <v>0.0</v>
      </c>
      <c r="AQ37" s="110">
        <v>0.0</v>
      </c>
      <c r="AR37" s="98">
        <f t="shared" si="2"/>
        <v>23.0</v>
      </c>
    </row>
    <row r="38" ht="14.0">
      <c r="A38" s="104" t="s">
        <v>45</v>
      </c>
      <c r="B38" s="96" t="s">
        <v>29</v>
      </c>
      <c r="C38" s="105" t="s">
        <v>69</v>
      </c>
      <c r="D38" s="106" t="s">
        <v>70</v>
      </c>
      <c r="E38" s="96">
        <v>567.0</v>
      </c>
      <c r="F38" s="96">
        <v>558.0</v>
      </c>
      <c r="G38" s="96">
        <v>495.0</v>
      </c>
      <c r="H38" s="96">
        <v>424.0</v>
      </c>
      <c r="I38" s="96">
        <v>304.0</v>
      </c>
      <c r="J38" s="96">
        <v>295.0</v>
      </c>
      <c r="K38" s="96">
        <v>322.0</v>
      </c>
      <c r="L38" s="96">
        <v>300.0</v>
      </c>
      <c r="M38" s="96">
        <v>173.0</v>
      </c>
      <c r="N38" s="96">
        <v>276.0</v>
      </c>
      <c r="O38" s="96">
        <v>312.0</v>
      </c>
      <c r="P38" s="96">
        <v>254.0</v>
      </c>
      <c r="Q38" s="96">
        <v>385.0</v>
      </c>
      <c r="R38" s="98">
        <f t="shared" si="0"/>
        <v>4098.0</v>
      </c>
      <c r="S38" s="96">
        <v>508.0</v>
      </c>
      <c r="T38" s="96">
        <v>550.0</v>
      </c>
      <c r="U38" s="96">
        <v>332.0</v>
      </c>
      <c r="V38" s="96">
        <v>132.0</v>
      </c>
      <c r="W38" s="96">
        <v>443.0</v>
      </c>
      <c r="X38" s="96">
        <v>242.0</v>
      </c>
      <c r="Y38" s="96">
        <v>274.0</v>
      </c>
      <c r="Z38" s="96">
        <v>273.0</v>
      </c>
      <c r="AA38" s="96">
        <v>219.0</v>
      </c>
      <c r="AB38" s="96">
        <v>346.0</v>
      </c>
      <c r="AC38" s="96">
        <v>163.0</v>
      </c>
      <c r="AD38" s="96">
        <v>421.0</v>
      </c>
      <c r="AE38" s="98">
        <f t="shared" si="1"/>
        <v>3903.0</v>
      </c>
      <c r="AF38" s="96">
        <v>306.0</v>
      </c>
      <c r="AG38" s="96">
        <v>466.0</v>
      </c>
      <c r="AH38" s="96">
        <v>193.0</v>
      </c>
      <c r="AI38" s="96">
        <v>239.0</v>
      </c>
      <c r="AJ38" s="96">
        <v>238.0</v>
      </c>
      <c r="AK38" s="96">
        <v>147.0</v>
      </c>
      <c r="AL38" s="117">
        <v>223.0</v>
      </c>
      <c r="AM38" s="117">
        <v>263.0</v>
      </c>
      <c r="AN38" s="117">
        <v>105.0</v>
      </c>
      <c r="AO38" s="110">
        <v>81.0</v>
      </c>
      <c r="AP38" s="110">
        <v>18.0</v>
      </c>
      <c r="AQ38" s="110">
        <v>12.0</v>
      </c>
      <c r="AR38" s="98">
        <f t="shared" si="2"/>
        <v>2291.0</v>
      </c>
    </row>
    <row r="39" ht="14.0">
      <c r="A39" s="104" t="s">
        <v>45</v>
      </c>
      <c r="B39" s="96" t="s">
        <v>29</v>
      </c>
      <c r="C39" s="105" t="s">
        <v>71</v>
      </c>
      <c r="D39" s="106" t="s">
        <v>72</v>
      </c>
      <c r="E39" s="96">
        <v>263.0</v>
      </c>
      <c r="F39" s="96">
        <v>354.0</v>
      </c>
      <c r="G39" s="96">
        <v>309.0</v>
      </c>
      <c r="H39" s="96">
        <v>307.0</v>
      </c>
      <c r="I39" s="96">
        <v>199.0</v>
      </c>
      <c r="J39" s="96">
        <v>153.0</v>
      </c>
      <c r="K39" s="96">
        <v>251.0</v>
      </c>
      <c r="L39" s="96">
        <v>171.0</v>
      </c>
      <c r="M39" s="96">
        <v>111.0</v>
      </c>
      <c r="N39" s="96">
        <v>166.0</v>
      </c>
      <c r="O39" s="96">
        <v>179.0</v>
      </c>
      <c r="P39" s="96">
        <v>149.0</v>
      </c>
      <c r="Q39" s="96">
        <v>245.0</v>
      </c>
      <c r="R39" s="98">
        <f t="shared" si="0"/>
        <v>2594.0</v>
      </c>
      <c r="S39" s="96">
        <v>257.0</v>
      </c>
      <c r="T39" s="96">
        <v>312.0</v>
      </c>
      <c r="U39" s="96">
        <v>255.0</v>
      </c>
      <c r="V39" s="96">
        <v>286.0</v>
      </c>
      <c r="W39" s="96">
        <v>65.0</v>
      </c>
      <c r="X39" s="96">
        <v>130.0</v>
      </c>
      <c r="Y39" s="96">
        <v>292.0</v>
      </c>
      <c r="Z39" s="96">
        <v>143.0</v>
      </c>
      <c r="AA39" s="96">
        <v>184.0</v>
      </c>
      <c r="AB39" s="96">
        <v>191.0</v>
      </c>
      <c r="AC39" s="96">
        <v>137.0</v>
      </c>
      <c r="AD39" s="96">
        <v>259.0</v>
      </c>
      <c r="AE39" s="98">
        <f t="shared" si="1"/>
        <v>2511.0</v>
      </c>
      <c r="AF39" s="96">
        <v>131.0</v>
      </c>
      <c r="AG39" s="96">
        <v>282.0</v>
      </c>
      <c r="AH39" s="96">
        <v>190.0</v>
      </c>
      <c r="AI39" s="96">
        <v>171.0</v>
      </c>
      <c r="AJ39" s="96">
        <v>217.0</v>
      </c>
      <c r="AK39" s="96">
        <v>5.0</v>
      </c>
      <c r="AL39" s="117">
        <v>1.0</v>
      </c>
      <c r="AM39" s="117">
        <v>0.0</v>
      </c>
      <c r="AN39" s="110">
        <v>0.0</v>
      </c>
      <c r="AO39" s="110">
        <v>0.0</v>
      </c>
      <c r="AP39" s="110">
        <v>-1.0</v>
      </c>
      <c r="AQ39" s="110">
        <v>0.0</v>
      </c>
      <c r="AR39" s="98">
        <f t="shared" si="2"/>
        <v>996.0</v>
      </c>
    </row>
    <row r="40" ht="14.0">
      <c r="A40" s="104" t="s">
        <v>45</v>
      </c>
      <c r="B40" s="96" t="s">
        <v>29</v>
      </c>
      <c r="C40" s="105" t="s">
        <v>73</v>
      </c>
      <c r="D40" s="106" t="s">
        <v>74</v>
      </c>
      <c r="E40" s="96">
        <v>159.0</v>
      </c>
      <c r="F40" s="96">
        <v>297.0</v>
      </c>
      <c r="G40" s="96">
        <v>282.0</v>
      </c>
      <c r="H40" s="96">
        <v>186.0</v>
      </c>
      <c r="I40" s="96">
        <v>147.0</v>
      </c>
      <c r="J40" s="96">
        <v>141.0</v>
      </c>
      <c r="K40" s="96">
        <v>137.0</v>
      </c>
      <c r="L40" s="96">
        <v>147.0</v>
      </c>
      <c r="M40" s="96">
        <v>65.0</v>
      </c>
      <c r="N40" s="96">
        <v>106.0</v>
      </c>
      <c r="O40" s="96">
        <v>108.0</v>
      </c>
      <c r="P40" s="96">
        <v>111.0</v>
      </c>
      <c r="Q40" s="96">
        <v>160.0</v>
      </c>
      <c r="R40" s="98">
        <f t="shared" si="0"/>
        <v>1887.0</v>
      </c>
      <c r="S40" s="96">
        <v>164.0</v>
      </c>
      <c r="T40" s="96">
        <v>281.0</v>
      </c>
      <c r="U40" s="96">
        <v>221.0</v>
      </c>
      <c r="V40" s="96">
        <v>174.0</v>
      </c>
      <c r="W40" s="96">
        <v>122.0</v>
      </c>
      <c r="X40" s="96">
        <v>96.0</v>
      </c>
      <c r="Y40" s="96">
        <v>121.0</v>
      </c>
      <c r="Z40" s="96">
        <v>111.0</v>
      </c>
      <c r="AA40" s="96">
        <v>96.0</v>
      </c>
      <c r="AB40" s="96">
        <v>124.0</v>
      </c>
      <c r="AC40" s="96">
        <v>77.0</v>
      </c>
      <c r="AD40" s="96">
        <v>151.0</v>
      </c>
      <c r="AE40" s="98">
        <f t="shared" si="1"/>
        <v>1738.0</v>
      </c>
      <c r="AF40" s="96">
        <v>143.0</v>
      </c>
      <c r="AG40" s="96">
        <v>151.0</v>
      </c>
      <c r="AH40" s="96">
        <v>114.0</v>
      </c>
      <c r="AI40" s="96">
        <v>126.0</v>
      </c>
      <c r="AJ40" s="96">
        <v>71.0</v>
      </c>
      <c r="AK40" s="96">
        <v>82.0</v>
      </c>
      <c r="AL40" s="117">
        <v>2.0</v>
      </c>
      <c r="AM40" s="117">
        <v>-1.0</v>
      </c>
      <c r="AN40" s="110">
        <v>0.0</v>
      </c>
      <c r="AO40" s="110">
        <v>-1.0</v>
      </c>
      <c r="AP40" s="110">
        <v>-1.0</v>
      </c>
      <c r="AQ40" s="110">
        <v>0.0</v>
      </c>
      <c r="AR40" s="98">
        <f t="shared" si="2"/>
        <v>686.0</v>
      </c>
    </row>
    <row r="41" ht="14.0">
      <c r="A41" s="104" t="s">
        <v>45</v>
      </c>
      <c r="B41" s="96" t="s">
        <v>29</v>
      </c>
      <c r="C41" s="105" t="s">
        <v>75</v>
      </c>
      <c r="D41" s="106" t="s">
        <v>76</v>
      </c>
      <c r="E41" s="96">
        <v>379.0</v>
      </c>
      <c r="F41" s="96">
        <v>383.0</v>
      </c>
      <c r="G41" s="96">
        <v>420.0</v>
      </c>
      <c r="H41" s="96">
        <v>425.0</v>
      </c>
      <c r="I41" s="96">
        <v>338.0</v>
      </c>
      <c r="J41" s="96">
        <v>201.0</v>
      </c>
      <c r="K41" s="96">
        <v>336.0</v>
      </c>
      <c r="L41" s="96">
        <v>218.0</v>
      </c>
      <c r="M41" s="96">
        <v>181.0</v>
      </c>
      <c r="N41" s="96">
        <v>199.0</v>
      </c>
      <c r="O41" s="96">
        <v>272.0</v>
      </c>
      <c r="P41" s="96">
        <v>184.0</v>
      </c>
      <c r="Q41" s="96">
        <v>311.0</v>
      </c>
      <c r="R41" s="98">
        <f t="shared" si="0"/>
        <v>3468.0</v>
      </c>
      <c r="S41" s="96">
        <v>325.0</v>
      </c>
      <c r="T41" s="96">
        <v>432.0</v>
      </c>
      <c r="U41" s="96">
        <v>331.0</v>
      </c>
      <c r="V41" s="96">
        <v>335.0</v>
      </c>
      <c r="W41" s="96">
        <v>264.0</v>
      </c>
      <c r="X41" s="96">
        <v>127.0</v>
      </c>
      <c r="Y41" s="96">
        <v>246.0</v>
      </c>
      <c r="Z41" s="96">
        <v>180.0</v>
      </c>
      <c r="AA41" s="96">
        <v>248.0</v>
      </c>
      <c r="AB41" s="96">
        <v>243.0</v>
      </c>
      <c r="AC41" s="96">
        <v>192.0</v>
      </c>
      <c r="AD41" s="96">
        <v>286.0</v>
      </c>
      <c r="AE41" s="98">
        <f t="shared" si="1"/>
        <v>3209.0</v>
      </c>
      <c r="AF41" s="96">
        <v>262.0</v>
      </c>
      <c r="AG41" s="96">
        <v>329.0</v>
      </c>
      <c r="AH41" s="96">
        <v>193.0</v>
      </c>
      <c r="AI41" s="96">
        <v>214.0</v>
      </c>
      <c r="AJ41" s="96">
        <v>207.0</v>
      </c>
      <c r="AK41" s="96">
        <v>144.0</v>
      </c>
      <c r="AL41" s="117">
        <v>-1.0</v>
      </c>
      <c r="AM41" s="117">
        <v>6.0</v>
      </c>
      <c r="AN41" s="110">
        <v>-1.0</v>
      </c>
      <c r="AO41" s="110">
        <v>0.0</v>
      </c>
      <c r="AP41" s="110">
        <v>0.0</v>
      </c>
      <c r="AQ41" s="110">
        <v>-1.0</v>
      </c>
      <c r="AR41" s="98">
        <f t="shared" si="2"/>
        <v>1352.0</v>
      </c>
    </row>
    <row r="42" ht="14.0">
      <c r="A42" s="96" t="s">
        <v>28</v>
      </c>
      <c r="B42" s="96" t="s">
        <v>29</v>
      </c>
      <c r="C42" s="96" t="s">
        <v>80</v>
      </c>
      <c r="D42" s="97" t="s">
        <v>81</v>
      </c>
      <c r="E42" s="96">
        <v>210.0</v>
      </c>
      <c r="F42" s="96">
        <v>177.0</v>
      </c>
      <c r="G42" s="96">
        <v>1956.0</v>
      </c>
      <c r="H42" s="96">
        <v>195.0</v>
      </c>
      <c r="I42" s="96">
        <v>643.0</v>
      </c>
      <c r="J42" s="96">
        <v>4.0</v>
      </c>
      <c r="K42" s="96">
        <v>1219.0</v>
      </c>
      <c r="L42" s="96">
        <v>222.0</v>
      </c>
      <c r="M42" s="96">
        <v>162.0</v>
      </c>
      <c r="N42" s="96">
        <v>678.0</v>
      </c>
      <c r="O42" s="96">
        <v>936.0</v>
      </c>
      <c r="P42" s="96">
        <v>26.0</v>
      </c>
      <c r="Q42" s="96">
        <v>960.0</v>
      </c>
      <c r="R42" s="98">
        <f t="shared" si="0"/>
        <v>7178.0</v>
      </c>
      <c r="S42" s="96">
        <v>876.0</v>
      </c>
      <c r="T42" s="96">
        <v>534.0</v>
      </c>
      <c r="U42" s="96">
        <v>464.0</v>
      </c>
      <c r="V42" s="96">
        <v>223.0</v>
      </c>
      <c r="W42" s="96">
        <v>760.0</v>
      </c>
      <c r="X42" s="96">
        <v>229.0</v>
      </c>
      <c r="Y42" s="96">
        <v>985.0</v>
      </c>
      <c r="Z42" s="96">
        <v>96.0</v>
      </c>
      <c r="AA42" s="96">
        <v>809.0</v>
      </c>
      <c r="AB42" s="96">
        <v>144.0</v>
      </c>
      <c r="AC42" s="96">
        <v>162.0</v>
      </c>
      <c r="AD42" s="96">
        <v>611.0</v>
      </c>
      <c r="AE42" s="98">
        <f t="shared" si="1"/>
        <v>5893.0</v>
      </c>
      <c r="AF42" s="96">
        <v>679.0</v>
      </c>
      <c r="AG42" s="96">
        <v>600.0</v>
      </c>
      <c r="AH42" s="96">
        <v>642.0</v>
      </c>
      <c r="AI42" s="96">
        <v>285.0</v>
      </c>
      <c r="AJ42" s="96">
        <v>168.0</v>
      </c>
      <c r="AK42" s="96">
        <v>384.0</v>
      </c>
      <c r="AL42" s="96">
        <v>318.0</v>
      </c>
      <c r="AM42" s="96">
        <v>292.0</v>
      </c>
      <c r="AN42" s="96">
        <v>85.0</v>
      </c>
      <c r="AO42" s="49">
        <v>225.0</v>
      </c>
      <c r="AP42" s="49">
        <v>54.0</v>
      </c>
      <c r="AQ42" s="49">
        <v>264.0</v>
      </c>
      <c r="AR42" s="98">
        <f t="shared" si="2"/>
        <v>3996.0</v>
      </c>
    </row>
    <row r="43" ht="14.0">
      <c r="A43" s="96" t="s">
        <v>28</v>
      </c>
      <c r="B43" s="96" t="s">
        <v>29</v>
      </c>
      <c r="C43" s="96" t="s">
        <v>82</v>
      </c>
      <c r="D43" s="97" t="s">
        <v>83</v>
      </c>
      <c r="E43" s="96">
        <v>228.0</v>
      </c>
      <c r="F43" s="96">
        <v>280.0</v>
      </c>
      <c r="G43" s="96">
        <v>1686.0</v>
      </c>
      <c r="H43" s="96">
        <v>157.0</v>
      </c>
      <c r="I43" s="96">
        <v>882.0</v>
      </c>
      <c r="J43" s="96">
        <v>222.0</v>
      </c>
      <c r="K43" s="96">
        <v>1068.0</v>
      </c>
      <c r="L43" s="96">
        <v>175.0</v>
      </c>
      <c r="M43" s="96">
        <v>142.0</v>
      </c>
      <c r="N43" s="96">
        <v>690.0</v>
      </c>
      <c r="O43" s="96">
        <v>682.0</v>
      </c>
      <c r="P43" s="96">
        <v>-14.0</v>
      </c>
      <c r="Q43" s="96">
        <v>669.0</v>
      </c>
      <c r="R43" s="98">
        <f t="shared" si="0"/>
        <v>6639.0</v>
      </c>
      <c r="S43" s="96">
        <v>637.0</v>
      </c>
      <c r="T43" s="96">
        <v>556.0</v>
      </c>
      <c r="U43" s="96">
        <v>502.0</v>
      </c>
      <c r="V43" s="96">
        <v>172.0</v>
      </c>
      <c r="W43" s="96">
        <v>642.0</v>
      </c>
      <c r="X43" s="96">
        <v>131.0</v>
      </c>
      <c r="Y43" s="96">
        <v>1033.0</v>
      </c>
      <c r="Z43" s="96">
        <v>90.0</v>
      </c>
      <c r="AA43" s="96">
        <v>652.0</v>
      </c>
      <c r="AB43" s="96">
        <v>132.0</v>
      </c>
      <c r="AC43" s="96">
        <v>108.0</v>
      </c>
      <c r="AD43" s="96">
        <v>548.0</v>
      </c>
      <c r="AE43" s="98">
        <f t="shared" si="1"/>
        <v>5203.0</v>
      </c>
      <c r="AF43" s="96">
        <v>642.0</v>
      </c>
      <c r="AG43" s="96">
        <v>446.0</v>
      </c>
      <c r="AH43" s="96">
        <v>657.0</v>
      </c>
      <c r="AI43" s="96">
        <v>312.0</v>
      </c>
      <c r="AJ43" s="96">
        <v>144.0</v>
      </c>
      <c r="AK43" s="96">
        <v>309.0</v>
      </c>
      <c r="AL43" s="96">
        <v>282.0</v>
      </c>
      <c r="AM43" s="96">
        <v>228.0</v>
      </c>
      <c r="AN43" s="96">
        <v>78.0</v>
      </c>
      <c r="AO43" s="49">
        <v>244.0</v>
      </c>
      <c r="AP43" s="49">
        <v>113.0</v>
      </c>
      <c r="AQ43" s="49">
        <v>144.0</v>
      </c>
      <c r="AR43" s="98">
        <f t="shared" si="2"/>
        <v>3599.0</v>
      </c>
    </row>
    <row r="44" ht="14.0">
      <c r="A44" s="96" t="s">
        <v>28</v>
      </c>
      <c r="B44" s="96" t="s">
        <v>29</v>
      </c>
      <c r="C44" s="96" t="s">
        <v>84</v>
      </c>
      <c r="D44" s="97" t="s">
        <v>85</v>
      </c>
      <c r="E44" s="96">
        <v>102.0</v>
      </c>
      <c r="F44" s="96">
        <v>179.0</v>
      </c>
      <c r="G44" s="96">
        <v>454.0</v>
      </c>
      <c r="H44" s="96">
        <v>140.0</v>
      </c>
      <c r="I44" s="96">
        <v>258.0</v>
      </c>
      <c r="J44" s="96">
        <v>232.0</v>
      </c>
      <c r="K44" s="96">
        <v>524.0</v>
      </c>
      <c r="L44" s="96">
        <v>86.0</v>
      </c>
      <c r="M44" s="96">
        <v>71.0</v>
      </c>
      <c r="N44" s="96">
        <v>293.0</v>
      </c>
      <c r="O44" s="96">
        <v>130.0</v>
      </c>
      <c r="P44" s="96">
        <v>71.0</v>
      </c>
      <c r="Q44" s="96">
        <v>142.0</v>
      </c>
      <c r="R44" s="98">
        <f t="shared" si="0"/>
        <v>2580.0</v>
      </c>
      <c r="S44" s="96">
        <v>137.0</v>
      </c>
      <c r="T44" s="96">
        <v>150.0</v>
      </c>
      <c r="U44" s="96">
        <v>160.0</v>
      </c>
      <c r="V44" s="96">
        <v>135.0</v>
      </c>
      <c r="W44" s="96">
        <v>144.0</v>
      </c>
      <c r="X44" s="96">
        <v>110.0</v>
      </c>
      <c r="Y44" s="96">
        <v>108.0</v>
      </c>
      <c r="Z44" s="96">
        <v>60.0</v>
      </c>
      <c r="AA44" s="96">
        <v>114.0</v>
      </c>
      <c r="AB44" s="96">
        <v>88.0</v>
      </c>
      <c r="AC44" s="96">
        <v>66.0</v>
      </c>
      <c r="AD44" s="96">
        <v>173.0</v>
      </c>
      <c r="AE44" s="98">
        <f t="shared" si="1"/>
        <v>1445.0</v>
      </c>
      <c r="AF44" s="96">
        <v>134.0</v>
      </c>
      <c r="AG44" s="96">
        <v>127.0</v>
      </c>
      <c r="AH44" s="96">
        <v>150.0</v>
      </c>
      <c r="AI44" s="96">
        <v>125.0</v>
      </c>
      <c r="AJ44" s="96">
        <v>123.0</v>
      </c>
      <c r="AK44" s="96">
        <v>78.0</v>
      </c>
      <c r="AL44" s="96">
        <v>91.0</v>
      </c>
      <c r="AM44" s="96">
        <v>59.0</v>
      </c>
      <c r="AN44" s="96">
        <v>50.0</v>
      </c>
      <c r="AO44" s="49">
        <v>73.0</v>
      </c>
      <c r="AP44" s="49">
        <v>61.0</v>
      </c>
      <c r="AQ44" s="49">
        <v>72.0</v>
      </c>
      <c r="AR44" s="98">
        <f t="shared" si="2"/>
        <v>1143.0</v>
      </c>
    </row>
    <row r="45" ht="14.0">
      <c r="A45" s="96" t="s">
        <v>28</v>
      </c>
      <c r="B45" s="96" t="s">
        <v>29</v>
      </c>
      <c r="C45" s="96" t="s">
        <v>86</v>
      </c>
      <c r="D45" s="97" t="s">
        <v>87</v>
      </c>
      <c r="E45" s="96">
        <v>142.0</v>
      </c>
      <c r="F45" s="96">
        <v>112.0</v>
      </c>
      <c r="G45" s="96">
        <v>462.0</v>
      </c>
      <c r="H45" s="96">
        <v>101.0</v>
      </c>
      <c r="I45" s="96">
        <v>306.0</v>
      </c>
      <c r="J45" s="96">
        <v>155.0</v>
      </c>
      <c r="K45" s="96">
        <v>576.0</v>
      </c>
      <c r="L45" s="96">
        <v>147.0</v>
      </c>
      <c r="M45" s="96">
        <v>116.0</v>
      </c>
      <c r="N45" s="96">
        <v>429.0</v>
      </c>
      <c r="O45" s="96">
        <v>451.0</v>
      </c>
      <c r="P45" s="96">
        <v>-44.0</v>
      </c>
      <c r="Q45" s="96">
        <v>773.0</v>
      </c>
      <c r="R45" s="98">
        <f t="shared" si="0"/>
        <v>3584.0</v>
      </c>
      <c r="S45" s="96">
        <v>663.0</v>
      </c>
      <c r="T45" s="96">
        <v>714.0</v>
      </c>
      <c r="U45" s="96">
        <v>532.0</v>
      </c>
      <c r="V45" s="96">
        <v>157.0</v>
      </c>
      <c r="W45" s="96">
        <v>576.0</v>
      </c>
      <c r="X45" s="96">
        <v>107.0</v>
      </c>
      <c r="Y45" s="96">
        <v>983.0</v>
      </c>
      <c r="Z45" s="96">
        <v>78.0</v>
      </c>
      <c r="AA45" s="96">
        <v>642.0</v>
      </c>
      <c r="AB45" s="96">
        <v>119.0</v>
      </c>
      <c r="AC45" s="96">
        <v>108.0</v>
      </c>
      <c r="AD45" s="96">
        <v>487.0</v>
      </c>
      <c r="AE45" s="98">
        <f t="shared" si="1"/>
        <v>5166.0</v>
      </c>
      <c r="AF45" s="96">
        <v>563.0</v>
      </c>
      <c r="AG45" s="96">
        <v>618.0</v>
      </c>
      <c r="AH45" s="96">
        <v>516.0</v>
      </c>
      <c r="AI45" s="96">
        <v>249.0</v>
      </c>
      <c r="AJ45" s="96">
        <v>100.0</v>
      </c>
      <c r="AK45" s="96">
        <v>268.0</v>
      </c>
      <c r="AL45" s="96">
        <v>306.0</v>
      </c>
      <c r="AM45" s="96">
        <v>222.0</v>
      </c>
      <c r="AN45" s="96">
        <v>68.0</v>
      </c>
      <c r="AO45" s="49">
        <v>237.0</v>
      </c>
      <c r="AP45" s="49">
        <v>66.0</v>
      </c>
      <c r="AQ45" s="49">
        <v>162.0</v>
      </c>
      <c r="AR45" s="98">
        <f t="shared" si="2"/>
        <v>3375.0</v>
      </c>
    </row>
    <row r="46" ht="14.0">
      <c r="A46" s="96" t="s">
        <v>28</v>
      </c>
      <c r="B46" s="96" t="s">
        <v>29</v>
      </c>
      <c r="C46" s="96" t="s">
        <v>88</v>
      </c>
      <c r="D46" s="97" t="s">
        <v>89</v>
      </c>
      <c r="E46" s="96">
        <v>186.0</v>
      </c>
      <c r="F46" s="96">
        <v>184.0</v>
      </c>
      <c r="G46" s="96">
        <v>1600.0</v>
      </c>
      <c r="H46" s="96">
        <v>115.0</v>
      </c>
      <c r="I46" s="96">
        <v>618.0</v>
      </c>
      <c r="J46" s="96">
        <v>143.0</v>
      </c>
      <c r="K46" s="96">
        <v>882.0</v>
      </c>
      <c r="L46" s="96">
        <v>132.0</v>
      </c>
      <c r="M46" s="96">
        <v>95.0</v>
      </c>
      <c r="N46" s="96">
        <v>350.0</v>
      </c>
      <c r="O46" s="96">
        <v>506.0</v>
      </c>
      <c r="P46" s="96">
        <v>48.0</v>
      </c>
      <c r="Q46" s="96">
        <v>522.0</v>
      </c>
      <c r="R46" s="98">
        <f t="shared" si="0"/>
        <v>5195.0</v>
      </c>
      <c r="S46" s="96">
        <v>523.0</v>
      </c>
      <c r="T46" s="96">
        <v>434.0</v>
      </c>
      <c r="U46" s="96">
        <v>314.0</v>
      </c>
      <c r="V46" s="96">
        <v>98.0</v>
      </c>
      <c r="W46" s="96">
        <v>438.0</v>
      </c>
      <c r="X46" s="96">
        <v>129.0</v>
      </c>
      <c r="Y46" s="96">
        <v>825.0</v>
      </c>
      <c r="Z46" s="96">
        <v>60.0</v>
      </c>
      <c r="AA46" s="96">
        <v>468.0</v>
      </c>
      <c r="AB46" s="96">
        <v>84.0</v>
      </c>
      <c r="AC46" s="96">
        <v>77.0</v>
      </c>
      <c r="AD46" s="96">
        <v>332.0</v>
      </c>
      <c r="AE46" s="98">
        <f t="shared" si="1"/>
        <v>3782.0</v>
      </c>
      <c r="AF46" s="96">
        <v>498.0</v>
      </c>
      <c r="AG46" s="96">
        <v>390.0</v>
      </c>
      <c r="AH46" s="96">
        <v>467.0</v>
      </c>
      <c r="AI46" s="96">
        <v>210.0</v>
      </c>
      <c r="AJ46" s="96">
        <v>96.0</v>
      </c>
      <c r="AK46" s="96">
        <v>162.0</v>
      </c>
      <c r="AL46" s="96">
        <v>132.0</v>
      </c>
      <c r="AM46" s="96">
        <v>144.0</v>
      </c>
      <c r="AN46" s="96">
        <v>27.0</v>
      </c>
      <c r="AO46" s="49">
        <v>105.0</v>
      </c>
      <c r="AP46" s="49">
        <v>18.0</v>
      </c>
      <c r="AQ46" s="49">
        <v>132.0</v>
      </c>
      <c r="AR46" s="98">
        <f t="shared" si="2"/>
        <v>2381.0</v>
      </c>
    </row>
    <row r="47" ht="14.0">
      <c r="A47" s="96" t="s">
        <v>28</v>
      </c>
      <c r="B47" s="96" t="s">
        <v>29</v>
      </c>
      <c r="C47" s="96" t="s">
        <v>90</v>
      </c>
      <c r="D47" s="97" t="s">
        <v>91</v>
      </c>
      <c r="E47" s="96">
        <v>0.0</v>
      </c>
      <c r="F47" s="96">
        <v>2.0</v>
      </c>
      <c r="G47" s="96">
        <v>2.0</v>
      </c>
      <c r="H47" s="96">
        <v>3.0</v>
      </c>
      <c r="I47" s="96">
        <v>2.0</v>
      </c>
      <c r="J47" s="96">
        <v>0.0</v>
      </c>
      <c r="K47" s="96">
        <v>1.0</v>
      </c>
      <c r="L47" s="96">
        <v>4.0</v>
      </c>
      <c r="M47" s="96">
        <v>14.0</v>
      </c>
      <c r="N47" s="96">
        <v>8.0</v>
      </c>
      <c r="O47" s="96">
        <v>4.0</v>
      </c>
      <c r="P47" s="96">
        <v>11.0</v>
      </c>
      <c r="Q47" s="96">
        <v>9.0</v>
      </c>
      <c r="R47" s="98">
        <f t="shared" si="0"/>
        <v>60.0</v>
      </c>
      <c r="S47" s="96">
        <v>6.0</v>
      </c>
      <c r="T47" s="96">
        <v>1.0</v>
      </c>
      <c r="U47" s="96">
        <v>5.0</v>
      </c>
      <c r="V47" s="96">
        <v>1.0</v>
      </c>
      <c r="W47" s="96">
        <v>8.0</v>
      </c>
      <c r="X47" s="96">
        <v>5.0</v>
      </c>
      <c r="Y47" s="96">
        <v>3.0</v>
      </c>
      <c r="Z47" s="96">
        <v>3.0</v>
      </c>
      <c r="AA47" s="96">
        <v>4.0</v>
      </c>
      <c r="AB47" s="96">
        <v>2.0</v>
      </c>
      <c r="AC47" s="96">
        <v>6.0</v>
      </c>
      <c r="AD47" s="96">
        <v>9.0</v>
      </c>
      <c r="AE47" s="98">
        <f t="shared" si="1"/>
        <v>53.0</v>
      </c>
      <c r="AF47" s="96">
        <v>8.0</v>
      </c>
      <c r="AG47" s="96">
        <v>0.0</v>
      </c>
      <c r="AH47" s="96">
        <v>4.0</v>
      </c>
      <c r="AI47" s="96">
        <v>7.0</v>
      </c>
      <c r="AJ47" s="96">
        <v>4.0</v>
      </c>
      <c r="AK47" s="96">
        <v>2.0</v>
      </c>
      <c r="AL47" s="96">
        <v>2.0</v>
      </c>
      <c r="AM47" s="96">
        <v>1.0</v>
      </c>
      <c r="AN47" s="96">
        <v>2.0</v>
      </c>
      <c r="AO47" s="49">
        <v>1.0</v>
      </c>
      <c r="AP47" s="49">
        <v>2.0</v>
      </c>
      <c r="AQ47" s="49">
        <v>3.0</v>
      </c>
      <c r="AR47" s="98">
        <f t="shared" si="2"/>
        <v>36.0</v>
      </c>
    </row>
    <row r="48" ht="14.0">
      <c r="A48" s="96" t="s">
        <v>28</v>
      </c>
      <c r="B48" s="96" t="s">
        <v>29</v>
      </c>
      <c r="C48" s="96" t="s">
        <v>92</v>
      </c>
      <c r="D48" s="97" t="s">
        <v>93</v>
      </c>
      <c r="E48" s="96">
        <v>0.0</v>
      </c>
      <c r="F48" s="96">
        <v>0.0</v>
      </c>
      <c r="G48" s="96">
        <v>0.0</v>
      </c>
      <c r="H48" s="96">
        <v>0.0</v>
      </c>
      <c r="I48" s="96">
        <v>0.0</v>
      </c>
      <c r="J48" s="96">
        <v>0.0</v>
      </c>
      <c r="K48" s="96">
        <v>0.0</v>
      </c>
      <c r="L48" s="96">
        <v>180.0</v>
      </c>
      <c r="M48" s="96">
        <v>204.0</v>
      </c>
      <c r="N48" s="96">
        <v>162.0</v>
      </c>
      <c r="O48" s="96">
        <v>165.0</v>
      </c>
      <c r="P48" s="96">
        <v>187.0</v>
      </c>
      <c r="Q48" s="96">
        <v>168.0</v>
      </c>
      <c r="R48" s="98">
        <f t="shared" si="0"/>
        <v>1066.0</v>
      </c>
      <c r="S48" s="96">
        <v>192.0</v>
      </c>
      <c r="T48" s="96">
        <v>282.0</v>
      </c>
      <c r="U48" s="96">
        <v>219.0</v>
      </c>
      <c r="V48" s="96">
        <v>191.0</v>
      </c>
      <c r="W48" s="96">
        <v>255.0</v>
      </c>
      <c r="X48" s="96">
        <v>150.0</v>
      </c>
      <c r="Y48" s="96">
        <v>222.0</v>
      </c>
      <c r="Z48" s="96">
        <v>159.0</v>
      </c>
      <c r="AA48" s="96">
        <v>176.0</v>
      </c>
      <c r="AB48" s="96">
        <v>185.0</v>
      </c>
      <c r="AC48" s="96">
        <v>168.0</v>
      </c>
      <c r="AD48" s="96">
        <v>240.0</v>
      </c>
      <c r="AE48" s="98">
        <f t="shared" si="1"/>
        <v>2439.0</v>
      </c>
      <c r="AF48" s="96">
        <v>347.0</v>
      </c>
      <c r="AG48" s="96">
        <v>209.0</v>
      </c>
      <c r="AH48" s="96">
        <v>173.0</v>
      </c>
      <c r="AI48" s="96">
        <v>172.0</v>
      </c>
      <c r="AJ48" s="96">
        <v>162.0</v>
      </c>
      <c r="AK48" s="96">
        <v>160.0</v>
      </c>
      <c r="AL48" s="96">
        <v>181.0</v>
      </c>
      <c r="AM48" s="96">
        <v>163.0</v>
      </c>
      <c r="AN48" s="96">
        <v>131.0</v>
      </c>
      <c r="AO48" s="49">
        <v>114.0</v>
      </c>
      <c r="AP48" s="49">
        <v>66.0</v>
      </c>
      <c r="AQ48" s="49">
        <v>210.0</v>
      </c>
      <c r="AR48" s="98">
        <f t="shared" si="2"/>
        <v>2088.0</v>
      </c>
    </row>
    <row r="49" ht="14.0">
      <c r="A49" s="96" t="s">
        <v>28</v>
      </c>
      <c r="B49" s="96" t="s">
        <v>29</v>
      </c>
      <c r="C49" s="96" t="s">
        <v>94</v>
      </c>
      <c r="D49" s="97" t="s">
        <v>95</v>
      </c>
      <c r="E49" s="96">
        <v>111.0</v>
      </c>
      <c r="F49" s="96">
        <v>139.0</v>
      </c>
      <c r="G49" s="96">
        <v>141.0</v>
      </c>
      <c r="H49" s="96">
        <v>147.0</v>
      </c>
      <c r="I49" s="96">
        <v>64.0</v>
      </c>
      <c r="J49" s="96">
        <v>86.0</v>
      </c>
      <c r="K49" s="96">
        <v>150.0</v>
      </c>
      <c r="L49" s="96">
        <v>75.0</v>
      </c>
      <c r="M49" s="96">
        <v>86.0</v>
      </c>
      <c r="N49" s="96">
        <v>187.0</v>
      </c>
      <c r="O49" s="96">
        <v>151.0</v>
      </c>
      <c r="P49" s="96">
        <v>191.0</v>
      </c>
      <c r="Q49" s="96">
        <v>146.0</v>
      </c>
      <c r="R49" s="98">
        <f t="shared" si="0"/>
        <v>1563.0</v>
      </c>
      <c r="S49" s="96">
        <v>178.0</v>
      </c>
      <c r="T49" s="96">
        <v>258.0</v>
      </c>
      <c r="U49" s="96">
        <v>106.0</v>
      </c>
      <c r="V49" s="96">
        <v>1.0</v>
      </c>
      <c r="W49" s="96">
        <v>245.0</v>
      </c>
      <c r="X49" s="96">
        <v>137.0</v>
      </c>
      <c r="Y49" s="96">
        <v>177.0</v>
      </c>
      <c r="Z49" s="96">
        <v>162.0</v>
      </c>
      <c r="AA49" s="96">
        <v>151.0</v>
      </c>
      <c r="AB49" s="96">
        <v>144.0</v>
      </c>
      <c r="AC49" s="96">
        <v>141.0</v>
      </c>
      <c r="AD49" s="96">
        <v>176.0</v>
      </c>
      <c r="AE49" s="98">
        <f t="shared" si="1"/>
        <v>1876.0</v>
      </c>
      <c r="AF49" s="96">
        <v>209.0</v>
      </c>
      <c r="AG49" s="96">
        <v>186.0</v>
      </c>
      <c r="AH49" s="96">
        <v>126.0</v>
      </c>
      <c r="AI49" s="96">
        <v>141.0</v>
      </c>
      <c r="AJ49" s="96">
        <v>137.0</v>
      </c>
      <c r="AK49" s="96">
        <v>42.0</v>
      </c>
      <c r="AL49" s="96">
        <v>-1.0</v>
      </c>
      <c r="AM49" s="96">
        <v>0.0</v>
      </c>
      <c r="AN49" s="96">
        <v>90.0</v>
      </c>
      <c r="AO49" s="49">
        <v>187.0</v>
      </c>
      <c r="AP49" s="49">
        <v>70.0</v>
      </c>
      <c r="AQ49" s="49">
        <v>108.0</v>
      </c>
      <c r="AR49" s="98">
        <f t="shared" si="2"/>
        <v>1295.0</v>
      </c>
    </row>
    <row r="50" ht="14.0">
      <c r="A50" s="96" t="s">
        <v>28</v>
      </c>
      <c r="B50" s="96" t="s">
        <v>29</v>
      </c>
      <c r="C50" s="96" t="s">
        <v>96</v>
      </c>
      <c r="D50" s="97" t="s">
        <v>97</v>
      </c>
      <c r="E50" s="96">
        <v>110.0</v>
      </c>
      <c r="F50" s="96">
        <v>86.0</v>
      </c>
      <c r="G50" s="96">
        <v>108.0</v>
      </c>
      <c r="H50" s="96">
        <v>116.0</v>
      </c>
      <c r="I50" s="96">
        <v>35.0</v>
      </c>
      <c r="J50" s="96">
        <v>57.0</v>
      </c>
      <c r="K50" s="96">
        <v>104.0</v>
      </c>
      <c r="L50" s="96">
        <v>81.0</v>
      </c>
      <c r="M50" s="96">
        <v>92.0</v>
      </c>
      <c r="N50" s="96">
        <v>120.0</v>
      </c>
      <c r="O50" s="96">
        <v>116.0</v>
      </c>
      <c r="P50" s="96">
        <v>126.0</v>
      </c>
      <c r="Q50" s="96">
        <v>92.0</v>
      </c>
      <c r="R50" s="98">
        <f t="shared" si="0"/>
        <v>1133.0</v>
      </c>
      <c r="S50" s="96">
        <v>221.0</v>
      </c>
      <c r="T50" s="96">
        <v>156.0</v>
      </c>
      <c r="U50" s="96">
        <v>68.0</v>
      </c>
      <c r="V50" s="96">
        <v>0.0</v>
      </c>
      <c r="W50" s="96">
        <v>157.0</v>
      </c>
      <c r="X50" s="96">
        <v>62.0</v>
      </c>
      <c r="Y50" s="96">
        <v>70.0</v>
      </c>
      <c r="Z50" s="96">
        <v>96.0</v>
      </c>
      <c r="AA50" s="96">
        <v>50.0</v>
      </c>
      <c r="AB50" s="96">
        <v>73.0</v>
      </c>
      <c r="AC50" s="96">
        <v>77.0</v>
      </c>
      <c r="AD50" s="96">
        <v>122.0</v>
      </c>
      <c r="AE50" s="98">
        <f t="shared" si="1"/>
        <v>1152.0</v>
      </c>
      <c r="AF50" s="96">
        <v>100.0</v>
      </c>
      <c r="AG50" s="96">
        <v>95.0</v>
      </c>
      <c r="AH50" s="96">
        <v>95.0</v>
      </c>
      <c r="AI50" s="96">
        <v>53.0</v>
      </c>
      <c r="AJ50" s="96">
        <v>75.0</v>
      </c>
      <c r="AK50" s="96">
        <v>44.0</v>
      </c>
      <c r="AL50" s="96">
        <v>142.0</v>
      </c>
      <c r="AM50" s="96">
        <v>93.0</v>
      </c>
      <c r="AN50" s="96">
        <v>83.0</v>
      </c>
      <c r="AO50" s="49">
        <v>51.0</v>
      </c>
      <c r="AP50" s="49">
        <v>36.0</v>
      </c>
      <c r="AQ50" s="49">
        <v>60.0</v>
      </c>
      <c r="AR50" s="98">
        <f t="shared" si="2"/>
        <v>927.0</v>
      </c>
    </row>
    <row r="52" ht="17.0">
      <c r="A52" s="56"/>
      <c r="B52" s="56"/>
      <c r="C52" s="56"/>
      <c r="D52" s="57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22"/>
      <c r="S52" s="58"/>
      <c r="T52" s="58"/>
      <c r="U52" s="58"/>
      <c r="V52" s="58"/>
      <c r="W52" s="58"/>
      <c r="X52" s="58"/>
      <c r="Y52" s="58"/>
      <c r="Z52" s="58"/>
      <c r="AA52" s="58"/>
      <c r="AB52" s="122"/>
      <c r="AC52" s="122"/>
      <c r="AD52" s="122"/>
      <c r="AE52" s="122"/>
      <c r="AF52" s="122">
        <v>0.052</v>
      </c>
      <c r="AG52" s="122">
        <v>0.106</v>
      </c>
      <c r="AH52" s="122">
        <v>0.153</v>
      </c>
      <c r="AI52" s="122">
        <v>0.054</v>
      </c>
      <c r="AJ52" s="122">
        <v>0.073</v>
      </c>
      <c r="AK52" s="123">
        <v>0.058</v>
      </c>
      <c r="AL52" s="122">
        <v>0.122</v>
      </c>
      <c r="AM52" s="122">
        <v>0.103</v>
      </c>
      <c r="AN52" s="122">
        <v>0.079</v>
      </c>
      <c r="AO52" s="122">
        <v>0.069</v>
      </c>
      <c r="AP52" s="122">
        <v>0.065</v>
      </c>
      <c r="AQ52" s="122">
        <v>0.066</v>
      </c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</row>
    <row r="53" ht="14.0">
      <c r="E53" s="71">
        <v>45952</v>
      </c>
      <c r="F53" s="71">
        <v>45983</v>
      </c>
      <c r="G53" s="71">
        <v>46013</v>
      </c>
      <c r="H53" s="71">
        <v>45680</v>
      </c>
      <c r="I53" s="71">
        <v>45711</v>
      </c>
      <c r="J53" s="71">
        <v>45739</v>
      </c>
      <c r="K53" s="71">
        <v>45770</v>
      </c>
      <c r="L53" s="71">
        <v>45800</v>
      </c>
      <c r="M53" s="71">
        <v>45831</v>
      </c>
      <c r="N53" s="71">
        <v>45861</v>
      </c>
      <c r="O53" s="71">
        <v>45892</v>
      </c>
      <c r="P53" s="71">
        <v>45923</v>
      </c>
      <c r="Q53" s="71">
        <v>45953</v>
      </c>
      <c r="R53" s="131" t="s">
        <v>215</v>
      </c>
      <c r="S53" s="72">
        <v>45984</v>
      </c>
      <c r="T53" s="72">
        <v>46014</v>
      </c>
      <c r="U53" s="72">
        <v>45681</v>
      </c>
      <c r="V53" s="72">
        <v>45712</v>
      </c>
      <c r="W53" s="72">
        <v>45740</v>
      </c>
      <c r="X53" s="72">
        <v>45771</v>
      </c>
      <c r="Y53" s="72">
        <v>45801</v>
      </c>
      <c r="Z53" s="72">
        <v>45832</v>
      </c>
      <c r="AA53" s="72">
        <v>45862</v>
      </c>
      <c r="AB53" s="72">
        <v>45893</v>
      </c>
      <c r="AC53" s="72">
        <v>45924</v>
      </c>
      <c r="AD53" s="72">
        <v>45954</v>
      </c>
      <c r="AE53" s="132" t="s">
        <v>216</v>
      </c>
      <c r="AF53" s="73">
        <v>45985</v>
      </c>
      <c r="AG53" s="73">
        <v>46015</v>
      </c>
      <c r="AH53" s="73">
        <v>45682</v>
      </c>
      <c r="AI53" s="73">
        <v>45713</v>
      </c>
      <c r="AJ53" s="73">
        <v>45741</v>
      </c>
      <c r="AK53" s="73">
        <v>45772</v>
      </c>
      <c r="AL53" s="73">
        <v>45802</v>
      </c>
      <c r="AM53" s="73">
        <v>45833</v>
      </c>
      <c r="AN53" s="73">
        <v>45863</v>
      </c>
      <c r="AO53" s="73">
        <v>45894</v>
      </c>
      <c r="AP53" s="73">
        <v>45925</v>
      </c>
      <c r="AQ53" s="73">
        <v>45955</v>
      </c>
      <c r="AR53" s="133" t="s">
        <v>217</v>
      </c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</row>
    <row r="54" ht="14.0">
      <c r="A54" s="81" t="s">
        <v>11</v>
      </c>
      <c r="B54" s="81" t="s">
        <v>12</v>
      </c>
      <c r="C54" s="81" t="s">
        <v>13</v>
      </c>
      <c r="D54" s="82" t="s">
        <v>14</v>
      </c>
      <c r="E54" s="83" t="s">
        <v>15</v>
      </c>
      <c r="F54" s="83" t="s">
        <v>15</v>
      </c>
      <c r="G54" s="83" t="s">
        <v>15</v>
      </c>
      <c r="H54" s="83" t="s">
        <v>15</v>
      </c>
      <c r="I54" s="83" t="s">
        <v>15</v>
      </c>
      <c r="J54" s="83" t="s">
        <v>15</v>
      </c>
      <c r="K54" s="83" t="s">
        <v>15</v>
      </c>
      <c r="L54" s="83" t="s">
        <v>15</v>
      </c>
      <c r="M54" s="83" t="s">
        <v>15</v>
      </c>
      <c r="N54" s="83" t="s">
        <v>15</v>
      </c>
      <c r="O54" s="83" t="s">
        <v>15</v>
      </c>
      <c r="P54" s="83" t="s">
        <v>15</v>
      </c>
      <c r="Q54" s="83" t="s">
        <v>15</v>
      </c>
      <c r="R54" s="84" t="s">
        <v>3</v>
      </c>
      <c r="S54" s="83" t="s">
        <v>15</v>
      </c>
      <c r="T54" s="83" t="s">
        <v>15</v>
      </c>
      <c r="U54" s="83" t="s">
        <v>15</v>
      </c>
      <c r="V54" s="83" t="s">
        <v>15</v>
      </c>
      <c r="W54" s="83" t="s">
        <v>15</v>
      </c>
      <c r="X54" s="83" t="s">
        <v>15</v>
      </c>
      <c r="Y54" s="83" t="s">
        <v>15</v>
      </c>
      <c r="Z54" s="83" t="s">
        <v>15</v>
      </c>
      <c r="AA54" s="83" t="s">
        <v>15</v>
      </c>
      <c r="AB54" s="83" t="s">
        <v>15</v>
      </c>
      <c r="AC54" s="83" t="s">
        <v>15</v>
      </c>
      <c r="AD54" s="83" t="s">
        <v>15</v>
      </c>
      <c r="AE54" s="84" t="s">
        <v>3</v>
      </c>
      <c r="AF54" s="83" t="s">
        <v>15</v>
      </c>
      <c r="AG54" s="83" t="s">
        <v>15</v>
      </c>
      <c r="AH54" s="83" t="s">
        <v>15</v>
      </c>
      <c r="AI54" s="83" t="s">
        <v>15</v>
      </c>
      <c r="AJ54" s="83" t="s">
        <v>15</v>
      </c>
      <c r="AK54" s="83" t="s">
        <v>15</v>
      </c>
      <c r="AL54" s="83" t="s">
        <v>15</v>
      </c>
      <c r="AM54" s="83" t="s">
        <v>15</v>
      </c>
      <c r="AN54" s="83" t="s">
        <v>15</v>
      </c>
      <c r="AO54" s="83" t="s">
        <v>15</v>
      </c>
      <c r="AP54" s="83" t="s">
        <v>15</v>
      </c>
      <c r="AQ54" s="83"/>
      <c r="AR54" s="84" t="s">
        <v>3</v>
      </c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</row>
    <row r="55" ht="14.0">
      <c r="A55" s="104" t="s">
        <v>45</v>
      </c>
      <c r="B55" s="104" t="s">
        <v>29</v>
      </c>
      <c r="C55" s="104" t="s">
        <v>30</v>
      </c>
      <c r="D55" s="125" t="s">
        <v>31</v>
      </c>
      <c r="E55" s="49">
        <v>179.0</v>
      </c>
      <c r="F55" s="49">
        <v>180.0</v>
      </c>
      <c r="G55" s="49">
        <v>600.0</v>
      </c>
      <c r="H55" s="49">
        <v>60.0</v>
      </c>
      <c r="I55" s="49">
        <v>300.0</v>
      </c>
      <c r="J55" s="49">
        <v>420.0</v>
      </c>
      <c r="K55" s="49">
        <v>359.0</v>
      </c>
      <c r="L55" s="49">
        <v>419.0</v>
      </c>
      <c r="M55" s="49">
        <v>180.0</v>
      </c>
      <c r="N55" s="49">
        <v>240.0</v>
      </c>
      <c r="O55" s="49">
        <v>359.0</v>
      </c>
      <c r="P55" s="49">
        <v>360.0</v>
      </c>
      <c r="Q55" s="49">
        <v>240.0</v>
      </c>
      <c r="R55" s="98">
        <f t="shared" ref="R55:R65" si="27">SUM(F55:Q55)</f>
        <v>3717.0</v>
      </c>
      <c r="S55" s="49">
        <v>120.0</v>
      </c>
      <c r="T55" s="49">
        <v>420.0</v>
      </c>
      <c r="U55" s="49">
        <v>600.0</v>
      </c>
      <c r="V55" s="49">
        <v>240.0</v>
      </c>
      <c r="W55" s="49">
        <v>240.0</v>
      </c>
      <c r="X55" s="49">
        <v>240.0</v>
      </c>
      <c r="Y55" s="49">
        <v>240.0</v>
      </c>
      <c r="Z55" s="49">
        <v>240.0</v>
      </c>
      <c r="AA55" s="49">
        <v>179.0</v>
      </c>
      <c r="AB55" s="49">
        <v>238.0</v>
      </c>
      <c r="AC55" s="49">
        <v>180.0</v>
      </c>
      <c r="AD55" s="49">
        <v>120.0</v>
      </c>
      <c r="AE55" s="98">
        <f t="shared" ref="AE55:AE65" si="28">SUM(S55:AD55)</f>
        <v>3057.0</v>
      </c>
      <c r="AF55" s="49">
        <v>180.0</v>
      </c>
      <c r="AG55" s="49">
        <v>120.0</v>
      </c>
      <c r="AH55" s="49">
        <v>720.0</v>
      </c>
      <c r="AI55" s="49">
        <v>180.0</v>
      </c>
      <c r="AJ55" s="49">
        <v>60.0</v>
      </c>
      <c r="AK55" s="49">
        <v>240.0</v>
      </c>
      <c r="AL55" s="49">
        <v>240.0</v>
      </c>
      <c r="AM55" s="49">
        <v>119.0</v>
      </c>
      <c r="AN55" s="49">
        <v>0.0</v>
      </c>
      <c r="AO55" s="49">
        <v>0.0</v>
      </c>
      <c r="AP55" s="49">
        <v>-2.0</v>
      </c>
      <c r="AQ55" s="49">
        <v>0.0</v>
      </c>
      <c r="AR55" s="98">
        <f t="shared" ref="AR55:AR65" si="29">SUM(AF55:AQ55)</f>
        <v>1857.0</v>
      </c>
    </row>
    <row r="56" ht="14.0">
      <c r="A56" s="104" t="s">
        <v>45</v>
      </c>
      <c r="B56" s="104" t="s">
        <v>29</v>
      </c>
      <c r="C56" s="104" t="s">
        <v>33</v>
      </c>
      <c r="D56" s="125" t="s">
        <v>34</v>
      </c>
      <c r="E56" s="49">
        <v>0.0</v>
      </c>
      <c r="F56" s="126">
        <v>0.0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98">
        <f t="shared" si="27"/>
        <v>0.0</v>
      </c>
      <c r="S56" s="126">
        <v>0.0</v>
      </c>
      <c r="T56" s="126">
        <v>0.0</v>
      </c>
      <c r="U56" s="126">
        <v>0.0</v>
      </c>
      <c r="V56" s="126">
        <v>0.0</v>
      </c>
      <c r="W56" s="126">
        <v>0.0</v>
      </c>
      <c r="X56" s="126">
        <v>0.0</v>
      </c>
      <c r="Y56" s="126">
        <v>0.0</v>
      </c>
      <c r="Z56" s="49">
        <v>336.0</v>
      </c>
      <c r="AA56" s="49">
        <v>24.0</v>
      </c>
      <c r="AB56" s="49">
        <v>0.0</v>
      </c>
      <c r="AC56" s="49">
        <v>72.0</v>
      </c>
      <c r="AD56" s="49">
        <v>72.0</v>
      </c>
      <c r="AE56" s="98">
        <f t="shared" si="28"/>
        <v>504.0</v>
      </c>
      <c r="AF56" s="49">
        <v>72.0</v>
      </c>
      <c r="AG56" s="49">
        <v>0.0</v>
      </c>
      <c r="AH56" s="49">
        <v>216.0</v>
      </c>
      <c r="AI56" s="49">
        <v>78.0</v>
      </c>
      <c r="AJ56" s="49">
        <v>0.0</v>
      </c>
      <c r="AK56" s="49">
        <v>72.0</v>
      </c>
      <c r="AL56" s="49">
        <v>144.0</v>
      </c>
      <c r="AM56" s="49">
        <v>72.0</v>
      </c>
      <c r="AN56" s="126">
        <v>72.0</v>
      </c>
      <c r="AO56" s="49">
        <v>0.0</v>
      </c>
      <c r="AP56" s="49">
        <v>72.0</v>
      </c>
      <c r="AQ56" s="49">
        <v>0.0</v>
      </c>
      <c r="AR56" s="98">
        <f t="shared" si="29"/>
        <v>798.0</v>
      </c>
    </row>
    <row r="57" ht="14.0">
      <c r="A57" s="49" t="s">
        <v>28</v>
      </c>
      <c r="B57" s="49" t="s">
        <v>29</v>
      </c>
      <c r="C57" s="49" t="s">
        <v>192</v>
      </c>
      <c r="D57" s="50" t="s">
        <v>193</v>
      </c>
      <c r="E57" s="49">
        <v>0.0</v>
      </c>
      <c r="F57" s="126">
        <v>0.0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98">
        <f t="shared" si="27"/>
        <v>0.0</v>
      </c>
      <c r="S57" s="126">
        <v>0.0</v>
      </c>
      <c r="T57" s="126">
        <v>0.0</v>
      </c>
      <c r="U57" s="126">
        <v>0.0</v>
      </c>
      <c r="V57" s="126">
        <v>0.0</v>
      </c>
      <c r="W57" s="126">
        <v>0.0</v>
      </c>
      <c r="X57" s="126">
        <v>0.0</v>
      </c>
      <c r="Y57" s="126">
        <v>0.0</v>
      </c>
      <c r="Z57" s="126">
        <v>0.0</v>
      </c>
      <c r="AA57" s="126">
        <v>0.0</v>
      </c>
      <c r="AB57" s="126">
        <v>0.0</v>
      </c>
      <c r="AC57" s="49">
        <v>0.0</v>
      </c>
      <c r="AD57" s="126">
        <v>0.0</v>
      </c>
      <c r="AE57" s="98">
        <f t="shared" si="28"/>
        <v>0.0</v>
      </c>
      <c r="AF57" s="126">
        <v>0.0</v>
      </c>
      <c r="AG57" s="126">
        <v>0.0</v>
      </c>
      <c r="AH57" s="126">
        <v>0.0</v>
      </c>
      <c r="AI57" s="49">
        <v>0.0</v>
      </c>
      <c r="AJ57" s="126">
        <v>0.0</v>
      </c>
      <c r="AK57" s="126">
        <v>0.0</v>
      </c>
      <c r="AL57" s="126">
        <v>0.0</v>
      </c>
      <c r="AM57" s="126">
        <v>0.0</v>
      </c>
      <c r="AN57" s="126">
        <v>0.0</v>
      </c>
      <c r="AO57" s="49">
        <v>420.0</v>
      </c>
      <c r="AP57" s="49">
        <v>0.0</v>
      </c>
      <c r="AQ57" s="49">
        <v>0.0</v>
      </c>
      <c r="AR57" s="98">
        <f t="shared" si="29"/>
        <v>420.0</v>
      </c>
    </row>
    <row r="58" ht="14.0">
      <c r="A58" s="49" t="s">
        <v>28</v>
      </c>
      <c r="B58" s="49" t="s">
        <v>29</v>
      </c>
      <c r="C58" s="49" t="s">
        <v>198</v>
      </c>
      <c r="D58" s="50" t="s">
        <v>199</v>
      </c>
      <c r="E58" s="49">
        <v>0.0</v>
      </c>
      <c r="F58" s="126">
        <v>0.0</v>
      </c>
      <c r="G58" s="126">
        <v>0.0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98">
        <f t="shared" si="27"/>
        <v>0.0</v>
      </c>
      <c r="S58" s="126">
        <v>0.0</v>
      </c>
      <c r="T58" s="126">
        <v>0.0</v>
      </c>
      <c r="U58" s="126">
        <v>0.0</v>
      </c>
      <c r="V58" s="126">
        <v>0.0</v>
      </c>
      <c r="W58" s="126">
        <v>0.0</v>
      </c>
      <c r="X58" s="126">
        <v>0.0</v>
      </c>
      <c r="Y58" s="126">
        <v>0.0</v>
      </c>
      <c r="Z58" s="126">
        <v>0.0</v>
      </c>
      <c r="AA58" s="126">
        <v>0.0</v>
      </c>
      <c r="AB58" s="126">
        <v>0.0</v>
      </c>
      <c r="AC58" s="49">
        <v>0.0</v>
      </c>
      <c r="AD58" s="126">
        <v>0.0</v>
      </c>
      <c r="AE58" s="98">
        <f t="shared" si="28"/>
        <v>0.0</v>
      </c>
      <c r="AF58" s="126">
        <v>0.0</v>
      </c>
      <c r="AG58" s="126">
        <v>0.0</v>
      </c>
      <c r="AH58" s="126">
        <v>0.0</v>
      </c>
      <c r="AI58" s="49">
        <v>0.0</v>
      </c>
      <c r="AJ58" s="126">
        <v>0.0</v>
      </c>
      <c r="AK58" s="126">
        <v>0.0</v>
      </c>
      <c r="AL58" s="126">
        <v>0.0</v>
      </c>
      <c r="AM58" s="126">
        <v>0.0</v>
      </c>
      <c r="AN58" s="126">
        <v>0.0</v>
      </c>
      <c r="AO58" s="49">
        <v>180.0</v>
      </c>
      <c r="AP58" s="49">
        <v>0.0</v>
      </c>
      <c r="AQ58" s="49">
        <v>0.0</v>
      </c>
      <c r="AR58" s="98">
        <f t="shared" si="29"/>
        <v>180.0</v>
      </c>
    </row>
    <row r="59" ht="14.0">
      <c r="A59" s="49" t="s">
        <v>28</v>
      </c>
      <c r="B59" s="49" t="s">
        <v>29</v>
      </c>
      <c r="C59" s="49" t="s">
        <v>60</v>
      </c>
      <c r="D59" s="50" t="s">
        <v>61</v>
      </c>
      <c r="E59" s="49">
        <v>0.0</v>
      </c>
      <c r="F59" s="126">
        <v>0.0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98">
        <f t="shared" si="27"/>
        <v>0.0</v>
      </c>
      <c r="S59" s="126">
        <v>0.0</v>
      </c>
      <c r="T59" s="126">
        <v>0.0</v>
      </c>
      <c r="U59" s="126">
        <v>0.0</v>
      </c>
      <c r="V59" s="126">
        <v>0.0</v>
      </c>
      <c r="W59" s="126">
        <v>0.0</v>
      </c>
      <c r="X59" s="126">
        <v>0.0</v>
      </c>
      <c r="Y59" s="126">
        <v>0.0</v>
      </c>
      <c r="Z59" s="49">
        <v>120.0</v>
      </c>
      <c r="AA59" s="49">
        <v>0.0</v>
      </c>
      <c r="AB59" s="49">
        <v>60.0</v>
      </c>
      <c r="AC59" s="49">
        <v>0.0</v>
      </c>
      <c r="AD59" s="49">
        <v>60.0</v>
      </c>
      <c r="AE59" s="98">
        <f t="shared" si="28"/>
        <v>240.0</v>
      </c>
      <c r="AF59" s="49">
        <v>59.0</v>
      </c>
      <c r="AG59" s="49">
        <v>0.0</v>
      </c>
      <c r="AH59" s="49">
        <v>0.0</v>
      </c>
      <c r="AI59" s="49">
        <v>11.0</v>
      </c>
      <c r="AJ59" s="49">
        <v>0.0</v>
      </c>
      <c r="AK59" s="126">
        <v>0.0</v>
      </c>
      <c r="AL59" s="126">
        <v>0.0</v>
      </c>
      <c r="AM59" s="49">
        <v>120.0</v>
      </c>
      <c r="AN59" s="49">
        <v>0.0</v>
      </c>
      <c r="AO59" s="49">
        <v>240.0</v>
      </c>
      <c r="AP59" s="49">
        <v>17.0</v>
      </c>
      <c r="AQ59" s="49">
        <v>0.0</v>
      </c>
      <c r="AR59" s="98">
        <f t="shared" si="29"/>
        <v>447.0</v>
      </c>
    </row>
    <row r="60" ht="14.0">
      <c r="A60" s="49" t="s">
        <v>28</v>
      </c>
      <c r="B60" s="49" t="s">
        <v>29</v>
      </c>
      <c r="C60" s="49" t="s">
        <v>65</v>
      </c>
      <c r="D60" s="50" t="s">
        <v>66</v>
      </c>
      <c r="E60" s="49">
        <v>0.0</v>
      </c>
      <c r="F60" s="126">
        <v>0.0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98">
        <f t="shared" si="27"/>
        <v>0.0</v>
      </c>
      <c r="S60" s="126">
        <v>0.0</v>
      </c>
      <c r="T60" s="126">
        <v>0.0</v>
      </c>
      <c r="U60" s="126">
        <v>0.0</v>
      </c>
      <c r="V60" s="126">
        <v>0.0</v>
      </c>
      <c r="W60" s="126">
        <v>0.0</v>
      </c>
      <c r="X60" s="126">
        <v>0.0</v>
      </c>
      <c r="Y60" s="126">
        <v>0.0</v>
      </c>
      <c r="Z60" s="49">
        <v>120.0</v>
      </c>
      <c r="AA60" s="49">
        <v>0.0</v>
      </c>
      <c r="AB60" s="126">
        <v>0.0</v>
      </c>
      <c r="AC60" s="49">
        <v>0.0</v>
      </c>
      <c r="AD60" s="126">
        <v>0.0</v>
      </c>
      <c r="AE60" s="98">
        <f t="shared" si="28"/>
        <v>120.0</v>
      </c>
      <c r="AF60" s="126">
        <v>0.0</v>
      </c>
      <c r="AG60" s="126">
        <v>0.0</v>
      </c>
      <c r="AH60" s="49">
        <v>59.0</v>
      </c>
      <c r="AI60" s="49">
        <v>0.0</v>
      </c>
      <c r="AJ60" s="126">
        <v>0.0</v>
      </c>
      <c r="AK60" s="49">
        <v>60.0</v>
      </c>
      <c r="AL60" s="49">
        <v>0.0</v>
      </c>
      <c r="AM60" s="49">
        <v>60.0</v>
      </c>
      <c r="AN60" s="49">
        <v>0.0</v>
      </c>
      <c r="AO60" s="49">
        <v>240.0</v>
      </c>
      <c r="AP60" s="49">
        <v>-7.0</v>
      </c>
      <c r="AQ60" s="49">
        <v>0.0</v>
      </c>
      <c r="AR60" s="98">
        <f t="shared" si="29"/>
        <v>412.0</v>
      </c>
    </row>
    <row r="61" ht="14.0">
      <c r="A61" s="104" t="s">
        <v>45</v>
      </c>
      <c r="B61" s="104" t="s">
        <v>29</v>
      </c>
      <c r="C61" s="104" t="s">
        <v>69</v>
      </c>
      <c r="D61" s="125" t="s">
        <v>70</v>
      </c>
      <c r="E61" s="49">
        <v>96.0</v>
      </c>
      <c r="F61" s="49">
        <v>192.0</v>
      </c>
      <c r="G61" s="49">
        <v>768.0</v>
      </c>
      <c r="H61" s="49">
        <v>143.0</v>
      </c>
      <c r="I61" s="49">
        <v>144.0</v>
      </c>
      <c r="J61" s="126">
        <v>144.0</v>
      </c>
      <c r="K61" s="49">
        <v>286.0</v>
      </c>
      <c r="L61" s="49">
        <v>288.0</v>
      </c>
      <c r="M61" s="49">
        <v>144.0</v>
      </c>
      <c r="N61" s="49">
        <v>192.0</v>
      </c>
      <c r="O61" s="49">
        <v>240.0</v>
      </c>
      <c r="P61" s="126">
        <v>240.0</v>
      </c>
      <c r="Q61" s="49">
        <v>192.0</v>
      </c>
      <c r="R61" s="98">
        <f t="shared" si="27"/>
        <v>2973.0</v>
      </c>
      <c r="S61" s="49">
        <v>144.0</v>
      </c>
      <c r="T61" s="49">
        <v>278.0</v>
      </c>
      <c r="U61" s="49">
        <v>528.0</v>
      </c>
      <c r="V61" s="49">
        <v>0.0</v>
      </c>
      <c r="W61" s="49">
        <v>336.0</v>
      </c>
      <c r="X61" s="49">
        <v>96.0</v>
      </c>
      <c r="Y61" s="49">
        <v>192.0</v>
      </c>
      <c r="Z61" s="126">
        <v>192.0</v>
      </c>
      <c r="AA61" s="49">
        <v>240.0</v>
      </c>
      <c r="AB61" s="49">
        <v>87.0</v>
      </c>
      <c r="AC61" s="49">
        <v>192.0</v>
      </c>
      <c r="AD61" s="49">
        <v>96.0</v>
      </c>
      <c r="AE61" s="98">
        <f t="shared" si="28"/>
        <v>2381.0</v>
      </c>
      <c r="AF61" s="49">
        <v>191.0</v>
      </c>
      <c r="AG61" s="49">
        <v>144.0</v>
      </c>
      <c r="AH61" s="49">
        <v>575.0</v>
      </c>
      <c r="AI61" s="49">
        <v>48.0</v>
      </c>
      <c r="AJ61" s="49">
        <v>96.0</v>
      </c>
      <c r="AK61" s="49">
        <v>144.0</v>
      </c>
      <c r="AL61" s="49">
        <v>240.0</v>
      </c>
      <c r="AM61" s="49">
        <v>143.0</v>
      </c>
      <c r="AN61" s="49">
        <v>144.0</v>
      </c>
      <c r="AO61" s="49">
        <v>0.0</v>
      </c>
      <c r="AP61" s="49">
        <v>-1.0</v>
      </c>
      <c r="AQ61" s="49">
        <v>0.0</v>
      </c>
      <c r="AR61" s="98">
        <f t="shared" si="29"/>
        <v>1724.0</v>
      </c>
    </row>
    <row r="62" ht="14.0">
      <c r="A62" s="49" t="s">
        <v>28</v>
      </c>
      <c r="B62" s="49" t="s">
        <v>29</v>
      </c>
      <c r="C62" s="49" t="s">
        <v>80</v>
      </c>
      <c r="D62" s="50" t="s">
        <v>81</v>
      </c>
      <c r="E62" s="49">
        <v>0.0</v>
      </c>
      <c r="F62" s="126">
        <v>0.0</v>
      </c>
      <c r="G62" s="126">
        <v>0.0</v>
      </c>
      <c r="H62" s="126">
        <v>0.0</v>
      </c>
      <c r="I62" s="126">
        <v>0.0</v>
      </c>
      <c r="J62" s="126">
        <v>0.0</v>
      </c>
      <c r="K62" s="126">
        <v>0.0</v>
      </c>
      <c r="L62" s="126">
        <v>0.0</v>
      </c>
      <c r="M62" s="126">
        <v>0.0</v>
      </c>
      <c r="N62" s="126">
        <v>0.0</v>
      </c>
      <c r="O62" s="126">
        <v>0.0</v>
      </c>
      <c r="P62" s="126">
        <v>0.0</v>
      </c>
      <c r="Q62" s="126">
        <v>0.0</v>
      </c>
      <c r="R62" s="98">
        <f t="shared" si="27"/>
        <v>0.0</v>
      </c>
      <c r="S62" s="126">
        <v>0.0</v>
      </c>
      <c r="T62" s="126">
        <v>0.0</v>
      </c>
      <c r="U62" s="126">
        <v>0.0</v>
      </c>
      <c r="V62" s="126">
        <v>0.0</v>
      </c>
      <c r="W62" s="126">
        <v>0.0</v>
      </c>
      <c r="X62" s="126">
        <v>0.0</v>
      </c>
      <c r="Y62" s="126">
        <v>0.0</v>
      </c>
      <c r="Z62" s="49">
        <v>360.0</v>
      </c>
      <c r="AA62" s="49">
        <v>0.0</v>
      </c>
      <c r="AB62" s="49">
        <v>60.0</v>
      </c>
      <c r="AC62" s="49">
        <v>60.0</v>
      </c>
      <c r="AD62" s="49">
        <v>60.0</v>
      </c>
      <c r="AE62" s="98">
        <f t="shared" si="28"/>
        <v>540.0</v>
      </c>
      <c r="AF62" s="49">
        <v>120.0</v>
      </c>
      <c r="AG62" s="49">
        <v>60.0</v>
      </c>
      <c r="AH62" s="49">
        <v>180.0</v>
      </c>
      <c r="AI62" s="49">
        <v>120.0</v>
      </c>
      <c r="AJ62" s="49">
        <v>60.0</v>
      </c>
      <c r="AK62" s="49">
        <v>120.0</v>
      </c>
      <c r="AL62" s="126">
        <v>120.0</v>
      </c>
      <c r="AM62" s="49">
        <v>60.0</v>
      </c>
      <c r="AN62" s="126">
        <v>60.0</v>
      </c>
      <c r="AO62" s="49">
        <v>0.0</v>
      </c>
      <c r="AP62" s="49">
        <v>120.0</v>
      </c>
      <c r="AQ62" s="49">
        <v>0.0</v>
      </c>
      <c r="AR62" s="98">
        <f t="shared" si="29"/>
        <v>1020.0</v>
      </c>
    </row>
    <row r="63" ht="14.0">
      <c r="A63" s="49" t="s">
        <v>28</v>
      </c>
      <c r="B63" s="49" t="s">
        <v>29</v>
      </c>
      <c r="C63" s="49" t="s">
        <v>86</v>
      </c>
      <c r="D63" s="50" t="s">
        <v>87</v>
      </c>
      <c r="E63" s="49">
        <v>0.0</v>
      </c>
      <c r="F63" s="126">
        <v>0.0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98">
        <f t="shared" si="27"/>
        <v>0.0</v>
      </c>
      <c r="S63" s="126">
        <v>0.0</v>
      </c>
      <c r="T63" s="126">
        <v>0.0</v>
      </c>
      <c r="U63" s="126">
        <v>0.0</v>
      </c>
      <c r="V63" s="126">
        <v>0.0</v>
      </c>
      <c r="W63" s="126">
        <v>0.0</v>
      </c>
      <c r="X63" s="126">
        <v>0.0</v>
      </c>
      <c r="Y63" s="126">
        <v>0.0</v>
      </c>
      <c r="Z63" s="49">
        <v>324.0</v>
      </c>
      <c r="AA63" s="49">
        <v>0.0</v>
      </c>
      <c r="AB63" s="49">
        <v>60.0</v>
      </c>
      <c r="AC63" s="49">
        <v>60.0</v>
      </c>
      <c r="AD63" s="49">
        <v>60.0</v>
      </c>
      <c r="AE63" s="98">
        <f t="shared" si="28"/>
        <v>504.0</v>
      </c>
      <c r="AF63" s="49">
        <v>60.0</v>
      </c>
      <c r="AG63" s="49">
        <v>60.0</v>
      </c>
      <c r="AH63" s="49">
        <v>240.0</v>
      </c>
      <c r="AI63" s="49">
        <v>60.0</v>
      </c>
      <c r="AJ63" s="126">
        <v>60.0</v>
      </c>
      <c r="AK63" s="126">
        <v>60.0</v>
      </c>
      <c r="AL63" s="49">
        <v>120.0</v>
      </c>
      <c r="AM63" s="49">
        <v>0.0</v>
      </c>
      <c r="AN63" s="49">
        <v>120.0</v>
      </c>
      <c r="AO63" s="49">
        <v>0.0</v>
      </c>
      <c r="AP63" s="49">
        <v>60.0</v>
      </c>
      <c r="AQ63" s="49">
        <v>60.0</v>
      </c>
      <c r="AR63" s="98">
        <f t="shared" si="29"/>
        <v>900.0</v>
      </c>
    </row>
    <row r="64" ht="14.0">
      <c r="A64" s="49" t="s">
        <v>28</v>
      </c>
      <c r="B64" s="49" t="s">
        <v>29</v>
      </c>
      <c r="C64" s="49" t="s">
        <v>88</v>
      </c>
      <c r="D64" s="50" t="s">
        <v>89</v>
      </c>
      <c r="E64" s="49">
        <v>0.0</v>
      </c>
      <c r="F64" s="126">
        <v>0.0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98">
        <f t="shared" si="27"/>
        <v>0.0</v>
      </c>
      <c r="S64" s="126">
        <v>0.0</v>
      </c>
      <c r="T64" s="126">
        <v>0.0</v>
      </c>
      <c r="U64" s="126">
        <v>0.0</v>
      </c>
      <c r="V64" s="126">
        <v>0.0</v>
      </c>
      <c r="W64" s="126">
        <v>0.0</v>
      </c>
      <c r="X64" s="126">
        <v>0.0</v>
      </c>
      <c r="Y64" s="126">
        <v>0.0</v>
      </c>
      <c r="Z64" s="49">
        <v>324.0</v>
      </c>
      <c r="AA64" s="49">
        <v>0.0</v>
      </c>
      <c r="AB64" s="126">
        <v>0.0</v>
      </c>
      <c r="AC64" s="49">
        <v>0.0</v>
      </c>
      <c r="AD64" s="49">
        <v>60.0</v>
      </c>
      <c r="AE64" s="98">
        <f t="shared" si="28"/>
        <v>384.0</v>
      </c>
      <c r="AF64" s="49">
        <v>120.0</v>
      </c>
      <c r="AG64" s="49">
        <v>60.0</v>
      </c>
      <c r="AH64" s="49">
        <v>120.0</v>
      </c>
      <c r="AI64" s="49">
        <v>60.0</v>
      </c>
      <c r="AJ64" s="49">
        <v>66.0</v>
      </c>
      <c r="AK64" s="49">
        <v>60.0</v>
      </c>
      <c r="AL64" s="49">
        <v>42.0</v>
      </c>
      <c r="AM64" s="49">
        <v>90.0</v>
      </c>
      <c r="AN64" s="49">
        <v>42.0</v>
      </c>
      <c r="AO64" s="49">
        <v>0.0</v>
      </c>
      <c r="AP64" s="49">
        <v>54.0</v>
      </c>
      <c r="AQ64" s="49">
        <v>6.0</v>
      </c>
      <c r="AR64" s="98">
        <f t="shared" si="29"/>
        <v>720.0</v>
      </c>
    </row>
    <row r="65" ht="14.0">
      <c r="A65" s="49" t="s">
        <v>28</v>
      </c>
      <c r="B65" s="49" t="s">
        <v>29</v>
      </c>
      <c r="C65" s="49" t="s">
        <v>94</v>
      </c>
      <c r="D65" s="50" t="s">
        <v>95</v>
      </c>
      <c r="E65" s="49">
        <v>0.0</v>
      </c>
      <c r="F65" s="126">
        <v>0.0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98">
        <f t="shared" si="27"/>
        <v>0.0</v>
      </c>
      <c r="S65" s="126">
        <v>0.0</v>
      </c>
      <c r="T65" s="126">
        <v>0.0</v>
      </c>
      <c r="U65" s="126">
        <v>0.0</v>
      </c>
      <c r="V65" s="126">
        <v>0.0</v>
      </c>
      <c r="W65" s="126">
        <v>0.0</v>
      </c>
      <c r="X65" s="126">
        <v>0.0</v>
      </c>
      <c r="Y65" s="126">
        <v>0.0</v>
      </c>
      <c r="Z65" s="49">
        <v>36.0</v>
      </c>
      <c r="AA65" s="49">
        <v>0.0</v>
      </c>
      <c r="AB65" s="126">
        <v>0.0</v>
      </c>
      <c r="AC65" s="49">
        <v>0.0</v>
      </c>
      <c r="AD65" s="49">
        <v>0.0</v>
      </c>
      <c r="AE65" s="98">
        <f t="shared" si="28"/>
        <v>36.0</v>
      </c>
      <c r="AF65" s="49">
        <v>0.0</v>
      </c>
      <c r="AG65" s="49">
        <v>0.0</v>
      </c>
      <c r="AH65" s="49">
        <v>120.0</v>
      </c>
      <c r="AI65" s="49">
        <v>0.0</v>
      </c>
      <c r="AJ65" s="126">
        <v>0.0</v>
      </c>
      <c r="AK65" s="126">
        <v>0.0</v>
      </c>
      <c r="AL65" s="126">
        <v>0.0</v>
      </c>
      <c r="AM65" s="126">
        <v>0.0</v>
      </c>
      <c r="AN65" s="126">
        <v>0.0</v>
      </c>
      <c r="AO65" s="49">
        <v>0.0</v>
      </c>
      <c r="AP65" s="49">
        <v>0.0</v>
      </c>
      <c r="AQ65" s="49">
        <v>0.0</v>
      </c>
      <c r="AR65" s="98">
        <f t="shared" si="29"/>
        <v>120.0</v>
      </c>
    </row>
  </sheetData>
  <conditionalFormatting sqref="AO31:AQ31 AO27:AQ27 AO25:AQ25 AO19:AQ19 AB22:AD22 AF22:AN22 AB42:AD50 AF42:AN50 AB31:AD38 AF31:AN38 AB25:AD28 AF25:AN28 AB6:AD20 AF6:AN20">
    <cfRule dxfId="4" operator="lessThanOrEqual" type="cellIs" priority="1">
      <formula>0</formula>
    </cfRule>
  </conditionalFormatting>
  <conditionalFormatting sqref="C1:C262062">
    <cfRule dxfId="1" operator="containsText" type="containsText" priority="2" text="set up">
      <formula>NOT(ISERROR(SEARCH("set up",C1)))</formula>
    </cfRule>
  </conditionalFormatting>
  <conditionalFormatting sqref="C1:C262062">
    <cfRule dxfId="1" operator="containsText" type="containsText" priority="3" text="setup">
      <formula>NOT(ISERROR(SEARCH("setup",C1)))</formula>
    </cfRule>
  </conditionalFormatting>
  <conditionalFormatting sqref="C1:C262062">
    <cfRule dxfId="1" operator="containsText" type="containsText" priority="4" text="starter pack">
      <formula>NOT(ISERROR(SEARCH("starter pack",C1)))</formula>
    </cfRule>
  </conditionalFormatting>
  <conditionalFormatting sqref="AB29:AD30 AF29:AM30">
    <cfRule dxfId="4" operator="lessThanOrEqual" type="cellIs" priority="5">
      <formula>0</formula>
    </cfRule>
  </conditionalFormatting>
  <conditionalFormatting sqref="AB21:AD21 AF21:AM21 AB39:AD41 AF39:AM41">
    <cfRule dxfId="4" operator="lessThanOrEqual" type="cellIs" priority="6">
      <formula>0</formula>
    </cfRule>
  </conditionalFormatting>
  <conditionalFormatting sqref="AB23:AD24 AF23:AM24">
    <cfRule dxfId="4" operator="lessThanOrEqual" type="cellIs" priority="7">
      <formula>0</formula>
    </cfRule>
  </conditionalFormatting>
  <conditionalFormatting sqref="AP32:AQ50 AP28:AQ30 AP26:AQ26 AP7:AQ18 AP20:AQ24">
    <cfRule dxfId="4" operator="lessThanOrEqual" type="cellIs" priority="8">
      <formula>0</formula>
    </cfRule>
  </conditionalFormatting>
  <conditionalFormatting sqref="AO32:AO50 AO28:AO30 AO26:AO26 AO7:AO18 AO20:AO24">
    <cfRule dxfId="4" operator="lessThanOrEqual" type="cellIs" priority="9">
      <formula>0</formula>
    </cfRule>
  </conditionalFormatting>
  <conditionalFormatting sqref="AP6:AQ6">
    <cfRule dxfId="4" operator="lessThanOrEqual" type="cellIs" priority="10">
      <formula>0</formula>
    </cfRule>
  </conditionalFormatting>
  <conditionalFormatting sqref="AN39:AN39">
    <cfRule dxfId="4" operator="lessThanOrEqual" type="cellIs" priority="11">
      <formula>0</formula>
    </cfRule>
  </conditionalFormatting>
  <conditionalFormatting sqref="AN40:AN40">
    <cfRule dxfId="4" operator="lessThanOrEqual" type="cellIs" priority="12">
      <formula>0</formula>
    </cfRule>
  </conditionalFormatting>
  <conditionalFormatting sqref="AN41:AN41">
    <cfRule dxfId="4" operator="lessThanOrEqual" type="cellIs" priority="13">
      <formula>0</formula>
    </cfRule>
  </conditionalFormatting>
  <conditionalFormatting sqref="AD55:AD65 AF55:AQ65">
    <cfRule dxfId="0" operator="lessThanOrEqual" type="cellIs" priority="14">
      <formula>0</formula>
    </cfRule>
  </conditionalFormatting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Y41"/>
  <sheetViews>
    <sheetView workbookViewId="0">
      <pane xSplit="28" ySplit="6" topLeftCell="AC7" state="frozen"/>
    </sheetView>
  </sheetViews>
  <sheetFormatPr defaultRowHeight="14.0" customHeight="1"/>
  <cols>
    <col min="1" max="1" style="49" width="16.56"/>
    <col min="2" max="2" style="49" width="17.09"/>
    <col min="3" max="3" style="49" width="47.69"/>
    <col min="4" max="4" style="50" width="10.46"/>
    <col min="5" max="5" hidden="1" style="49" width="0.0" outlineLevel="1"/>
    <col min="6" max="6" hidden="1" style="49" width="0.0" outlineLevel="1"/>
    <col min="7" max="7" hidden="1" style="49" width="0.0" outlineLevel="1"/>
    <col min="8" max="8" hidden="1" style="49" width="0.0" outlineLevel="1"/>
    <col min="9" max="9" hidden="1" style="49" width="0.0" outlineLevel="1"/>
    <col min="10" max="10" hidden="1" style="49" width="0.0" outlineLevel="1"/>
    <col min="11" max="11" hidden="1" style="49" width="0.0" outlineLevel="1"/>
    <col min="12" max="12" hidden="1" style="49" width="0.0" outlineLevel="1"/>
    <col min="13" max="13" hidden="1" style="49" width="0.0" outlineLevel="1"/>
    <col min="14" max="14" hidden="1" style="49" width="0.0" outlineLevel="1"/>
    <col min="15" max="15" hidden="1" style="49" width="0.0" outlineLevel="1"/>
    <col min="16" max="16" hidden="1" style="49" width="0.0" outlineLevel="1"/>
    <col min="17" max="17" hidden="1" style="49" width="0.0" outlineLevel="1"/>
    <col min="18" max="18" hidden="1" style="49" width="0.0" outlineLevel="1"/>
    <col min="19" max="19" hidden="1" style="49" width="0.0" outlineLevel="1"/>
    <col min="20" max="20" hidden="1" style="49" width="0.0" outlineLevel="1"/>
    <col min="21" max="21" hidden="1" style="49" width="0.0" outlineLevel="1"/>
    <col min="22" max="22" hidden="1" style="49" width="0.0" outlineLevel="1"/>
    <col min="23" max="23" hidden="1" style="49" width="0.0" outlineLevel="1"/>
    <col min="24" max="24" hidden="1" style="49" width="0.0" outlineLevel="1"/>
    <col min="25" max="25" hidden="1" style="49" width="0.0" outlineLevel="1"/>
    <col min="26" max="26" hidden="1" style="49" width="0.0" outlineLevel="1"/>
    <col min="27" max="27" hidden="1" style="49" width="0.0" outlineLevel="1"/>
    <col min="28" max="28" hidden="1" style="49" width="0.0" outlineLevel="1"/>
    <col min="29" max="29" style="49" width="7.94" collapsed="1"/>
    <col min="30" max="30" style="49" width="7.55"/>
    <col min="31" max="31" style="49" width="7.41"/>
    <col min="32" max="32" style="49" width="7.94"/>
    <col min="33" max="33" style="49" width="7.68"/>
    <col min="34" max="34" style="49" width="7.02"/>
    <col min="35" max="35" style="49" width="7.55"/>
    <col min="36" max="36" style="49" width="7.94"/>
    <col min="37" max="37" style="49" width="7.55"/>
    <col min="38" max="38" style="49" width="8.21"/>
    <col min="39" max="39" style="49" width="7.15"/>
    <col min="40" max="40" style="49" width="6.49"/>
    <col min="41" max="43" style="49" width="11.65"/>
    <col min="44" max="49" style="49" width="11.79"/>
    <col min="50" max="50" style="51" width="13.24"/>
    <col min="51" max="57" style="49" width="13.24"/>
    <col min="58" max="59" style="49" width="5.96"/>
    <col min="60" max="60" style="49" width="3.84"/>
    <col min="61" max="61" style="49" width="7.55"/>
    <col min="62" max="63" style="49" width="5.96"/>
    <col min="64" max="64" style="49" width="7.55"/>
    <col min="65" max="65" style="49" width="5.96"/>
    <col min="66" max="66" style="49" width="3.84"/>
    <col min="67" max="67" style="49" width="7.55"/>
    <col min="68" max="68" style="49" width="5.96"/>
    <col min="69" max="69" style="49" width="3.84"/>
    <col min="70" max="70" style="49" width="7.55"/>
    <col min="71" max="71" style="49" width="5.96"/>
    <col min="72" max="72" style="49" width="3.84"/>
    <col min="73" max="73" style="49" width="7.55"/>
    <col min="74" max="74" style="49" width="5.96"/>
    <col min="75" max="75" style="49" width="3.84"/>
    <col min="76" max="76" style="49" width="7.55"/>
    <col min="77" max="1023" style="49" width="13.24"/>
    <col min="1024" max="1024" style="49" width="13.24"/>
    <col min="1025" max="2048" width="13.24"/>
  </cols>
  <sheetData>
    <row r="1" ht="14.0">
      <c r="A1" s="56"/>
      <c r="B1" s="56"/>
      <c r="C1" s="56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O1" s="51"/>
      <c r="AP1" s="51"/>
      <c r="AQ1" s="51"/>
      <c r="AR1" s="135" t="s">
        <v>222</v>
      </c>
      <c r="AS1" s="136" t="s">
        <v>223</v>
      </c>
      <c r="AT1" s="136" t="s">
        <v>223</v>
      </c>
      <c r="AU1" s="136" t="s">
        <v>223</v>
      </c>
      <c r="AV1" s="136" t="s">
        <v>223</v>
      </c>
      <c r="AW1" s="136" t="s">
        <v>223</v>
      </c>
    </row>
    <row r="2" ht="14.0">
      <c r="A2" s="56"/>
      <c r="B2" s="56"/>
      <c r="C2" s="56"/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O2" s="51"/>
      <c r="AP2" s="51"/>
      <c r="AQ2" s="51"/>
      <c r="AR2" s="136" t="s">
        <v>224</v>
      </c>
      <c r="AS2" s="136" t="s">
        <v>225</v>
      </c>
      <c r="AT2" s="136" t="s">
        <v>225</v>
      </c>
      <c r="AU2" s="136" t="s">
        <v>225</v>
      </c>
      <c r="AV2" s="136" t="s">
        <v>225</v>
      </c>
      <c r="AW2" s="136" t="s">
        <v>225</v>
      </c>
    </row>
    <row r="3">
      <c r="A3" s="56"/>
      <c r="B3" s="56"/>
      <c r="C3" s="56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</row>
    <row r="4" ht="14.0">
      <c r="A4" s="56"/>
      <c r="B4" s="56"/>
      <c r="C4" s="56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137">
        <v>0.073</v>
      </c>
      <c r="AD4" s="137">
        <v>0.057</v>
      </c>
      <c r="AE4" s="137">
        <v>0.114</v>
      </c>
      <c r="AF4" s="137">
        <v>0.127</v>
      </c>
      <c r="AG4" s="137">
        <v>0.115</v>
      </c>
      <c r="AH4" s="137">
        <v>0.094</v>
      </c>
      <c r="AI4" s="137">
        <v>0.052</v>
      </c>
      <c r="AJ4" s="137">
        <v>0.065</v>
      </c>
      <c r="AK4" s="138" t="s">
        <v>0</v>
      </c>
      <c r="AL4" s="137">
        <v>0.097</v>
      </c>
      <c r="AM4" s="137">
        <v>0.046</v>
      </c>
      <c r="AN4" s="137">
        <v>0.089</v>
      </c>
      <c r="AO4" s="51">
        <f>SUM(AC4:AN4)</f>
        <v>0.929</v>
      </c>
      <c r="AP4" s="51">
        <f>SUM(AI4:AN4)</f>
        <v>0.349</v>
      </c>
      <c r="AQ4" s="70">
        <f>AP4*1.1</f>
        <v>0.3839</v>
      </c>
      <c r="AR4" s="137">
        <v>0.073</v>
      </c>
      <c r="AS4" s="137">
        <v>0.057</v>
      </c>
      <c r="AT4" s="137">
        <v>0.114</v>
      </c>
      <c r="AU4" s="137">
        <v>0.127</v>
      </c>
      <c r="AV4" s="137">
        <v>0.115</v>
      </c>
      <c r="AW4" s="137">
        <v>0.094</v>
      </c>
    </row>
    <row r="5" ht="14.0">
      <c r="E5" s="71">
        <v>45891</v>
      </c>
      <c r="F5" s="71">
        <v>45922</v>
      </c>
      <c r="G5" s="71">
        <v>45952</v>
      </c>
      <c r="H5" s="71">
        <v>45983</v>
      </c>
      <c r="I5" s="71">
        <v>46013</v>
      </c>
      <c r="J5" s="71">
        <v>45680</v>
      </c>
      <c r="K5" s="71">
        <v>45711</v>
      </c>
      <c r="L5" s="71">
        <v>45739</v>
      </c>
      <c r="M5" s="71">
        <v>45770</v>
      </c>
      <c r="N5" s="71">
        <v>45800</v>
      </c>
      <c r="O5" s="71">
        <v>45831</v>
      </c>
      <c r="P5" s="71">
        <v>45861</v>
      </c>
      <c r="Q5" s="72">
        <v>45892</v>
      </c>
      <c r="R5" s="72">
        <v>45923</v>
      </c>
      <c r="S5" s="72">
        <v>45953</v>
      </c>
      <c r="T5" s="72">
        <v>45984</v>
      </c>
      <c r="U5" s="72">
        <v>46014</v>
      </c>
      <c r="V5" s="72">
        <v>45681</v>
      </c>
      <c r="W5" s="72">
        <v>45712</v>
      </c>
      <c r="X5" s="72">
        <v>45740</v>
      </c>
      <c r="Y5" s="72">
        <v>45771</v>
      </c>
      <c r="Z5" s="72">
        <v>45801</v>
      </c>
      <c r="AA5" s="72">
        <v>45832</v>
      </c>
      <c r="AB5" s="72">
        <v>45862</v>
      </c>
      <c r="AC5" s="73">
        <v>45893</v>
      </c>
      <c r="AD5" s="73">
        <v>45924</v>
      </c>
      <c r="AE5" s="73">
        <v>45954</v>
      </c>
      <c r="AF5" s="73">
        <v>45985</v>
      </c>
      <c r="AG5" s="73">
        <v>46015</v>
      </c>
      <c r="AH5" s="73">
        <v>45682</v>
      </c>
      <c r="AI5" s="73">
        <v>45713</v>
      </c>
      <c r="AJ5" s="73">
        <v>45741</v>
      </c>
      <c r="AK5" s="73">
        <v>45772</v>
      </c>
      <c r="AL5" s="73">
        <v>45802</v>
      </c>
      <c r="AM5" s="73">
        <v>45833</v>
      </c>
      <c r="AN5" s="73">
        <v>45863</v>
      </c>
      <c r="AO5" s="59" t="s">
        <v>1</v>
      </c>
      <c r="AP5" s="59" t="s">
        <v>226</v>
      </c>
      <c r="AQ5" s="59" t="s">
        <v>226</v>
      </c>
      <c r="AR5" s="73">
        <v>45893</v>
      </c>
      <c r="AS5" s="73">
        <v>45924</v>
      </c>
      <c r="AT5" s="73">
        <v>45954</v>
      </c>
      <c r="AU5" s="73">
        <v>45985</v>
      </c>
      <c r="AV5" s="73">
        <v>46015</v>
      </c>
      <c r="AW5" s="73">
        <v>46048</v>
      </c>
      <c r="AX5" s="139" t="s">
        <v>3</v>
      </c>
      <c r="AY5" s="139" t="s">
        <v>3</v>
      </c>
      <c r="AZ5" s="139" t="s">
        <v>3</v>
      </c>
      <c r="BA5" s="139" t="s">
        <v>3</v>
      </c>
      <c r="BB5" s="139" t="s">
        <v>3</v>
      </c>
      <c r="BC5" s="140" t="s">
        <v>3</v>
      </c>
      <c r="BD5" s="139" t="s">
        <v>3</v>
      </c>
      <c r="BE5" s="141" t="s">
        <v>3</v>
      </c>
      <c r="BF5" s="59" t="s">
        <v>7</v>
      </c>
      <c r="BG5" s="59" t="s">
        <v>8</v>
      </c>
      <c r="BH5" s="59"/>
      <c r="BI5" s="59"/>
      <c r="BJ5" s="59" t="s">
        <v>9</v>
      </c>
      <c r="BK5" s="59"/>
      <c r="BL5" s="59"/>
      <c r="BM5" s="59" t="s">
        <v>10</v>
      </c>
      <c r="BN5" s="59"/>
      <c r="BO5" s="59"/>
      <c r="BP5" s="59" t="s">
        <v>227</v>
      </c>
      <c r="BQ5" s="59"/>
      <c r="BR5" s="59"/>
      <c r="BS5" s="59" t="s">
        <v>212</v>
      </c>
      <c r="BT5" s="59"/>
      <c r="BU5" s="59"/>
      <c r="BV5" s="79">
        <v>46023</v>
      </c>
      <c r="BW5" s="59"/>
      <c r="BX5" s="59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</row>
    <row r="6" ht="43.0">
      <c r="A6" s="81" t="s">
        <v>11</v>
      </c>
      <c r="B6" s="81" t="s">
        <v>12</v>
      </c>
      <c r="C6" s="81" t="s">
        <v>13</v>
      </c>
      <c r="D6" s="82" t="s">
        <v>14</v>
      </c>
      <c r="E6" s="83" t="s">
        <v>15</v>
      </c>
      <c r="F6" s="83" t="s">
        <v>15</v>
      </c>
      <c r="G6" s="83" t="s">
        <v>15</v>
      </c>
      <c r="H6" s="83" t="s">
        <v>15</v>
      </c>
      <c r="I6" s="83" t="s">
        <v>15</v>
      </c>
      <c r="J6" s="83" t="s">
        <v>15</v>
      </c>
      <c r="K6" s="83" t="s">
        <v>15</v>
      </c>
      <c r="L6" s="83" t="s">
        <v>15</v>
      </c>
      <c r="M6" s="83" t="s">
        <v>15</v>
      </c>
      <c r="N6" s="83" t="s">
        <v>15</v>
      </c>
      <c r="O6" s="83" t="s">
        <v>15</v>
      </c>
      <c r="P6" s="83" t="s">
        <v>15</v>
      </c>
      <c r="Q6" s="83" t="s">
        <v>15</v>
      </c>
      <c r="R6" s="83" t="s">
        <v>15</v>
      </c>
      <c r="S6" s="83" t="s">
        <v>15</v>
      </c>
      <c r="T6" s="83" t="s">
        <v>15</v>
      </c>
      <c r="U6" s="83" t="s">
        <v>15</v>
      </c>
      <c r="V6" s="83" t="s">
        <v>15</v>
      </c>
      <c r="W6" s="83" t="s">
        <v>15</v>
      </c>
      <c r="X6" s="83" t="s">
        <v>15</v>
      </c>
      <c r="Y6" s="83" t="s">
        <v>15</v>
      </c>
      <c r="Z6" s="83" t="s">
        <v>15</v>
      </c>
      <c r="AA6" s="83" t="s">
        <v>15</v>
      </c>
      <c r="AB6" s="83" t="s">
        <v>15</v>
      </c>
      <c r="AC6" s="83" t="s">
        <v>15</v>
      </c>
      <c r="AD6" s="83" t="s">
        <v>15</v>
      </c>
      <c r="AE6" s="83" t="s">
        <v>15</v>
      </c>
      <c r="AF6" s="83" t="s">
        <v>15</v>
      </c>
      <c r="AG6" s="83" t="s">
        <v>15</v>
      </c>
      <c r="AH6" s="83" t="s">
        <v>15</v>
      </c>
      <c r="AI6" s="83" t="s">
        <v>15</v>
      </c>
      <c r="AJ6" s="83" t="s">
        <v>15</v>
      </c>
      <c r="AK6" s="83" t="s">
        <v>15</v>
      </c>
      <c r="AL6" s="83" t="s">
        <v>15</v>
      </c>
      <c r="AM6" s="83" t="s">
        <v>15</v>
      </c>
      <c r="AN6" s="83" t="s">
        <v>15</v>
      </c>
      <c r="AO6" s="84" t="s">
        <v>3</v>
      </c>
      <c r="AP6" s="84" t="s">
        <v>3</v>
      </c>
      <c r="AQ6" s="84" t="s">
        <v>16</v>
      </c>
      <c r="AR6" s="85" t="s">
        <v>17</v>
      </c>
      <c r="AS6" s="85" t="s">
        <v>17</v>
      </c>
      <c r="AT6" s="85" t="s">
        <v>17</v>
      </c>
      <c r="AU6" s="85" t="s">
        <v>17</v>
      </c>
      <c r="AV6" s="85" t="s">
        <v>17</v>
      </c>
      <c r="AW6" s="85" t="s">
        <v>17</v>
      </c>
      <c r="AX6" s="142" t="s">
        <v>17</v>
      </c>
      <c r="AY6" s="93" t="s">
        <v>228</v>
      </c>
      <c r="AZ6" s="143" t="s">
        <v>229</v>
      </c>
      <c r="BA6" s="143" t="s">
        <v>230</v>
      </c>
      <c r="BB6" s="143" t="s">
        <v>231</v>
      </c>
      <c r="BC6" s="144" t="s">
        <v>21</v>
      </c>
      <c r="BD6" s="93" t="s">
        <v>22</v>
      </c>
      <c r="BE6" s="145" t="s">
        <v>23</v>
      </c>
      <c r="BF6" s="93" t="s">
        <v>25</v>
      </c>
      <c r="BG6" s="93" t="s">
        <v>17</v>
      </c>
      <c r="BH6" s="93" t="s">
        <v>26</v>
      </c>
      <c r="BI6" s="93" t="s">
        <v>27</v>
      </c>
      <c r="BJ6" s="93" t="s">
        <v>17</v>
      </c>
      <c r="BK6" s="93" t="s">
        <v>26</v>
      </c>
      <c r="BL6" s="93" t="s">
        <v>27</v>
      </c>
      <c r="BM6" s="93" t="s">
        <v>17</v>
      </c>
      <c r="BN6" s="93" t="s">
        <v>26</v>
      </c>
      <c r="BO6" s="93" t="s">
        <v>27</v>
      </c>
      <c r="BP6" s="93" t="s">
        <v>17</v>
      </c>
      <c r="BQ6" s="93" t="s">
        <v>26</v>
      </c>
      <c r="BR6" s="93" t="s">
        <v>27</v>
      </c>
      <c r="BS6" s="93" t="s">
        <v>17</v>
      </c>
      <c r="BT6" s="93" t="s">
        <v>26</v>
      </c>
      <c r="BU6" s="93" t="s">
        <v>27</v>
      </c>
      <c r="BV6" s="93" t="s">
        <v>17</v>
      </c>
      <c r="BW6" s="93" t="s">
        <v>26</v>
      </c>
      <c r="BX6" s="93" t="s">
        <v>27</v>
      </c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AMJ6" s="146"/>
    </row>
    <row r="7" ht="14.0">
      <c r="A7" s="117" t="s">
        <v>28</v>
      </c>
      <c r="B7" s="117" t="s">
        <v>29</v>
      </c>
      <c r="C7" s="117" t="s">
        <v>200</v>
      </c>
      <c r="D7" s="147" t="s">
        <v>201</v>
      </c>
      <c r="E7" s="96">
        <v>0.0</v>
      </c>
      <c r="F7" s="96">
        <v>0.0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6">
        <v>0.0</v>
      </c>
      <c r="S7" s="96">
        <v>0.0</v>
      </c>
      <c r="T7" s="96">
        <v>0.0</v>
      </c>
      <c r="U7" s="96">
        <v>0.0</v>
      </c>
      <c r="V7" s="96">
        <v>0.0</v>
      </c>
      <c r="W7" s="96">
        <v>0.0</v>
      </c>
      <c r="X7" s="96">
        <v>0.0</v>
      </c>
      <c r="Y7" s="96">
        <v>0.0</v>
      </c>
      <c r="Z7" s="96">
        <v>0.0</v>
      </c>
      <c r="AA7" s="96">
        <v>0.0</v>
      </c>
      <c r="AB7" s="96">
        <v>0.0</v>
      </c>
      <c r="AC7" s="96">
        <v>0.0</v>
      </c>
      <c r="AD7" s="96">
        <v>0.0</v>
      </c>
      <c r="AE7" s="96">
        <v>0.0</v>
      </c>
      <c r="AF7" s="96">
        <v>0.0</v>
      </c>
      <c r="AG7" s="96">
        <v>0.0</v>
      </c>
      <c r="AH7" s="96">
        <v>0.0</v>
      </c>
      <c r="AI7" s="96">
        <v>0.0</v>
      </c>
      <c r="AJ7" s="96">
        <v>0.0</v>
      </c>
      <c r="AK7" s="96">
        <v>0.0</v>
      </c>
      <c r="AL7" s="96">
        <v>0.0</v>
      </c>
      <c r="AM7" s="96">
        <v>0.0</v>
      </c>
      <c r="AN7" s="117">
        <v>2.0</v>
      </c>
      <c r="AO7" s="49">
        <f t="shared" ref="AO7:AO32" si="3">SUM(AC7:AN7)</f>
        <v>2.0</v>
      </c>
      <c r="AP7" s="49">
        <f t="shared" ref="AP7:AP32" si="4">SUM(AI7:AN7)</f>
        <v>2.0</v>
      </c>
      <c r="AQ7" s="100">
        <f t="shared" ref="AQ7:AQ32" si="5">AP7*1.1</f>
        <v>2.2</v>
      </c>
      <c r="AR7" s="103">
        <v>0.0</v>
      </c>
      <c r="AS7" s="103">
        <v>0.0</v>
      </c>
      <c r="AT7" s="103">
        <v>1.0</v>
      </c>
      <c r="AU7" s="103">
        <v>1.0</v>
      </c>
      <c r="AV7" s="103">
        <v>1.0</v>
      </c>
      <c r="AW7" s="103">
        <v>1.0</v>
      </c>
      <c r="AX7" s="51">
        <f t="shared" ref="AX7:AX32" si="6">SUM(AR7:AW7)</f>
        <v>4.0</v>
      </c>
      <c r="AY7" s="51" t="e">
        <f t="shared" ref="AY7:AY32" si="7">VLOOKUP(D7,JULY31SOH,3,false)</f>
        <v>#REF!</v>
      </c>
      <c r="BI7" s="100"/>
      <c r="BL7" s="100"/>
      <c r="BO7" s="100"/>
      <c r="BR7" s="100"/>
      <c r="BU7" s="100"/>
      <c r="BX7" s="100"/>
    </row>
    <row r="8" ht="14.0">
      <c r="A8" s="117" t="s">
        <v>28</v>
      </c>
      <c r="B8" s="117" t="s">
        <v>29</v>
      </c>
      <c r="C8" s="117" t="s">
        <v>192</v>
      </c>
      <c r="D8" s="147" t="s">
        <v>193</v>
      </c>
      <c r="E8" s="96">
        <v>0.0</v>
      </c>
      <c r="F8" s="96">
        <v>0.0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  <c r="M8" s="96">
        <v>0.0</v>
      </c>
      <c r="N8" s="96">
        <v>0.0</v>
      </c>
      <c r="O8" s="96">
        <v>0.0</v>
      </c>
      <c r="P8" s="96">
        <v>0.0</v>
      </c>
      <c r="Q8" s="96">
        <v>0.0</v>
      </c>
      <c r="R8" s="96">
        <v>0.0</v>
      </c>
      <c r="S8" s="96">
        <v>0.0</v>
      </c>
      <c r="T8" s="96">
        <v>0.0</v>
      </c>
      <c r="U8" s="96">
        <v>0.0</v>
      </c>
      <c r="V8" s="96">
        <v>0.0</v>
      </c>
      <c r="W8" s="96">
        <v>0.0</v>
      </c>
      <c r="X8" s="96">
        <v>0.0</v>
      </c>
      <c r="Y8" s="96">
        <v>0.0</v>
      </c>
      <c r="Z8" s="96">
        <v>0.0</v>
      </c>
      <c r="AA8" s="96">
        <v>0.0</v>
      </c>
      <c r="AB8" s="96">
        <v>0.0</v>
      </c>
      <c r="AC8" s="96">
        <v>0.0</v>
      </c>
      <c r="AD8" s="96">
        <v>0.0</v>
      </c>
      <c r="AE8" s="96">
        <v>0.0</v>
      </c>
      <c r="AF8" s="96">
        <v>0.0</v>
      </c>
      <c r="AG8" s="96">
        <v>0.0</v>
      </c>
      <c r="AH8" s="96">
        <v>0.0</v>
      </c>
      <c r="AI8" s="96">
        <v>0.0</v>
      </c>
      <c r="AJ8" s="96">
        <v>0.0</v>
      </c>
      <c r="AK8" s="96">
        <v>0.0</v>
      </c>
      <c r="AL8" s="96">
        <v>0.0</v>
      </c>
      <c r="AM8" s="96">
        <v>0.0</v>
      </c>
      <c r="AN8" s="117">
        <v>780.0</v>
      </c>
      <c r="AO8" s="49">
        <f t="shared" si="3"/>
        <v>780.0</v>
      </c>
      <c r="AP8" s="49">
        <f t="shared" si="4"/>
        <v>780.0</v>
      </c>
      <c r="AQ8" s="100">
        <f t="shared" si="5"/>
        <v>858.0</v>
      </c>
      <c r="AR8" s="110">
        <f>SUM(AM29,AM24:AM27,AM21)</f>
        <v>648.0</v>
      </c>
      <c r="AS8" s="110">
        <v>648.0</v>
      </c>
      <c r="AT8" s="110">
        <v>900.0</v>
      </c>
      <c r="AU8" s="110">
        <v>1065.0</v>
      </c>
      <c r="AV8" s="110">
        <v>900.0</v>
      </c>
      <c r="AW8" s="110">
        <v>900.0</v>
      </c>
      <c r="AX8" s="98">
        <f t="shared" si="6"/>
        <v>5061.0</v>
      </c>
      <c r="AY8" s="51" t="e">
        <f t="shared" si="7"/>
        <v>#REF!</v>
      </c>
      <c r="BA8" s="49" t="e">
        <f t="shared" ref="BA8:BA11" si="9">VLOOKUP(C8,CHINASEPT,3,false)</f>
        <v>#REF!</v>
      </c>
      <c r="BC8" s="98" t="e">
        <f t="shared" ref="BC8:BC11" si="10">AY8+AZ8+BA8+BB8-AX8</f>
        <v>#REF!</v>
      </c>
      <c r="BF8" s="49" t="e">
        <f t="shared" ref="BF8:BF11" si="11">AY8</f>
        <v>#REF!</v>
      </c>
      <c r="BG8" s="49">
        <f t="shared" ref="BG8:BG11" si="12">AR8</f>
        <v>648.0</v>
      </c>
      <c r="BH8" s="49">
        <f t="shared" ref="BH8:BH11" si="13">AZ8</f>
      </c>
      <c r="BI8" s="100" t="e">
        <f t="shared" ref="BI8:BI11" si="14">BF8+BH8-BG8</f>
        <v>#REF!</v>
      </c>
      <c r="BJ8" s="49">
        <f t="shared" ref="BJ8:BJ11" si="15">AS8</f>
        <v>648.0</v>
      </c>
      <c r="BK8" s="49" t="e">
        <f t="shared" ref="BK8:BK11" si="16">BA8</f>
        <v>#REF!</v>
      </c>
      <c r="BL8" s="100" t="e">
        <f t="shared" ref="BL8:BL11" si="17">BI8+BK8-BJ8</f>
        <v>#REF!</v>
      </c>
      <c r="BM8" s="49">
        <f t="shared" ref="BM8:BM11" si="18">AT8</f>
        <v>900.0</v>
      </c>
      <c r="BN8" s="49">
        <f t="shared" ref="BN8:BN11" si="19">BB8</f>
      </c>
      <c r="BO8" s="100" t="e">
        <f t="shared" ref="BO8:BO11" si="20">BL8+BN8-BM8</f>
        <v>#REF!</v>
      </c>
      <c r="BP8" s="49">
        <f t="shared" ref="BP8:BP11" si="21">AU8</f>
        <v>1065.0</v>
      </c>
      <c r="BR8" s="100" t="e">
        <f t="shared" ref="BR8:BR11" si="22">BO8+BQ8-BP8</f>
        <v>#REF!</v>
      </c>
      <c r="BS8" s="49">
        <f t="shared" ref="BS8:BS11" si="23">AV8</f>
        <v>900.0</v>
      </c>
      <c r="BU8" s="100" t="e">
        <f t="shared" ref="BU8:BU11" si="24">BR8+BT8-BS8</f>
        <v>#REF!</v>
      </c>
      <c r="BV8" s="49">
        <f t="shared" ref="BV8:BV11" si="25">AW8</f>
        <v>900.0</v>
      </c>
      <c r="BX8" s="100" t="e">
        <f t="shared" ref="BX8:BX11" si="26">BU8+BW8-BV8</f>
        <v>#REF!</v>
      </c>
    </row>
    <row r="9" ht="14.0">
      <c r="A9" s="117" t="s">
        <v>28</v>
      </c>
      <c r="B9" s="117" t="s">
        <v>29</v>
      </c>
      <c r="C9" s="117" t="s">
        <v>194</v>
      </c>
      <c r="D9" s="147" t="s">
        <v>195</v>
      </c>
      <c r="E9" s="96">
        <v>0.0</v>
      </c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6">
        <v>0.0</v>
      </c>
      <c r="S9" s="96">
        <v>0.0</v>
      </c>
      <c r="T9" s="96">
        <v>0.0</v>
      </c>
      <c r="U9" s="96">
        <v>0.0</v>
      </c>
      <c r="V9" s="96">
        <v>0.0</v>
      </c>
      <c r="W9" s="96">
        <v>0.0</v>
      </c>
      <c r="X9" s="96">
        <v>0.0</v>
      </c>
      <c r="Y9" s="96">
        <v>0.0</v>
      </c>
      <c r="Z9" s="96">
        <v>0.0</v>
      </c>
      <c r="AA9" s="96">
        <v>0.0</v>
      </c>
      <c r="AB9" s="96">
        <v>0.0</v>
      </c>
      <c r="AC9" s="96">
        <v>0.0</v>
      </c>
      <c r="AD9" s="96">
        <v>0.0</v>
      </c>
      <c r="AE9" s="96">
        <v>0.0</v>
      </c>
      <c r="AF9" s="96">
        <v>0.0</v>
      </c>
      <c r="AG9" s="96">
        <v>0.0</v>
      </c>
      <c r="AH9" s="96">
        <v>0.0</v>
      </c>
      <c r="AI9" s="96">
        <v>0.0</v>
      </c>
      <c r="AJ9" s="96">
        <v>0.0</v>
      </c>
      <c r="AK9" s="96">
        <v>0.0</v>
      </c>
      <c r="AL9" s="96">
        <v>0.0</v>
      </c>
      <c r="AM9" s="96">
        <v>0.0</v>
      </c>
      <c r="AN9" s="117">
        <v>90.0</v>
      </c>
      <c r="AO9" s="49">
        <f t="shared" si="3"/>
        <v>90.0</v>
      </c>
      <c r="AP9" s="49">
        <f t="shared" si="4"/>
        <v>90.0</v>
      </c>
      <c r="AQ9" s="100">
        <f t="shared" si="5"/>
        <v>99.0</v>
      </c>
      <c r="AR9" s="110">
        <v>360.0</v>
      </c>
      <c r="AS9" s="110">
        <v>360.0</v>
      </c>
      <c r="AT9" s="110">
        <v>500.0</v>
      </c>
      <c r="AU9" s="110">
        <v>590.0</v>
      </c>
      <c r="AV9" s="110">
        <v>500.0</v>
      </c>
      <c r="AW9" s="110">
        <v>500.0</v>
      </c>
      <c r="AX9" s="51">
        <f t="shared" si="6"/>
        <v>2810.0</v>
      </c>
      <c r="AY9" s="51" t="e">
        <f t="shared" si="7"/>
        <v>#REF!</v>
      </c>
      <c r="BA9" s="49" t="e">
        <f t="shared" si="9"/>
        <v>#REF!</v>
      </c>
      <c r="BC9" s="98" t="e">
        <f t="shared" si="10"/>
        <v>#REF!</v>
      </c>
      <c r="BF9" s="49" t="e">
        <f t="shared" si="11"/>
        <v>#REF!</v>
      </c>
      <c r="BG9" s="49">
        <f t="shared" si="12"/>
        <v>360.0</v>
      </c>
      <c r="BH9" s="49">
        <f t="shared" si="13"/>
      </c>
      <c r="BI9" s="100" t="e">
        <f t="shared" si="14"/>
        <v>#REF!</v>
      </c>
      <c r="BJ9" s="49">
        <f t="shared" si="15"/>
        <v>360.0</v>
      </c>
      <c r="BK9" s="49" t="e">
        <f t="shared" si="16"/>
        <v>#REF!</v>
      </c>
      <c r="BL9" s="100" t="e">
        <f t="shared" si="17"/>
        <v>#REF!</v>
      </c>
      <c r="BM9" s="49">
        <f t="shared" si="18"/>
        <v>500.0</v>
      </c>
      <c r="BN9" s="49">
        <f t="shared" si="19"/>
      </c>
      <c r="BO9" s="100" t="e">
        <f t="shared" si="20"/>
        <v>#REF!</v>
      </c>
      <c r="BP9" s="49">
        <f t="shared" si="21"/>
        <v>590.0</v>
      </c>
      <c r="BR9" s="100" t="e">
        <f t="shared" si="22"/>
        <v>#REF!</v>
      </c>
      <c r="BS9" s="49">
        <f t="shared" si="23"/>
        <v>500.0</v>
      </c>
      <c r="BU9" s="100" t="e">
        <f t="shared" si="24"/>
        <v>#REF!</v>
      </c>
      <c r="BV9" s="49">
        <f t="shared" si="25"/>
        <v>500.0</v>
      </c>
      <c r="BX9" s="100" t="e">
        <f t="shared" si="26"/>
        <v>#REF!</v>
      </c>
    </row>
    <row r="10" ht="14.0">
      <c r="A10" s="117" t="s">
        <v>28</v>
      </c>
      <c r="B10" s="117" t="s">
        <v>29</v>
      </c>
      <c r="C10" s="117" t="s">
        <v>196</v>
      </c>
      <c r="D10" s="147" t="s">
        <v>197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  <c r="M10" s="96">
        <v>0.0</v>
      </c>
      <c r="N10" s="96">
        <v>0.0</v>
      </c>
      <c r="O10" s="96">
        <v>0.0</v>
      </c>
      <c r="P10" s="96">
        <v>0.0</v>
      </c>
      <c r="Q10" s="96">
        <v>0.0</v>
      </c>
      <c r="R10" s="96">
        <v>0.0</v>
      </c>
      <c r="S10" s="96">
        <v>0.0</v>
      </c>
      <c r="T10" s="96">
        <v>0.0</v>
      </c>
      <c r="U10" s="96">
        <v>0.0</v>
      </c>
      <c r="V10" s="96">
        <v>0.0</v>
      </c>
      <c r="W10" s="96">
        <v>0.0</v>
      </c>
      <c r="X10" s="96">
        <v>0.0</v>
      </c>
      <c r="Y10" s="96">
        <v>0.0</v>
      </c>
      <c r="Z10" s="96">
        <v>0.0</v>
      </c>
      <c r="AA10" s="96">
        <v>0.0</v>
      </c>
      <c r="AB10" s="96">
        <v>0.0</v>
      </c>
      <c r="AC10" s="96">
        <v>0.0</v>
      </c>
      <c r="AD10" s="96">
        <v>0.0</v>
      </c>
      <c r="AE10" s="96">
        <v>0.0</v>
      </c>
      <c r="AF10" s="96">
        <v>0.0</v>
      </c>
      <c r="AG10" s="96">
        <v>0.0</v>
      </c>
      <c r="AH10" s="96">
        <v>0.0</v>
      </c>
      <c r="AI10" s="96">
        <v>0.0</v>
      </c>
      <c r="AJ10" s="96">
        <v>0.0</v>
      </c>
      <c r="AK10" s="96">
        <v>0.0</v>
      </c>
      <c r="AL10" s="96">
        <v>0.0</v>
      </c>
      <c r="AM10" s="96">
        <v>0.0</v>
      </c>
      <c r="AN10" s="117">
        <v>60.0</v>
      </c>
      <c r="AO10" s="49">
        <f t="shared" si="3"/>
        <v>60.0</v>
      </c>
      <c r="AP10" s="49">
        <f t="shared" si="4"/>
        <v>60.0</v>
      </c>
      <c r="AQ10" s="100">
        <f t="shared" si="5"/>
        <v>66.0</v>
      </c>
      <c r="AR10" s="110">
        <v>235.0</v>
      </c>
      <c r="AS10" s="110">
        <v>235.0</v>
      </c>
      <c r="AT10" s="110">
        <v>310.0</v>
      </c>
      <c r="AU10" s="110">
        <v>365.0</v>
      </c>
      <c r="AV10" s="110">
        <v>320.0</v>
      </c>
      <c r="AW10" s="110">
        <v>320.0</v>
      </c>
      <c r="AX10" s="51">
        <f t="shared" si="6"/>
        <v>1785.0</v>
      </c>
      <c r="AY10" s="51" t="e">
        <f t="shared" si="7"/>
        <v>#REF!</v>
      </c>
      <c r="BA10" s="49" t="e">
        <f t="shared" si="9"/>
        <v>#REF!</v>
      </c>
      <c r="BC10" s="98" t="e">
        <f t="shared" si="10"/>
        <v>#REF!</v>
      </c>
      <c r="BF10" s="49" t="e">
        <f t="shared" si="11"/>
        <v>#REF!</v>
      </c>
      <c r="BG10" s="49">
        <f t="shared" si="12"/>
        <v>235.0</v>
      </c>
      <c r="BH10" s="49">
        <f t="shared" si="13"/>
      </c>
      <c r="BI10" s="100" t="e">
        <f t="shared" si="14"/>
        <v>#REF!</v>
      </c>
      <c r="BJ10" s="49">
        <f t="shared" si="15"/>
        <v>235.0</v>
      </c>
      <c r="BK10" s="49" t="e">
        <f t="shared" si="16"/>
        <v>#REF!</v>
      </c>
      <c r="BL10" s="100" t="e">
        <f t="shared" si="17"/>
        <v>#REF!</v>
      </c>
      <c r="BM10" s="49">
        <f t="shared" si="18"/>
        <v>310.0</v>
      </c>
      <c r="BN10" s="49">
        <f t="shared" si="19"/>
      </c>
      <c r="BO10" s="100" t="e">
        <f t="shared" si="20"/>
        <v>#REF!</v>
      </c>
      <c r="BP10" s="49">
        <f t="shared" si="21"/>
        <v>365.0</v>
      </c>
      <c r="BR10" s="100" t="e">
        <f t="shared" si="22"/>
        <v>#REF!</v>
      </c>
      <c r="BS10" s="49">
        <f t="shared" si="23"/>
        <v>320.0</v>
      </c>
      <c r="BU10" s="100" t="e">
        <f t="shared" si="24"/>
        <v>#REF!</v>
      </c>
      <c r="BV10" s="49">
        <f t="shared" si="25"/>
        <v>320.0</v>
      </c>
      <c r="BX10" s="100" t="e">
        <f t="shared" si="26"/>
        <v>#REF!</v>
      </c>
    </row>
    <row r="11" ht="14.0">
      <c r="A11" s="117" t="s">
        <v>28</v>
      </c>
      <c r="B11" s="117" t="s">
        <v>29</v>
      </c>
      <c r="C11" s="117" t="s">
        <v>198</v>
      </c>
      <c r="D11" s="147" t="s">
        <v>199</v>
      </c>
      <c r="E11" s="96">
        <v>0.0</v>
      </c>
      <c r="F11" s="96">
        <v>0.0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  <c r="M11" s="96">
        <v>0.0</v>
      </c>
      <c r="N11" s="96">
        <v>0.0</v>
      </c>
      <c r="O11" s="96">
        <v>0.0</v>
      </c>
      <c r="P11" s="96">
        <v>0.0</v>
      </c>
      <c r="Q11" s="96">
        <v>0.0</v>
      </c>
      <c r="R11" s="96">
        <v>0.0</v>
      </c>
      <c r="S11" s="96">
        <v>0.0</v>
      </c>
      <c r="T11" s="96">
        <v>0.0</v>
      </c>
      <c r="U11" s="96">
        <v>0.0</v>
      </c>
      <c r="V11" s="96">
        <v>0.0</v>
      </c>
      <c r="W11" s="96">
        <v>0.0</v>
      </c>
      <c r="X11" s="96">
        <v>0.0</v>
      </c>
      <c r="Y11" s="96">
        <v>0.0</v>
      </c>
      <c r="Z11" s="96">
        <v>0.0</v>
      </c>
      <c r="AA11" s="96">
        <v>0.0</v>
      </c>
      <c r="AB11" s="96">
        <v>0.0</v>
      </c>
      <c r="AC11" s="96">
        <v>0.0</v>
      </c>
      <c r="AD11" s="96">
        <v>0.0</v>
      </c>
      <c r="AE11" s="96">
        <v>0.0</v>
      </c>
      <c r="AF11" s="96">
        <v>0.0</v>
      </c>
      <c r="AG11" s="96">
        <v>0.0</v>
      </c>
      <c r="AH11" s="96">
        <v>0.0</v>
      </c>
      <c r="AI11" s="96">
        <v>0.0</v>
      </c>
      <c r="AJ11" s="96">
        <v>0.0</v>
      </c>
      <c r="AK11" s="96">
        <v>0.0</v>
      </c>
      <c r="AL11" s="96">
        <v>0.0</v>
      </c>
      <c r="AM11" s="96">
        <v>0.0</v>
      </c>
      <c r="AN11" s="117">
        <v>474.0</v>
      </c>
      <c r="AO11" s="49">
        <f t="shared" si="3"/>
        <v>474.0</v>
      </c>
      <c r="AP11" s="49">
        <f t="shared" si="4"/>
        <v>474.0</v>
      </c>
      <c r="AQ11" s="100">
        <f t="shared" si="5"/>
        <v>521.4</v>
      </c>
      <c r="AR11" s="110">
        <v>474.0</v>
      </c>
      <c r="AS11" s="110">
        <v>474.0</v>
      </c>
      <c r="AT11" s="110">
        <v>650.0</v>
      </c>
      <c r="AU11" s="110">
        <v>770.0</v>
      </c>
      <c r="AV11" s="110">
        <v>650.0</v>
      </c>
      <c r="AW11" s="110">
        <v>650.0</v>
      </c>
      <c r="AX11" s="51">
        <f t="shared" si="6"/>
        <v>3668.0</v>
      </c>
      <c r="AY11" s="51" t="e">
        <f t="shared" si="7"/>
        <v>#REF!</v>
      </c>
      <c r="BA11" s="49" t="e">
        <f t="shared" si="9"/>
        <v>#REF!</v>
      </c>
      <c r="BC11" s="98" t="e">
        <f t="shared" si="10"/>
        <v>#REF!</v>
      </c>
      <c r="BF11" s="49" t="e">
        <f t="shared" si="11"/>
        <v>#REF!</v>
      </c>
      <c r="BG11" s="49">
        <f t="shared" si="12"/>
        <v>474.0</v>
      </c>
      <c r="BH11" s="49">
        <f t="shared" si="13"/>
      </c>
      <c r="BI11" s="100" t="e">
        <f t="shared" si="14"/>
        <v>#REF!</v>
      </c>
      <c r="BJ11" s="49">
        <f t="shared" si="15"/>
        <v>474.0</v>
      </c>
      <c r="BK11" s="49" t="e">
        <f t="shared" si="16"/>
        <v>#REF!</v>
      </c>
      <c r="BL11" s="100" t="e">
        <f t="shared" si="17"/>
        <v>#REF!</v>
      </c>
      <c r="BM11" s="49">
        <f t="shared" si="18"/>
        <v>650.0</v>
      </c>
      <c r="BN11" s="49">
        <f t="shared" si="19"/>
      </c>
      <c r="BO11" s="100" t="e">
        <f t="shared" si="20"/>
        <v>#REF!</v>
      </c>
      <c r="BP11" s="49">
        <f t="shared" si="21"/>
        <v>770.0</v>
      </c>
      <c r="BR11" s="100" t="e">
        <f t="shared" si="22"/>
        <v>#REF!</v>
      </c>
      <c r="BS11" s="49">
        <f t="shared" si="23"/>
        <v>650.0</v>
      </c>
      <c r="BU11" s="100" t="e">
        <f t="shared" si="24"/>
        <v>#REF!</v>
      </c>
      <c r="BV11" s="49">
        <f t="shared" si="25"/>
        <v>650.0</v>
      </c>
      <c r="BX11" s="100" t="e">
        <f t="shared" si="26"/>
        <v>#REF!</v>
      </c>
    </row>
    <row r="12" ht="14.0">
      <c r="A12" s="117" t="s">
        <v>28</v>
      </c>
      <c r="B12" s="117" t="s">
        <v>29</v>
      </c>
      <c r="C12" s="117" t="s">
        <v>190</v>
      </c>
      <c r="D12" s="147" t="s">
        <v>191</v>
      </c>
      <c r="E12" s="96">
        <v>0.0</v>
      </c>
      <c r="F12" s="96">
        <v>0.0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  <c r="M12" s="96">
        <v>0.0</v>
      </c>
      <c r="N12" s="96">
        <v>0.0</v>
      </c>
      <c r="O12" s="96">
        <v>0.0</v>
      </c>
      <c r="P12" s="96">
        <v>0.0</v>
      </c>
      <c r="Q12" s="96">
        <v>0.0</v>
      </c>
      <c r="R12" s="96">
        <v>0.0</v>
      </c>
      <c r="S12" s="96">
        <v>0.0</v>
      </c>
      <c r="T12" s="96">
        <v>0.0</v>
      </c>
      <c r="U12" s="96">
        <v>0.0</v>
      </c>
      <c r="V12" s="96">
        <v>0.0</v>
      </c>
      <c r="W12" s="96">
        <v>0.0</v>
      </c>
      <c r="X12" s="96">
        <v>0.0</v>
      </c>
      <c r="Y12" s="96">
        <v>0.0</v>
      </c>
      <c r="Z12" s="96">
        <v>0.0</v>
      </c>
      <c r="AA12" s="96">
        <v>0.0</v>
      </c>
      <c r="AB12" s="96">
        <v>0.0</v>
      </c>
      <c r="AC12" s="96">
        <v>0.0</v>
      </c>
      <c r="AD12" s="96">
        <v>0.0</v>
      </c>
      <c r="AE12" s="96">
        <v>0.0</v>
      </c>
      <c r="AF12" s="96">
        <v>0.0</v>
      </c>
      <c r="AG12" s="96">
        <v>0.0</v>
      </c>
      <c r="AH12" s="96">
        <v>0.0</v>
      </c>
      <c r="AI12" s="96">
        <v>0.0</v>
      </c>
      <c r="AJ12" s="96">
        <v>0.0</v>
      </c>
      <c r="AK12" s="96">
        <v>0.0</v>
      </c>
      <c r="AL12" s="96">
        <v>0.0</v>
      </c>
      <c r="AM12" s="96">
        <v>0.0</v>
      </c>
      <c r="AN12" s="117">
        <v>3.0</v>
      </c>
      <c r="AO12" s="49">
        <f t="shared" si="3"/>
        <v>3.0</v>
      </c>
      <c r="AP12" s="49">
        <f t="shared" si="4"/>
        <v>3.0</v>
      </c>
      <c r="AQ12" s="100">
        <f t="shared" si="5"/>
        <v>3.3</v>
      </c>
      <c r="AR12" s="103">
        <v>1.0</v>
      </c>
      <c r="AS12" s="103">
        <v>1.0</v>
      </c>
      <c r="AT12" s="103">
        <v>1.0</v>
      </c>
      <c r="AU12" s="103">
        <v>1.0</v>
      </c>
      <c r="AV12" s="103">
        <v>1.0</v>
      </c>
      <c r="AW12" s="103">
        <v>1.0</v>
      </c>
      <c r="AX12" s="51">
        <f t="shared" si="6"/>
        <v>6.0</v>
      </c>
      <c r="AY12" s="51" t="e">
        <f t="shared" si="7"/>
        <v>#REF!</v>
      </c>
      <c r="BI12" s="100"/>
      <c r="BL12" s="100"/>
      <c r="BO12" s="100"/>
      <c r="BR12" s="100"/>
      <c r="BU12" s="100"/>
      <c r="BX12" s="100"/>
    </row>
    <row r="13" ht="14.0">
      <c r="A13" s="117" t="s">
        <v>28</v>
      </c>
      <c r="B13" s="117" t="s">
        <v>29</v>
      </c>
      <c r="C13" s="117" t="s">
        <v>204</v>
      </c>
      <c r="D13" s="147" t="s">
        <v>205</v>
      </c>
      <c r="E13" s="96">
        <v>0.0</v>
      </c>
      <c r="F13" s="96">
        <v>0.0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  <c r="M13" s="96">
        <v>0.0</v>
      </c>
      <c r="N13" s="96">
        <v>0.0</v>
      </c>
      <c r="O13" s="96">
        <v>0.0</v>
      </c>
      <c r="P13" s="96">
        <v>0.0</v>
      </c>
      <c r="Q13" s="96">
        <v>0.0</v>
      </c>
      <c r="R13" s="96">
        <v>0.0</v>
      </c>
      <c r="S13" s="96">
        <v>0.0</v>
      </c>
      <c r="T13" s="96">
        <v>0.0</v>
      </c>
      <c r="U13" s="96">
        <v>0.0</v>
      </c>
      <c r="V13" s="96">
        <v>0.0</v>
      </c>
      <c r="W13" s="96">
        <v>0.0</v>
      </c>
      <c r="X13" s="96">
        <v>0.0</v>
      </c>
      <c r="Y13" s="96">
        <v>0.0</v>
      </c>
      <c r="Z13" s="96">
        <v>0.0</v>
      </c>
      <c r="AA13" s="96">
        <v>0.0</v>
      </c>
      <c r="AB13" s="96">
        <v>0.0</v>
      </c>
      <c r="AC13" s="96">
        <v>0.0</v>
      </c>
      <c r="AD13" s="96">
        <v>0.0</v>
      </c>
      <c r="AE13" s="96">
        <v>0.0</v>
      </c>
      <c r="AF13" s="96">
        <v>0.0</v>
      </c>
      <c r="AG13" s="96">
        <v>0.0</v>
      </c>
      <c r="AH13" s="96">
        <v>0.0</v>
      </c>
      <c r="AI13" s="96">
        <v>0.0</v>
      </c>
      <c r="AJ13" s="96">
        <v>0.0</v>
      </c>
      <c r="AK13" s="96">
        <v>0.0</v>
      </c>
      <c r="AL13" s="96">
        <v>0.0</v>
      </c>
      <c r="AM13" s="96">
        <v>0.0</v>
      </c>
      <c r="AN13" s="117">
        <v>72.0</v>
      </c>
      <c r="AO13" s="49">
        <f t="shared" si="3"/>
        <v>72.0</v>
      </c>
      <c r="AP13" s="49">
        <f t="shared" si="4"/>
        <v>72.0</v>
      </c>
      <c r="AQ13" s="100">
        <f t="shared" si="5"/>
        <v>79.2</v>
      </c>
      <c r="AR13" s="110">
        <v>480.0</v>
      </c>
      <c r="AS13" s="110">
        <v>240.0</v>
      </c>
      <c r="AT13" s="110">
        <v>325.0</v>
      </c>
      <c r="AU13" s="110">
        <v>385.0</v>
      </c>
      <c r="AV13" s="110">
        <v>375.0</v>
      </c>
      <c r="AW13" s="110">
        <v>375.0</v>
      </c>
      <c r="AX13" s="51">
        <f t="shared" si="6"/>
        <v>2180.0</v>
      </c>
      <c r="AY13" s="51" t="e">
        <f t="shared" si="7"/>
        <v>#REF!</v>
      </c>
      <c r="BA13" s="49" t="e">
        <f t="shared" ref="BA13:BA14" si="27">VLOOKUP(C13,CHINASEPT,3,false)</f>
        <v>#REF!</v>
      </c>
      <c r="BC13" s="98" t="e">
        <f t="shared" ref="BC13:BC14" si="28">AY13+AZ13+BA13+BB13-AX13</f>
        <v>#REF!</v>
      </c>
      <c r="BF13" s="49" t="e">
        <f t="shared" ref="BF13:BF14" si="29">AY13</f>
        <v>#REF!</v>
      </c>
      <c r="BG13" s="49">
        <f t="shared" ref="BG13:BG14" si="30">AR13</f>
        <v>480.0</v>
      </c>
      <c r="BH13" s="49">
        <f t="shared" ref="BH13:BH14" si="31">AZ13</f>
      </c>
      <c r="BI13" s="100" t="e">
        <f t="shared" ref="BI13:BI14" si="32">BF13+BH13-BG13</f>
        <v>#REF!</v>
      </c>
      <c r="BJ13" s="49">
        <f t="shared" ref="BJ13:BJ14" si="33">AS13</f>
        <v>240.0</v>
      </c>
      <c r="BK13" s="49" t="e">
        <f t="shared" ref="BK13:BK14" si="34">BA13</f>
        <v>#REF!</v>
      </c>
      <c r="BL13" s="100" t="e">
        <f t="shared" ref="BL13:BL14" si="35">BI13+BK13-BJ13</f>
        <v>#REF!</v>
      </c>
      <c r="BM13" s="49">
        <f t="shared" ref="BM13:BM14" si="36">AT13</f>
        <v>325.0</v>
      </c>
      <c r="BN13" s="49">
        <f t="shared" ref="BN13:BN14" si="37">BB13</f>
      </c>
      <c r="BO13" s="100" t="e">
        <f t="shared" ref="BO13:BO14" si="38">BL13+BN13-BM13</f>
        <v>#REF!</v>
      </c>
      <c r="BP13" s="49">
        <f t="shared" ref="BP13:BP14" si="39">AU13</f>
        <v>385.0</v>
      </c>
      <c r="BR13" s="100" t="e">
        <f t="shared" ref="BR13:BR14" si="40">BO13+BQ13-BP13</f>
        <v>#REF!</v>
      </c>
      <c r="BS13" s="49">
        <f t="shared" ref="BS13:BS14" si="41">AV13</f>
        <v>375.0</v>
      </c>
      <c r="BU13" s="100" t="e">
        <f t="shared" ref="BU13:BU14" si="42">BR13+BT13-BS13</f>
        <v>#REF!</v>
      </c>
      <c r="BV13" s="49">
        <f t="shared" ref="BV13:BV14" si="43">AW13</f>
        <v>375.0</v>
      </c>
      <c r="BX13" s="100" t="e">
        <f t="shared" ref="BX13:BX14" si="44">BU13+BW13-BV13</f>
        <v>#REF!</v>
      </c>
    </row>
    <row r="14" ht="14.0">
      <c r="A14" s="117" t="s">
        <v>28</v>
      </c>
      <c r="B14" s="117" t="s">
        <v>29</v>
      </c>
      <c r="C14" s="117" t="s">
        <v>206</v>
      </c>
      <c r="D14" s="147" t="s">
        <v>207</v>
      </c>
      <c r="E14" s="96">
        <v>0.0</v>
      </c>
      <c r="F14" s="96">
        <v>0.0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  <c r="M14" s="96">
        <v>0.0</v>
      </c>
      <c r="N14" s="96">
        <v>0.0</v>
      </c>
      <c r="O14" s="96">
        <v>0.0</v>
      </c>
      <c r="P14" s="96">
        <v>0.0</v>
      </c>
      <c r="Q14" s="96">
        <v>0.0</v>
      </c>
      <c r="R14" s="96">
        <v>0.0</v>
      </c>
      <c r="S14" s="96">
        <v>0.0</v>
      </c>
      <c r="T14" s="96">
        <v>0.0</v>
      </c>
      <c r="U14" s="96">
        <v>0.0</v>
      </c>
      <c r="V14" s="96">
        <v>0.0</v>
      </c>
      <c r="W14" s="96">
        <v>0.0</v>
      </c>
      <c r="X14" s="96">
        <v>0.0</v>
      </c>
      <c r="Y14" s="96">
        <v>0.0</v>
      </c>
      <c r="Z14" s="96">
        <v>0.0</v>
      </c>
      <c r="AA14" s="96">
        <v>0.0</v>
      </c>
      <c r="AB14" s="96">
        <v>0.0</v>
      </c>
      <c r="AC14" s="96">
        <v>0.0</v>
      </c>
      <c r="AD14" s="96">
        <v>0.0</v>
      </c>
      <c r="AE14" s="96">
        <v>0.0</v>
      </c>
      <c r="AF14" s="96">
        <v>0.0</v>
      </c>
      <c r="AG14" s="96">
        <v>0.0</v>
      </c>
      <c r="AH14" s="96">
        <v>0.0</v>
      </c>
      <c r="AI14" s="96">
        <v>0.0</v>
      </c>
      <c r="AJ14" s="96">
        <v>0.0</v>
      </c>
      <c r="AK14" s="96">
        <v>0.0</v>
      </c>
      <c r="AL14" s="96">
        <v>0.0</v>
      </c>
      <c r="AM14" s="96">
        <v>0.0</v>
      </c>
      <c r="AN14" s="117">
        <v>66.0</v>
      </c>
      <c r="AO14" s="49">
        <f t="shared" si="3"/>
        <v>66.0</v>
      </c>
      <c r="AP14" s="49">
        <f t="shared" si="4"/>
        <v>66.0</v>
      </c>
      <c r="AQ14" s="100">
        <f t="shared" si="5"/>
        <v>72.6</v>
      </c>
      <c r="AR14" s="110">
        <v>480.0</v>
      </c>
      <c r="AS14" s="110">
        <v>330.0</v>
      </c>
      <c r="AT14" s="110">
        <v>450.0</v>
      </c>
      <c r="AU14" s="110">
        <v>530.0</v>
      </c>
      <c r="AV14" s="110">
        <v>450.0</v>
      </c>
      <c r="AW14" s="110">
        <v>450.0</v>
      </c>
      <c r="AX14" s="51">
        <f t="shared" si="6"/>
        <v>2690.0</v>
      </c>
      <c r="AY14" s="51" t="e">
        <f t="shared" si="7"/>
        <v>#REF!</v>
      </c>
      <c r="BA14" s="49" t="e">
        <f t="shared" si="27"/>
        <v>#REF!</v>
      </c>
      <c r="BC14" s="98" t="e">
        <f t="shared" si="28"/>
        <v>#REF!</v>
      </c>
      <c r="BF14" s="49" t="e">
        <f t="shared" si="29"/>
        <v>#REF!</v>
      </c>
      <c r="BG14" s="49">
        <f t="shared" si="30"/>
        <v>480.0</v>
      </c>
      <c r="BH14" s="49">
        <f t="shared" si="31"/>
      </c>
      <c r="BI14" s="100" t="e">
        <f t="shared" si="32"/>
        <v>#REF!</v>
      </c>
      <c r="BJ14" s="49">
        <f t="shared" si="33"/>
        <v>330.0</v>
      </c>
      <c r="BK14" s="49" t="e">
        <f t="shared" si="34"/>
        <v>#REF!</v>
      </c>
      <c r="BL14" s="100" t="e">
        <f t="shared" si="35"/>
        <v>#REF!</v>
      </c>
      <c r="BM14" s="49">
        <f t="shared" si="36"/>
        <v>450.0</v>
      </c>
      <c r="BN14" s="49">
        <f t="shared" si="37"/>
      </c>
      <c r="BO14" s="100" t="e">
        <f t="shared" si="38"/>
        <v>#REF!</v>
      </c>
      <c r="BP14" s="49">
        <f t="shared" si="39"/>
        <v>530.0</v>
      </c>
      <c r="BR14" s="100" t="e">
        <f t="shared" si="40"/>
        <v>#REF!</v>
      </c>
      <c r="BS14" s="49">
        <f t="shared" si="41"/>
        <v>450.0</v>
      </c>
      <c r="BU14" s="100" t="e">
        <f t="shared" si="42"/>
        <v>#REF!</v>
      </c>
      <c r="BV14" s="49">
        <f t="shared" si="43"/>
        <v>450.0</v>
      </c>
      <c r="BX14" s="100" t="e">
        <f t="shared" si="44"/>
        <v>#REF!</v>
      </c>
    </row>
    <row r="15" ht="14.0">
      <c r="A15" s="117" t="s">
        <v>28</v>
      </c>
      <c r="B15" s="117" t="s">
        <v>29</v>
      </c>
      <c r="C15" s="96" t="s">
        <v>202</v>
      </c>
      <c r="D15" s="147" t="s">
        <v>203</v>
      </c>
      <c r="E15" s="96">
        <v>0.0</v>
      </c>
      <c r="F15" s="96">
        <v>0.0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  <c r="M15" s="96">
        <v>0.0</v>
      </c>
      <c r="N15" s="96">
        <v>0.0</v>
      </c>
      <c r="O15" s="96">
        <v>0.0</v>
      </c>
      <c r="P15" s="96">
        <v>0.0</v>
      </c>
      <c r="Q15" s="96">
        <v>0.0</v>
      </c>
      <c r="R15" s="96">
        <v>0.0</v>
      </c>
      <c r="S15" s="96">
        <v>0.0</v>
      </c>
      <c r="T15" s="96">
        <v>0.0</v>
      </c>
      <c r="U15" s="96">
        <v>0.0</v>
      </c>
      <c r="V15" s="96">
        <v>0.0</v>
      </c>
      <c r="W15" s="96">
        <v>0.0</v>
      </c>
      <c r="X15" s="96">
        <v>0.0</v>
      </c>
      <c r="Y15" s="96">
        <v>0.0</v>
      </c>
      <c r="Z15" s="96">
        <v>0.0</v>
      </c>
      <c r="AA15" s="96">
        <v>0.0</v>
      </c>
      <c r="AB15" s="96">
        <v>0.0</v>
      </c>
      <c r="AC15" s="96">
        <v>0.0</v>
      </c>
      <c r="AD15" s="96">
        <v>0.0</v>
      </c>
      <c r="AE15" s="96">
        <v>0.0</v>
      </c>
      <c r="AF15" s="96">
        <v>0.0</v>
      </c>
      <c r="AG15" s="96">
        <v>0.0</v>
      </c>
      <c r="AH15" s="96">
        <v>0.0</v>
      </c>
      <c r="AI15" s="96">
        <v>0.0</v>
      </c>
      <c r="AJ15" s="96">
        <v>0.0</v>
      </c>
      <c r="AK15" s="96">
        <v>0.0</v>
      </c>
      <c r="AL15" s="96">
        <v>0.0</v>
      </c>
      <c r="AM15" s="96">
        <v>0.0</v>
      </c>
      <c r="AN15" s="96">
        <v>2.0</v>
      </c>
      <c r="AO15" s="49">
        <f t="shared" si="3"/>
        <v>2.0</v>
      </c>
      <c r="AP15" s="49">
        <f t="shared" si="4"/>
        <v>2.0</v>
      </c>
      <c r="AQ15" s="100">
        <f t="shared" si="5"/>
        <v>2.2</v>
      </c>
      <c r="AR15" s="103">
        <v>0.0</v>
      </c>
      <c r="AS15" s="103">
        <v>0.0</v>
      </c>
      <c r="AT15" s="103">
        <v>1.0</v>
      </c>
      <c r="AU15" s="103">
        <v>1.0</v>
      </c>
      <c r="AV15" s="103">
        <v>1.0</v>
      </c>
      <c r="AW15" s="103">
        <v>1.0</v>
      </c>
      <c r="AX15" s="51">
        <f t="shared" si="6"/>
        <v>4.0</v>
      </c>
      <c r="AY15" s="51" t="e">
        <f t="shared" si="7"/>
        <v>#REF!</v>
      </c>
      <c r="BI15" s="100"/>
      <c r="BL15" s="100"/>
      <c r="BO15" s="100"/>
      <c r="BR15" s="100"/>
      <c r="BU15" s="100"/>
      <c r="BX15" s="100"/>
    </row>
    <row r="16" ht="14.0">
      <c r="A16" s="96" t="s">
        <v>28</v>
      </c>
      <c r="B16" s="96" t="s">
        <v>29</v>
      </c>
      <c r="C16" s="96" t="s">
        <v>60</v>
      </c>
      <c r="D16" s="97" t="s">
        <v>61</v>
      </c>
      <c r="E16" s="96">
        <v>0.0</v>
      </c>
      <c r="F16" s="96">
        <v>0.0</v>
      </c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96">
        <v>0.0</v>
      </c>
      <c r="M16" s="96">
        <v>0.0</v>
      </c>
      <c r="N16" s="96">
        <v>0.0</v>
      </c>
      <c r="O16" s="96">
        <v>0.0</v>
      </c>
      <c r="P16" s="96">
        <v>0.0</v>
      </c>
      <c r="Q16" s="96">
        <v>182.0</v>
      </c>
      <c r="R16" s="96">
        <v>96.0</v>
      </c>
      <c r="S16" s="96">
        <v>630.0</v>
      </c>
      <c r="T16" s="96">
        <v>714.0</v>
      </c>
      <c r="U16" s="96">
        <v>1034.0</v>
      </c>
      <c r="V16" s="96">
        <v>266.0</v>
      </c>
      <c r="W16" s="96">
        <v>66.0</v>
      </c>
      <c r="X16" s="96">
        <v>12.0</v>
      </c>
      <c r="Y16" s="96">
        <v>18.0</v>
      </c>
      <c r="Z16" s="96">
        <v>1088.0</v>
      </c>
      <c r="AA16" s="96">
        <v>0.0</v>
      </c>
      <c r="AB16" s="96">
        <v>936.0</v>
      </c>
      <c r="AC16" s="96">
        <v>84.0</v>
      </c>
      <c r="AD16" s="96">
        <v>60.0</v>
      </c>
      <c r="AE16" s="96">
        <v>564.0</v>
      </c>
      <c r="AF16" s="96">
        <v>901.0</v>
      </c>
      <c r="AG16" s="96">
        <v>660.0</v>
      </c>
      <c r="AH16" s="96">
        <v>811.0</v>
      </c>
      <c r="AI16" s="96">
        <v>234.0</v>
      </c>
      <c r="AJ16" s="96">
        <v>54.0</v>
      </c>
      <c r="AK16" s="96">
        <v>348.0</v>
      </c>
      <c r="AL16" s="96">
        <v>595.0</v>
      </c>
      <c r="AM16" s="96">
        <v>402.0</v>
      </c>
      <c r="AN16" s="96">
        <v>628.0</v>
      </c>
      <c r="AO16" s="49">
        <f t="shared" si="3"/>
        <v>5341.0</v>
      </c>
      <c r="AP16" s="49">
        <f t="shared" si="4"/>
        <v>2261.0</v>
      </c>
      <c r="AQ16" s="100">
        <f t="shared" si="5"/>
        <v>2487.1</v>
      </c>
      <c r="AR16" s="49">
        <f t="shared" ref="AR16:AR17" si="45">AQ16*$AR$4/$AQ$4+AR21*0.5</f>
        <v>625.52005730659</v>
      </c>
      <c r="AS16" s="49">
        <f t="shared" ref="AS16:AS17" si="46">AQ16*$AS$4/$AQ$4+AS21*0.5</f>
        <v>488.419770773631</v>
      </c>
      <c r="AT16" s="49">
        <f t="shared" ref="AT16:AT17" si="47">AQ16*$AT$4/$AQ$4+AT21*0.5</f>
        <v>976.839541547278</v>
      </c>
      <c r="AU16" s="49">
        <f t="shared" ref="AU16:AU17" si="48">AQ16*$AU$4/$AQ$4+AU21*0.5</f>
        <v>1088.2335243553</v>
      </c>
      <c r="AV16" s="49">
        <f t="shared" ref="AV16:AV17" si="49">AQ16*$AV$4/$AQ$4+AV21*0.5</f>
        <v>985.408309455584</v>
      </c>
      <c r="AW16" s="49">
        <f t="shared" ref="AW16:AW17" si="50">AQ16*$AW$4/$AQ$4+AW21*0.5</f>
        <v>805.464183381089</v>
      </c>
      <c r="AX16" s="51">
        <f t="shared" si="6"/>
        <v>4969.88538681947</v>
      </c>
      <c r="AY16" s="51" t="e">
        <f t="shared" si="7"/>
        <v>#REF!</v>
      </c>
      <c r="BA16" s="49" t="e">
        <f>VLOOKUP(C16,CHINASEPT,3,false)</f>
        <v>#REF!</v>
      </c>
      <c r="BC16" s="98" t="e">
        <f t="shared" ref="BC16:BC19" si="52">AY16+AZ16+BA16+BB16-AX16</f>
        <v>#REF!</v>
      </c>
      <c r="BD16" s="49">
        <f>VLOOKUP(C16,MOQ,3,false)</f>
        <v>3000.0</v>
      </c>
      <c r="BF16" s="49" t="e">
        <f t="shared" ref="BF16:BF19" si="54">AY16</f>
        <v>#REF!</v>
      </c>
      <c r="BG16" s="49">
        <f t="shared" ref="BG16:BG19" si="55">AR16</f>
        <v>625.52005730659</v>
      </c>
      <c r="BH16" s="49">
        <f t="shared" ref="BH16:BH19" si="56">AZ16</f>
      </c>
      <c r="BI16" s="100" t="e">
        <f t="shared" ref="BI16:BI19" si="57">BF16+BH16-BG16</f>
        <v>#REF!</v>
      </c>
      <c r="BJ16" s="49">
        <f t="shared" ref="BJ16:BJ19" si="58">AS16</f>
        <v>488.419770773631</v>
      </c>
      <c r="BK16" s="49" t="e">
        <f t="shared" ref="BK16:BK19" si="59">BA16</f>
        <v>#REF!</v>
      </c>
      <c r="BL16" s="100" t="e">
        <f t="shared" ref="BL16:BL19" si="60">BI16+BK16-BJ16</f>
        <v>#REF!</v>
      </c>
      <c r="BM16" s="49">
        <f t="shared" ref="BM16:BM19" si="61">AT16</f>
        <v>976.839541547278</v>
      </c>
      <c r="BN16" s="49">
        <f t="shared" ref="BN16:BN19" si="62">BB16</f>
      </c>
      <c r="BO16" s="100" t="e">
        <f t="shared" ref="BO16:BO19" si="63">BL16+BN16-BM16</f>
        <v>#REF!</v>
      </c>
      <c r="BP16" s="49">
        <f t="shared" ref="BP16:BP19" si="64">AU16</f>
        <v>1088.2335243553</v>
      </c>
      <c r="BR16" s="100" t="e">
        <f t="shared" ref="BR16:BR19" si="65">BO16+BQ16-BP16</f>
        <v>#REF!</v>
      </c>
      <c r="BS16" s="49">
        <f t="shared" ref="BS16:BS19" si="66">AV16</f>
        <v>985.408309455584</v>
      </c>
      <c r="BU16" s="100" t="e">
        <f t="shared" ref="BU16:BU19" si="67">BR16+BT16-BS16</f>
        <v>#REF!</v>
      </c>
      <c r="BV16" s="49">
        <f t="shared" ref="BV16:BV19" si="68">AW16</f>
        <v>805.464183381089</v>
      </c>
      <c r="BX16" s="100" t="e">
        <f t="shared" ref="BX16:BX19" si="69">BU16+BW16-BV16</f>
        <v>#REF!</v>
      </c>
    </row>
    <row r="17" ht="14.0">
      <c r="A17" s="96" t="s">
        <v>28</v>
      </c>
      <c r="B17" s="96" t="s">
        <v>29</v>
      </c>
      <c r="C17" s="96" t="s">
        <v>62</v>
      </c>
      <c r="D17" s="97" t="s">
        <v>63</v>
      </c>
      <c r="E17" s="96">
        <v>0.0</v>
      </c>
      <c r="F17" s="96">
        <v>0.0</v>
      </c>
      <c r="G17" s="96">
        <v>0.0</v>
      </c>
      <c r="H17" s="96">
        <v>0.0</v>
      </c>
      <c r="I17" s="96">
        <v>0.0</v>
      </c>
      <c r="J17" s="96">
        <v>0.0</v>
      </c>
      <c r="K17" s="96">
        <v>0.0</v>
      </c>
      <c r="L17" s="96">
        <v>0.0</v>
      </c>
      <c r="M17" s="96">
        <v>0.0</v>
      </c>
      <c r="N17" s="96">
        <v>0.0</v>
      </c>
      <c r="O17" s="96">
        <v>0.0</v>
      </c>
      <c r="P17" s="96">
        <v>0.0</v>
      </c>
      <c r="Q17" s="96">
        <v>181.0</v>
      </c>
      <c r="R17" s="96">
        <v>96.0</v>
      </c>
      <c r="S17" s="96">
        <v>630.0</v>
      </c>
      <c r="T17" s="96">
        <v>618.0</v>
      </c>
      <c r="U17" s="96">
        <v>950.0</v>
      </c>
      <c r="V17" s="96">
        <v>306.0</v>
      </c>
      <c r="W17" s="96">
        <v>54.0</v>
      </c>
      <c r="X17" s="96">
        <v>18.0</v>
      </c>
      <c r="Y17" s="96">
        <v>48.0</v>
      </c>
      <c r="Z17" s="96">
        <v>1135.0</v>
      </c>
      <c r="AA17" s="96">
        <v>0.0</v>
      </c>
      <c r="AB17" s="96">
        <v>828.0</v>
      </c>
      <c r="AC17" s="96">
        <v>24.0</v>
      </c>
      <c r="AD17" s="96">
        <v>60.0</v>
      </c>
      <c r="AE17" s="96">
        <v>666.0</v>
      </c>
      <c r="AF17" s="96">
        <v>733.0</v>
      </c>
      <c r="AG17" s="96">
        <v>246.0</v>
      </c>
      <c r="AH17" s="96">
        <v>882.0</v>
      </c>
      <c r="AI17" s="96">
        <v>162.0</v>
      </c>
      <c r="AJ17" s="96">
        <v>31.0</v>
      </c>
      <c r="AK17" s="96">
        <v>241.0</v>
      </c>
      <c r="AL17" s="96">
        <v>489.0</v>
      </c>
      <c r="AM17" s="96">
        <v>456.0</v>
      </c>
      <c r="AN17" s="96">
        <v>145.0</v>
      </c>
      <c r="AO17" s="49">
        <f t="shared" si="3"/>
        <v>4135.0</v>
      </c>
      <c r="AP17" s="49">
        <f t="shared" si="4"/>
        <v>1524.0</v>
      </c>
      <c r="AQ17" s="100">
        <f t="shared" si="5"/>
        <v>1676.4</v>
      </c>
      <c r="AR17" s="49">
        <f t="shared" si="45"/>
        <v>464.982808022922</v>
      </c>
      <c r="AS17" s="49">
        <f t="shared" si="46"/>
        <v>363.068767908309</v>
      </c>
      <c r="AT17" s="49">
        <f t="shared" si="47"/>
        <v>726.137535816619</v>
      </c>
      <c r="AU17" s="49">
        <f t="shared" si="48"/>
        <v>808.942693409734</v>
      </c>
      <c r="AV17" s="49">
        <f t="shared" si="49"/>
        <v>732.507163323781</v>
      </c>
      <c r="AW17" s="49">
        <f t="shared" si="50"/>
        <v>598.744985673352</v>
      </c>
      <c r="AX17" s="51">
        <f t="shared" si="6"/>
        <v>3694.38395415471</v>
      </c>
      <c r="AY17" s="51" t="e">
        <f t="shared" si="7"/>
        <v>#REF!</v>
      </c>
      <c r="BC17" s="98" t="e">
        <f t="shared" si="52"/>
        <v>#REF!</v>
      </c>
      <c r="BD17" s="49">
        <f>VLOOKUP(C17,MOQ,3,false)</f>
        <v>3000.0</v>
      </c>
      <c r="BF17" s="49" t="e">
        <f t="shared" si="54"/>
        <v>#REF!</v>
      </c>
      <c r="BG17" s="49">
        <f t="shared" si="55"/>
        <v>464.982808022922</v>
      </c>
      <c r="BH17" s="49">
        <f t="shared" si="56"/>
      </c>
      <c r="BI17" s="100" t="e">
        <f t="shared" si="57"/>
        <v>#REF!</v>
      </c>
      <c r="BJ17" s="49">
        <f t="shared" si="58"/>
        <v>363.068767908309</v>
      </c>
      <c r="BK17" s="49">
        <f t="shared" si="59"/>
      </c>
      <c r="BL17" s="100" t="e">
        <f t="shared" si="60"/>
        <v>#REF!</v>
      </c>
      <c r="BM17" s="49">
        <f t="shared" si="61"/>
        <v>726.137535816619</v>
      </c>
      <c r="BN17" s="49">
        <f t="shared" si="62"/>
      </c>
      <c r="BO17" s="100" t="e">
        <f t="shared" si="63"/>
        <v>#REF!</v>
      </c>
      <c r="BP17" s="49">
        <f t="shared" si="64"/>
        <v>808.942693409734</v>
      </c>
      <c r="BR17" s="100" t="e">
        <f t="shared" si="65"/>
        <v>#REF!</v>
      </c>
      <c r="BS17" s="49">
        <f t="shared" si="66"/>
        <v>732.507163323781</v>
      </c>
      <c r="BU17" s="100" t="e">
        <f t="shared" si="67"/>
        <v>#REF!</v>
      </c>
      <c r="BV17" s="49">
        <f t="shared" si="68"/>
        <v>598.744985673352</v>
      </c>
      <c r="BX17" s="100" t="e">
        <f t="shared" si="69"/>
        <v>#REF!</v>
      </c>
    </row>
    <row r="18" ht="14.0">
      <c r="A18" s="96" t="s">
        <v>28</v>
      </c>
      <c r="B18" s="96" t="s">
        <v>29</v>
      </c>
      <c r="C18" s="96" t="s">
        <v>65</v>
      </c>
      <c r="D18" s="97" t="s">
        <v>66</v>
      </c>
      <c r="E18" s="96">
        <v>0.0</v>
      </c>
      <c r="F18" s="96">
        <v>0.0</v>
      </c>
      <c r="G18" s="96">
        <v>0.0</v>
      </c>
      <c r="H18" s="96">
        <v>0.0</v>
      </c>
      <c r="I18" s="96">
        <v>0.0</v>
      </c>
      <c r="J18" s="96">
        <v>0.0</v>
      </c>
      <c r="K18" s="96">
        <v>0.0</v>
      </c>
      <c r="L18" s="96">
        <v>0.0</v>
      </c>
      <c r="M18" s="96">
        <v>0.0</v>
      </c>
      <c r="N18" s="96">
        <v>0.0</v>
      </c>
      <c r="O18" s="96">
        <v>0.0</v>
      </c>
      <c r="P18" s="96">
        <v>0.0</v>
      </c>
      <c r="Q18" s="96">
        <v>1.0</v>
      </c>
      <c r="R18" s="96">
        <v>96.0</v>
      </c>
      <c r="S18" s="96">
        <v>36.0</v>
      </c>
      <c r="T18" s="96">
        <v>126.0</v>
      </c>
      <c r="U18" s="96">
        <v>44.0</v>
      </c>
      <c r="V18" s="96">
        <v>408.0</v>
      </c>
      <c r="W18" s="96">
        <v>31.0</v>
      </c>
      <c r="X18" s="96">
        <v>36.0</v>
      </c>
      <c r="Y18" s="96">
        <v>30.0</v>
      </c>
      <c r="Z18" s="96">
        <v>594.0</v>
      </c>
      <c r="AA18" s="96">
        <v>6.0</v>
      </c>
      <c r="AB18" s="96">
        <v>486.0</v>
      </c>
      <c r="AC18" s="96">
        <v>60.0</v>
      </c>
      <c r="AD18" s="96">
        <v>12.0</v>
      </c>
      <c r="AE18" s="96">
        <v>498.0</v>
      </c>
      <c r="AF18" s="96">
        <v>572.0</v>
      </c>
      <c r="AG18" s="96">
        <v>470.0</v>
      </c>
      <c r="AH18" s="96">
        <v>715.0</v>
      </c>
      <c r="AI18" s="96">
        <v>139.0</v>
      </c>
      <c r="AJ18" s="96">
        <v>43.0</v>
      </c>
      <c r="AK18" s="96">
        <v>288.0</v>
      </c>
      <c r="AL18" s="96">
        <v>406.0</v>
      </c>
      <c r="AM18" s="96">
        <v>381.0</v>
      </c>
      <c r="AN18" s="96">
        <v>453.0</v>
      </c>
      <c r="AO18" s="49">
        <f t="shared" si="3"/>
        <v>4037.0</v>
      </c>
      <c r="AP18" s="49">
        <f t="shared" si="4"/>
        <v>1710.0</v>
      </c>
      <c r="AQ18" s="100">
        <f t="shared" si="5"/>
        <v>1881.0</v>
      </c>
      <c r="AR18" s="49">
        <f>AQ18*$AR$4/$AQ$4+AR26*5+AR31*0.5</f>
        <v>457.034383954154</v>
      </c>
      <c r="AS18" s="49">
        <f t="shared" ref="AS18:AS19" si="71">AQ18*$AS$4/$AQ$4</f>
        <v>279.283667621777</v>
      </c>
      <c r="AT18" s="49">
        <f t="shared" ref="AT18:AT19" si="72">AQ18*$AT$4/$AQ$4</f>
        <v>558.567335243553</v>
      </c>
      <c r="AU18" s="49">
        <f t="shared" ref="AU18:AU19" si="73">AQ18*$AU$4/$AQ$4</f>
        <v>622.263610315186</v>
      </c>
      <c r="AV18" s="49">
        <f t="shared" ref="AV18:AV19" si="74">AQ18*$AV$4/$AQ$4</f>
        <v>563.467048710601</v>
      </c>
      <c r="AW18" s="49">
        <f t="shared" ref="AW18:AW19" si="75">AQ18*$AW$4/$AQ$4</f>
        <v>460.573065902579</v>
      </c>
      <c r="AX18" s="51">
        <f t="shared" si="6"/>
        <v>2941.18911174785</v>
      </c>
      <c r="AY18" s="51" t="e">
        <f t="shared" si="7"/>
        <v>#REF!</v>
      </c>
      <c r="BA18" s="49" t="e">
        <f>VLOOKUP(C18,CHINASEPT,3,false)</f>
        <v>#REF!</v>
      </c>
      <c r="BC18" s="98" t="e">
        <f t="shared" si="52"/>
        <v>#REF!</v>
      </c>
      <c r="BD18" s="49">
        <f>VLOOKUP(C18,MOQ,3,false)</f>
        <v>3000.0</v>
      </c>
      <c r="BF18" s="49" t="e">
        <f t="shared" si="54"/>
        <v>#REF!</v>
      </c>
      <c r="BG18" s="49">
        <f t="shared" si="55"/>
        <v>457.034383954154</v>
      </c>
      <c r="BH18" s="49">
        <f t="shared" si="56"/>
      </c>
      <c r="BI18" s="100" t="e">
        <f t="shared" si="57"/>
        <v>#REF!</v>
      </c>
      <c r="BJ18" s="49">
        <f t="shared" si="58"/>
        <v>279.283667621777</v>
      </c>
      <c r="BK18" s="49" t="e">
        <f t="shared" si="59"/>
        <v>#REF!</v>
      </c>
      <c r="BL18" s="100" t="e">
        <f t="shared" si="60"/>
        <v>#REF!</v>
      </c>
      <c r="BM18" s="49">
        <f t="shared" si="61"/>
        <v>558.567335243553</v>
      </c>
      <c r="BN18" s="49">
        <f t="shared" si="62"/>
      </c>
      <c r="BO18" s="100" t="e">
        <f t="shared" si="63"/>
        <v>#REF!</v>
      </c>
      <c r="BP18" s="49">
        <f t="shared" si="64"/>
        <v>622.263610315186</v>
      </c>
      <c r="BR18" s="100" t="e">
        <f t="shared" si="65"/>
        <v>#REF!</v>
      </c>
      <c r="BS18" s="49">
        <f t="shared" si="66"/>
        <v>563.467048710601</v>
      </c>
      <c r="BU18" s="100" t="e">
        <f t="shared" si="67"/>
        <v>#REF!</v>
      </c>
      <c r="BV18" s="49">
        <f t="shared" si="68"/>
        <v>460.573065902579</v>
      </c>
      <c r="BX18" s="100" t="e">
        <f t="shared" si="69"/>
        <v>#REF!</v>
      </c>
    </row>
    <row r="19" ht="14.0">
      <c r="A19" s="96" t="s">
        <v>28</v>
      </c>
      <c r="B19" s="96" t="s">
        <v>29</v>
      </c>
      <c r="C19" s="96" t="s">
        <v>67</v>
      </c>
      <c r="D19" s="97" t="s">
        <v>68</v>
      </c>
      <c r="E19" s="96">
        <v>0.0</v>
      </c>
      <c r="F19" s="96">
        <v>0.0</v>
      </c>
      <c r="G19" s="96">
        <v>0.0</v>
      </c>
      <c r="H19" s="96">
        <v>0.0</v>
      </c>
      <c r="I19" s="96">
        <v>0.0</v>
      </c>
      <c r="J19" s="96">
        <v>0.0</v>
      </c>
      <c r="K19" s="96">
        <v>0.0</v>
      </c>
      <c r="L19" s="96">
        <v>0.0</v>
      </c>
      <c r="M19" s="96">
        <v>0.0</v>
      </c>
      <c r="N19" s="96">
        <v>0.0</v>
      </c>
      <c r="O19" s="96">
        <v>0.0</v>
      </c>
      <c r="P19" s="96">
        <v>0.0</v>
      </c>
      <c r="Q19" s="96">
        <v>1.0</v>
      </c>
      <c r="R19" s="96">
        <v>132.0</v>
      </c>
      <c r="S19" s="96">
        <v>36.0</v>
      </c>
      <c r="T19" s="96">
        <v>90.0</v>
      </c>
      <c r="U19" s="96">
        <v>37.0</v>
      </c>
      <c r="V19" s="96">
        <v>383.0</v>
      </c>
      <c r="W19" s="96">
        <v>36.0</v>
      </c>
      <c r="X19" s="96">
        <v>30.0</v>
      </c>
      <c r="Y19" s="96">
        <v>66.0</v>
      </c>
      <c r="Z19" s="96">
        <v>606.0</v>
      </c>
      <c r="AA19" s="96">
        <v>6.0</v>
      </c>
      <c r="AB19" s="96">
        <v>492.0</v>
      </c>
      <c r="AC19" s="96">
        <v>60.0</v>
      </c>
      <c r="AD19" s="96">
        <v>24.0</v>
      </c>
      <c r="AE19" s="96">
        <v>464.0</v>
      </c>
      <c r="AF19" s="96">
        <v>595.0</v>
      </c>
      <c r="AG19" s="96">
        <v>560.0</v>
      </c>
      <c r="AH19" s="96">
        <v>770.0</v>
      </c>
      <c r="AI19" s="96">
        <v>282.0</v>
      </c>
      <c r="AJ19" s="96">
        <v>19.0</v>
      </c>
      <c r="AK19" s="96">
        <v>264.0</v>
      </c>
      <c r="AL19" s="96">
        <v>497.0</v>
      </c>
      <c r="AM19" s="96">
        <v>386.0</v>
      </c>
      <c r="AN19" s="96">
        <v>113.0</v>
      </c>
      <c r="AO19" s="49">
        <f t="shared" si="3"/>
        <v>4034.0</v>
      </c>
      <c r="AP19" s="49">
        <f t="shared" si="4"/>
        <v>1561.0</v>
      </c>
      <c r="AQ19" s="100">
        <f t="shared" si="5"/>
        <v>1717.1</v>
      </c>
      <c r="AR19" s="49">
        <f>AQ19*$AR$4/$AQ$4</f>
        <v>326.512893982808</v>
      </c>
      <c r="AS19" s="49">
        <f t="shared" si="71"/>
        <v>254.948424068768</v>
      </c>
      <c r="AT19" s="49">
        <f t="shared" si="72"/>
        <v>509.89684813753</v>
      </c>
      <c r="AU19" s="49">
        <f t="shared" si="73"/>
        <v>568.042979942693</v>
      </c>
      <c r="AV19" s="49">
        <f t="shared" si="74"/>
        <v>514.369627507163</v>
      </c>
      <c r="AW19" s="49">
        <f t="shared" si="75"/>
        <v>420.44126074499</v>
      </c>
      <c r="AX19" s="51">
        <f t="shared" si="6"/>
        <v>2594.21203438395</v>
      </c>
      <c r="AY19" s="51" t="e">
        <f t="shared" si="7"/>
        <v>#REF!</v>
      </c>
      <c r="BC19" s="98" t="e">
        <f t="shared" si="52"/>
        <v>#REF!</v>
      </c>
      <c r="BD19" s="49">
        <f>VLOOKUP(C19,MOQ,3,false)</f>
        <v>3000.0</v>
      </c>
      <c r="BF19" s="49" t="e">
        <f t="shared" si="54"/>
        <v>#REF!</v>
      </c>
      <c r="BG19" s="49">
        <f t="shared" si="55"/>
        <v>326.512893982808</v>
      </c>
      <c r="BH19" s="49">
        <f t="shared" si="56"/>
      </c>
      <c r="BI19" s="100" t="e">
        <f t="shared" si="57"/>
        <v>#REF!</v>
      </c>
      <c r="BJ19" s="49">
        <f t="shared" si="58"/>
        <v>254.948424068768</v>
      </c>
      <c r="BK19" s="49">
        <f t="shared" si="59"/>
      </c>
      <c r="BL19" s="100" t="e">
        <f t="shared" si="60"/>
        <v>#REF!</v>
      </c>
      <c r="BM19" s="49">
        <f t="shared" si="61"/>
        <v>509.89684813753</v>
      </c>
      <c r="BN19" s="49">
        <f t="shared" si="62"/>
      </c>
      <c r="BO19" s="100" t="e">
        <f t="shared" si="63"/>
        <v>#REF!</v>
      </c>
      <c r="BP19" s="49">
        <f t="shared" si="64"/>
        <v>568.042979942693</v>
      </c>
      <c r="BR19" s="100" t="e">
        <f t="shared" si="65"/>
        <v>#REF!</v>
      </c>
      <c r="BS19" s="49">
        <f t="shared" si="66"/>
        <v>514.369627507163</v>
      </c>
      <c r="BU19" s="100" t="e">
        <f t="shared" si="67"/>
        <v>#REF!</v>
      </c>
      <c r="BV19" s="49">
        <f t="shared" si="68"/>
        <v>420.44126074499</v>
      </c>
      <c r="BX19" s="100" t="e">
        <f t="shared" si="69"/>
        <v>#REF!</v>
      </c>
    </row>
    <row r="20" ht="14.0">
      <c r="A20" s="96" t="s">
        <v>28</v>
      </c>
      <c r="B20" s="96" t="s">
        <v>29</v>
      </c>
      <c r="C20" s="96" t="s">
        <v>208</v>
      </c>
      <c r="D20" s="97" t="s">
        <v>209</v>
      </c>
      <c r="E20" s="96">
        <v>0.0</v>
      </c>
      <c r="F20" s="96">
        <v>0.0</v>
      </c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96">
        <v>0.0</v>
      </c>
      <c r="M20" s="96">
        <v>0.0</v>
      </c>
      <c r="N20" s="96">
        <v>0.0</v>
      </c>
      <c r="O20" s="96">
        <v>0.0</v>
      </c>
      <c r="P20" s="96">
        <v>0.0</v>
      </c>
      <c r="Q20" s="96">
        <v>0.0</v>
      </c>
      <c r="R20" s="96">
        <v>0.0</v>
      </c>
      <c r="S20" s="96">
        <v>0.0</v>
      </c>
      <c r="T20" s="96">
        <v>0.0</v>
      </c>
      <c r="U20" s="96">
        <v>0.0</v>
      </c>
      <c r="V20" s="96">
        <v>0.0</v>
      </c>
      <c r="W20" s="96">
        <v>0.0</v>
      </c>
      <c r="X20" s="96">
        <v>0.0</v>
      </c>
      <c r="Y20" s="96">
        <v>0.0</v>
      </c>
      <c r="Z20" s="96">
        <v>0.0</v>
      </c>
      <c r="AA20" s="96">
        <v>0.0</v>
      </c>
      <c r="AB20" s="96">
        <v>0.0</v>
      </c>
      <c r="AC20" s="96">
        <v>0.0</v>
      </c>
      <c r="AD20" s="96">
        <v>0.0</v>
      </c>
      <c r="AE20" s="96">
        <v>0.0</v>
      </c>
      <c r="AF20" s="96">
        <v>0.0</v>
      </c>
      <c r="AG20" s="96">
        <v>0.0</v>
      </c>
      <c r="AH20" s="96">
        <v>0.0</v>
      </c>
      <c r="AI20" s="96">
        <v>0.0</v>
      </c>
      <c r="AJ20" s="96">
        <v>0.0</v>
      </c>
      <c r="AK20" s="96">
        <v>0.0</v>
      </c>
      <c r="AL20" s="96">
        <v>12.0</v>
      </c>
      <c r="AM20" s="96">
        <v>8.0</v>
      </c>
      <c r="AN20" s="96">
        <v>7.0</v>
      </c>
      <c r="AO20" s="49">
        <f t="shared" si="3"/>
        <v>27.0</v>
      </c>
      <c r="AP20" s="49">
        <f t="shared" si="4"/>
        <v>27.0</v>
      </c>
      <c r="AQ20" s="100">
        <f t="shared" si="5"/>
        <v>29.7</v>
      </c>
      <c r="AR20" s="148">
        <v>6.0</v>
      </c>
      <c r="AS20" s="148">
        <v>5.0</v>
      </c>
      <c r="AT20" s="148">
        <v>9.0</v>
      </c>
      <c r="AU20" s="148">
        <v>10.0</v>
      </c>
      <c r="AV20" s="148">
        <v>9.0</v>
      </c>
      <c r="AW20" s="148">
        <v>7.0</v>
      </c>
      <c r="AX20" s="51">
        <f t="shared" si="6"/>
        <v>46.0</v>
      </c>
      <c r="AY20" s="51" t="e">
        <f t="shared" si="7"/>
        <v>#REF!</v>
      </c>
      <c r="BI20" s="100"/>
      <c r="BL20" s="100"/>
      <c r="BO20" s="100"/>
      <c r="BR20" s="100"/>
      <c r="BU20" s="100"/>
      <c r="BX20" s="100"/>
    </row>
    <row r="21" ht="14.0">
      <c r="A21" s="96" t="s">
        <v>45</v>
      </c>
      <c r="B21" s="96" t="s">
        <v>29</v>
      </c>
      <c r="C21" s="96" t="s">
        <v>30</v>
      </c>
      <c r="D21" s="106" t="s">
        <v>31</v>
      </c>
      <c r="E21" s="96">
        <v>826.0</v>
      </c>
      <c r="F21" s="96">
        <v>491.0</v>
      </c>
      <c r="G21" s="96">
        <v>372.0</v>
      </c>
      <c r="H21" s="96">
        <v>638.0</v>
      </c>
      <c r="I21" s="96">
        <v>765.0</v>
      </c>
      <c r="J21" s="96">
        <v>626.0</v>
      </c>
      <c r="K21" s="96">
        <v>646.0</v>
      </c>
      <c r="L21" s="96">
        <v>490.0</v>
      </c>
      <c r="M21" s="96">
        <v>880.0</v>
      </c>
      <c r="N21" s="96">
        <v>456.0</v>
      </c>
      <c r="O21" s="96">
        <v>439.0</v>
      </c>
      <c r="P21" s="96">
        <v>396.0</v>
      </c>
      <c r="Q21" s="96">
        <v>330.0</v>
      </c>
      <c r="R21" s="96">
        <v>377.0</v>
      </c>
      <c r="S21" s="96">
        <v>535.0</v>
      </c>
      <c r="T21" s="96">
        <v>489.0</v>
      </c>
      <c r="U21" s="96">
        <v>512.0</v>
      </c>
      <c r="V21" s="96">
        <v>468.0</v>
      </c>
      <c r="W21" s="96">
        <v>520.0</v>
      </c>
      <c r="X21" s="96">
        <v>414.0</v>
      </c>
      <c r="Y21" s="96">
        <v>433.0</v>
      </c>
      <c r="Z21" s="96">
        <v>324.0</v>
      </c>
      <c r="AA21" s="96">
        <v>315.0</v>
      </c>
      <c r="AB21" s="96">
        <v>331.0</v>
      </c>
      <c r="AC21" s="96">
        <v>335.0</v>
      </c>
      <c r="AD21" s="96">
        <v>240.0</v>
      </c>
      <c r="AE21" s="96">
        <v>518.0</v>
      </c>
      <c r="AF21" s="96">
        <v>622.0</v>
      </c>
      <c r="AG21" s="96">
        <v>496.0</v>
      </c>
      <c r="AH21" s="96">
        <v>325.0</v>
      </c>
      <c r="AI21" s="96">
        <v>355.0</v>
      </c>
      <c r="AJ21" s="96">
        <v>415.0</v>
      </c>
      <c r="AK21" s="96">
        <v>240.0</v>
      </c>
      <c r="AL21" s="96">
        <v>143.0</v>
      </c>
      <c r="AM21" s="96">
        <v>307.0</v>
      </c>
      <c r="AN21" s="96">
        <v>-1.0</v>
      </c>
      <c r="AO21" s="49">
        <f t="shared" si="3"/>
        <v>3995.0</v>
      </c>
      <c r="AP21" s="49">
        <f t="shared" si="4"/>
        <v>1459.0</v>
      </c>
      <c r="AQ21" s="100">
        <f t="shared" si="5"/>
        <v>1604.9</v>
      </c>
      <c r="AR21" s="104">
        <f t="shared" ref="AR21:AR22" si="78">AQ21*$AR$4/$AQ$4</f>
        <v>305.177650429799</v>
      </c>
      <c r="AS21" s="104">
        <f t="shared" ref="AS21:AS22" si="79">AQ21*$AS$4/$AQ$4</f>
        <v>238.289398280802</v>
      </c>
      <c r="AT21" s="104">
        <f t="shared" ref="AT21:AT22" si="80">AQ21*$AT$4/$AQ$4</f>
        <v>476.578796561604</v>
      </c>
      <c r="AU21" s="104">
        <f t="shared" ref="AU21:AU22" si="81">AQ21*$AU$4/$AQ$4</f>
        <v>530.925501432664</v>
      </c>
      <c r="AV21" s="104">
        <f t="shared" ref="AV21:AV22" si="82">AQ21*$AV$4/$AQ$4</f>
        <v>480.75931232091</v>
      </c>
      <c r="AW21" s="104">
        <f t="shared" ref="AW21:AW22" si="83">AQ21*$AW$4/$AQ$4</f>
        <v>392.968481375358</v>
      </c>
      <c r="AX21" s="51">
        <f t="shared" si="6"/>
        <v>2424.69914040113</v>
      </c>
      <c r="AY21" s="51" t="e">
        <f t="shared" si="7"/>
        <v>#REF!</v>
      </c>
      <c r="BC21" s="98" t="e">
        <f t="shared" ref="BC21:BC32" si="84">AY21+AZ21+BA21+BB21-AX21</f>
        <v>#REF!</v>
      </c>
      <c r="BD21" s="49">
        <f>VLOOKUP(C21,MOQ,3,false)</f>
        <v>504.0</v>
      </c>
      <c r="BE21" s="104"/>
      <c r="BF21" s="49" t="e">
        <f t="shared" ref="BF21:BF27" si="86">AY21</f>
        <v>#REF!</v>
      </c>
      <c r="BG21" s="49">
        <f t="shared" ref="BG21:BG27" si="87">AR21</f>
        <v>305.177650429799</v>
      </c>
      <c r="BH21" s="49">
        <f t="shared" ref="BH21:BH27" si="88">AZ21</f>
      </c>
      <c r="BI21" s="100" t="e">
        <f t="shared" ref="BI21:BI27" si="89">BF21+BH21-BG21</f>
        <v>#REF!</v>
      </c>
      <c r="BJ21" s="49">
        <f t="shared" ref="BJ21:BJ27" si="90">AS21</f>
        <v>238.289398280802</v>
      </c>
      <c r="BK21" s="49">
        <f t="shared" ref="BK21:BK27" si="91">BA21</f>
      </c>
      <c r="BL21" s="100" t="e">
        <f t="shared" ref="BL21:BL27" si="92">BI21+BK21-BJ21</f>
        <v>#REF!</v>
      </c>
      <c r="BM21" s="49">
        <f t="shared" ref="BM21:BM27" si="93">AT21</f>
        <v>476.578796561604</v>
      </c>
      <c r="BN21" s="49">
        <f t="shared" ref="BN21:BN27" si="94">BB21</f>
      </c>
      <c r="BO21" s="100" t="e">
        <f t="shared" ref="BO21:BO27" si="95">BL21+BN21-BM21</f>
        <v>#REF!</v>
      </c>
      <c r="BP21" s="49">
        <f t="shared" ref="BP21:BP27" si="96">AU21</f>
        <v>530.925501432664</v>
      </c>
      <c r="BR21" s="100" t="e">
        <f t="shared" ref="BR21:BR27" si="97">BO21+BQ21-BP21</f>
        <v>#REF!</v>
      </c>
      <c r="BS21" s="49">
        <f t="shared" ref="BS21:BS27" si="98">AV21</f>
        <v>480.75931232091</v>
      </c>
      <c r="BU21" s="100" t="e">
        <f t="shared" ref="BU21:BU27" si="99">BR21+BT21-BS21</f>
        <v>#REF!</v>
      </c>
      <c r="BV21" s="49">
        <f t="shared" ref="BV21:BV27" si="100">AW21</f>
        <v>392.968481375358</v>
      </c>
      <c r="BX21" s="100" t="e">
        <f t="shared" ref="BX21:BX27" si="101">BU21+BW21-BV21</f>
        <v>#REF!</v>
      </c>
    </row>
    <row r="22" ht="14.0">
      <c r="A22" s="96" t="s">
        <v>45</v>
      </c>
      <c r="B22" s="96" t="s">
        <v>29</v>
      </c>
      <c r="C22" s="96" t="s">
        <v>33</v>
      </c>
      <c r="D22" s="106" t="s">
        <v>34</v>
      </c>
      <c r="E22" s="96">
        <v>282.0</v>
      </c>
      <c r="F22" s="96">
        <v>353.0</v>
      </c>
      <c r="G22" s="96">
        <v>293.0</v>
      </c>
      <c r="H22" s="96">
        <v>447.0</v>
      </c>
      <c r="I22" s="96">
        <v>473.0</v>
      </c>
      <c r="J22" s="96">
        <v>257.0</v>
      </c>
      <c r="K22" s="96">
        <v>248.0</v>
      </c>
      <c r="L22" s="96">
        <v>237.0</v>
      </c>
      <c r="M22" s="96">
        <v>295.0</v>
      </c>
      <c r="N22" s="96">
        <v>223.0</v>
      </c>
      <c r="O22" s="96">
        <v>180.0</v>
      </c>
      <c r="P22" s="96">
        <v>247.0</v>
      </c>
      <c r="Q22" s="96">
        <v>250.0</v>
      </c>
      <c r="R22" s="96">
        <v>156.0</v>
      </c>
      <c r="S22" s="96">
        <v>155.0</v>
      </c>
      <c r="T22" s="96">
        <v>286.0</v>
      </c>
      <c r="U22" s="96">
        <v>305.0</v>
      </c>
      <c r="V22" s="96">
        <v>297.0</v>
      </c>
      <c r="W22" s="96">
        <v>264.0</v>
      </c>
      <c r="X22" s="96">
        <v>196.0</v>
      </c>
      <c r="Y22" s="96">
        <v>262.0</v>
      </c>
      <c r="Z22" s="96">
        <v>180.0</v>
      </c>
      <c r="AA22" s="96">
        <v>126.0</v>
      </c>
      <c r="AB22" s="96">
        <v>185.0</v>
      </c>
      <c r="AC22" s="96">
        <v>156.0</v>
      </c>
      <c r="AD22" s="96">
        <v>186.0</v>
      </c>
      <c r="AE22" s="96">
        <v>344.0</v>
      </c>
      <c r="AF22" s="96">
        <v>397.0</v>
      </c>
      <c r="AG22" s="96">
        <v>252.0</v>
      </c>
      <c r="AH22" s="96">
        <v>198.0</v>
      </c>
      <c r="AI22" s="96">
        <v>212.0</v>
      </c>
      <c r="AJ22" s="96">
        <v>145.0</v>
      </c>
      <c r="AK22" s="96">
        <v>130.0</v>
      </c>
      <c r="AL22" s="96">
        <v>397.0</v>
      </c>
      <c r="AM22" s="96">
        <v>377.0</v>
      </c>
      <c r="AN22" s="96">
        <v>137.0</v>
      </c>
      <c r="AO22" s="49">
        <f t="shared" si="3"/>
        <v>2931.0</v>
      </c>
      <c r="AP22" s="49">
        <f t="shared" si="4"/>
        <v>1398.0</v>
      </c>
      <c r="AQ22" s="100">
        <f t="shared" si="5"/>
        <v>1537.8</v>
      </c>
      <c r="AR22" s="104">
        <f t="shared" si="78"/>
        <v>292.418338108882</v>
      </c>
      <c r="AS22" s="104">
        <f t="shared" si="79"/>
        <v>228.32664756447</v>
      </c>
      <c r="AT22" s="104">
        <f t="shared" si="80"/>
        <v>456.65329512894</v>
      </c>
      <c r="AU22" s="104">
        <f t="shared" si="81"/>
        <v>508.727793696275</v>
      </c>
      <c r="AV22" s="104">
        <f t="shared" si="82"/>
        <v>460.659025787966</v>
      </c>
      <c r="AW22" s="104">
        <f t="shared" si="83"/>
        <v>376.538681948424</v>
      </c>
      <c r="AX22" s="51">
        <f t="shared" si="6"/>
        <v>2323.32378223496</v>
      </c>
      <c r="AY22" s="51" t="e">
        <f t="shared" si="7"/>
        <v>#REF!</v>
      </c>
      <c r="BC22" s="98" t="e">
        <f t="shared" si="84"/>
        <v>#REF!</v>
      </c>
      <c r="BD22" s="49">
        <f>VLOOKUP(C22,MOQ,3,false)</f>
        <v>504.0</v>
      </c>
      <c r="BE22" s="104"/>
      <c r="BF22" s="49" t="e">
        <f t="shared" si="86"/>
        <v>#REF!</v>
      </c>
      <c r="BG22" s="49">
        <f t="shared" si="87"/>
        <v>292.418338108882</v>
      </c>
      <c r="BH22" s="49">
        <f t="shared" si="88"/>
      </c>
      <c r="BI22" s="100" t="e">
        <f t="shared" si="89"/>
        <v>#REF!</v>
      </c>
      <c r="BJ22" s="49">
        <f t="shared" si="90"/>
        <v>228.32664756447</v>
      </c>
      <c r="BK22" s="49">
        <f t="shared" si="91"/>
      </c>
      <c r="BL22" s="100" t="e">
        <f t="shared" si="92"/>
        <v>#REF!</v>
      </c>
      <c r="BM22" s="49">
        <f t="shared" si="93"/>
        <v>456.65329512894</v>
      </c>
      <c r="BN22" s="49">
        <f t="shared" si="94"/>
      </c>
      <c r="BO22" s="100" t="e">
        <f t="shared" si="95"/>
        <v>#REF!</v>
      </c>
      <c r="BP22" s="49">
        <f t="shared" si="96"/>
        <v>508.727793696275</v>
      </c>
      <c r="BR22" s="100" t="e">
        <f t="shared" si="97"/>
        <v>#REF!</v>
      </c>
      <c r="BS22" s="49">
        <f t="shared" si="98"/>
        <v>460.659025787966</v>
      </c>
      <c r="BU22" s="100" t="e">
        <f t="shared" si="99"/>
        <v>#REF!</v>
      </c>
      <c r="BV22" s="49">
        <f t="shared" si="100"/>
        <v>376.538681948424</v>
      </c>
      <c r="BX22" s="100" t="e">
        <f t="shared" si="101"/>
        <v>#REF!</v>
      </c>
    </row>
    <row r="23" ht="14.0">
      <c r="A23" s="96" t="s">
        <v>28</v>
      </c>
      <c r="B23" s="96" t="s">
        <v>29</v>
      </c>
      <c r="C23" s="96" t="s">
        <v>58</v>
      </c>
      <c r="D23" s="106" t="s">
        <v>59</v>
      </c>
      <c r="E23" s="96">
        <v>1.0</v>
      </c>
      <c r="F23" s="96">
        <v>4.0</v>
      </c>
      <c r="G23" s="96">
        <v>0.0</v>
      </c>
      <c r="H23" s="96">
        <v>3.0</v>
      </c>
      <c r="I23" s="96">
        <v>1.0</v>
      </c>
      <c r="J23" s="96">
        <v>2.0</v>
      </c>
      <c r="K23" s="96">
        <v>1.0</v>
      </c>
      <c r="L23" s="96">
        <v>3.0</v>
      </c>
      <c r="M23" s="96">
        <v>1.0</v>
      </c>
      <c r="N23" s="96">
        <v>1.0</v>
      </c>
      <c r="O23" s="96">
        <v>5.0</v>
      </c>
      <c r="P23" s="96">
        <v>2.0</v>
      </c>
      <c r="Q23" s="96">
        <v>2.0</v>
      </c>
      <c r="R23" s="96">
        <v>1.0</v>
      </c>
      <c r="S23" s="96">
        <v>0.0</v>
      </c>
      <c r="T23" s="96">
        <v>2.0</v>
      </c>
      <c r="U23" s="96">
        <v>0.0</v>
      </c>
      <c r="V23" s="96">
        <v>0.0</v>
      </c>
      <c r="W23" s="96">
        <v>1.0</v>
      </c>
      <c r="X23" s="96">
        <v>4.0</v>
      </c>
      <c r="Y23" s="96">
        <v>4.0</v>
      </c>
      <c r="Z23" s="96">
        <v>0.0</v>
      </c>
      <c r="AA23" s="96">
        <v>0.0</v>
      </c>
      <c r="AB23" s="96">
        <v>0.0</v>
      </c>
      <c r="AC23" s="96">
        <v>2.0</v>
      </c>
      <c r="AD23" s="96">
        <v>1.0</v>
      </c>
      <c r="AE23" s="96">
        <v>1.0</v>
      </c>
      <c r="AF23" s="96">
        <v>0.0</v>
      </c>
      <c r="AG23" s="96">
        <v>1.0</v>
      </c>
      <c r="AH23" s="96">
        <v>0.0</v>
      </c>
      <c r="AI23" s="96">
        <v>1.0</v>
      </c>
      <c r="AJ23" s="96">
        <v>1.0</v>
      </c>
      <c r="AK23" s="96">
        <v>2.0</v>
      </c>
      <c r="AL23" s="96">
        <v>1.0</v>
      </c>
      <c r="AM23" s="96">
        <v>1.0</v>
      </c>
      <c r="AN23" s="96">
        <v>3.0</v>
      </c>
      <c r="AO23" s="49">
        <f t="shared" si="3"/>
        <v>14.0</v>
      </c>
      <c r="AP23" s="49">
        <f t="shared" si="4"/>
        <v>9.0</v>
      </c>
      <c r="AQ23" s="100">
        <f t="shared" si="5"/>
        <v>9.9</v>
      </c>
      <c r="AR23" s="103">
        <v>2.0</v>
      </c>
      <c r="AS23" s="103">
        <v>2.0</v>
      </c>
      <c r="AT23" s="103">
        <v>3.0</v>
      </c>
      <c r="AU23" s="103">
        <v>3.0</v>
      </c>
      <c r="AV23" s="103">
        <v>3.0</v>
      </c>
      <c r="AW23" s="103">
        <v>2.0</v>
      </c>
      <c r="AX23" s="51">
        <f t="shared" si="6"/>
        <v>15.0</v>
      </c>
      <c r="AY23" s="51" t="e">
        <f t="shared" si="7"/>
        <v>#REF!</v>
      </c>
      <c r="BC23" s="98" t="e">
        <f t="shared" si="84"/>
        <v>#REF!</v>
      </c>
      <c r="BD23" s="49">
        <f>VLOOKUP(C23,MOQ,3,false)</f>
      </c>
      <c r="BE23" s="104"/>
      <c r="BF23" s="49" t="e">
        <f t="shared" si="86"/>
        <v>#REF!</v>
      </c>
      <c r="BG23" s="49">
        <f t="shared" si="87"/>
        <v>2.0</v>
      </c>
      <c r="BH23" s="49">
        <f t="shared" si="88"/>
      </c>
      <c r="BI23" s="100" t="e">
        <f t="shared" si="89"/>
        <v>#REF!</v>
      </c>
      <c r="BJ23" s="49">
        <f t="shared" si="90"/>
        <v>2.0</v>
      </c>
      <c r="BK23" s="49">
        <f t="shared" si="91"/>
      </c>
      <c r="BL23" s="100" t="e">
        <f t="shared" si="92"/>
        <v>#REF!</v>
      </c>
      <c r="BM23" s="49">
        <f t="shared" si="93"/>
        <v>3.0</v>
      </c>
      <c r="BN23" s="49">
        <f t="shared" si="94"/>
      </c>
      <c r="BO23" s="100" t="e">
        <f t="shared" si="95"/>
        <v>#REF!</v>
      </c>
      <c r="BP23" s="49">
        <f t="shared" si="96"/>
        <v>3.0</v>
      </c>
      <c r="BR23" s="100" t="e">
        <f t="shared" si="97"/>
        <v>#REF!</v>
      </c>
      <c r="BS23" s="49">
        <f t="shared" si="98"/>
        <v>3.0</v>
      </c>
      <c r="BU23" s="100" t="e">
        <f t="shared" si="99"/>
        <v>#REF!</v>
      </c>
      <c r="BV23" s="49">
        <f t="shared" si="100"/>
        <v>2.0</v>
      </c>
      <c r="BX23" s="100" t="e">
        <f t="shared" si="101"/>
        <v>#REF!</v>
      </c>
    </row>
    <row r="24" ht="14.0">
      <c r="A24" s="96" t="s">
        <v>45</v>
      </c>
      <c r="B24" s="96" t="s">
        <v>29</v>
      </c>
      <c r="C24" s="96" t="s">
        <v>50</v>
      </c>
      <c r="D24" s="106" t="s">
        <v>51</v>
      </c>
      <c r="E24" s="96">
        <v>84.0</v>
      </c>
      <c r="F24" s="96">
        <v>155.0</v>
      </c>
      <c r="G24" s="96">
        <v>120.0</v>
      </c>
      <c r="H24" s="96">
        <v>143.0</v>
      </c>
      <c r="I24" s="96">
        <v>144.0</v>
      </c>
      <c r="J24" s="96">
        <v>155.0</v>
      </c>
      <c r="K24" s="96">
        <v>60.0</v>
      </c>
      <c r="L24" s="96">
        <v>108.0</v>
      </c>
      <c r="M24" s="96">
        <v>131.0</v>
      </c>
      <c r="N24" s="96">
        <v>91.0</v>
      </c>
      <c r="O24" s="96">
        <v>83.0</v>
      </c>
      <c r="P24" s="96">
        <v>60.0</v>
      </c>
      <c r="Q24" s="96">
        <v>76.0</v>
      </c>
      <c r="R24" s="96">
        <v>101.0</v>
      </c>
      <c r="S24" s="96">
        <v>54.0</v>
      </c>
      <c r="T24" s="96">
        <v>70.0</v>
      </c>
      <c r="U24" s="96">
        <v>156.0</v>
      </c>
      <c r="V24" s="96">
        <v>107.0</v>
      </c>
      <c r="W24" s="96">
        <v>76.0</v>
      </c>
      <c r="X24" s="96">
        <v>138.0</v>
      </c>
      <c r="Y24" s="96">
        <v>48.0</v>
      </c>
      <c r="Z24" s="96">
        <v>35.0</v>
      </c>
      <c r="AA24" s="96">
        <v>30.0</v>
      </c>
      <c r="AB24" s="96">
        <v>97.0</v>
      </c>
      <c r="AC24" s="96">
        <v>82.0</v>
      </c>
      <c r="AD24" s="96">
        <v>60.0</v>
      </c>
      <c r="AE24" s="96">
        <v>42.0</v>
      </c>
      <c r="AF24" s="96">
        <v>60.0</v>
      </c>
      <c r="AG24" s="96">
        <v>77.0</v>
      </c>
      <c r="AH24" s="96">
        <v>67.0</v>
      </c>
      <c r="AI24" s="96">
        <v>23.0</v>
      </c>
      <c r="AJ24" s="96">
        <v>47.0</v>
      </c>
      <c r="AK24" s="96">
        <v>24.0</v>
      </c>
      <c r="AL24" s="96">
        <v>36.0</v>
      </c>
      <c r="AM24" s="96">
        <v>36.0</v>
      </c>
      <c r="AN24" s="96">
        <v>13.0</v>
      </c>
      <c r="AO24" s="49">
        <f t="shared" si="3"/>
        <v>567.0</v>
      </c>
      <c r="AP24" s="49">
        <f t="shared" si="4"/>
        <v>179.0</v>
      </c>
      <c r="AQ24" s="100">
        <f t="shared" si="5"/>
        <v>196.9</v>
      </c>
      <c r="AR24" s="104">
        <f t="shared" ref="AR24:AR27" si="102">AQ24*$AR$4/$AQ$4</f>
        <v>37.4412607449857</v>
      </c>
      <c r="AS24" s="104">
        <f t="shared" ref="AS24:AS27" si="103">AQ24*$AS$4/$AQ$4</f>
        <v>29.2349570200573</v>
      </c>
      <c r="AT24" s="104">
        <f t="shared" ref="AT24:AT27" si="104">AQ24*$AT$4/$AQ$4</f>
        <v>58.4699140401146</v>
      </c>
      <c r="AU24" s="104">
        <f t="shared" ref="AU24:AU27" si="105">AQ24*$AU$4/$AQ$4</f>
        <v>65.1375358166189</v>
      </c>
      <c r="AV24" s="104">
        <f t="shared" ref="AV24:AV27" si="106">AQ24*$AV$4/$AQ$4</f>
        <v>58.9828080229226</v>
      </c>
      <c r="AW24" s="104">
        <f t="shared" ref="AW24:AW27" si="107">AQ24*$AW$4/$AQ$4</f>
        <v>48.2120343839541</v>
      </c>
      <c r="AX24" s="51">
        <f t="shared" si="6"/>
        <v>297.478510028653</v>
      </c>
      <c r="AY24" s="51" t="e">
        <f t="shared" si="7"/>
        <v>#REF!</v>
      </c>
      <c r="BC24" s="98" t="e">
        <f t="shared" si="84"/>
        <v>#REF!</v>
      </c>
      <c r="BD24" s="49">
        <f>VLOOKUP(C24,MOQ,3,false)</f>
        <v>480.0</v>
      </c>
      <c r="BE24" s="104"/>
      <c r="BF24" s="49" t="e">
        <f t="shared" si="86"/>
        <v>#REF!</v>
      </c>
      <c r="BG24" s="49">
        <f t="shared" si="87"/>
        <v>37.4412607449857</v>
      </c>
      <c r="BH24" s="49">
        <f t="shared" si="88"/>
      </c>
      <c r="BI24" s="100" t="e">
        <f t="shared" si="89"/>
        <v>#REF!</v>
      </c>
      <c r="BJ24" s="49">
        <f t="shared" si="90"/>
        <v>29.2349570200573</v>
      </c>
      <c r="BK24" s="49">
        <f t="shared" si="91"/>
      </c>
      <c r="BL24" s="100" t="e">
        <f t="shared" si="92"/>
        <v>#REF!</v>
      </c>
      <c r="BM24" s="49">
        <f t="shared" si="93"/>
        <v>58.4699140401146</v>
      </c>
      <c r="BN24" s="49">
        <f t="shared" si="94"/>
      </c>
      <c r="BO24" s="100" t="e">
        <f t="shared" si="95"/>
        <v>#REF!</v>
      </c>
      <c r="BP24" s="49">
        <f t="shared" si="96"/>
        <v>65.1375358166189</v>
      </c>
      <c r="BR24" s="100" t="e">
        <f t="shared" si="97"/>
        <v>#REF!</v>
      </c>
      <c r="BS24" s="49">
        <f t="shared" si="98"/>
        <v>58.9828080229226</v>
      </c>
      <c r="BU24" s="100" t="e">
        <f t="shared" si="99"/>
        <v>#REF!</v>
      </c>
      <c r="BV24" s="49">
        <f t="shared" si="100"/>
        <v>48.2120343839541</v>
      </c>
      <c r="BX24" s="100" t="e">
        <f t="shared" si="101"/>
        <v>#REF!</v>
      </c>
    </row>
    <row r="25" ht="14.0">
      <c r="A25" s="96" t="s">
        <v>45</v>
      </c>
      <c r="B25" s="96" t="s">
        <v>29</v>
      </c>
      <c r="C25" s="96" t="s">
        <v>52</v>
      </c>
      <c r="D25" s="106" t="s">
        <v>53</v>
      </c>
      <c r="E25" s="96">
        <v>66.0</v>
      </c>
      <c r="F25" s="96">
        <v>132.0</v>
      </c>
      <c r="G25" s="96">
        <v>78.0</v>
      </c>
      <c r="H25" s="96">
        <v>114.0</v>
      </c>
      <c r="I25" s="96">
        <v>114.0</v>
      </c>
      <c r="J25" s="96">
        <v>135.0</v>
      </c>
      <c r="K25" s="96">
        <v>42.0</v>
      </c>
      <c r="L25" s="96">
        <v>55.0</v>
      </c>
      <c r="M25" s="96">
        <v>95.0</v>
      </c>
      <c r="N25" s="96">
        <v>66.0</v>
      </c>
      <c r="O25" s="96">
        <v>53.0</v>
      </c>
      <c r="P25" s="96">
        <v>72.0</v>
      </c>
      <c r="Q25" s="96">
        <v>42.0</v>
      </c>
      <c r="R25" s="96">
        <v>41.0</v>
      </c>
      <c r="S25" s="96">
        <v>60.0</v>
      </c>
      <c r="T25" s="96">
        <v>65.0</v>
      </c>
      <c r="U25" s="96">
        <v>108.0</v>
      </c>
      <c r="V25" s="96">
        <v>84.0</v>
      </c>
      <c r="W25" s="96">
        <v>29.0</v>
      </c>
      <c r="X25" s="96">
        <v>59.0</v>
      </c>
      <c r="Y25" s="96">
        <v>36.0</v>
      </c>
      <c r="Z25" s="96">
        <v>42.0</v>
      </c>
      <c r="AA25" s="96">
        <v>48.0</v>
      </c>
      <c r="AB25" s="96">
        <v>48.0</v>
      </c>
      <c r="AC25" s="96">
        <v>66.0</v>
      </c>
      <c r="AD25" s="96">
        <v>48.0</v>
      </c>
      <c r="AE25" s="96">
        <v>30.0</v>
      </c>
      <c r="AF25" s="96">
        <v>42.0</v>
      </c>
      <c r="AG25" s="96">
        <v>52.0</v>
      </c>
      <c r="AH25" s="96">
        <v>48.0</v>
      </c>
      <c r="AI25" s="96">
        <v>18.0</v>
      </c>
      <c r="AJ25" s="96">
        <v>65.0</v>
      </c>
      <c r="AK25" s="96">
        <v>24.0</v>
      </c>
      <c r="AL25" s="96">
        <v>30.0</v>
      </c>
      <c r="AM25" s="96">
        <v>18.0</v>
      </c>
      <c r="AN25" s="96">
        <v>13.0</v>
      </c>
      <c r="AO25" s="49">
        <f t="shared" si="3"/>
        <v>454.0</v>
      </c>
      <c r="AP25" s="49">
        <f t="shared" si="4"/>
        <v>168.0</v>
      </c>
      <c r="AQ25" s="100">
        <f t="shared" si="5"/>
        <v>184.8</v>
      </c>
      <c r="AR25" s="104">
        <f t="shared" si="102"/>
        <v>35.1404011461318</v>
      </c>
      <c r="AS25" s="104">
        <f t="shared" si="103"/>
        <v>27.4383954154728</v>
      </c>
      <c r="AT25" s="104">
        <f t="shared" si="104"/>
        <v>54.8767908309456</v>
      </c>
      <c r="AU25" s="104">
        <f t="shared" si="105"/>
        <v>61.134670487106</v>
      </c>
      <c r="AV25" s="104">
        <f t="shared" si="106"/>
        <v>55.3581661891117</v>
      </c>
      <c r="AW25" s="104">
        <f t="shared" si="107"/>
        <v>45.249283667621</v>
      </c>
      <c r="AX25" s="51">
        <f t="shared" si="6"/>
        <v>279.197707736389</v>
      </c>
      <c r="AY25" s="51" t="e">
        <f t="shared" si="7"/>
        <v>#REF!</v>
      </c>
      <c r="BC25" s="98" t="e">
        <f t="shared" si="84"/>
        <v>#REF!</v>
      </c>
      <c r="BD25" s="49">
        <f>VLOOKUP(C25,MOQ,3,false)</f>
        <v>480.0</v>
      </c>
      <c r="BE25" s="104"/>
      <c r="BF25" s="49" t="e">
        <f t="shared" si="86"/>
        <v>#REF!</v>
      </c>
      <c r="BG25" s="49">
        <f t="shared" si="87"/>
        <v>35.1404011461318</v>
      </c>
      <c r="BH25" s="49">
        <f t="shared" si="88"/>
      </c>
      <c r="BI25" s="100" t="e">
        <f t="shared" si="89"/>
        <v>#REF!</v>
      </c>
      <c r="BJ25" s="49">
        <f t="shared" si="90"/>
        <v>27.4383954154728</v>
      </c>
      <c r="BK25" s="49">
        <f t="shared" si="91"/>
      </c>
      <c r="BL25" s="100" t="e">
        <f t="shared" si="92"/>
        <v>#REF!</v>
      </c>
      <c r="BM25" s="49">
        <f t="shared" si="93"/>
        <v>54.8767908309456</v>
      </c>
      <c r="BN25" s="49">
        <f t="shared" si="94"/>
      </c>
      <c r="BO25" s="100" t="e">
        <f t="shared" si="95"/>
        <v>#REF!</v>
      </c>
      <c r="BP25" s="49">
        <f t="shared" si="96"/>
        <v>61.134670487106</v>
      </c>
      <c r="BR25" s="100" t="e">
        <f t="shared" si="97"/>
        <v>#REF!</v>
      </c>
      <c r="BS25" s="49">
        <f t="shared" si="98"/>
        <v>55.3581661891117</v>
      </c>
      <c r="BU25" s="100" t="e">
        <f t="shared" si="99"/>
        <v>#REF!</v>
      </c>
      <c r="BV25" s="49">
        <f t="shared" si="100"/>
        <v>45.249283667621</v>
      </c>
      <c r="BX25" s="100" t="e">
        <f t="shared" si="101"/>
        <v>#REF!</v>
      </c>
    </row>
    <row r="26" ht="14.0">
      <c r="A26" s="96" t="s">
        <v>45</v>
      </c>
      <c r="B26" s="96" t="s">
        <v>29</v>
      </c>
      <c r="C26" s="96" t="s">
        <v>54</v>
      </c>
      <c r="D26" s="106" t="s">
        <v>55</v>
      </c>
      <c r="E26" s="96">
        <v>30.0</v>
      </c>
      <c r="F26" s="96">
        <v>65.0</v>
      </c>
      <c r="G26" s="96">
        <v>48.0</v>
      </c>
      <c r="H26" s="96">
        <v>77.0</v>
      </c>
      <c r="I26" s="96">
        <v>84.0</v>
      </c>
      <c r="J26" s="96">
        <v>36.0</v>
      </c>
      <c r="K26" s="96">
        <v>24.0</v>
      </c>
      <c r="L26" s="96">
        <v>30.0</v>
      </c>
      <c r="M26" s="96">
        <v>72.0</v>
      </c>
      <c r="N26" s="96">
        <v>18.0</v>
      </c>
      <c r="O26" s="96">
        <v>42.0</v>
      </c>
      <c r="P26" s="96">
        <v>18.0</v>
      </c>
      <c r="Q26" s="96">
        <v>48.0</v>
      </c>
      <c r="R26" s="96">
        <v>18.0</v>
      </c>
      <c r="S26" s="96">
        <v>48.0</v>
      </c>
      <c r="T26" s="96">
        <v>23.0</v>
      </c>
      <c r="U26" s="96">
        <v>48.0</v>
      </c>
      <c r="V26" s="96">
        <v>35.0</v>
      </c>
      <c r="W26" s="96">
        <v>18.0</v>
      </c>
      <c r="X26" s="96">
        <v>60.0</v>
      </c>
      <c r="Y26" s="96">
        <v>36.0</v>
      </c>
      <c r="Z26" s="96">
        <v>5.0</v>
      </c>
      <c r="AA26" s="96">
        <v>18.0</v>
      </c>
      <c r="AB26" s="96">
        <v>25.0</v>
      </c>
      <c r="AC26" s="96">
        <v>36.0</v>
      </c>
      <c r="AD26" s="96">
        <v>54.0</v>
      </c>
      <c r="AE26" s="96">
        <v>0.0</v>
      </c>
      <c r="AF26" s="96">
        <v>18.0</v>
      </c>
      <c r="AG26" s="96">
        <v>46.0</v>
      </c>
      <c r="AH26" s="96">
        <v>22.0</v>
      </c>
      <c r="AI26" s="96">
        <v>12.0</v>
      </c>
      <c r="AJ26" s="96">
        <v>6.0</v>
      </c>
      <c r="AK26" s="96">
        <v>18.0</v>
      </c>
      <c r="AL26" s="96">
        <v>24.0</v>
      </c>
      <c r="AM26" s="96">
        <v>6.0</v>
      </c>
      <c r="AN26" s="96">
        <v>1.0</v>
      </c>
      <c r="AO26" s="49">
        <f t="shared" si="3"/>
        <v>243.0</v>
      </c>
      <c r="AP26" s="49">
        <f t="shared" si="4"/>
        <v>67.0</v>
      </c>
      <c r="AQ26" s="100">
        <f t="shared" si="5"/>
        <v>73.7</v>
      </c>
      <c r="AR26" s="104">
        <f t="shared" si="102"/>
        <v>14.0143266475644</v>
      </c>
      <c r="AS26" s="104">
        <f t="shared" si="103"/>
        <v>10.9426934097421</v>
      </c>
      <c r="AT26" s="104">
        <f t="shared" si="104"/>
        <v>21.8853868194842</v>
      </c>
      <c r="AU26" s="104">
        <f t="shared" si="105"/>
        <v>24.3810888252149</v>
      </c>
      <c r="AV26" s="104">
        <f t="shared" si="106"/>
        <v>22.0773638968481</v>
      </c>
      <c r="AW26" s="104">
        <f t="shared" si="107"/>
        <v>18.0458452722063</v>
      </c>
      <c r="AX26" s="51">
        <f t="shared" si="6"/>
        <v>111.34670487106</v>
      </c>
      <c r="AY26" s="51" t="e">
        <f t="shared" si="7"/>
        <v>#REF!</v>
      </c>
      <c r="BC26" s="98" t="e">
        <f t="shared" si="84"/>
        <v>#REF!</v>
      </c>
      <c r="BD26" s="49">
        <f>VLOOKUP(C26,MOQ,3,false)</f>
        <v>480.0</v>
      </c>
      <c r="BE26" s="104"/>
      <c r="BF26" s="49" t="e">
        <f t="shared" si="86"/>
        <v>#REF!</v>
      </c>
      <c r="BG26" s="49">
        <f t="shared" si="87"/>
        <v>14.0143266475644</v>
      </c>
      <c r="BH26" s="49">
        <f t="shared" si="88"/>
      </c>
      <c r="BI26" s="100" t="e">
        <f t="shared" si="89"/>
        <v>#REF!</v>
      </c>
      <c r="BJ26" s="49">
        <f t="shared" si="90"/>
        <v>10.9426934097421</v>
      </c>
      <c r="BK26" s="49">
        <f t="shared" si="91"/>
      </c>
      <c r="BL26" s="100" t="e">
        <f t="shared" si="92"/>
        <v>#REF!</v>
      </c>
      <c r="BM26" s="49">
        <f t="shared" si="93"/>
        <v>21.8853868194842</v>
      </c>
      <c r="BN26" s="49">
        <f t="shared" si="94"/>
      </c>
      <c r="BO26" s="100" t="e">
        <f t="shared" si="95"/>
        <v>#REF!</v>
      </c>
      <c r="BP26" s="49">
        <f t="shared" si="96"/>
        <v>24.3810888252149</v>
      </c>
      <c r="BR26" s="100" t="e">
        <f t="shared" si="97"/>
        <v>#REF!</v>
      </c>
      <c r="BS26" s="49">
        <f t="shared" si="98"/>
        <v>22.0773638968481</v>
      </c>
      <c r="BU26" s="100" t="e">
        <f t="shared" si="99"/>
        <v>#REF!</v>
      </c>
      <c r="BV26" s="49">
        <f t="shared" si="100"/>
        <v>18.0458452722063</v>
      </c>
      <c r="BX26" s="100" t="e">
        <f t="shared" si="101"/>
        <v>#REF!</v>
      </c>
    </row>
    <row r="27" ht="14.0">
      <c r="A27" s="96" t="s">
        <v>45</v>
      </c>
      <c r="B27" s="96" t="s">
        <v>29</v>
      </c>
      <c r="C27" s="96" t="s">
        <v>56</v>
      </c>
      <c r="D27" s="106" t="s">
        <v>57</v>
      </c>
      <c r="E27" s="96">
        <v>42.0</v>
      </c>
      <c r="F27" s="96">
        <v>72.0</v>
      </c>
      <c r="G27" s="96">
        <v>40.0</v>
      </c>
      <c r="H27" s="96">
        <v>71.0</v>
      </c>
      <c r="I27" s="96">
        <v>113.0</v>
      </c>
      <c r="J27" s="96">
        <v>36.0</v>
      </c>
      <c r="K27" s="96">
        <v>24.0</v>
      </c>
      <c r="L27" s="96">
        <v>30.0</v>
      </c>
      <c r="M27" s="96">
        <v>66.0</v>
      </c>
      <c r="N27" s="96">
        <v>42.0</v>
      </c>
      <c r="O27" s="96">
        <v>24.0</v>
      </c>
      <c r="P27" s="96">
        <v>54.0</v>
      </c>
      <c r="Q27" s="96">
        <v>54.0</v>
      </c>
      <c r="R27" s="96">
        <v>36.0</v>
      </c>
      <c r="S27" s="96">
        <v>48.0</v>
      </c>
      <c r="T27" s="96">
        <v>30.0</v>
      </c>
      <c r="U27" s="96">
        <v>66.0</v>
      </c>
      <c r="V27" s="96">
        <v>54.0</v>
      </c>
      <c r="W27" s="96">
        <v>30.0</v>
      </c>
      <c r="X27" s="96">
        <v>66.0</v>
      </c>
      <c r="Y27" s="96">
        <v>30.0</v>
      </c>
      <c r="Z27" s="96">
        <v>23.0</v>
      </c>
      <c r="AA27" s="96">
        <v>30.0</v>
      </c>
      <c r="AB27" s="96">
        <v>24.0</v>
      </c>
      <c r="AC27" s="96">
        <v>48.0</v>
      </c>
      <c r="AD27" s="96">
        <v>36.0</v>
      </c>
      <c r="AE27" s="96">
        <v>30.0</v>
      </c>
      <c r="AF27" s="96">
        <v>36.0</v>
      </c>
      <c r="AG27" s="96">
        <v>36.0</v>
      </c>
      <c r="AH27" s="96">
        <v>18.0</v>
      </c>
      <c r="AI27" s="96">
        <v>24.0</v>
      </c>
      <c r="AJ27" s="96">
        <v>48.0</v>
      </c>
      <c r="AK27" s="96">
        <v>18.0</v>
      </c>
      <c r="AL27" s="96">
        <v>18.0</v>
      </c>
      <c r="AM27" s="96">
        <v>18.0</v>
      </c>
      <c r="AN27" s="96">
        <v>19.0</v>
      </c>
      <c r="AO27" s="49">
        <f t="shared" si="3"/>
        <v>349.0</v>
      </c>
      <c r="AP27" s="49">
        <f t="shared" si="4"/>
        <v>145.0</v>
      </c>
      <c r="AQ27" s="100">
        <f t="shared" si="5"/>
        <v>159.5</v>
      </c>
      <c r="AR27" s="104">
        <f t="shared" si="102"/>
        <v>30.3295128939828</v>
      </c>
      <c r="AS27" s="104">
        <f t="shared" si="103"/>
        <v>23.6819484240688</v>
      </c>
      <c r="AT27" s="104">
        <f t="shared" si="104"/>
        <v>47.3638968481375</v>
      </c>
      <c r="AU27" s="104">
        <f t="shared" si="105"/>
        <v>52.7650429799427</v>
      </c>
      <c r="AV27" s="104">
        <f t="shared" si="106"/>
        <v>47.7793696275071</v>
      </c>
      <c r="AW27" s="104">
        <f t="shared" si="107"/>
        <v>39.054441260745</v>
      </c>
      <c r="AX27" s="51">
        <f t="shared" si="6"/>
        <v>240.974212034383</v>
      </c>
      <c r="AY27" s="51" t="e">
        <f t="shared" si="7"/>
        <v>#REF!</v>
      </c>
      <c r="BC27" s="98" t="e">
        <f t="shared" si="84"/>
        <v>#REF!</v>
      </c>
      <c r="BD27" s="49">
        <f>VLOOKUP(C27,MOQ,3,false)</f>
        <v>480.0</v>
      </c>
      <c r="BE27" s="104"/>
      <c r="BF27" s="49" t="e">
        <f t="shared" si="86"/>
        <v>#REF!</v>
      </c>
      <c r="BG27" s="49">
        <f t="shared" si="87"/>
        <v>30.3295128939828</v>
      </c>
      <c r="BH27" s="49">
        <f t="shared" si="88"/>
      </c>
      <c r="BI27" s="100" t="e">
        <f t="shared" si="89"/>
        <v>#REF!</v>
      </c>
      <c r="BJ27" s="49">
        <f t="shared" si="90"/>
        <v>23.6819484240688</v>
      </c>
      <c r="BK27" s="49">
        <f t="shared" si="91"/>
      </c>
      <c r="BL27" s="100" t="e">
        <f t="shared" si="92"/>
        <v>#REF!</v>
      </c>
      <c r="BM27" s="49">
        <f t="shared" si="93"/>
        <v>47.3638968481375</v>
      </c>
      <c r="BN27" s="49">
        <f t="shared" si="94"/>
      </c>
      <c r="BO27" s="100" t="e">
        <f t="shared" si="95"/>
        <v>#REF!</v>
      </c>
      <c r="BP27" s="49">
        <f t="shared" si="96"/>
        <v>52.7650429799427</v>
      </c>
      <c r="BR27" s="100" t="e">
        <f t="shared" si="97"/>
        <v>#REF!</v>
      </c>
      <c r="BS27" s="49">
        <f t="shared" si="98"/>
        <v>47.7793696275071</v>
      </c>
      <c r="BU27" s="100" t="e">
        <f t="shared" si="99"/>
        <v>#REF!</v>
      </c>
      <c r="BV27" s="49">
        <f t="shared" si="100"/>
        <v>39.054441260745</v>
      </c>
      <c r="BX27" s="100" t="e">
        <f t="shared" si="101"/>
        <v>#REF!</v>
      </c>
    </row>
    <row r="28" ht="14.0">
      <c r="A28" s="96" t="s">
        <v>28</v>
      </c>
      <c r="B28" s="96" t="s">
        <v>29</v>
      </c>
      <c r="C28" s="96" t="s">
        <v>78</v>
      </c>
      <c r="D28" s="106" t="s">
        <v>79</v>
      </c>
      <c r="E28" s="96">
        <v>9.0</v>
      </c>
      <c r="F28" s="96">
        <v>9.0</v>
      </c>
      <c r="G28" s="96">
        <v>12.0</v>
      </c>
      <c r="H28" s="96">
        <v>14.0</v>
      </c>
      <c r="I28" s="96">
        <v>4.0</v>
      </c>
      <c r="J28" s="96">
        <v>9.0</v>
      </c>
      <c r="K28" s="96">
        <v>9.0</v>
      </c>
      <c r="L28" s="96">
        <v>13.0</v>
      </c>
      <c r="M28" s="96">
        <v>7.0</v>
      </c>
      <c r="N28" s="96">
        <v>6.0</v>
      </c>
      <c r="O28" s="96">
        <v>9.0</v>
      </c>
      <c r="P28" s="96">
        <v>9.0</v>
      </c>
      <c r="Q28" s="96">
        <v>10.0</v>
      </c>
      <c r="R28" s="96">
        <v>8.0</v>
      </c>
      <c r="S28" s="96">
        <v>9.0</v>
      </c>
      <c r="T28" s="96">
        <v>4.0</v>
      </c>
      <c r="U28" s="96">
        <v>7.0</v>
      </c>
      <c r="V28" s="96">
        <v>5.0</v>
      </c>
      <c r="W28" s="96">
        <v>1.0</v>
      </c>
      <c r="X28" s="96">
        <v>1.0</v>
      </c>
      <c r="Y28" s="96">
        <v>0.0</v>
      </c>
      <c r="Z28" s="96">
        <v>8.0</v>
      </c>
      <c r="AA28" s="96">
        <v>3.0</v>
      </c>
      <c r="AB28" s="96">
        <v>4.0</v>
      </c>
      <c r="AC28" s="96">
        <v>4.0</v>
      </c>
      <c r="AD28" s="96">
        <v>11.0</v>
      </c>
      <c r="AE28" s="96">
        <v>7.0</v>
      </c>
      <c r="AF28" s="96">
        <v>9.0</v>
      </c>
      <c r="AG28" s="96">
        <v>5.0</v>
      </c>
      <c r="AH28" s="96">
        <v>3.0</v>
      </c>
      <c r="AI28" s="96">
        <v>1.0</v>
      </c>
      <c r="AJ28" s="96">
        <v>3.0</v>
      </c>
      <c r="AK28" s="96">
        <v>2.0</v>
      </c>
      <c r="AL28" s="96">
        <v>0.0</v>
      </c>
      <c r="AM28" s="96">
        <v>0.0</v>
      </c>
      <c r="AN28" s="96">
        <v>0.0</v>
      </c>
      <c r="AO28" s="49">
        <f t="shared" si="3"/>
        <v>45.0</v>
      </c>
      <c r="AP28" s="49">
        <f t="shared" si="4"/>
        <v>6.0</v>
      </c>
      <c r="AQ28" s="100">
        <f t="shared" si="5"/>
        <v>6.6</v>
      </c>
      <c r="AR28" s="148">
        <v>1.0</v>
      </c>
      <c r="AS28" s="148">
        <v>2.0</v>
      </c>
      <c r="AT28" s="148">
        <v>2.0</v>
      </c>
      <c r="AU28" s="148">
        <v>2.0</v>
      </c>
      <c r="AV28" s="148">
        <v>2.0</v>
      </c>
      <c r="AW28" s="148">
        <v>2.0</v>
      </c>
      <c r="AX28" s="51">
        <f t="shared" si="6"/>
        <v>11.0</v>
      </c>
      <c r="AY28" s="149" t="e">
        <f t="shared" si="7"/>
        <v>#REF!</v>
      </c>
      <c r="BC28" s="98" t="e">
        <f t="shared" si="84"/>
        <v>#REF!</v>
      </c>
      <c r="BD28" s="49">
        <f>VLOOKUP(C28,MOQ,3,false)</f>
      </c>
      <c r="BE28" s="104"/>
      <c r="BI28" s="100"/>
      <c r="BL28" s="100"/>
      <c r="BO28" s="100"/>
      <c r="BR28" s="100"/>
      <c r="BU28" s="100"/>
      <c r="BX28" s="100"/>
    </row>
    <row r="29" ht="14.0">
      <c r="A29" s="96" t="s">
        <v>45</v>
      </c>
      <c r="B29" s="96" t="s">
        <v>29</v>
      </c>
      <c r="C29" s="96" t="s">
        <v>69</v>
      </c>
      <c r="D29" s="106" t="s">
        <v>70</v>
      </c>
      <c r="E29" s="96">
        <v>408.0</v>
      </c>
      <c r="F29" s="96">
        <v>455.0</v>
      </c>
      <c r="G29" s="96">
        <v>567.0</v>
      </c>
      <c r="H29" s="96">
        <v>558.0</v>
      </c>
      <c r="I29" s="96">
        <v>495.0</v>
      </c>
      <c r="J29" s="96">
        <v>424.0</v>
      </c>
      <c r="K29" s="96">
        <v>304.0</v>
      </c>
      <c r="L29" s="96">
        <v>295.0</v>
      </c>
      <c r="M29" s="96">
        <v>322.0</v>
      </c>
      <c r="N29" s="96">
        <v>300.0</v>
      </c>
      <c r="O29" s="96">
        <v>173.0</v>
      </c>
      <c r="P29" s="96">
        <v>276.0</v>
      </c>
      <c r="Q29" s="96">
        <v>312.0</v>
      </c>
      <c r="R29" s="96">
        <v>254.0</v>
      </c>
      <c r="S29" s="96">
        <v>385.0</v>
      </c>
      <c r="T29" s="96">
        <v>508.0</v>
      </c>
      <c r="U29" s="96">
        <v>550.0</v>
      </c>
      <c r="V29" s="96">
        <v>332.0</v>
      </c>
      <c r="W29" s="96">
        <v>132.0</v>
      </c>
      <c r="X29" s="96">
        <v>443.0</v>
      </c>
      <c r="Y29" s="96">
        <v>242.0</v>
      </c>
      <c r="Z29" s="96">
        <v>274.0</v>
      </c>
      <c r="AA29" s="96">
        <v>273.0</v>
      </c>
      <c r="AB29" s="96">
        <v>219.0</v>
      </c>
      <c r="AC29" s="96">
        <v>346.0</v>
      </c>
      <c r="AD29" s="96">
        <v>163.0</v>
      </c>
      <c r="AE29" s="96">
        <v>421.0</v>
      </c>
      <c r="AF29" s="96">
        <v>306.0</v>
      </c>
      <c r="AG29" s="96">
        <v>466.0</v>
      </c>
      <c r="AH29" s="96">
        <v>193.0</v>
      </c>
      <c r="AI29" s="96">
        <v>239.0</v>
      </c>
      <c r="AJ29" s="96">
        <v>238.0</v>
      </c>
      <c r="AK29" s="96">
        <v>147.0</v>
      </c>
      <c r="AL29" s="96">
        <v>223.0</v>
      </c>
      <c r="AM29" s="96">
        <v>263.0</v>
      </c>
      <c r="AN29" s="96">
        <v>105.0</v>
      </c>
      <c r="AO29" s="49">
        <f t="shared" si="3"/>
        <v>3110.0</v>
      </c>
      <c r="AP29" s="49">
        <f t="shared" si="4"/>
        <v>1215.0</v>
      </c>
      <c r="AQ29" s="100">
        <f t="shared" si="5"/>
        <v>1336.5</v>
      </c>
      <c r="AR29" s="104">
        <f t="shared" ref="AR29:AR32" si="108">AQ29*$AR$4/$AQ$4</f>
        <v>254.140401146131</v>
      </c>
      <c r="AS29" s="104">
        <f t="shared" ref="AS29:AS32" si="109">AQ29*$AS$4/$AQ$4</f>
        <v>198.438395415472</v>
      </c>
      <c r="AT29" s="104">
        <f t="shared" ref="AT29:AT32" si="110">AQ29*$AT$4/$AQ$4</f>
        <v>396.87679083094</v>
      </c>
      <c r="AU29" s="104">
        <f t="shared" ref="AU29:AU32" si="111">AQ29*$AU$4/$AQ$4</f>
        <v>442.134670487106</v>
      </c>
      <c r="AV29" s="104">
        <f t="shared" ref="AV29:AV32" si="112">AQ29*$AV$4/$AQ$4</f>
        <v>400.358166189111</v>
      </c>
      <c r="AW29" s="104">
        <f t="shared" ref="AW29:AW32" si="113">AQ29*$AW$4/$AQ$4</f>
        <v>327.249283667621</v>
      </c>
      <c r="AX29" s="51">
        <f t="shared" si="6"/>
        <v>2019.19770773638</v>
      </c>
      <c r="AY29" s="51" t="e">
        <f t="shared" si="7"/>
        <v>#REF!</v>
      </c>
      <c r="BC29" s="98" t="e">
        <f t="shared" si="84"/>
        <v>#REF!</v>
      </c>
      <c r="BD29" s="49">
        <f>VLOOKUP(C29,MOQ,3,false)</f>
        <v>1620.0</v>
      </c>
      <c r="BE29" s="104"/>
      <c r="BF29" s="49" t="e">
        <f t="shared" ref="BF29:BF32" si="114">AY29</f>
        <v>#REF!</v>
      </c>
      <c r="BG29" s="49">
        <f t="shared" ref="BG29:BG32" si="115">AR29</f>
        <v>254.140401146131</v>
      </c>
      <c r="BH29" s="49">
        <f t="shared" ref="BH29:BH32" si="116">AZ29</f>
      </c>
      <c r="BI29" s="100" t="e">
        <f t="shared" ref="BI29:BI32" si="117">BF29+BH29-BG29</f>
        <v>#REF!</v>
      </c>
      <c r="BJ29" s="49">
        <f t="shared" ref="BJ29:BJ32" si="118">AS29</f>
        <v>198.438395415472</v>
      </c>
      <c r="BK29" s="49">
        <f t="shared" ref="BK29:BK32" si="119">BA29</f>
      </c>
      <c r="BL29" s="100" t="e">
        <f t="shared" ref="BL29:BL32" si="120">BI29+BK29-BJ29</f>
        <v>#REF!</v>
      </c>
      <c r="BM29" s="49">
        <f t="shared" ref="BM29:BM32" si="121">AT29</f>
        <v>396.87679083094</v>
      </c>
      <c r="BN29" s="49">
        <f t="shared" ref="BN29:BN32" si="122">BB29</f>
      </c>
      <c r="BO29" s="100" t="e">
        <f t="shared" ref="BO29:BO32" si="123">BL29+BN29-BM29</f>
        <v>#REF!</v>
      </c>
      <c r="BP29" s="49">
        <f t="shared" ref="BP29:BP32" si="124">AU29</f>
        <v>442.134670487106</v>
      </c>
      <c r="BR29" s="100" t="e">
        <f t="shared" ref="BR29:BR32" si="125">BO29+BQ29-BP29</f>
        <v>#REF!</v>
      </c>
      <c r="BS29" s="49">
        <f t="shared" ref="BS29:BS32" si="126">AV29</f>
        <v>400.358166189111</v>
      </c>
      <c r="BU29" s="100" t="e">
        <f t="shared" ref="BU29:BU32" si="127">BR29+BT29-BS29</f>
        <v>#REF!</v>
      </c>
      <c r="BV29" s="49">
        <f t="shared" ref="BV29:BV32" si="128">AW29</f>
        <v>327.249283667621</v>
      </c>
      <c r="BX29" s="100" t="e">
        <f t="shared" ref="BX29:BX32" si="129">BU29+BW29-BV29</f>
        <v>#REF!</v>
      </c>
    </row>
    <row r="30" ht="14.0">
      <c r="A30" s="96" t="s">
        <v>45</v>
      </c>
      <c r="B30" s="96" t="s">
        <v>29</v>
      </c>
      <c r="C30" s="96" t="s">
        <v>71</v>
      </c>
      <c r="D30" s="106" t="s">
        <v>72</v>
      </c>
      <c r="E30" s="96">
        <v>244.0</v>
      </c>
      <c r="F30" s="96">
        <v>248.0</v>
      </c>
      <c r="G30" s="96">
        <v>263.0</v>
      </c>
      <c r="H30" s="96">
        <v>354.0</v>
      </c>
      <c r="I30" s="96">
        <v>309.0</v>
      </c>
      <c r="J30" s="96">
        <v>307.0</v>
      </c>
      <c r="K30" s="96">
        <v>199.0</v>
      </c>
      <c r="L30" s="96">
        <v>153.0</v>
      </c>
      <c r="M30" s="96">
        <v>251.0</v>
      </c>
      <c r="N30" s="96">
        <v>171.0</v>
      </c>
      <c r="O30" s="96">
        <v>111.0</v>
      </c>
      <c r="P30" s="96">
        <v>166.0</v>
      </c>
      <c r="Q30" s="96">
        <v>179.0</v>
      </c>
      <c r="R30" s="96">
        <v>149.0</v>
      </c>
      <c r="S30" s="96">
        <v>245.0</v>
      </c>
      <c r="T30" s="96">
        <v>257.0</v>
      </c>
      <c r="U30" s="96">
        <v>312.0</v>
      </c>
      <c r="V30" s="96">
        <v>255.0</v>
      </c>
      <c r="W30" s="96">
        <v>286.0</v>
      </c>
      <c r="X30" s="96">
        <v>65.0</v>
      </c>
      <c r="Y30" s="96">
        <v>130.0</v>
      </c>
      <c r="Z30" s="96">
        <v>292.0</v>
      </c>
      <c r="AA30" s="96">
        <v>143.0</v>
      </c>
      <c r="AB30" s="96">
        <v>184.0</v>
      </c>
      <c r="AC30" s="96">
        <v>191.0</v>
      </c>
      <c r="AD30" s="96">
        <v>137.0</v>
      </c>
      <c r="AE30" s="96">
        <v>259.0</v>
      </c>
      <c r="AF30" s="96">
        <v>131.0</v>
      </c>
      <c r="AG30" s="96">
        <v>282.0</v>
      </c>
      <c r="AH30" s="96">
        <v>190.0</v>
      </c>
      <c r="AI30" s="96">
        <v>171.0</v>
      </c>
      <c r="AJ30" s="96">
        <v>217.0</v>
      </c>
      <c r="AK30" s="96">
        <v>5.0</v>
      </c>
      <c r="AL30" s="96">
        <v>1.0</v>
      </c>
      <c r="AM30" s="96">
        <v>0.0</v>
      </c>
      <c r="AN30" s="96">
        <v>0.0</v>
      </c>
      <c r="AO30" s="49">
        <f t="shared" si="3"/>
        <v>1584.0</v>
      </c>
      <c r="AP30" s="49">
        <f t="shared" si="4"/>
        <v>394.0</v>
      </c>
      <c r="AQ30" s="100">
        <f t="shared" si="5"/>
        <v>433.4</v>
      </c>
      <c r="AR30" s="104">
        <f t="shared" si="108"/>
        <v>82.4126074498567</v>
      </c>
      <c r="AS30" s="104">
        <f t="shared" si="109"/>
        <v>64.349570200573</v>
      </c>
      <c r="AT30" s="104">
        <f t="shared" si="110"/>
        <v>128.699140401146</v>
      </c>
      <c r="AU30" s="104">
        <f t="shared" si="111"/>
        <v>143.375358166189</v>
      </c>
      <c r="AV30" s="104">
        <f t="shared" si="112"/>
        <v>129.828080229226</v>
      </c>
      <c r="AW30" s="104">
        <f t="shared" si="113"/>
        <v>106.120343839541</v>
      </c>
      <c r="AX30" s="51">
        <f t="shared" si="6"/>
        <v>654.785100286531</v>
      </c>
      <c r="AY30" s="51" t="e">
        <f t="shared" si="7"/>
        <v>#REF!</v>
      </c>
      <c r="BC30" s="98" t="e">
        <f t="shared" si="84"/>
        <v>#REF!</v>
      </c>
      <c r="BD30" s="49">
        <f>VLOOKUP(C30,MOQ,3,false)</f>
        <v>1080.0</v>
      </c>
      <c r="BE30" s="104"/>
      <c r="BF30" s="49" t="e">
        <f t="shared" si="114"/>
        <v>#REF!</v>
      </c>
      <c r="BG30" s="49">
        <f t="shared" si="115"/>
        <v>82.4126074498567</v>
      </c>
      <c r="BH30" s="49">
        <f t="shared" si="116"/>
      </c>
      <c r="BI30" s="100" t="e">
        <f t="shared" si="117"/>
        <v>#REF!</v>
      </c>
      <c r="BJ30" s="49">
        <f t="shared" si="118"/>
        <v>64.349570200573</v>
      </c>
      <c r="BK30" s="49">
        <f t="shared" si="119"/>
      </c>
      <c r="BL30" s="100" t="e">
        <f t="shared" si="120"/>
        <v>#REF!</v>
      </c>
      <c r="BM30" s="49">
        <f t="shared" si="121"/>
        <v>128.699140401146</v>
      </c>
      <c r="BN30" s="49">
        <f t="shared" si="122"/>
      </c>
      <c r="BO30" s="100" t="e">
        <f t="shared" si="123"/>
        <v>#REF!</v>
      </c>
      <c r="BP30" s="49">
        <f t="shared" si="124"/>
        <v>143.375358166189</v>
      </c>
      <c r="BR30" s="100" t="e">
        <f t="shared" si="125"/>
        <v>#REF!</v>
      </c>
      <c r="BS30" s="49">
        <f t="shared" si="126"/>
        <v>129.828080229226</v>
      </c>
      <c r="BU30" s="100" t="e">
        <f t="shared" si="127"/>
        <v>#REF!</v>
      </c>
      <c r="BV30" s="49">
        <f t="shared" si="128"/>
        <v>106.120343839541</v>
      </c>
      <c r="BX30" s="100" t="e">
        <f t="shared" si="129"/>
        <v>#REF!</v>
      </c>
    </row>
    <row r="31" ht="14.0">
      <c r="A31" s="96" t="s">
        <v>45</v>
      </c>
      <c r="B31" s="96" t="s">
        <v>29</v>
      </c>
      <c r="C31" s="96" t="s">
        <v>73</v>
      </c>
      <c r="D31" s="106" t="s">
        <v>74</v>
      </c>
      <c r="E31" s="96">
        <v>181.0</v>
      </c>
      <c r="F31" s="96">
        <v>261.0</v>
      </c>
      <c r="G31" s="96">
        <v>159.0</v>
      </c>
      <c r="H31" s="96">
        <v>297.0</v>
      </c>
      <c r="I31" s="96">
        <v>282.0</v>
      </c>
      <c r="J31" s="96">
        <v>186.0</v>
      </c>
      <c r="K31" s="96">
        <v>147.0</v>
      </c>
      <c r="L31" s="96">
        <v>141.0</v>
      </c>
      <c r="M31" s="96">
        <v>137.0</v>
      </c>
      <c r="N31" s="96">
        <v>147.0</v>
      </c>
      <c r="O31" s="96">
        <v>65.0</v>
      </c>
      <c r="P31" s="96">
        <v>106.0</v>
      </c>
      <c r="Q31" s="96">
        <v>108.0</v>
      </c>
      <c r="R31" s="96">
        <v>111.0</v>
      </c>
      <c r="S31" s="96">
        <v>160.0</v>
      </c>
      <c r="T31" s="96">
        <v>164.0</v>
      </c>
      <c r="U31" s="96">
        <v>281.0</v>
      </c>
      <c r="V31" s="96">
        <v>221.0</v>
      </c>
      <c r="W31" s="96">
        <v>174.0</v>
      </c>
      <c r="X31" s="96">
        <v>122.0</v>
      </c>
      <c r="Y31" s="96">
        <v>96.0</v>
      </c>
      <c r="Z31" s="96">
        <v>121.0</v>
      </c>
      <c r="AA31" s="96">
        <v>111.0</v>
      </c>
      <c r="AB31" s="96">
        <v>96.0</v>
      </c>
      <c r="AC31" s="96">
        <v>124.0</v>
      </c>
      <c r="AD31" s="96">
        <v>77.0</v>
      </c>
      <c r="AE31" s="96">
        <v>151.0</v>
      </c>
      <c r="AF31" s="96">
        <v>143.0</v>
      </c>
      <c r="AG31" s="96">
        <v>151.0</v>
      </c>
      <c r="AH31" s="96">
        <v>114.0</v>
      </c>
      <c r="AI31" s="96">
        <v>126.0</v>
      </c>
      <c r="AJ31" s="96">
        <v>71.0</v>
      </c>
      <c r="AK31" s="96">
        <v>82.0</v>
      </c>
      <c r="AL31" s="96">
        <v>2.0</v>
      </c>
      <c r="AM31" s="96">
        <v>-1.0</v>
      </c>
      <c r="AN31" s="96">
        <v>0.0</v>
      </c>
      <c r="AO31" s="49">
        <f t="shared" si="3"/>
        <v>1040.0</v>
      </c>
      <c r="AP31" s="49">
        <f t="shared" si="4"/>
        <v>280.0</v>
      </c>
      <c r="AQ31" s="100">
        <f t="shared" si="5"/>
        <v>308.0</v>
      </c>
      <c r="AR31" s="104">
        <f t="shared" si="108"/>
        <v>58.567335243553</v>
      </c>
      <c r="AS31" s="104">
        <f t="shared" si="109"/>
        <v>45.730659025788</v>
      </c>
      <c r="AT31" s="104">
        <f t="shared" si="110"/>
        <v>91.4613180515759</v>
      </c>
      <c r="AU31" s="104">
        <f t="shared" si="111"/>
        <v>101.89111747851</v>
      </c>
      <c r="AV31" s="104">
        <f t="shared" si="112"/>
        <v>92.2636103151862</v>
      </c>
      <c r="AW31" s="104">
        <f t="shared" si="113"/>
        <v>75.4154727793696</v>
      </c>
      <c r="AX31" s="51">
        <f t="shared" si="6"/>
        <v>465.329512893982</v>
      </c>
      <c r="AY31" s="51" t="e">
        <f t="shared" si="7"/>
        <v>#REF!</v>
      </c>
      <c r="BC31" s="98" t="e">
        <f t="shared" si="84"/>
        <v>#REF!</v>
      </c>
      <c r="BD31" s="49">
        <f>VLOOKUP(C31,MOQ,3,false)</f>
        <v>660.0</v>
      </c>
      <c r="BE31" s="104"/>
      <c r="BF31" s="49" t="e">
        <f t="shared" si="114"/>
        <v>#REF!</v>
      </c>
      <c r="BG31" s="49">
        <f t="shared" si="115"/>
        <v>58.567335243553</v>
      </c>
      <c r="BH31" s="49">
        <f t="shared" si="116"/>
      </c>
      <c r="BI31" s="100" t="e">
        <f t="shared" si="117"/>
        <v>#REF!</v>
      </c>
      <c r="BJ31" s="49">
        <f t="shared" si="118"/>
        <v>45.730659025788</v>
      </c>
      <c r="BK31" s="49">
        <f t="shared" si="119"/>
      </c>
      <c r="BL31" s="100" t="e">
        <f t="shared" si="120"/>
        <v>#REF!</v>
      </c>
      <c r="BM31" s="49">
        <f t="shared" si="121"/>
        <v>91.4613180515759</v>
      </c>
      <c r="BN31" s="49">
        <f t="shared" si="122"/>
      </c>
      <c r="BO31" s="100" t="e">
        <f t="shared" si="123"/>
        <v>#REF!</v>
      </c>
      <c r="BP31" s="49">
        <f t="shared" si="124"/>
        <v>101.89111747851</v>
      </c>
      <c r="BR31" s="100" t="e">
        <f t="shared" si="125"/>
        <v>#REF!</v>
      </c>
      <c r="BS31" s="49">
        <f t="shared" si="126"/>
        <v>92.2636103151862</v>
      </c>
      <c r="BU31" s="100" t="e">
        <f t="shared" si="127"/>
        <v>#REF!</v>
      </c>
      <c r="BV31" s="49">
        <f t="shared" si="128"/>
        <v>75.4154727793696</v>
      </c>
      <c r="BX31" s="100" t="e">
        <f t="shared" si="129"/>
        <v>#REF!</v>
      </c>
    </row>
    <row r="32" ht="14.0">
      <c r="A32" s="96" t="s">
        <v>45</v>
      </c>
      <c r="B32" s="96" t="s">
        <v>29</v>
      </c>
      <c r="C32" s="96" t="s">
        <v>75</v>
      </c>
      <c r="D32" s="106" t="s">
        <v>76</v>
      </c>
      <c r="E32" s="96">
        <v>272.0</v>
      </c>
      <c r="F32" s="96">
        <v>366.0</v>
      </c>
      <c r="G32" s="96">
        <v>379.0</v>
      </c>
      <c r="H32" s="96">
        <v>383.0</v>
      </c>
      <c r="I32" s="96">
        <v>420.0</v>
      </c>
      <c r="J32" s="96">
        <v>425.0</v>
      </c>
      <c r="K32" s="96">
        <v>338.0</v>
      </c>
      <c r="L32" s="96">
        <v>201.0</v>
      </c>
      <c r="M32" s="96">
        <v>336.0</v>
      </c>
      <c r="N32" s="96">
        <v>218.0</v>
      </c>
      <c r="O32" s="96">
        <v>181.0</v>
      </c>
      <c r="P32" s="96">
        <v>199.0</v>
      </c>
      <c r="Q32" s="96">
        <v>272.0</v>
      </c>
      <c r="R32" s="96">
        <v>184.0</v>
      </c>
      <c r="S32" s="96">
        <v>311.0</v>
      </c>
      <c r="T32" s="96">
        <v>325.0</v>
      </c>
      <c r="U32" s="96">
        <v>432.0</v>
      </c>
      <c r="V32" s="96">
        <v>331.0</v>
      </c>
      <c r="W32" s="96">
        <v>335.0</v>
      </c>
      <c r="X32" s="96">
        <v>264.0</v>
      </c>
      <c r="Y32" s="96">
        <v>127.0</v>
      </c>
      <c r="Z32" s="96">
        <v>246.0</v>
      </c>
      <c r="AA32" s="96">
        <v>180.0</v>
      </c>
      <c r="AB32" s="96">
        <v>248.0</v>
      </c>
      <c r="AC32" s="96">
        <v>243.0</v>
      </c>
      <c r="AD32" s="96">
        <v>192.0</v>
      </c>
      <c r="AE32" s="96">
        <v>286.0</v>
      </c>
      <c r="AF32" s="96">
        <v>262.0</v>
      </c>
      <c r="AG32" s="96">
        <v>329.0</v>
      </c>
      <c r="AH32" s="96">
        <v>193.0</v>
      </c>
      <c r="AI32" s="96">
        <v>214.0</v>
      </c>
      <c r="AJ32" s="96">
        <v>207.0</v>
      </c>
      <c r="AK32" s="96">
        <v>144.0</v>
      </c>
      <c r="AL32" s="96">
        <v>-1.0</v>
      </c>
      <c r="AM32" s="96">
        <v>6.0</v>
      </c>
      <c r="AN32" s="96">
        <v>-1.0</v>
      </c>
      <c r="AO32" s="49">
        <f t="shared" si="3"/>
        <v>2074.0</v>
      </c>
      <c r="AP32" s="49">
        <f t="shared" si="4"/>
        <v>569.0</v>
      </c>
      <c r="AQ32" s="100">
        <f t="shared" si="5"/>
        <v>625.9</v>
      </c>
      <c r="AR32" s="104">
        <f t="shared" si="108"/>
        <v>119.017191977077</v>
      </c>
      <c r="AS32" s="104">
        <f t="shared" si="109"/>
        <v>92.9312320916905</v>
      </c>
      <c r="AT32" s="104">
        <f t="shared" si="110"/>
        <v>185.862464183381</v>
      </c>
      <c r="AU32" s="104">
        <f t="shared" si="111"/>
        <v>207.057306590258</v>
      </c>
      <c r="AV32" s="104">
        <f t="shared" si="112"/>
        <v>187.492836676218</v>
      </c>
      <c r="AW32" s="104">
        <f t="shared" si="113"/>
        <v>153.255014326648</v>
      </c>
      <c r="AX32" s="51">
        <f t="shared" si="6"/>
        <v>945.616045845272</v>
      </c>
      <c r="AY32" s="51" t="e">
        <f t="shared" si="7"/>
        <v>#REF!</v>
      </c>
      <c r="BC32" s="98" t="e">
        <f t="shared" si="84"/>
        <v>#REF!</v>
      </c>
      <c r="BD32" s="49">
        <f>VLOOKUP(C32,MOQ,3,false)</f>
        <v>480.0</v>
      </c>
      <c r="BE32" s="104"/>
      <c r="BF32" s="49" t="e">
        <f t="shared" si="114"/>
        <v>#REF!</v>
      </c>
      <c r="BG32" s="49">
        <f t="shared" si="115"/>
        <v>119.017191977077</v>
      </c>
      <c r="BH32" s="49">
        <f t="shared" si="116"/>
      </c>
      <c r="BI32" s="100" t="e">
        <f t="shared" si="117"/>
        <v>#REF!</v>
      </c>
      <c r="BJ32" s="49">
        <f t="shared" si="118"/>
        <v>92.9312320916905</v>
      </c>
      <c r="BK32" s="49">
        <f t="shared" si="119"/>
      </c>
      <c r="BL32" s="100" t="e">
        <f t="shared" si="120"/>
        <v>#REF!</v>
      </c>
      <c r="BM32" s="49">
        <f t="shared" si="121"/>
        <v>185.862464183381</v>
      </c>
      <c r="BN32" s="49">
        <f t="shared" si="122"/>
      </c>
      <c r="BO32" s="100" t="e">
        <f t="shared" si="123"/>
        <v>#REF!</v>
      </c>
      <c r="BP32" s="49">
        <f t="shared" si="124"/>
        <v>207.057306590258</v>
      </c>
      <c r="BR32" s="100" t="e">
        <f t="shared" si="125"/>
        <v>#REF!</v>
      </c>
      <c r="BS32" s="49">
        <f t="shared" si="126"/>
        <v>187.492836676218</v>
      </c>
      <c r="BU32" s="100" t="e">
        <f t="shared" si="127"/>
        <v>#REF!</v>
      </c>
      <c r="BV32" s="49">
        <f t="shared" si="128"/>
        <v>153.255014326648</v>
      </c>
      <c r="BX32" s="100" t="e">
        <f t="shared" si="129"/>
        <v>#REF!</v>
      </c>
    </row>
    <row r="33"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51"/>
      <c r="AP33" s="51"/>
      <c r="AQ33" s="70"/>
      <c r="AR33" s="150"/>
      <c r="AS33" s="150"/>
      <c r="AT33" s="150"/>
      <c r="AU33" s="150"/>
      <c r="AV33" s="150"/>
      <c r="AW33" s="150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</row>
    <row r="34" ht="14.0">
      <c r="AC34" s="150">
        <v>0.069</v>
      </c>
      <c r="AD34" s="150">
        <v>0.065</v>
      </c>
      <c r="AE34" s="150">
        <v>0.066</v>
      </c>
      <c r="AF34" s="150">
        <v>0.052</v>
      </c>
      <c r="AG34" s="150">
        <v>0.106</v>
      </c>
      <c r="AH34" s="150">
        <v>0.153</v>
      </c>
      <c r="AI34" s="150">
        <v>0.054</v>
      </c>
      <c r="AJ34" s="150">
        <v>0.073</v>
      </c>
      <c r="AK34" s="150">
        <v>0.058</v>
      </c>
      <c r="AL34" s="150">
        <v>0.122</v>
      </c>
      <c r="AM34" s="150">
        <v>0.103</v>
      </c>
      <c r="AN34" s="150">
        <v>0.079</v>
      </c>
      <c r="AO34" s="51">
        <f>SUM(AC34:AN34)</f>
        <v>1.0</v>
      </c>
      <c r="AP34" s="51">
        <f>SUM(AI34:AN34)</f>
        <v>0.489</v>
      </c>
      <c r="AQ34" s="70">
        <f>AP34*1.1</f>
        <v>0.5379</v>
      </c>
      <c r="AR34" s="150">
        <v>0.069</v>
      </c>
      <c r="AS34" s="150">
        <v>0.065</v>
      </c>
      <c r="AT34" s="150">
        <v>0.066</v>
      </c>
      <c r="AU34" s="150">
        <v>0.052</v>
      </c>
      <c r="AV34" s="150">
        <v>0.106</v>
      </c>
      <c r="AW34" s="150">
        <v>0.153</v>
      </c>
      <c r="BF34" s="59" t="s">
        <v>7</v>
      </c>
      <c r="BG34" s="59" t="s">
        <v>8</v>
      </c>
      <c r="BH34" s="59"/>
      <c r="BI34" s="59"/>
      <c r="BJ34" s="59" t="s">
        <v>9</v>
      </c>
      <c r="BK34" s="59"/>
      <c r="BL34" s="59"/>
      <c r="BM34" s="59" t="s">
        <v>10</v>
      </c>
      <c r="BN34" s="59"/>
      <c r="BO34" s="59"/>
      <c r="BP34" s="59" t="s">
        <v>227</v>
      </c>
      <c r="BQ34" s="59"/>
      <c r="BR34" s="59"/>
      <c r="BS34" s="59" t="s">
        <v>212</v>
      </c>
      <c r="BT34" s="59"/>
      <c r="BU34" s="59"/>
      <c r="BV34" s="79">
        <v>46023</v>
      </c>
      <c r="BW34" s="59"/>
      <c r="BX34" s="59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</row>
    <row r="35" ht="14.0">
      <c r="E35" s="71">
        <v>45891</v>
      </c>
      <c r="F35" s="71">
        <v>45922</v>
      </c>
      <c r="G35" s="71">
        <v>45952</v>
      </c>
      <c r="H35" s="71">
        <v>45983</v>
      </c>
      <c r="I35" s="71">
        <v>46013</v>
      </c>
      <c r="J35" s="71">
        <v>45680</v>
      </c>
      <c r="K35" s="71">
        <v>45711</v>
      </c>
      <c r="L35" s="71">
        <v>45739</v>
      </c>
      <c r="M35" s="71">
        <v>45770</v>
      </c>
      <c r="N35" s="71">
        <v>45800</v>
      </c>
      <c r="O35" s="71">
        <v>45831</v>
      </c>
      <c r="P35" s="71">
        <v>45861</v>
      </c>
      <c r="Q35" s="72">
        <v>45892</v>
      </c>
      <c r="R35" s="72">
        <v>45923</v>
      </c>
      <c r="S35" s="72">
        <v>45953</v>
      </c>
      <c r="T35" s="72">
        <v>45984</v>
      </c>
      <c r="U35" s="72">
        <v>46014</v>
      </c>
      <c r="V35" s="72">
        <v>45681</v>
      </c>
      <c r="W35" s="72">
        <v>45712</v>
      </c>
      <c r="X35" s="72">
        <v>45740</v>
      </c>
      <c r="Y35" s="72">
        <v>45771</v>
      </c>
      <c r="Z35" s="72">
        <v>45801</v>
      </c>
      <c r="AA35" s="72">
        <v>45832</v>
      </c>
      <c r="AB35" s="72">
        <v>45862</v>
      </c>
      <c r="AC35" s="73">
        <v>45893</v>
      </c>
      <c r="AD35" s="73">
        <v>45924</v>
      </c>
      <c r="AE35" s="73">
        <v>45954</v>
      </c>
      <c r="AF35" s="73">
        <v>45985</v>
      </c>
      <c r="AG35" s="73">
        <v>46015</v>
      </c>
      <c r="AH35" s="73">
        <v>45682</v>
      </c>
      <c r="AI35" s="73">
        <v>45713</v>
      </c>
      <c r="AJ35" s="73">
        <v>45741</v>
      </c>
      <c r="AK35" s="73">
        <v>45772</v>
      </c>
      <c r="AL35" s="73">
        <v>45802</v>
      </c>
      <c r="AM35" s="73">
        <v>45833</v>
      </c>
      <c r="AN35" s="73">
        <v>45863</v>
      </c>
      <c r="AO35" s="59" t="s">
        <v>1</v>
      </c>
      <c r="AP35" s="59" t="s">
        <v>226</v>
      </c>
      <c r="AQ35" s="59" t="s">
        <v>226</v>
      </c>
      <c r="AR35" s="73">
        <v>45893</v>
      </c>
      <c r="AS35" s="73">
        <v>45924</v>
      </c>
      <c r="AT35" s="73">
        <v>45954</v>
      </c>
      <c r="AU35" s="73">
        <v>45985</v>
      </c>
      <c r="AV35" s="73">
        <v>46015</v>
      </c>
      <c r="AW35" s="73">
        <v>46048</v>
      </c>
      <c r="AX35" s="139" t="s">
        <v>3</v>
      </c>
      <c r="AY35" s="139" t="s">
        <v>3</v>
      </c>
      <c r="AZ35" s="139" t="s">
        <v>3</v>
      </c>
      <c r="BA35" s="139" t="s">
        <v>3</v>
      </c>
      <c r="BB35" s="139" t="s">
        <v>3</v>
      </c>
      <c r="BC35" s="140" t="s">
        <v>3</v>
      </c>
      <c r="BD35" s="139" t="s">
        <v>3</v>
      </c>
      <c r="BE35" s="141" t="s">
        <v>3</v>
      </c>
      <c r="BF35" s="93" t="s">
        <v>25</v>
      </c>
      <c r="BG35" s="93" t="s">
        <v>17</v>
      </c>
      <c r="BH35" s="93" t="s">
        <v>26</v>
      </c>
      <c r="BI35" s="93" t="s">
        <v>27</v>
      </c>
      <c r="BJ35" s="93" t="s">
        <v>17</v>
      </c>
      <c r="BK35" s="93" t="s">
        <v>26</v>
      </c>
      <c r="BL35" s="93" t="s">
        <v>27</v>
      </c>
      <c r="BM35" s="93" t="s">
        <v>17</v>
      </c>
      <c r="BN35" s="93" t="s">
        <v>26</v>
      </c>
      <c r="BO35" s="93" t="s">
        <v>27</v>
      </c>
      <c r="BP35" s="93" t="s">
        <v>17</v>
      </c>
      <c r="BQ35" s="93" t="s">
        <v>26</v>
      </c>
      <c r="BR35" s="93" t="s">
        <v>27</v>
      </c>
      <c r="BS35" s="93" t="s">
        <v>17</v>
      </c>
      <c r="BT35" s="93" t="s">
        <v>26</v>
      </c>
      <c r="BU35" s="93" t="s">
        <v>27</v>
      </c>
      <c r="BV35" s="93" t="s">
        <v>17</v>
      </c>
      <c r="BW35" s="93" t="s">
        <v>26</v>
      </c>
      <c r="BX35" s="93" t="s">
        <v>27</v>
      </c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AMJ35" s="146"/>
    </row>
    <row r="36" customHeight="1" ht="42.0">
      <c r="A36" s="81" t="s">
        <v>11</v>
      </c>
      <c r="B36" s="81" t="s">
        <v>12</v>
      </c>
      <c r="C36" s="81" t="s">
        <v>13</v>
      </c>
      <c r="D36" s="82" t="s">
        <v>14</v>
      </c>
      <c r="E36" s="83" t="s">
        <v>15</v>
      </c>
      <c r="F36" s="83" t="s">
        <v>15</v>
      </c>
      <c r="G36" s="83" t="s">
        <v>15</v>
      </c>
      <c r="H36" s="83" t="s">
        <v>15</v>
      </c>
      <c r="I36" s="83" t="s">
        <v>15</v>
      </c>
      <c r="J36" s="83" t="s">
        <v>15</v>
      </c>
      <c r="K36" s="83" t="s">
        <v>15</v>
      </c>
      <c r="L36" s="83" t="s">
        <v>15</v>
      </c>
      <c r="M36" s="83" t="s">
        <v>15</v>
      </c>
      <c r="N36" s="83" t="s">
        <v>15</v>
      </c>
      <c r="O36" s="83" t="s">
        <v>15</v>
      </c>
      <c r="P36" s="83" t="s">
        <v>15</v>
      </c>
      <c r="Q36" s="83" t="s">
        <v>15</v>
      </c>
      <c r="R36" s="83" t="s">
        <v>15</v>
      </c>
      <c r="S36" s="83" t="s">
        <v>15</v>
      </c>
      <c r="T36" s="83" t="s">
        <v>15</v>
      </c>
      <c r="U36" s="83" t="s">
        <v>15</v>
      </c>
      <c r="V36" s="83" t="s">
        <v>15</v>
      </c>
      <c r="W36" s="83" t="s">
        <v>15</v>
      </c>
      <c r="X36" s="83" t="s">
        <v>15</v>
      </c>
      <c r="Y36" s="83" t="s">
        <v>15</v>
      </c>
      <c r="Z36" s="83" t="s">
        <v>15</v>
      </c>
      <c r="AA36" s="83" t="s">
        <v>15</v>
      </c>
      <c r="AB36" s="83" t="s">
        <v>15</v>
      </c>
      <c r="AC36" s="83" t="s">
        <v>15</v>
      </c>
      <c r="AD36" s="83" t="s">
        <v>15</v>
      </c>
      <c r="AE36" s="83" t="s">
        <v>15</v>
      </c>
      <c r="AF36" s="83" t="s">
        <v>15</v>
      </c>
      <c r="AG36" s="83" t="s">
        <v>15</v>
      </c>
      <c r="AH36" s="83" t="s">
        <v>15</v>
      </c>
      <c r="AI36" s="83" t="s">
        <v>15</v>
      </c>
      <c r="AJ36" s="83" t="s">
        <v>15</v>
      </c>
      <c r="AK36" s="83" t="s">
        <v>15</v>
      </c>
      <c r="AL36" s="83" t="s">
        <v>15</v>
      </c>
      <c r="AM36" s="83" t="s">
        <v>15</v>
      </c>
      <c r="AN36" s="83" t="s">
        <v>15</v>
      </c>
      <c r="AO36" s="84" t="s">
        <v>3</v>
      </c>
      <c r="AP36" s="84" t="s">
        <v>3</v>
      </c>
      <c r="AQ36" s="84" t="s">
        <v>16</v>
      </c>
      <c r="AR36" s="85" t="s">
        <v>17</v>
      </c>
      <c r="AS36" s="85" t="s">
        <v>17</v>
      </c>
      <c r="AT36" s="85" t="s">
        <v>17</v>
      </c>
      <c r="AU36" s="85" t="s">
        <v>17</v>
      </c>
      <c r="AV36" s="85" t="s">
        <v>17</v>
      </c>
      <c r="AW36" s="85" t="s">
        <v>17</v>
      </c>
      <c r="AX36" s="142" t="s">
        <v>17</v>
      </c>
      <c r="AY36" s="93" t="s">
        <v>228</v>
      </c>
      <c r="AZ36" s="143" t="s">
        <v>229</v>
      </c>
      <c r="BA36" s="143" t="s">
        <v>230</v>
      </c>
      <c r="BB36" s="143" t="s">
        <v>231</v>
      </c>
      <c r="BC36" s="144" t="s">
        <v>21</v>
      </c>
      <c r="BD36" s="93" t="s">
        <v>22</v>
      </c>
      <c r="BE36" s="145" t="s">
        <v>23</v>
      </c>
      <c r="BF36" s="93" t="s">
        <v>25</v>
      </c>
      <c r="BG36" s="93" t="s">
        <v>17</v>
      </c>
      <c r="BH36" s="93" t="s">
        <v>26</v>
      </c>
      <c r="BI36" s="93" t="s">
        <v>27</v>
      </c>
      <c r="BJ36" s="93" t="s">
        <v>17</v>
      </c>
      <c r="BK36" s="93" t="s">
        <v>26</v>
      </c>
      <c r="BL36" s="93" t="s">
        <v>27</v>
      </c>
      <c r="BM36" s="93" t="s">
        <v>17</v>
      </c>
      <c r="BN36" s="93" t="s">
        <v>26</v>
      </c>
      <c r="BO36" s="93" t="s">
        <v>27</v>
      </c>
      <c r="BP36" s="93" t="s">
        <v>17</v>
      </c>
      <c r="BQ36" s="93" t="s">
        <v>26</v>
      </c>
      <c r="BR36" s="93" t="s">
        <v>27</v>
      </c>
      <c r="BS36" s="93" t="s">
        <v>17</v>
      </c>
      <c r="BT36" s="93" t="s">
        <v>26</v>
      </c>
      <c r="BU36" s="93" t="s">
        <v>27</v>
      </c>
      <c r="BV36" s="93" t="s">
        <v>17</v>
      </c>
      <c r="BW36" s="93" t="s">
        <v>26</v>
      </c>
      <c r="BX36" s="93" t="s">
        <v>27</v>
      </c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AMJ36" s="146"/>
    </row>
    <row r="37" ht="14.0">
      <c r="A37" s="96" t="s">
        <v>28</v>
      </c>
      <c r="B37" s="96" t="s">
        <v>29</v>
      </c>
      <c r="C37" s="96" t="s">
        <v>65</v>
      </c>
      <c r="D37" s="97" t="s">
        <v>66</v>
      </c>
      <c r="E37" s="96">
        <v>0.0</v>
      </c>
      <c r="F37" s="96">
        <v>0.0</v>
      </c>
      <c r="G37" s="96">
        <v>0.0</v>
      </c>
      <c r="H37" s="96">
        <v>0.0</v>
      </c>
      <c r="I37" s="96">
        <v>0.0</v>
      </c>
      <c r="J37" s="96">
        <v>0.0</v>
      </c>
      <c r="K37" s="96">
        <v>0.0</v>
      </c>
      <c r="L37" s="96">
        <v>0.0</v>
      </c>
      <c r="M37" s="96">
        <v>0.0</v>
      </c>
      <c r="N37" s="96">
        <v>0.0</v>
      </c>
      <c r="O37" s="96">
        <v>0.0</v>
      </c>
      <c r="P37" s="96">
        <v>0.0</v>
      </c>
      <c r="Q37" s="96">
        <v>0.0</v>
      </c>
      <c r="R37" s="96">
        <v>0.0</v>
      </c>
      <c r="S37" s="96">
        <v>0.0</v>
      </c>
      <c r="T37" s="96">
        <v>0.0</v>
      </c>
      <c r="U37" s="96">
        <v>0.0</v>
      </c>
      <c r="V37" s="96">
        <v>0.0</v>
      </c>
      <c r="W37" s="96">
        <v>0.0</v>
      </c>
      <c r="X37" s="96">
        <v>0.0</v>
      </c>
      <c r="Y37" s="96">
        <v>0.0</v>
      </c>
      <c r="Z37" s="96">
        <v>0.0</v>
      </c>
      <c r="AA37" s="96">
        <v>120.0</v>
      </c>
      <c r="AB37" s="96">
        <v>0.0</v>
      </c>
      <c r="AC37" s="96">
        <v>0.0</v>
      </c>
      <c r="AD37" s="96">
        <v>0.0</v>
      </c>
      <c r="AE37" s="96">
        <v>0.0</v>
      </c>
      <c r="AF37" s="96">
        <v>0.0</v>
      </c>
      <c r="AG37" s="96">
        <v>0.0</v>
      </c>
      <c r="AH37" s="96">
        <v>59.0</v>
      </c>
      <c r="AI37" s="96">
        <v>0.0</v>
      </c>
      <c r="AJ37" s="96">
        <v>0.0</v>
      </c>
      <c r="AK37" s="96">
        <v>60.0</v>
      </c>
      <c r="AL37" s="96">
        <v>-1.0</v>
      </c>
      <c r="AM37" s="96">
        <v>60.0</v>
      </c>
      <c r="AN37" s="96">
        <v>0.0</v>
      </c>
      <c r="AO37" s="51">
        <f t="shared" ref="AO37:AO41" si="133">SUM(AC37:AN37)</f>
        <v>178.0</v>
      </c>
      <c r="AP37" s="51">
        <f t="shared" ref="AP37:AP41" si="134">SUM(AI37:AN37)</f>
        <v>119.0</v>
      </c>
      <c r="AQ37" s="98">
        <f t="shared" ref="AQ37:AQ41" si="135">AP37*1.1</f>
        <v>130.9</v>
      </c>
      <c r="AR37" s="151">
        <v>132.0</v>
      </c>
      <c r="AS37" s="151">
        <v>264.0</v>
      </c>
      <c r="AT37" s="151">
        <v>264.0</v>
      </c>
      <c r="AU37" s="151">
        <v>360.0</v>
      </c>
      <c r="AV37" s="151">
        <v>360.0</v>
      </c>
      <c r="AW37" s="151">
        <v>360.0</v>
      </c>
      <c r="AX37" s="51">
        <f>SUM(AR37:AW37)+AX18</f>
        <v>4681.18911174785</v>
      </c>
      <c r="AY37" s="51" t="e">
        <f t="shared" ref="AY37:AY41" si="137">VLOOKUP(D37,JULY31SOH,3,false)</f>
        <v>#REF!</v>
      </c>
      <c r="BA37" s="49" t="e">
        <f t="shared" ref="BA37:BA38" si="138">VLOOKUP(C37,CHINASEPT,3,false)</f>
        <v>#REF!</v>
      </c>
      <c r="BC37" s="98" t="e">
        <f t="shared" ref="BC37:BC41" si="139">AY37+AZ37+BA37+BB37-AX37</f>
        <v>#REF!</v>
      </c>
      <c r="BD37" s="49">
        <f>VLOOKUP(C37,MOQ,3,false)</f>
        <v>3000.0</v>
      </c>
      <c r="BF37" s="49" t="e">
        <f t="shared" ref="BF37:BF41" si="141">AY37</f>
        <v>#REF!</v>
      </c>
      <c r="BG37" s="49">
        <f>AR37+BG18</f>
        <v>589.034383954154</v>
      </c>
      <c r="BH37" s="49">
        <f t="shared" ref="BH37:BH41" si="143">AZ37</f>
      </c>
      <c r="BI37" s="100" t="e">
        <f t="shared" ref="BI37:BI41" si="144">BF37+BH37-BG37</f>
        <v>#REF!</v>
      </c>
      <c r="BJ37" s="49">
        <f>AR37+BJ18</f>
        <v>411.283667621777</v>
      </c>
      <c r="BK37" s="49" t="e">
        <f t="shared" ref="BK37:BK41" si="146">BA37</f>
        <v>#REF!</v>
      </c>
      <c r="BL37" s="100" t="e">
        <f t="shared" ref="BL37:BL41" si="147">BI37+BK37-BJ37</f>
        <v>#REF!</v>
      </c>
      <c r="BM37" s="49">
        <f>AS37+BM18</f>
        <v>822.567335243553</v>
      </c>
      <c r="BN37" s="49">
        <f t="shared" ref="BN37:BN41" si="149">BB37</f>
      </c>
      <c r="BO37" s="100" t="e">
        <f t="shared" ref="BO37:BO41" si="150">BL37+BN37-BM37</f>
        <v>#REF!</v>
      </c>
      <c r="BP37" s="49">
        <f>AT37+BP18</f>
        <v>886.263610315186</v>
      </c>
      <c r="BR37" s="100" t="e">
        <f t="shared" ref="BR37:BR41" si="152">BO37+BQ37-BP37</f>
        <v>#REF!</v>
      </c>
      <c r="BS37" s="49">
        <f>AU37+BS18</f>
        <v>923.467048710601</v>
      </c>
      <c r="BU37" s="100" t="e">
        <f t="shared" ref="BU37:BU41" si="154">BR37+BT37-BS37</f>
        <v>#REF!</v>
      </c>
      <c r="BV37" s="49">
        <f>AV37+BV18</f>
        <v>820.573065902579</v>
      </c>
      <c r="BX37" s="100" t="e">
        <f t="shared" ref="BX37:BX41" si="156">BU37+BW37-BV37</f>
        <v>#REF!</v>
      </c>
      <c r="BY37" s="49" t="e">
        <f t="shared" ref="BY37:BY38" si="157">BX37-BC37</f>
        <v>#REF!</v>
      </c>
    </row>
    <row r="38" ht="14.0">
      <c r="A38" s="96" t="s">
        <v>28</v>
      </c>
      <c r="B38" s="96" t="s">
        <v>29</v>
      </c>
      <c r="C38" s="96" t="s">
        <v>60</v>
      </c>
      <c r="D38" s="97" t="s">
        <v>61</v>
      </c>
      <c r="E38" s="96">
        <v>0.0</v>
      </c>
      <c r="F38" s="96">
        <v>0.0</v>
      </c>
      <c r="G38" s="96">
        <v>0.0</v>
      </c>
      <c r="H38" s="96">
        <v>0.0</v>
      </c>
      <c r="I38" s="96">
        <v>0.0</v>
      </c>
      <c r="J38" s="96">
        <v>0.0</v>
      </c>
      <c r="K38" s="96">
        <v>0.0</v>
      </c>
      <c r="L38" s="96">
        <v>0.0</v>
      </c>
      <c r="M38" s="96">
        <v>0.0</v>
      </c>
      <c r="N38" s="96">
        <v>0.0</v>
      </c>
      <c r="O38" s="96">
        <v>0.0</v>
      </c>
      <c r="P38" s="96">
        <v>0.0</v>
      </c>
      <c r="Q38" s="96">
        <v>0.0</v>
      </c>
      <c r="R38" s="96">
        <v>0.0</v>
      </c>
      <c r="S38" s="96">
        <v>0.0</v>
      </c>
      <c r="T38" s="96">
        <v>0.0</v>
      </c>
      <c r="U38" s="96">
        <v>0.0</v>
      </c>
      <c r="V38" s="96">
        <v>0.0</v>
      </c>
      <c r="W38" s="96">
        <v>0.0</v>
      </c>
      <c r="X38" s="96">
        <v>0.0</v>
      </c>
      <c r="Y38" s="96">
        <v>0.0</v>
      </c>
      <c r="Z38" s="96">
        <v>0.0</v>
      </c>
      <c r="AA38" s="96">
        <v>120.0</v>
      </c>
      <c r="AB38" s="96">
        <v>0.0</v>
      </c>
      <c r="AC38" s="96">
        <v>60.0</v>
      </c>
      <c r="AD38" s="96">
        <v>0.0</v>
      </c>
      <c r="AE38" s="96">
        <v>60.0</v>
      </c>
      <c r="AF38" s="96">
        <v>59.0</v>
      </c>
      <c r="AG38" s="96">
        <v>0.0</v>
      </c>
      <c r="AH38" s="96">
        <v>-2.0</v>
      </c>
      <c r="AI38" s="96">
        <v>11.0</v>
      </c>
      <c r="AJ38" s="96">
        <v>0.0</v>
      </c>
      <c r="AK38" s="96">
        <v>0.0</v>
      </c>
      <c r="AL38" s="96">
        <v>0.0</v>
      </c>
      <c r="AM38" s="96">
        <v>120.0</v>
      </c>
      <c r="AN38" s="96">
        <v>0.0</v>
      </c>
      <c r="AO38" s="51">
        <f t="shared" si="133"/>
        <v>308.0</v>
      </c>
      <c r="AP38" s="51">
        <f t="shared" si="134"/>
        <v>131.0</v>
      </c>
      <c r="AQ38" s="98">
        <f t="shared" si="135"/>
        <v>144.1</v>
      </c>
      <c r="AR38" s="151">
        <v>110.0</v>
      </c>
      <c r="AS38" s="151">
        <v>220.0</v>
      </c>
      <c r="AT38" s="151">
        <v>220.0</v>
      </c>
      <c r="AU38" s="151">
        <v>300.0</v>
      </c>
      <c r="AV38" s="151">
        <v>300.0</v>
      </c>
      <c r="AW38" s="151">
        <v>300.0</v>
      </c>
      <c r="AX38" s="51">
        <f>SUM(AR38:AW38)+AX16</f>
        <v>6419.88538681947</v>
      </c>
      <c r="AY38" s="51" t="e">
        <f t="shared" si="137"/>
        <v>#REF!</v>
      </c>
      <c r="BA38" s="49" t="e">
        <f t="shared" si="138"/>
        <v>#REF!</v>
      </c>
      <c r="BC38" s="98" t="e">
        <f t="shared" si="139"/>
        <v>#REF!</v>
      </c>
      <c r="BD38" s="49">
        <f>VLOOKUP(C38,MOQ,3,false)</f>
        <v>3000.0</v>
      </c>
      <c r="BF38" s="49" t="e">
        <f t="shared" si="141"/>
        <v>#REF!</v>
      </c>
      <c r="BG38" s="49">
        <f>AR38+BG16</f>
        <v>735.52005730659</v>
      </c>
      <c r="BH38" s="49">
        <f t="shared" si="143"/>
      </c>
      <c r="BI38" s="100" t="e">
        <f t="shared" si="144"/>
        <v>#REF!</v>
      </c>
      <c r="BJ38" s="49">
        <f>AR38+BJ16</f>
        <v>598.419770773631</v>
      </c>
      <c r="BK38" s="49" t="e">
        <f t="shared" si="146"/>
        <v>#REF!</v>
      </c>
      <c r="BL38" s="100" t="e">
        <f t="shared" si="147"/>
        <v>#REF!</v>
      </c>
      <c r="BM38" s="49">
        <f>AS38+BM16</f>
        <v>1196.83954154728</v>
      </c>
      <c r="BN38" s="49">
        <f t="shared" si="149"/>
      </c>
      <c r="BO38" s="100" t="e">
        <f t="shared" si="150"/>
        <v>#REF!</v>
      </c>
      <c r="BP38" s="49">
        <f>AT38+BP16</f>
        <v>1308.2335243553</v>
      </c>
      <c r="BR38" s="100" t="e">
        <f t="shared" si="152"/>
        <v>#REF!</v>
      </c>
      <c r="BS38" s="49">
        <f>AU38+BS16</f>
        <v>1285.40830945558</v>
      </c>
      <c r="BU38" s="100" t="e">
        <f t="shared" si="154"/>
        <v>#REF!</v>
      </c>
      <c r="BV38" s="49">
        <f>AV38+BV16</f>
        <v>1105.46418338109</v>
      </c>
      <c r="BX38" s="100" t="e">
        <f t="shared" si="156"/>
        <v>#REF!</v>
      </c>
      <c r="BY38" s="49" t="e">
        <f t="shared" si="157"/>
        <v>#REF!</v>
      </c>
    </row>
    <row r="39" ht="14.0">
      <c r="A39" s="105" t="s">
        <v>45</v>
      </c>
      <c r="B39" s="96" t="s">
        <v>29</v>
      </c>
      <c r="C39" s="96" t="s">
        <v>69</v>
      </c>
      <c r="D39" s="106" t="s">
        <v>70</v>
      </c>
      <c r="E39" s="96">
        <v>240.0</v>
      </c>
      <c r="F39" s="96">
        <v>240.0</v>
      </c>
      <c r="G39" s="96">
        <v>96.0</v>
      </c>
      <c r="H39" s="96">
        <v>192.0</v>
      </c>
      <c r="I39" s="96">
        <v>768.0</v>
      </c>
      <c r="J39" s="96">
        <v>143.0</v>
      </c>
      <c r="K39" s="96">
        <v>144.0</v>
      </c>
      <c r="L39" s="96">
        <v>144.0</v>
      </c>
      <c r="M39" s="96">
        <v>286.0</v>
      </c>
      <c r="N39" s="96">
        <v>288.0</v>
      </c>
      <c r="O39" s="96">
        <v>144.0</v>
      </c>
      <c r="P39" s="96">
        <v>192.0</v>
      </c>
      <c r="Q39" s="96">
        <v>240.0</v>
      </c>
      <c r="R39" s="96">
        <v>240.0</v>
      </c>
      <c r="S39" s="96">
        <v>192.0</v>
      </c>
      <c r="T39" s="96">
        <v>144.0</v>
      </c>
      <c r="U39" s="96">
        <v>278.0</v>
      </c>
      <c r="V39" s="96">
        <v>528.0</v>
      </c>
      <c r="W39" s="96">
        <v>0.0</v>
      </c>
      <c r="X39" s="96">
        <v>336.0</v>
      </c>
      <c r="Y39" s="96">
        <v>96.0</v>
      </c>
      <c r="Z39" s="96">
        <v>192.0</v>
      </c>
      <c r="AA39" s="96">
        <v>192.0</v>
      </c>
      <c r="AB39" s="96">
        <v>240.0</v>
      </c>
      <c r="AC39" s="96">
        <v>87.0</v>
      </c>
      <c r="AD39" s="96">
        <v>192.0</v>
      </c>
      <c r="AE39" s="96">
        <v>96.0</v>
      </c>
      <c r="AF39" s="96">
        <v>191.0</v>
      </c>
      <c r="AG39" s="96">
        <v>144.0</v>
      </c>
      <c r="AH39" s="96">
        <v>575.0</v>
      </c>
      <c r="AI39" s="96">
        <v>48.0</v>
      </c>
      <c r="AJ39" s="96">
        <v>96.0</v>
      </c>
      <c r="AK39" s="96">
        <v>144.0</v>
      </c>
      <c r="AL39" s="96">
        <v>240.0</v>
      </c>
      <c r="AM39" s="96">
        <v>143.0</v>
      </c>
      <c r="AN39" s="96">
        <v>144.0</v>
      </c>
      <c r="AO39" s="51">
        <f t="shared" si="133"/>
        <v>2100.0</v>
      </c>
      <c r="AP39" s="51">
        <f t="shared" si="134"/>
        <v>815.0</v>
      </c>
      <c r="AQ39" s="98">
        <f t="shared" si="135"/>
        <v>896.5</v>
      </c>
      <c r="AR39" s="49">
        <f t="shared" ref="AR39:AR41" si="165">AQ39*$AR$34/$AQ$34</f>
        <v>115.0</v>
      </c>
      <c r="AS39" s="49">
        <f t="shared" ref="AS39:AS41" si="166">AQ39*$AS$34/$AQ$34</f>
        <v>108.333333333333</v>
      </c>
      <c r="AT39" s="49">
        <f t="shared" ref="AT39:AT41" si="167">AQ39*$AT$34/$AQ$34</f>
        <v>110.0</v>
      </c>
      <c r="AU39" s="49">
        <f t="shared" ref="AU39:AU41" si="168">AQ39*$AU$34/$AQ$34</f>
        <v>86.6666666666667</v>
      </c>
      <c r="AV39" s="49">
        <f t="shared" ref="AV39:AV41" si="169">AQ39*$AV$34/$AQ$34</f>
        <v>176.666666666667</v>
      </c>
      <c r="AW39" s="49">
        <f t="shared" ref="AW39:AW41" si="170">AQ39*$AW$34/$AQ$34</f>
        <v>255.0</v>
      </c>
      <c r="AX39" s="51">
        <f t="shared" ref="AX39:AX41" si="171">SUM(AR39:AW39)</f>
        <v>851.666666666667</v>
      </c>
      <c r="AY39" s="51" t="e">
        <f t="shared" si="137"/>
        <v>#REF!</v>
      </c>
      <c r="BC39" s="98" t="e">
        <f t="shared" si="139"/>
        <v>#REF!</v>
      </c>
      <c r="BD39" s="49">
        <f>VLOOKUP(C39,MOQ,3,false)</f>
        <v>1620.0</v>
      </c>
      <c r="BE39" s="104"/>
      <c r="BF39" s="49" t="e">
        <f t="shared" si="141"/>
        <v>#REF!</v>
      </c>
      <c r="BG39" s="49">
        <f t="shared" ref="BG39:BG41" si="172">AR39</f>
        <v>115.0</v>
      </c>
      <c r="BH39" s="49">
        <f t="shared" si="143"/>
      </c>
      <c r="BI39" s="100" t="e">
        <f t="shared" si="144"/>
        <v>#REF!</v>
      </c>
      <c r="BJ39" s="49">
        <f t="shared" ref="BJ39:BJ41" si="173">AS39</f>
        <v>108.333333333333</v>
      </c>
      <c r="BK39" s="49">
        <f t="shared" si="146"/>
      </c>
      <c r="BL39" s="100" t="e">
        <f t="shared" si="147"/>
        <v>#REF!</v>
      </c>
      <c r="BM39" s="49">
        <f t="shared" ref="BM39:BM41" si="174">AT39</f>
        <v>110.0</v>
      </c>
      <c r="BN39" s="49">
        <f t="shared" si="149"/>
      </c>
      <c r="BO39" s="100" t="e">
        <f t="shared" si="150"/>
        <v>#REF!</v>
      </c>
      <c r="BP39" s="49">
        <f t="shared" ref="BP39:BP41" si="175">AU39</f>
        <v>86.6666666666667</v>
      </c>
      <c r="BR39" s="100" t="e">
        <f t="shared" si="152"/>
        <v>#REF!</v>
      </c>
      <c r="BS39" s="49">
        <f t="shared" ref="BS39:BS41" si="176">AV39</f>
        <v>176.666666666667</v>
      </c>
      <c r="BU39" s="100" t="e">
        <f t="shared" si="154"/>
        <v>#REF!</v>
      </c>
      <c r="BV39" s="49">
        <f t="shared" ref="BV39:BV41" si="177">AW39</f>
        <v>255.0</v>
      </c>
      <c r="BX39" s="100" t="e">
        <f t="shared" si="156"/>
        <v>#REF!</v>
      </c>
    </row>
    <row r="40" ht="14.0">
      <c r="A40" s="105" t="s">
        <v>45</v>
      </c>
      <c r="B40" s="96" t="s">
        <v>29</v>
      </c>
      <c r="C40" s="96" t="s">
        <v>33</v>
      </c>
      <c r="D40" s="106" t="s">
        <v>34</v>
      </c>
      <c r="E40" s="96">
        <v>0.0</v>
      </c>
      <c r="F40" s="96">
        <v>0.0</v>
      </c>
      <c r="G40" s="96">
        <v>0.0</v>
      </c>
      <c r="H40" s="96">
        <v>0.0</v>
      </c>
      <c r="I40" s="96">
        <v>0.0</v>
      </c>
      <c r="J40" s="96">
        <v>0.0</v>
      </c>
      <c r="K40" s="96">
        <v>0.0</v>
      </c>
      <c r="L40" s="96">
        <v>0.0</v>
      </c>
      <c r="M40" s="96">
        <v>0.0</v>
      </c>
      <c r="N40" s="96">
        <v>0.0</v>
      </c>
      <c r="O40" s="96">
        <v>0.0</v>
      </c>
      <c r="P40" s="96">
        <v>0.0</v>
      </c>
      <c r="Q40" s="96">
        <v>0.0</v>
      </c>
      <c r="R40" s="96">
        <v>0.0</v>
      </c>
      <c r="S40" s="96">
        <v>0.0</v>
      </c>
      <c r="T40" s="96">
        <v>0.0</v>
      </c>
      <c r="U40" s="96">
        <v>0.0</v>
      </c>
      <c r="V40" s="96">
        <v>0.0</v>
      </c>
      <c r="W40" s="96">
        <v>0.0</v>
      </c>
      <c r="X40" s="96">
        <v>0.0</v>
      </c>
      <c r="Y40" s="96">
        <v>0.0</v>
      </c>
      <c r="Z40" s="96">
        <v>0.0</v>
      </c>
      <c r="AA40" s="96">
        <v>336.0</v>
      </c>
      <c r="AB40" s="96">
        <v>24.0</v>
      </c>
      <c r="AC40" s="96">
        <v>0.0</v>
      </c>
      <c r="AD40" s="96">
        <v>72.0</v>
      </c>
      <c r="AE40" s="96">
        <v>72.0</v>
      </c>
      <c r="AF40" s="96">
        <v>72.0</v>
      </c>
      <c r="AG40" s="96">
        <v>0.0</v>
      </c>
      <c r="AH40" s="96">
        <v>216.0</v>
      </c>
      <c r="AI40" s="96">
        <v>78.0</v>
      </c>
      <c r="AJ40" s="96">
        <v>0.0</v>
      </c>
      <c r="AK40" s="96">
        <v>72.0</v>
      </c>
      <c r="AL40" s="96">
        <v>144.0</v>
      </c>
      <c r="AM40" s="96">
        <v>72.0</v>
      </c>
      <c r="AN40" s="96">
        <v>72.0</v>
      </c>
      <c r="AO40" s="51">
        <f t="shared" si="133"/>
        <v>870.0</v>
      </c>
      <c r="AP40" s="51">
        <f t="shared" si="134"/>
        <v>438.0</v>
      </c>
      <c r="AQ40" s="98">
        <f t="shared" si="135"/>
        <v>481.8</v>
      </c>
      <c r="AR40" s="49">
        <f t="shared" si="165"/>
        <v>61.803680981595</v>
      </c>
      <c r="AS40" s="49">
        <f t="shared" si="166"/>
        <v>58.2208588957055</v>
      </c>
      <c r="AT40" s="49">
        <f t="shared" si="167"/>
        <v>59.1165644171779</v>
      </c>
      <c r="AU40" s="49">
        <f t="shared" si="168"/>
        <v>46.5766871165644</v>
      </c>
      <c r="AV40" s="49">
        <f t="shared" si="169"/>
        <v>94.9447852760736</v>
      </c>
      <c r="AW40" s="49">
        <f t="shared" si="170"/>
        <v>137.042944785276</v>
      </c>
      <c r="AX40" s="51">
        <f t="shared" si="171"/>
        <v>457.705521472392</v>
      </c>
      <c r="AY40" s="51" t="e">
        <f t="shared" si="137"/>
        <v>#REF!</v>
      </c>
      <c r="BC40" s="98" t="e">
        <f t="shared" si="139"/>
        <v>#REF!</v>
      </c>
      <c r="BD40" s="49">
        <f>VLOOKUP(C40,MOQ,3,false)</f>
        <v>504.0</v>
      </c>
      <c r="BE40" s="104"/>
      <c r="BF40" s="49" t="e">
        <f t="shared" si="141"/>
        <v>#REF!</v>
      </c>
      <c r="BG40" s="49">
        <f t="shared" si="172"/>
        <v>61.803680981595</v>
      </c>
      <c r="BH40" s="49">
        <f t="shared" si="143"/>
      </c>
      <c r="BI40" s="100" t="e">
        <f t="shared" si="144"/>
        <v>#REF!</v>
      </c>
      <c r="BJ40" s="49">
        <f t="shared" si="173"/>
        <v>58.2208588957055</v>
      </c>
      <c r="BK40" s="49">
        <f t="shared" si="146"/>
      </c>
      <c r="BL40" s="100" t="e">
        <f t="shared" si="147"/>
        <v>#REF!</v>
      </c>
      <c r="BM40" s="49">
        <f t="shared" si="174"/>
        <v>59.1165644171779</v>
      </c>
      <c r="BN40" s="49">
        <f t="shared" si="149"/>
      </c>
      <c r="BO40" s="100" t="e">
        <f t="shared" si="150"/>
        <v>#REF!</v>
      </c>
      <c r="BP40" s="49">
        <f t="shared" si="175"/>
        <v>46.5766871165644</v>
      </c>
      <c r="BR40" s="100" t="e">
        <f t="shared" si="152"/>
        <v>#REF!</v>
      </c>
      <c r="BS40" s="49">
        <f t="shared" si="176"/>
        <v>94.9447852760736</v>
      </c>
      <c r="BU40" s="100" t="e">
        <f t="shared" si="154"/>
        <v>#REF!</v>
      </c>
      <c r="BV40" s="49">
        <f t="shared" si="177"/>
        <v>137.042944785276</v>
      </c>
      <c r="BX40" s="100" t="e">
        <f t="shared" si="156"/>
        <v>#REF!</v>
      </c>
    </row>
    <row r="41" ht="14.0">
      <c r="A41" s="105" t="s">
        <v>45</v>
      </c>
      <c r="B41" s="96" t="s">
        <v>29</v>
      </c>
      <c r="C41" s="96" t="s">
        <v>30</v>
      </c>
      <c r="D41" s="106" t="s">
        <v>31</v>
      </c>
      <c r="E41" s="96">
        <v>239.0</v>
      </c>
      <c r="F41" s="96">
        <v>240.0</v>
      </c>
      <c r="G41" s="96">
        <v>179.0</v>
      </c>
      <c r="H41" s="96">
        <v>180.0</v>
      </c>
      <c r="I41" s="96">
        <v>600.0</v>
      </c>
      <c r="J41" s="96">
        <v>60.0</v>
      </c>
      <c r="K41" s="96">
        <v>300.0</v>
      </c>
      <c r="L41" s="96">
        <v>420.0</v>
      </c>
      <c r="M41" s="96">
        <v>359.0</v>
      </c>
      <c r="N41" s="96">
        <v>419.0</v>
      </c>
      <c r="O41" s="96">
        <v>180.0</v>
      </c>
      <c r="P41" s="96">
        <v>240.0</v>
      </c>
      <c r="Q41" s="96">
        <v>359.0</v>
      </c>
      <c r="R41" s="96">
        <v>360.0</v>
      </c>
      <c r="S41" s="96">
        <v>240.0</v>
      </c>
      <c r="T41" s="96">
        <v>120.0</v>
      </c>
      <c r="U41" s="96">
        <v>420.0</v>
      </c>
      <c r="V41" s="96">
        <v>600.0</v>
      </c>
      <c r="W41" s="96">
        <v>240.0</v>
      </c>
      <c r="X41" s="96">
        <v>240.0</v>
      </c>
      <c r="Y41" s="96">
        <v>240.0</v>
      </c>
      <c r="Z41" s="96">
        <v>240.0</v>
      </c>
      <c r="AA41" s="96">
        <v>240.0</v>
      </c>
      <c r="AB41" s="96">
        <v>179.0</v>
      </c>
      <c r="AC41" s="96">
        <v>238.0</v>
      </c>
      <c r="AD41" s="96">
        <v>180.0</v>
      </c>
      <c r="AE41" s="96">
        <v>120.0</v>
      </c>
      <c r="AF41" s="96">
        <v>180.0</v>
      </c>
      <c r="AG41" s="96">
        <v>120.0</v>
      </c>
      <c r="AH41" s="96">
        <v>720.0</v>
      </c>
      <c r="AI41" s="96">
        <v>180.0</v>
      </c>
      <c r="AJ41" s="96">
        <v>60.0</v>
      </c>
      <c r="AK41" s="96">
        <v>240.0</v>
      </c>
      <c r="AL41" s="96">
        <v>240.0</v>
      </c>
      <c r="AM41" s="96">
        <v>119.0</v>
      </c>
      <c r="AN41" s="96">
        <v>0.0</v>
      </c>
      <c r="AO41" s="51">
        <f t="shared" si="133"/>
        <v>2397.0</v>
      </c>
      <c r="AP41" s="51">
        <f t="shared" si="134"/>
        <v>839.0</v>
      </c>
      <c r="AQ41" s="98">
        <f t="shared" si="135"/>
        <v>922.9</v>
      </c>
      <c r="AR41" s="49">
        <f t="shared" si="165"/>
        <v>118.386503067484</v>
      </c>
      <c r="AS41" s="49">
        <f t="shared" si="166"/>
        <v>111.523517382413</v>
      </c>
      <c r="AT41" s="49">
        <f t="shared" si="167"/>
        <v>113.23926380368</v>
      </c>
      <c r="AU41" s="49">
        <f t="shared" si="168"/>
        <v>89.2188139059304</v>
      </c>
      <c r="AV41" s="49">
        <f t="shared" si="169"/>
        <v>181.869120654397</v>
      </c>
      <c r="AW41" s="49">
        <f t="shared" si="170"/>
        <v>262.509202453988</v>
      </c>
      <c r="AX41" s="51">
        <f t="shared" si="171"/>
        <v>876.746421267892</v>
      </c>
      <c r="AY41" s="51" t="e">
        <f t="shared" si="137"/>
        <v>#REF!</v>
      </c>
      <c r="BC41" s="98" t="e">
        <f t="shared" si="139"/>
        <v>#REF!</v>
      </c>
      <c r="BD41" s="49">
        <f>VLOOKUP(C41,MOQ,3,false)</f>
        <v>504.0</v>
      </c>
      <c r="BE41" s="104"/>
      <c r="BF41" s="49" t="e">
        <f t="shared" si="141"/>
        <v>#REF!</v>
      </c>
      <c r="BG41" s="49">
        <f t="shared" si="172"/>
        <v>118.386503067484</v>
      </c>
      <c r="BH41" s="49">
        <f t="shared" si="143"/>
      </c>
      <c r="BI41" s="100" t="e">
        <f t="shared" si="144"/>
        <v>#REF!</v>
      </c>
      <c r="BJ41" s="49">
        <f t="shared" si="173"/>
        <v>111.523517382413</v>
      </c>
      <c r="BK41" s="49">
        <f t="shared" si="146"/>
      </c>
      <c r="BL41" s="100" t="e">
        <f t="shared" si="147"/>
        <v>#REF!</v>
      </c>
      <c r="BM41" s="49">
        <f t="shared" si="174"/>
        <v>113.23926380368</v>
      </c>
      <c r="BN41" s="49">
        <f t="shared" si="149"/>
      </c>
      <c r="BO41" s="100" t="e">
        <f t="shared" si="150"/>
        <v>#REF!</v>
      </c>
      <c r="BP41" s="49">
        <f t="shared" si="175"/>
        <v>89.2188139059304</v>
      </c>
      <c r="BR41" s="100" t="e">
        <f t="shared" si="152"/>
        <v>#REF!</v>
      </c>
      <c r="BS41" s="49">
        <f t="shared" si="176"/>
        <v>181.869120654397</v>
      </c>
      <c r="BU41" s="100" t="e">
        <f t="shared" si="154"/>
        <v>#REF!</v>
      </c>
      <c r="BV41" s="49">
        <f t="shared" si="177"/>
        <v>262.509202453988</v>
      </c>
      <c r="BX41" s="100" t="e">
        <f t="shared" si="156"/>
        <v>#REF!</v>
      </c>
    </row>
  </sheetData>
  <mergeCells count="12">
    <mergeCell ref="BM5:BO5"/>
    <mergeCell ref="BM34:BO34"/>
    <mergeCell ref="BP34:BR34"/>
    <mergeCell ref="BP5:BR5"/>
    <mergeCell ref="BS5:BU5"/>
    <mergeCell ref="BS34:BU34"/>
    <mergeCell ref="BV34:BX34"/>
    <mergeCell ref="BV5:BX5"/>
    <mergeCell ref="BG5:BI5"/>
    <mergeCell ref="BG34:BI34"/>
    <mergeCell ref="BJ34:BL34"/>
    <mergeCell ref="BJ5:BL5"/>
  </mergeCells>
  <conditionalFormatting sqref="AC7:AN7 AC9:AN9 AC12:AN12 AC15:AN20 AC28:AN28 AC23:AN23">
    <cfRule dxfId="4" operator="lessThanOrEqual" type="cellIs" priority="1">
      <formula>0</formula>
    </cfRule>
  </conditionalFormatting>
  <conditionalFormatting sqref="C1:C262082">
    <cfRule dxfId="1" operator="containsText" type="containsText" priority="2" text="set up">
      <formula>NOT(ISERROR(SEARCH("set up",C1)))</formula>
    </cfRule>
  </conditionalFormatting>
  <conditionalFormatting sqref="C1:C262082">
    <cfRule dxfId="1" operator="containsText" type="containsText" priority="3" text="setup">
      <formula>NOT(ISERROR(SEARCH("setup",C1)))</formula>
    </cfRule>
  </conditionalFormatting>
  <conditionalFormatting sqref="C1:C262082">
    <cfRule dxfId="1" operator="containsText" type="containsText" priority="4" text="starter pack">
      <formula>NOT(ISERROR(SEARCH("starter pack",C1)))</formula>
    </cfRule>
  </conditionalFormatting>
  <conditionalFormatting sqref="AC13:AM14">
    <cfRule dxfId="4" operator="lessThanOrEqual" type="cellIs" priority="5">
      <formula>0</formula>
    </cfRule>
  </conditionalFormatting>
  <conditionalFormatting sqref="AC8:AM8">
    <cfRule dxfId="4" operator="lessThanOrEqual" type="cellIs" priority="6">
      <formula>0</formula>
    </cfRule>
  </conditionalFormatting>
  <conditionalFormatting sqref="AC10:AM11">
    <cfRule dxfId="4" operator="lessThanOrEqual" type="cellIs" priority="7">
      <formula>0</formula>
    </cfRule>
  </conditionalFormatting>
  <conditionalFormatting sqref="BC5:BC6">
    <cfRule dxfId="2" operator="lessThan" type="cellIs" priority="8">
      <formula>0</formula>
    </cfRule>
  </conditionalFormatting>
  <conditionalFormatting sqref="BC8:BC11 BC13:BC14 BC16:BC19 BC21:BC32">
    <cfRule dxfId="3" operator="lessThanOrEqual" type="cellIs" priority="9">
      <formula>0</formula>
    </cfRule>
  </conditionalFormatting>
  <conditionalFormatting sqref="BC35:BC35">
    <cfRule dxfId="2" operator="lessThan" type="cellIs" priority="10">
      <formula>0</formula>
    </cfRule>
  </conditionalFormatting>
  <conditionalFormatting sqref="AC37:AN41">
    <cfRule dxfId="4" operator="lessThanOrEqual" type="cellIs" priority="11">
      <formula>0</formula>
    </cfRule>
  </conditionalFormatting>
  <conditionalFormatting sqref="AY7:AY32 AY37:AY41">
    <cfRule dxfId="3" operator="lessThanOrEqual" type="cellIs" priority="12">
      <formula>0</formula>
    </cfRule>
  </conditionalFormatting>
  <conditionalFormatting sqref="BC37:BC41">
    <cfRule dxfId="3" operator="lessThanOrEqual" type="cellIs" priority="13">
      <formula>0</formula>
    </cfRule>
  </conditionalFormatting>
  <conditionalFormatting sqref="AC16:AN32">
    <cfRule dxfId="4" operator="lessThanOrEqual" type="cellIs" priority="14">
      <formula>0</formula>
    </cfRule>
  </conditionalFormatting>
  <conditionalFormatting sqref="BG7:BX32">
    <cfRule dxfId="3" operator="lessThan" type="cellIs" priority="15">
      <formula>0</formula>
    </cfRule>
  </conditionalFormatting>
  <conditionalFormatting sqref="BC36:BC36">
    <cfRule dxfId="2" operator="lessThan" type="cellIs" priority="16">
      <formula>0</formula>
    </cfRule>
  </conditionalFormatting>
  <conditionalFormatting sqref="BG37:BX41">
    <cfRule dxfId="3" operator="lessThan" type="cellIs" priority="17">
      <formula>0</formula>
    </cfRule>
  </conditionalFormatting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Z94"/>
  <sheetViews>
    <sheetView workbookViewId="0">
      <pane xSplit="4" ySplit="6" topLeftCell="E7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style="1" width="8.47" collapsed="1"/>
    <col min="30" max="30" style="1" width="7.28"/>
    <col min="31" max="31" style="1" width="6.49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40" style="1" width="8.21"/>
    <col min="41" max="42" style="2" width="7.68"/>
    <col min="43" max="43" style="2" width="9.8"/>
    <col min="44" max="44" style="2" width="8.87"/>
    <col min="45" max="45" style="1" width="7.81"/>
    <col min="46" max="46" style="1" width="8.47"/>
    <col min="47" max="47" style="1" width="7.28"/>
    <col min="48" max="48" style="1" width="6.49"/>
    <col min="49" max="50" style="1" width="8.21"/>
    <col min="51" max="52" style="2" width="9.67"/>
    <col min="53" max="55" style="1" width="13.24"/>
    <col min="56" max="56" style="3" width="10.06"/>
    <col min="57" max="57" style="1" width="6.62"/>
    <col min="58" max="58" style="15" width="12.05"/>
    <col min="59" max="59" style="4" width="11.52"/>
    <col min="60" max="78" style="1" width="8.87"/>
    <col min="79" max="1021" style="1" width="13.24"/>
    <col min="1022" max="1025" width="13.24"/>
    <col min="1026" max="2048" width="13.24"/>
  </cols>
  <sheetData>
    <row r="1">
      <c r="AO1" s="5"/>
      <c r="AP1" s="5"/>
      <c r="AQ1" s="5"/>
      <c r="AR1" s="5"/>
      <c r="BD1" s="28">
        <v>0.0</v>
      </c>
    </row>
    <row r="2">
      <c r="AO2" s="5"/>
      <c r="AP2" s="5"/>
      <c r="AQ2" s="5"/>
      <c r="AR2" s="5"/>
      <c r="BD2" s="28"/>
    </row>
    <row r="3">
      <c r="AO3" s="5"/>
      <c r="AP3" s="5"/>
      <c r="AQ3" s="5"/>
      <c r="AR3" s="5"/>
      <c r="BD3" s="28"/>
    </row>
    <row r="4">
      <c r="E4" s="152">
        <v>0.089</v>
      </c>
      <c r="F4" s="152">
        <v>0.073</v>
      </c>
      <c r="G4" s="152">
        <v>0.057</v>
      </c>
      <c r="H4" s="152">
        <v>0.114</v>
      </c>
      <c r="I4" s="152">
        <v>0.127</v>
      </c>
      <c r="J4" s="152">
        <v>0.115</v>
      </c>
      <c r="K4" s="152">
        <v>0.094</v>
      </c>
      <c r="L4" s="152">
        <v>0.052</v>
      </c>
      <c r="M4" s="152">
        <v>0.065</v>
      </c>
      <c r="N4" s="2" t="s">
        <v>0</v>
      </c>
      <c r="O4" s="152">
        <v>0.097</v>
      </c>
      <c r="P4" s="152">
        <v>0.046</v>
      </c>
      <c r="Q4" s="152">
        <v>0.089</v>
      </c>
      <c r="R4" s="152">
        <v>0.073</v>
      </c>
      <c r="S4" s="152">
        <v>0.057</v>
      </c>
      <c r="T4" s="152">
        <v>0.114</v>
      </c>
      <c r="U4" s="152">
        <v>0.127</v>
      </c>
      <c r="V4" s="152">
        <v>0.115</v>
      </c>
      <c r="W4" s="152">
        <v>0.094</v>
      </c>
      <c r="X4" s="152">
        <v>0.052</v>
      </c>
      <c r="Y4" s="152">
        <v>0.065</v>
      </c>
      <c r="Z4" s="2" t="s">
        <v>0</v>
      </c>
      <c r="AA4" s="152">
        <v>0.097</v>
      </c>
      <c r="AB4" s="152">
        <v>0.046</v>
      </c>
      <c r="AC4" s="152">
        <v>0.089</v>
      </c>
      <c r="AD4" s="152">
        <v>0.073</v>
      </c>
      <c r="AE4" s="152">
        <v>0.057</v>
      </c>
      <c r="AF4" s="152">
        <v>0.114</v>
      </c>
      <c r="AG4" s="152">
        <v>0.127</v>
      </c>
      <c r="AH4" s="152">
        <v>0.115</v>
      </c>
      <c r="AI4" s="152">
        <v>0.094</v>
      </c>
      <c r="AJ4" s="152">
        <v>0.052</v>
      </c>
      <c r="AK4" s="152">
        <v>0.065</v>
      </c>
      <c r="AL4" s="15" t="s">
        <v>0</v>
      </c>
      <c r="AM4" s="152">
        <v>0.097</v>
      </c>
      <c r="AN4" s="152">
        <v>0.046</v>
      </c>
      <c r="AO4" s="5"/>
      <c r="AP4" s="5">
        <f>SUM(AC4:AN4)</f>
        <v>0.929</v>
      </c>
      <c r="AQ4" s="8">
        <f>SUM(AI4:AN4)</f>
        <v>0.354</v>
      </c>
      <c r="AR4" s="8">
        <f>AQ4*1.1</f>
        <v>0.3894</v>
      </c>
      <c r="AS4" s="152">
        <v>0.089</v>
      </c>
      <c r="AT4" s="152">
        <v>0.073</v>
      </c>
      <c r="AU4" s="152">
        <v>0.057</v>
      </c>
      <c r="AV4" s="152">
        <v>0.114</v>
      </c>
      <c r="AW4" s="152">
        <v>0.127</v>
      </c>
      <c r="AX4" s="152">
        <v>0.115</v>
      </c>
      <c r="BD4" s="28"/>
      <c r="AMH4" s="126"/>
      <c r="AMI4" s="126"/>
      <c r="AMJ4" s="126"/>
      <c r="AMK4" s="126"/>
    </row>
    <row r="5" customHeight="1" ht="13.0">
      <c r="A5" s="153"/>
      <c r="B5" s="153"/>
      <c r="C5" s="153"/>
      <c r="D5" s="153"/>
      <c r="E5" s="154">
        <v>45860</v>
      </c>
      <c r="F5" s="154">
        <v>45891</v>
      </c>
      <c r="G5" s="154">
        <v>45922</v>
      </c>
      <c r="H5" s="154">
        <v>45952</v>
      </c>
      <c r="I5" s="154">
        <v>45983</v>
      </c>
      <c r="J5" s="154">
        <v>46013</v>
      </c>
      <c r="K5" s="154">
        <v>45680</v>
      </c>
      <c r="L5" s="154">
        <v>45711</v>
      </c>
      <c r="M5" s="154">
        <v>45739</v>
      </c>
      <c r="N5" s="154">
        <v>45770</v>
      </c>
      <c r="O5" s="154">
        <v>45800</v>
      </c>
      <c r="P5" s="154">
        <v>45831</v>
      </c>
      <c r="Q5" s="155">
        <v>45861</v>
      </c>
      <c r="R5" s="155">
        <v>45892</v>
      </c>
      <c r="S5" s="155">
        <v>45923</v>
      </c>
      <c r="T5" s="155">
        <v>45953</v>
      </c>
      <c r="U5" s="155">
        <v>45984</v>
      </c>
      <c r="V5" s="155">
        <v>46014</v>
      </c>
      <c r="W5" s="155">
        <v>45681</v>
      </c>
      <c r="X5" s="155">
        <v>45712</v>
      </c>
      <c r="Y5" s="155">
        <v>45740</v>
      </c>
      <c r="Z5" s="155">
        <v>45771</v>
      </c>
      <c r="AA5" s="155">
        <v>45801</v>
      </c>
      <c r="AB5" s="155">
        <v>45832</v>
      </c>
      <c r="AC5" s="156">
        <v>45862</v>
      </c>
      <c r="AD5" s="156">
        <v>45893</v>
      </c>
      <c r="AE5" s="156">
        <v>45924</v>
      </c>
      <c r="AF5" s="156">
        <v>45954</v>
      </c>
      <c r="AG5" s="156">
        <v>45985</v>
      </c>
      <c r="AH5" s="156">
        <v>46015</v>
      </c>
      <c r="AI5" s="156">
        <v>45682</v>
      </c>
      <c r="AJ5" s="156">
        <v>45713</v>
      </c>
      <c r="AK5" s="156">
        <v>45741</v>
      </c>
      <c r="AL5" s="156">
        <v>45772</v>
      </c>
      <c r="AM5" s="156">
        <v>45802</v>
      </c>
      <c r="AN5" s="156">
        <v>45833</v>
      </c>
      <c r="AO5" s="157"/>
      <c r="AP5" s="157" t="s">
        <v>1</v>
      </c>
      <c r="AQ5" s="157" t="s">
        <v>232</v>
      </c>
      <c r="AR5" s="157" t="s">
        <v>232</v>
      </c>
      <c r="AS5" s="158">
        <v>45863</v>
      </c>
      <c r="AT5" s="158">
        <v>45894</v>
      </c>
      <c r="AU5" s="158">
        <v>45925</v>
      </c>
      <c r="AV5" s="158">
        <v>45955</v>
      </c>
      <c r="AW5" s="158">
        <v>45986</v>
      </c>
      <c r="AX5" s="158">
        <v>46016</v>
      </c>
      <c r="AY5" s="153" t="s">
        <v>3</v>
      </c>
      <c r="AZ5" s="153" t="s">
        <v>3</v>
      </c>
      <c r="BA5" s="153" t="s">
        <v>3</v>
      </c>
      <c r="BB5" s="153" t="s">
        <v>3</v>
      </c>
      <c r="BC5" s="153" t="s">
        <v>3</v>
      </c>
      <c r="BD5" s="159" t="s">
        <v>3</v>
      </c>
      <c r="BE5" s="153" t="s">
        <v>3</v>
      </c>
      <c r="BF5" s="160" t="s">
        <v>3</v>
      </c>
      <c r="BG5" s="161"/>
      <c r="BH5" s="153" t="s">
        <v>6</v>
      </c>
      <c r="BI5" s="153" t="s">
        <v>7</v>
      </c>
      <c r="BJ5" s="153"/>
      <c r="BK5" s="153"/>
      <c r="BL5" s="153" t="s">
        <v>8</v>
      </c>
      <c r="BM5" s="153"/>
      <c r="BN5" s="153"/>
      <c r="BO5" s="153" t="s">
        <v>9</v>
      </c>
      <c r="BP5" s="153"/>
      <c r="BQ5" s="153"/>
      <c r="BR5" s="153" t="s">
        <v>10</v>
      </c>
      <c r="BS5" s="153"/>
      <c r="BT5" s="153"/>
      <c r="BU5" s="153" t="s">
        <v>227</v>
      </c>
      <c r="BV5" s="153"/>
      <c r="BW5" s="153"/>
      <c r="BX5" s="153" t="s">
        <v>212</v>
      </c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AMD5" s="162"/>
      <c r="AME5" s="162"/>
      <c r="AMF5" s="162"/>
      <c r="AMG5" s="162"/>
      <c r="AMH5" s="163"/>
      <c r="AMI5" s="126"/>
      <c r="AMJ5" s="126"/>
      <c r="AMK5" s="126"/>
      <c r="AML5" s="126"/>
    </row>
    <row r="6" ht="29.0">
      <c r="A6" s="16" t="s">
        <v>11</v>
      </c>
      <c r="B6" s="16" t="s">
        <v>12</v>
      </c>
      <c r="C6" s="16" t="s">
        <v>13</v>
      </c>
      <c r="D6" s="17" t="s">
        <v>14</v>
      </c>
      <c r="E6" s="18" t="s">
        <v>15</v>
      </c>
      <c r="F6" s="18" t="s">
        <v>15</v>
      </c>
      <c r="G6" s="18" t="s">
        <v>15</v>
      </c>
      <c r="H6" s="18" t="s">
        <v>15</v>
      </c>
      <c r="I6" s="18" t="s">
        <v>15</v>
      </c>
      <c r="J6" s="18" t="s">
        <v>15</v>
      </c>
      <c r="K6" s="18" t="s">
        <v>15</v>
      </c>
      <c r="L6" s="18" t="s">
        <v>15</v>
      </c>
      <c r="M6" s="18" t="s">
        <v>15</v>
      </c>
      <c r="N6" s="18" t="s">
        <v>15</v>
      </c>
      <c r="O6" s="18" t="s">
        <v>15</v>
      </c>
      <c r="P6" s="18" t="s">
        <v>15</v>
      </c>
      <c r="Q6" s="18" t="s">
        <v>15</v>
      </c>
      <c r="R6" s="18" t="s">
        <v>15</v>
      </c>
      <c r="S6" s="18" t="s">
        <v>15</v>
      </c>
      <c r="T6" s="18" t="s">
        <v>15</v>
      </c>
      <c r="U6" s="18" t="s">
        <v>15</v>
      </c>
      <c r="V6" s="18" t="s">
        <v>15</v>
      </c>
      <c r="W6" s="18" t="s">
        <v>15</v>
      </c>
      <c r="X6" s="18" t="s">
        <v>15</v>
      </c>
      <c r="Y6" s="18" t="s">
        <v>15</v>
      </c>
      <c r="Z6" s="18" t="s">
        <v>15</v>
      </c>
      <c r="AA6" s="18" t="s">
        <v>15</v>
      </c>
      <c r="AB6" s="18" t="s">
        <v>15</v>
      </c>
      <c r="AC6" s="18" t="s">
        <v>15</v>
      </c>
      <c r="AD6" s="18" t="s">
        <v>15</v>
      </c>
      <c r="AE6" s="18" t="s">
        <v>15</v>
      </c>
      <c r="AF6" s="18" t="s">
        <v>15</v>
      </c>
      <c r="AG6" s="18" t="s">
        <v>15</v>
      </c>
      <c r="AH6" s="18" t="s">
        <v>15</v>
      </c>
      <c r="AI6" s="18" t="s">
        <v>15</v>
      </c>
      <c r="AJ6" s="18" t="s">
        <v>15</v>
      </c>
      <c r="AK6" s="18" t="s">
        <v>15</v>
      </c>
      <c r="AL6" s="18" t="s">
        <v>15</v>
      </c>
      <c r="AM6" s="18" t="s">
        <v>15</v>
      </c>
      <c r="AN6" s="18" t="s">
        <v>15</v>
      </c>
      <c r="AO6" s="19"/>
      <c r="AP6" s="19" t="s">
        <v>3</v>
      </c>
      <c r="AQ6" s="19" t="s">
        <v>3</v>
      </c>
      <c r="AR6" s="19" t="s">
        <v>16</v>
      </c>
      <c r="AS6" s="164" t="s">
        <v>17</v>
      </c>
      <c r="AT6" s="164" t="s">
        <v>17</v>
      </c>
      <c r="AU6" s="164" t="s">
        <v>17</v>
      </c>
      <c r="AV6" s="164" t="s">
        <v>17</v>
      </c>
      <c r="AW6" s="164" t="s">
        <v>17</v>
      </c>
      <c r="AX6" s="164" t="s">
        <v>17</v>
      </c>
      <c r="AY6" s="21" t="s">
        <v>17</v>
      </c>
      <c r="AZ6" s="18" t="s">
        <v>233</v>
      </c>
      <c r="BA6" s="22" t="s">
        <v>234</v>
      </c>
      <c r="BB6" s="22" t="s">
        <v>229</v>
      </c>
      <c r="BC6" s="22" t="s">
        <v>235</v>
      </c>
      <c r="BD6" s="165" t="s">
        <v>21</v>
      </c>
      <c r="BE6" s="18" t="s">
        <v>22</v>
      </c>
      <c r="BF6" s="24" t="s">
        <v>23</v>
      </c>
      <c r="BG6" s="25" t="s">
        <v>236</v>
      </c>
      <c r="BH6" s="18" t="s">
        <v>25</v>
      </c>
      <c r="BI6" s="18" t="s">
        <v>17</v>
      </c>
      <c r="BJ6" s="18" t="s">
        <v>26</v>
      </c>
      <c r="BK6" s="18" t="s">
        <v>27</v>
      </c>
      <c r="BL6" s="18" t="s">
        <v>17</v>
      </c>
      <c r="BM6" s="18" t="s">
        <v>26</v>
      </c>
      <c r="BN6" s="18" t="s">
        <v>27</v>
      </c>
      <c r="BO6" s="18" t="s">
        <v>17</v>
      </c>
      <c r="BP6" s="18" t="s">
        <v>26</v>
      </c>
      <c r="BQ6" s="18" t="s">
        <v>27</v>
      </c>
      <c r="BR6" s="18" t="s">
        <v>17</v>
      </c>
      <c r="BS6" s="18" t="s">
        <v>26</v>
      </c>
      <c r="BT6" s="18" t="s">
        <v>27</v>
      </c>
      <c r="BU6" s="18" t="s">
        <v>17</v>
      </c>
      <c r="BV6" s="18" t="s">
        <v>26</v>
      </c>
      <c r="BW6" s="18" t="s">
        <v>27</v>
      </c>
      <c r="BX6" s="18" t="s">
        <v>17</v>
      </c>
      <c r="BY6" s="18" t="s">
        <v>26</v>
      </c>
      <c r="BZ6" s="18" t="s">
        <v>27</v>
      </c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AMD6" s="126"/>
      <c r="AME6" s="126"/>
      <c r="AMF6" s="126"/>
      <c r="AMG6" s="126"/>
      <c r="AMH6" s="126"/>
      <c r="AMI6" s="126"/>
      <c r="AMJ6" s="126"/>
      <c r="AMK6" s="126"/>
    </row>
    <row hidden="1" r="7" ht="14.0" outlineLevel="1">
      <c r="A7" s="166" t="s">
        <v>45</v>
      </c>
      <c r="B7" s="27" t="s">
        <v>29</v>
      </c>
      <c r="C7" s="27" t="s">
        <v>30</v>
      </c>
      <c r="D7" s="27" t="s">
        <v>31</v>
      </c>
      <c r="E7" s="27">
        <v>495.0</v>
      </c>
      <c r="F7" s="27">
        <v>826.0</v>
      </c>
      <c r="G7" s="27">
        <v>491.0</v>
      </c>
      <c r="H7" s="27">
        <v>372.0</v>
      </c>
      <c r="I7" s="27">
        <v>638.0</v>
      </c>
      <c r="J7" s="27">
        <v>765.0</v>
      </c>
      <c r="K7" s="27">
        <v>626.0</v>
      </c>
      <c r="L7" s="27">
        <v>646.0</v>
      </c>
      <c r="M7" s="27">
        <v>490.0</v>
      </c>
      <c r="N7" s="27">
        <v>880.0</v>
      </c>
      <c r="O7" s="27">
        <v>456.0</v>
      </c>
      <c r="P7" s="27">
        <v>439.0</v>
      </c>
      <c r="Q7" s="27">
        <v>396.0</v>
      </c>
      <c r="R7" s="27">
        <v>330.0</v>
      </c>
      <c r="S7" s="27">
        <v>377.0</v>
      </c>
      <c r="T7" s="27">
        <v>535.0</v>
      </c>
      <c r="U7" s="27">
        <v>489.0</v>
      </c>
      <c r="V7" s="27">
        <v>512.0</v>
      </c>
      <c r="W7" s="27">
        <v>468.0</v>
      </c>
      <c r="X7" s="27">
        <v>520.0</v>
      </c>
      <c r="Y7" s="27">
        <v>414.0</v>
      </c>
      <c r="Z7" s="27">
        <v>433.0</v>
      </c>
      <c r="AA7" s="27">
        <v>324.0</v>
      </c>
      <c r="AB7" s="27">
        <v>315.0</v>
      </c>
      <c r="AC7" s="27">
        <v>331.0</v>
      </c>
      <c r="AD7" s="27">
        <v>335.0</v>
      </c>
      <c r="AE7" s="27">
        <v>240.0</v>
      </c>
      <c r="AF7" s="27">
        <v>518.0</v>
      </c>
      <c r="AG7" s="27">
        <v>622.0</v>
      </c>
      <c r="AH7" s="27">
        <v>496.0</v>
      </c>
      <c r="AI7" s="27">
        <v>325.0</v>
      </c>
      <c r="AJ7" s="27">
        <v>355.0</v>
      </c>
      <c r="AK7" s="27">
        <v>415.0</v>
      </c>
      <c r="AL7" s="27">
        <v>240.0</v>
      </c>
      <c r="AM7" s="27">
        <v>143.0</v>
      </c>
      <c r="AN7" s="27">
        <v>307.0</v>
      </c>
      <c r="AO7" s="28"/>
      <c r="AP7" s="28">
        <f t="shared" ref="AP7:AP62" si="3">SUM(AC7:AN7)</f>
        <v>4327.0</v>
      </c>
      <c r="AQ7" s="28">
        <f t="shared" ref="AQ7:AQ62" si="4">SUM(AI7:AN7)</f>
        <v>1785.0</v>
      </c>
      <c r="AR7" s="28">
        <f t="shared" ref="AR7:AR62" si="5">AQ7*1.1</f>
        <v>1963.5</v>
      </c>
      <c r="AS7" s="1">
        <f t="shared" ref="AS7:AS13" si="6">AR7*$AS$4/$AR$4+6*$AS$14</f>
        <v>448.77118644068</v>
      </c>
      <c r="AT7" s="1">
        <f t="shared" ref="AT7:AT13" si="7">AR7*$AT$4/$AR$4+6*$AT$14</f>
        <v>374.093220338983</v>
      </c>
      <c r="AU7" s="1">
        <f t="shared" ref="AU7:AU13" si="8">AR7*$AU$4/$AR$4+6*$AU$14</f>
        <v>293.415254237288</v>
      </c>
      <c r="AV7" s="1">
        <f t="shared" ref="AV7:AV13" si="9">AR7*$AV$4/$AR$4+6*$AV$14</f>
        <v>574.830508474576</v>
      </c>
      <c r="AW7" s="1">
        <f t="shared" ref="AW7:AW13" si="10">AR7*$AW$4/$AR$4+6*$AW$14</f>
        <v>646.381355932203</v>
      </c>
      <c r="AX7" s="1">
        <f t="shared" ref="AX7:AX13" si="11">AR7*$AX$4/$AR$4+6*$AX$14</f>
        <v>585.872881355932</v>
      </c>
      <c r="AY7" s="2">
        <f t="shared" ref="AY7:AY62" si="12">SUM(AS7:AX7)</f>
        <v>2923.36440677966</v>
      </c>
      <c r="AZ7" s="2" t="e">
        <f t="shared" ref="AZ7:AZ62" si="13">VLOOKUP(D7,SOHJUNE30,3,false)</f>
        <v>#REF!</v>
      </c>
      <c r="BD7" s="28" t="e">
        <f t="shared" ref="BD7:BD13" si="14">AZ7+BB7+BC7-AY7+BA7</f>
        <v>#REF!</v>
      </c>
      <c r="BE7" s="1">
        <f>VLOOKUP(C7,MOQ,3,FALSE())</f>
        <v>504.0</v>
      </c>
      <c r="BF7" s="30" t="s">
        <v>32</v>
      </c>
      <c r="BG7" s="31" t="s">
        <v>7</v>
      </c>
      <c r="BH7" s="1" t="e">
        <f t="shared" ref="BH7:BH13" si="16">AZ7</f>
        <v>#REF!</v>
      </c>
      <c r="BI7" s="1">
        <f t="shared" ref="BI7:BI13" si="17">AS7</f>
        <v>448.77118644068</v>
      </c>
      <c r="BJ7" s="1">
        <f t="shared" ref="BJ7:BJ13" si="18">BA7</f>
      </c>
      <c r="BK7" s="3" t="e">
        <f t="shared" ref="BK7:BK13" si="19">BH7+BJ7-BI7</f>
        <v>#REF!</v>
      </c>
      <c r="BL7" s="1">
        <f t="shared" ref="BL7:BL13" si="20">AT7</f>
        <v>374.093220338983</v>
      </c>
      <c r="BM7" s="1">
        <f t="shared" ref="BM7:BM13" si="21">BB7</f>
      </c>
      <c r="BN7" s="3" t="e">
        <f t="shared" ref="BN7:BN13" si="22">BK7+BM7-BL7</f>
        <v>#REF!</v>
      </c>
      <c r="BO7" s="1">
        <f t="shared" ref="BO7:BO13" si="23">AU7</f>
        <v>293.415254237288</v>
      </c>
      <c r="BQ7" s="3" t="e">
        <f t="shared" ref="BQ7:BQ13" si="24">BN7+BP7-BO7</f>
        <v>#REF!</v>
      </c>
      <c r="BR7" s="1">
        <f t="shared" ref="BR7:BR13" si="25">AV7</f>
        <v>574.830508474576</v>
      </c>
      <c r="BT7" s="3" t="e">
        <f t="shared" ref="BT7:BT13" si="26">BQ7+BS7-BR7</f>
        <v>#REF!</v>
      </c>
      <c r="BU7" s="1">
        <f t="shared" ref="BU7:BU13" si="27">AW7</f>
        <v>646.381355932203</v>
      </c>
      <c r="BW7" s="3" t="e">
        <f t="shared" ref="BW7:BW13" si="28">BT7+BV7-BU7</f>
        <v>#REF!</v>
      </c>
      <c r="BX7" s="1">
        <f t="shared" ref="BX7:BX13" si="29">AX7</f>
        <v>585.872881355932</v>
      </c>
      <c r="BZ7" s="3" t="e">
        <f t="shared" ref="BZ7:BZ13" si="30">BW7+BY7-BX7</f>
        <v>#REF!</v>
      </c>
    </row>
    <row hidden="1" r="8" ht="14.0" outlineLevel="1">
      <c r="A8" s="166" t="s">
        <v>28</v>
      </c>
      <c r="B8" s="27" t="s">
        <v>29</v>
      </c>
      <c r="C8" s="27" t="s">
        <v>33</v>
      </c>
      <c r="D8" s="27" t="s">
        <v>34</v>
      </c>
      <c r="E8" s="27">
        <v>257.0</v>
      </c>
      <c r="F8" s="27">
        <v>282.0</v>
      </c>
      <c r="G8" s="27">
        <v>353.0</v>
      </c>
      <c r="H8" s="27">
        <v>293.0</v>
      </c>
      <c r="I8" s="27">
        <v>447.0</v>
      </c>
      <c r="J8" s="27">
        <v>473.0</v>
      </c>
      <c r="K8" s="27">
        <v>257.0</v>
      </c>
      <c r="L8" s="27">
        <v>248.0</v>
      </c>
      <c r="M8" s="27">
        <v>237.0</v>
      </c>
      <c r="N8" s="27">
        <v>295.0</v>
      </c>
      <c r="O8" s="27">
        <v>223.0</v>
      </c>
      <c r="P8" s="27">
        <v>180.0</v>
      </c>
      <c r="Q8" s="27">
        <v>247.0</v>
      </c>
      <c r="R8" s="27">
        <v>250.0</v>
      </c>
      <c r="S8" s="27">
        <v>156.0</v>
      </c>
      <c r="T8" s="27">
        <v>155.0</v>
      </c>
      <c r="U8" s="27">
        <v>286.0</v>
      </c>
      <c r="V8" s="27">
        <v>305.0</v>
      </c>
      <c r="W8" s="27">
        <v>297.0</v>
      </c>
      <c r="X8" s="27">
        <v>264.0</v>
      </c>
      <c r="Y8" s="27">
        <v>196.0</v>
      </c>
      <c r="Z8" s="27">
        <v>262.0</v>
      </c>
      <c r="AA8" s="27">
        <v>180.0</v>
      </c>
      <c r="AB8" s="27">
        <v>126.0</v>
      </c>
      <c r="AC8" s="27">
        <v>185.0</v>
      </c>
      <c r="AD8" s="27">
        <v>156.0</v>
      </c>
      <c r="AE8" s="27">
        <v>186.0</v>
      </c>
      <c r="AF8" s="27">
        <v>344.0</v>
      </c>
      <c r="AG8" s="27">
        <v>397.0</v>
      </c>
      <c r="AH8" s="27">
        <v>252.0</v>
      </c>
      <c r="AI8" s="27">
        <v>198.0</v>
      </c>
      <c r="AJ8" s="27">
        <v>212.0</v>
      </c>
      <c r="AK8" s="27">
        <v>145.0</v>
      </c>
      <c r="AL8" s="27">
        <v>130.0</v>
      </c>
      <c r="AM8" s="27">
        <v>397.0</v>
      </c>
      <c r="AN8" s="27">
        <v>377.0</v>
      </c>
      <c r="AO8" s="28"/>
      <c r="AP8" s="28">
        <f t="shared" si="3"/>
        <v>2979.0</v>
      </c>
      <c r="AQ8" s="28">
        <f t="shared" si="4"/>
        <v>1459.0</v>
      </c>
      <c r="AR8" s="28">
        <f t="shared" si="5"/>
        <v>1604.9</v>
      </c>
      <c r="AS8" s="1">
        <f t="shared" si="6"/>
        <v>366.810734463277</v>
      </c>
      <c r="AT8" s="1">
        <f t="shared" si="7"/>
        <v>306.867231638418</v>
      </c>
      <c r="AU8" s="1">
        <f t="shared" si="8"/>
        <v>240.923728813559</v>
      </c>
      <c r="AV8" s="1">
        <f t="shared" si="9"/>
        <v>469.847457627119</v>
      </c>
      <c r="AW8" s="1">
        <f t="shared" si="10"/>
        <v>529.426553672316</v>
      </c>
      <c r="AX8" s="1">
        <f t="shared" si="11"/>
        <v>479.968926553672</v>
      </c>
      <c r="AY8" s="2">
        <f t="shared" si="12"/>
        <v>2393.84463276836</v>
      </c>
      <c r="AZ8" s="2" t="e">
        <f t="shared" si="13"/>
        <v>#REF!</v>
      </c>
      <c r="BD8" s="28" t="e">
        <f t="shared" si="14"/>
        <v>#REF!</v>
      </c>
      <c r="BE8" s="1">
        <f>VLOOKUP(C8,MOQ,3,FALSE())</f>
        <v>504.0</v>
      </c>
      <c r="BF8" s="30" t="s">
        <v>32</v>
      </c>
      <c r="BG8" s="31" t="s">
        <v>10</v>
      </c>
      <c r="BH8" s="1" t="e">
        <f t="shared" si="16"/>
        <v>#REF!</v>
      </c>
      <c r="BI8" s="1">
        <f t="shared" si="17"/>
        <v>366.810734463277</v>
      </c>
      <c r="BJ8" s="1">
        <f t="shared" si="18"/>
      </c>
      <c r="BK8" s="3" t="e">
        <f t="shared" si="19"/>
        <v>#REF!</v>
      </c>
      <c r="BL8" s="1">
        <f t="shared" si="20"/>
        <v>306.867231638418</v>
      </c>
      <c r="BM8" s="1">
        <f t="shared" si="21"/>
      </c>
      <c r="BN8" s="3" t="e">
        <f t="shared" si="22"/>
        <v>#REF!</v>
      </c>
      <c r="BO8" s="1">
        <f t="shared" si="23"/>
        <v>240.923728813559</v>
      </c>
      <c r="BQ8" s="3" t="e">
        <f t="shared" si="24"/>
        <v>#REF!</v>
      </c>
      <c r="BR8" s="1">
        <f t="shared" si="25"/>
        <v>469.847457627119</v>
      </c>
      <c r="BT8" s="3" t="e">
        <f t="shared" si="26"/>
        <v>#REF!</v>
      </c>
      <c r="BU8" s="1">
        <f t="shared" si="27"/>
        <v>529.426553672316</v>
      </c>
      <c r="BW8" s="3" t="e">
        <f t="shared" si="28"/>
        <v>#REF!</v>
      </c>
      <c r="BX8" s="1">
        <f t="shared" si="29"/>
        <v>479.968926553672</v>
      </c>
      <c r="BZ8" s="3" t="e">
        <f t="shared" si="30"/>
        <v>#REF!</v>
      </c>
    </row>
    <row r="9" ht="14.0" collapsed="1">
      <c r="A9" s="27" t="s">
        <v>28</v>
      </c>
      <c r="B9" s="27" t="s">
        <v>29</v>
      </c>
      <c r="C9" s="27" t="s">
        <v>35</v>
      </c>
      <c r="D9" s="27" t="s">
        <v>36</v>
      </c>
      <c r="E9" s="27">
        <v>0.0</v>
      </c>
      <c r="F9" s="27">
        <v>0.0</v>
      </c>
      <c r="G9" s="27">
        <v>0.0</v>
      </c>
      <c r="H9" s="27">
        <v>0.0</v>
      </c>
      <c r="I9" s="27">
        <v>0.0</v>
      </c>
      <c r="J9" s="27">
        <v>0.0</v>
      </c>
      <c r="K9" s="27">
        <v>0.0</v>
      </c>
      <c r="L9" s="27">
        <v>0.0</v>
      </c>
      <c r="M9" s="27">
        <v>0.0</v>
      </c>
      <c r="N9" s="27">
        <v>0.0</v>
      </c>
      <c r="O9" s="27">
        <v>0.0</v>
      </c>
      <c r="P9" s="27">
        <v>0.0</v>
      </c>
      <c r="Q9" s="27">
        <v>0.0</v>
      </c>
      <c r="R9" s="27">
        <v>0.0</v>
      </c>
      <c r="S9" s="27">
        <v>0.0</v>
      </c>
      <c r="T9" s="27">
        <v>0.0</v>
      </c>
      <c r="U9" s="27">
        <v>0.0</v>
      </c>
      <c r="V9" s="27">
        <v>0.0</v>
      </c>
      <c r="W9" s="27">
        <v>0.0</v>
      </c>
      <c r="X9" s="27">
        <v>0.0</v>
      </c>
      <c r="Y9" s="27">
        <v>168.0</v>
      </c>
      <c r="Z9" s="27">
        <v>78.0</v>
      </c>
      <c r="AA9" s="27">
        <v>58.0</v>
      </c>
      <c r="AB9" s="27">
        <v>53.0</v>
      </c>
      <c r="AC9" s="27">
        <v>38.0</v>
      </c>
      <c r="AD9" s="27">
        <v>35.0</v>
      </c>
      <c r="AE9" s="27">
        <v>27.0</v>
      </c>
      <c r="AF9" s="27">
        <v>28.0</v>
      </c>
      <c r="AG9" s="27">
        <v>42.0</v>
      </c>
      <c r="AH9" s="27">
        <v>95.0</v>
      </c>
      <c r="AI9" s="27">
        <v>65.0</v>
      </c>
      <c r="AJ9" s="27">
        <v>31.0</v>
      </c>
      <c r="AK9" s="27">
        <v>34.0</v>
      </c>
      <c r="AL9" s="27">
        <v>47.0</v>
      </c>
      <c r="AM9" s="27">
        <v>35.0</v>
      </c>
      <c r="AN9" s="27">
        <v>40.0</v>
      </c>
      <c r="AO9" s="28"/>
      <c r="AP9" s="28">
        <f t="shared" si="3"/>
        <v>517.0</v>
      </c>
      <c r="AQ9" s="28">
        <f t="shared" si="4"/>
        <v>252.0</v>
      </c>
      <c r="AR9" s="28">
        <f t="shared" si="5"/>
        <v>277.2</v>
      </c>
      <c r="AS9" s="1">
        <f t="shared" si="6"/>
        <v>63.3559322033898</v>
      </c>
      <c r="AT9" s="1">
        <f t="shared" si="7"/>
        <v>57.9661016949152</v>
      </c>
      <c r="AU9" s="1">
        <f t="shared" si="8"/>
        <v>46.5762711864407</v>
      </c>
      <c r="AV9" s="1">
        <f t="shared" si="9"/>
        <v>81.1525423728813</v>
      </c>
      <c r="AW9" s="1">
        <f t="shared" si="10"/>
        <v>96.4067796610169</v>
      </c>
      <c r="AX9" s="1">
        <f t="shared" si="11"/>
        <v>87.864406779661</v>
      </c>
      <c r="AY9" s="2">
        <f t="shared" si="12"/>
        <v>433.322033898304</v>
      </c>
      <c r="AZ9" s="2" t="e">
        <f t="shared" si="13"/>
        <v>#REF!</v>
      </c>
      <c r="BD9" s="28" t="e">
        <f t="shared" si="14"/>
        <v>#REF!</v>
      </c>
      <c r="BE9" s="1">
        <f>VLOOKUP(C9,MOQ,3,FALSE())</f>
        <v>1000.0</v>
      </c>
      <c r="BH9" s="1" t="e">
        <f t="shared" si="16"/>
        <v>#REF!</v>
      </c>
      <c r="BI9" s="1">
        <f t="shared" si="17"/>
        <v>63.3559322033898</v>
      </c>
      <c r="BJ9" s="1">
        <f t="shared" si="18"/>
      </c>
      <c r="BK9" s="3" t="e">
        <f t="shared" si="19"/>
        <v>#REF!</v>
      </c>
      <c r="BL9" s="1">
        <f t="shared" si="20"/>
        <v>57.9661016949152</v>
      </c>
      <c r="BM9" s="1">
        <f t="shared" si="21"/>
      </c>
      <c r="BN9" s="3" t="e">
        <f t="shared" si="22"/>
        <v>#REF!</v>
      </c>
      <c r="BO9" s="1">
        <f t="shared" si="23"/>
        <v>46.5762711864407</v>
      </c>
      <c r="BQ9" s="3" t="e">
        <f t="shared" si="24"/>
        <v>#REF!</v>
      </c>
      <c r="BR9" s="1">
        <f t="shared" si="25"/>
        <v>81.1525423728813</v>
      </c>
      <c r="BT9" s="3" t="e">
        <f t="shared" si="26"/>
        <v>#REF!</v>
      </c>
      <c r="BU9" s="1">
        <f t="shared" si="27"/>
        <v>96.4067796610169</v>
      </c>
      <c r="BW9" s="3" t="e">
        <f t="shared" si="28"/>
        <v>#REF!</v>
      </c>
      <c r="BX9" s="1">
        <f t="shared" si="29"/>
        <v>87.864406779661</v>
      </c>
      <c r="BZ9" s="3" t="e">
        <f t="shared" si="30"/>
        <v>#REF!</v>
      </c>
    </row>
    <row r="10" ht="14.0">
      <c r="A10" s="27" t="s">
        <v>28</v>
      </c>
      <c r="B10" s="27" t="s">
        <v>29</v>
      </c>
      <c r="C10" s="27" t="s">
        <v>37</v>
      </c>
      <c r="D10" s="27" t="s">
        <v>38</v>
      </c>
      <c r="E10" s="27">
        <v>0.0</v>
      </c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288.0</v>
      </c>
      <c r="Z10" s="27">
        <v>150.0</v>
      </c>
      <c r="AA10" s="27">
        <v>104.0</v>
      </c>
      <c r="AB10" s="27">
        <v>130.0</v>
      </c>
      <c r="AC10" s="27">
        <v>90.0</v>
      </c>
      <c r="AD10" s="27">
        <v>23.0</v>
      </c>
      <c r="AE10" s="27">
        <v>51.0</v>
      </c>
      <c r="AF10" s="27">
        <v>91.0</v>
      </c>
      <c r="AG10" s="27">
        <v>130.0</v>
      </c>
      <c r="AH10" s="27">
        <v>74.0</v>
      </c>
      <c r="AI10" s="27">
        <v>53.0</v>
      </c>
      <c r="AJ10" s="27">
        <v>36.0</v>
      </c>
      <c r="AK10" s="27">
        <v>53.0</v>
      </c>
      <c r="AL10" s="27">
        <v>69.0</v>
      </c>
      <c r="AM10" s="27">
        <v>44.0</v>
      </c>
      <c r="AN10" s="27">
        <v>34.0</v>
      </c>
      <c r="AO10" s="28"/>
      <c r="AP10" s="28">
        <f t="shared" si="3"/>
        <v>748.0</v>
      </c>
      <c r="AQ10" s="28">
        <f t="shared" si="4"/>
        <v>289.0</v>
      </c>
      <c r="AR10" s="28">
        <f t="shared" si="5"/>
        <v>317.9</v>
      </c>
      <c r="AS10" s="1">
        <f t="shared" si="6"/>
        <v>72.6581920903954</v>
      </c>
      <c r="AT10" s="1">
        <f t="shared" si="7"/>
        <v>65.5960451977401</v>
      </c>
      <c r="AU10" s="1">
        <f t="shared" si="8"/>
        <v>52.5338983050847</v>
      </c>
      <c r="AV10" s="1">
        <f t="shared" si="9"/>
        <v>93.0677966101694</v>
      </c>
      <c r="AW10" s="1">
        <f t="shared" si="10"/>
        <v>109.680790960451</v>
      </c>
      <c r="AX10" s="1">
        <f t="shared" si="11"/>
        <v>99.8841807909604</v>
      </c>
      <c r="AY10" s="2">
        <f t="shared" si="12"/>
        <v>493.420903954801</v>
      </c>
      <c r="AZ10" s="2" t="e">
        <f t="shared" si="13"/>
        <v>#REF!</v>
      </c>
      <c r="BD10" s="28" t="e">
        <f t="shared" si="14"/>
        <v>#REF!</v>
      </c>
      <c r="BE10" s="1">
        <f>VLOOKUP(C10,MOQ,3,FALSE())</f>
        <v>1000.0</v>
      </c>
      <c r="BH10" s="1" t="e">
        <f t="shared" si="16"/>
        <v>#REF!</v>
      </c>
      <c r="BI10" s="1">
        <f t="shared" si="17"/>
        <v>72.6581920903954</v>
      </c>
      <c r="BJ10" s="1">
        <f t="shared" si="18"/>
      </c>
      <c r="BK10" s="3" t="e">
        <f t="shared" si="19"/>
        <v>#REF!</v>
      </c>
      <c r="BL10" s="1">
        <f t="shared" si="20"/>
        <v>65.5960451977401</v>
      </c>
      <c r="BM10" s="1">
        <f t="shared" si="21"/>
      </c>
      <c r="BN10" s="3" t="e">
        <f t="shared" si="22"/>
        <v>#REF!</v>
      </c>
      <c r="BO10" s="1">
        <f t="shared" si="23"/>
        <v>52.5338983050847</v>
      </c>
      <c r="BQ10" s="3" t="e">
        <f t="shared" si="24"/>
        <v>#REF!</v>
      </c>
      <c r="BR10" s="1">
        <f t="shared" si="25"/>
        <v>93.0677966101694</v>
      </c>
      <c r="BT10" s="3" t="e">
        <f t="shared" si="26"/>
        <v>#REF!</v>
      </c>
      <c r="BU10" s="1">
        <f t="shared" si="27"/>
        <v>109.680790960451</v>
      </c>
      <c r="BW10" s="3" t="e">
        <f t="shared" si="28"/>
        <v>#REF!</v>
      </c>
      <c r="BX10" s="1">
        <f t="shared" si="29"/>
        <v>99.8841807909604</v>
      </c>
      <c r="BZ10" s="3" t="e">
        <f t="shared" si="30"/>
        <v>#REF!</v>
      </c>
    </row>
    <row r="11" ht="14.0">
      <c r="A11" s="27" t="s">
        <v>28</v>
      </c>
      <c r="B11" s="27" t="s">
        <v>29</v>
      </c>
      <c r="C11" s="27" t="s">
        <v>39</v>
      </c>
      <c r="D11" s="27" t="s">
        <v>40</v>
      </c>
      <c r="E11" s="27">
        <v>0.0</v>
      </c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175.0</v>
      </c>
      <c r="Z11" s="27">
        <v>102.0</v>
      </c>
      <c r="AA11" s="27">
        <v>58.0</v>
      </c>
      <c r="AB11" s="27">
        <v>63.0</v>
      </c>
      <c r="AC11" s="27">
        <v>30.0</v>
      </c>
      <c r="AD11" s="27">
        <v>50.0</v>
      </c>
      <c r="AE11" s="27">
        <v>42.0</v>
      </c>
      <c r="AF11" s="27">
        <v>73.0</v>
      </c>
      <c r="AG11" s="27">
        <v>101.0</v>
      </c>
      <c r="AH11" s="27">
        <v>94.0</v>
      </c>
      <c r="AI11" s="27">
        <v>34.0</v>
      </c>
      <c r="AJ11" s="27">
        <v>48.0</v>
      </c>
      <c r="AK11" s="27">
        <v>66.0</v>
      </c>
      <c r="AL11" s="27">
        <v>42.0</v>
      </c>
      <c r="AM11" s="27">
        <v>51.0</v>
      </c>
      <c r="AN11" s="27">
        <v>48.0</v>
      </c>
      <c r="AO11" s="28"/>
      <c r="AP11" s="28">
        <f t="shared" si="3"/>
        <v>679.0</v>
      </c>
      <c r="AQ11" s="28">
        <f t="shared" si="4"/>
        <v>289.0</v>
      </c>
      <c r="AR11" s="28">
        <f t="shared" si="5"/>
        <v>317.9</v>
      </c>
      <c r="AS11" s="1">
        <f t="shared" si="6"/>
        <v>72.6581920903954</v>
      </c>
      <c r="AT11" s="1">
        <f t="shared" si="7"/>
        <v>65.5960451977401</v>
      </c>
      <c r="AU11" s="1">
        <f t="shared" si="8"/>
        <v>52.5338983050847</v>
      </c>
      <c r="AV11" s="1">
        <f t="shared" si="9"/>
        <v>93.0677966101694</v>
      </c>
      <c r="AW11" s="1">
        <f t="shared" si="10"/>
        <v>109.680790960451</v>
      </c>
      <c r="AX11" s="1">
        <f t="shared" si="11"/>
        <v>99.8841807909604</v>
      </c>
      <c r="AY11" s="2">
        <f t="shared" si="12"/>
        <v>493.420903954801</v>
      </c>
      <c r="AZ11" s="2" t="e">
        <f t="shared" si="13"/>
        <v>#REF!</v>
      </c>
      <c r="BD11" s="28" t="e">
        <f t="shared" si="14"/>
        <v>#REF!</v>
      </c>
      <c r="BE11" s="1">
        <f>VLOOKUP(C11,MOQ,3,FALSE())</f>
        <v>1000.0</v>
      </c>
      <c r="BG11" s="4" t="s">
        <v>227</v>
      </c>
      <c r="BH11" s="1" t="e">
        <f t="shared" si="16"/>
        <v>#REF!</v>
      </c>
      <c r="BI11" s="1">
        <f t="shared" si="17"/>
        <v>72.6581920903954</v>
      </c>
      <c r="BJ11" s="1">
        <f t="shared" si="18"/>
      </c>
      <c r="BK11" s="3" t="e">
        <f t="shared" si="19"/>
        <v>#REF!</v>
      </c>
      <c r="BL11" s="1">
        <f t="shared" si="20"/>
        <v>65.5960451977401</v>
      </c>
      <c r="BM11" s="1">
        <f t="shared" si="21"/>
      </c>
      <c r="BN11" s="3" t="e">
        <f t="shared" si="22"/>
        <v>#REF!</v>
      </c>
      <c r="BO11" s="1">
        <f t="shared" si="23"/>
        <v>52.5338983050847</v>
      </c>
      <c r="BQ11" s="3" t="e">
        <f t="shared" si="24"/>
        <v>#REF!</v>
      </c>
      <c r="BR11" s="1">
        <f t="shared" si="25"/>
        <v>93.0677966101694</v>
      </c>
      <c r="BT11" s="3" t="e">
        <f t="shared" si="26"/>
        <v>#REF!</v>
      </c>
      <c r="BU11" s="1">
        <f t="shared" si="27"/>
        <v>109.680790960451</v>
      </c>
      <c r="BW11" s="3" t="e">
        <f t="shared" si="28"/>
        <v>#REF!</v>
      </c>
      <c r="BX11" s="1">
        <f t="shared" si="29"/>
        <v>99.8841807909604</v>
      </c>
      <c r="BZ11" s="3" t="e">
        <f t="shared" si="30"/>
        <v>#REF!</v>
      </c>
    </row>
    <row r="12" ht="14.0">
      <c r="A12" s="27" t="s">
        <v>28</v>
      </c>
      <c r="B12" s="27" t="s">
        <v>29</v>
      </c>
      <c r="C12" s="27" t="s">
        <v>41</v>
      </c>
      <c r="D12" s="27" t="s">
        <v>42</v>
      </c>
      <c r="E12" s="27">
        <v>0.0</v>
      </c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168.0</v>
      </c>
      <c r="Z12" s="27">
        <v>69.0</v>
      </c>
      <c r="AA12" s="27">
        <v>43.0</v>
      </c>
      <c r="AB12" s="27">
        <v>30.0</v>
      </c>
      <c r="AC12" s="27">
        <v>19.0</v>
      </c>
      <c r="AD12" s="27">
        <v>19.0</v>
      </c>
      <c r="AE12" s="27">
        <v>12.0</v>
      </c>
      <c r="AF12" s="27">
        <v>27.0</v>
      </c>
      <c r="AG12" s="27">
        <v>30.0</v>
      </c>
      <c r="AH12" s="27">
        <v>33.0</v>
      </c>
      <c r="AI12" s="27">
        <v>34.0</v>
      </c>
      <c r="AJ12" s="27">
        <v>38.0</v>
      </c>
      <c r="AK12" s="27">
        <v>47.0</v>
      </c>
      <c r="AL12" s="27">
        <v>35.0</v>
      </c>
      <c r="AM12" s="27">
        <v>17.0</v>
      </c>
      <c r="AN12" s="27">
        <v>29.0</v>
      </c>
      <c r="AO12" s="28"/>
      <c r="AP12" s="28">
        <f t="shared" si="3"/>
        <v>340.0</v>
      </c>
      <c r="AQ12" s="28">
        <f t="shared" si="4"/>
        <v>200.0</v>
      </c>
      <c r="AR12" s="28">
        <f t="shared" si="5"/>
        <v>220.0</v>
      </c>
      <c r="AS12" s="1">
        <f t="shared" si="6"/>
        <v>50.2824858757062</v>
      </c>
      <c r="AT12" s="1">
        <f t="shared" si="7"/>
        <v>47.2429378531073</v>
      </c>
      <c r="AU12" s="1">
        <f t="shared" si="8"/>
        <v>38.2033898305084</v>
      </c>
      <c r="AV12" s="1">
        <f t="shared" si="9"/>
        <v>64.4067796610169</v>
      </c>
      <c r="AW12" s="1">
        <f t="shared" si="10"/>
        <v>77.7514124293785</v>
      </c>
      <c r="AX12" s="1">
        <f t="shared" si="11"/>
        <v>70.9717514124293</v>
      </c>
      <c r="AY12" s="2">
        <f t="shared" si="12"/>
        <v>348.85875706214</v>
      </c>
      <c r="AZ12" s="2" t="e">
        <f t="shared" si="13"/>
        <v>#REF!</v>
      </c>
      <c r="BD12" s="28" t="e">
        <f t="shared" si="14"/>
        <v>#REF!</v>
      </c>
      <c r="BE12" s="1">
        <f>VLOOKUP(C12,MOQ,3,FALSE())</f>
        <v>1000.0</v>
      </c>
      <c r="BH12" s="1" t="e">
        <f t="shared" si="16"/>
        <v>#REF!</v>
      </c>
      <c r="BI12" s="1">
        <f t="shared" si="17"/>
        <v>50.2824858757062</v>
      </c>
      <c r="BJ12" s="1">
        <f t="shared" si="18"/>
      </c>
      <c r="BK12" s="3" t="e">
        <f t="shared" si="19"/>
        <v>#REF!</v>
      </c>
      <c r="BL12" s="1">
        <f t="shared" si="20"/>
        <v>47.2429378531073</v>
      </c>
      <c r="BM12" s="1">
        <f t="shared" si="21"/>
      </c>
      <c r="BN12" s="3" t="e">
        <f t="shared" si="22"/>
        <v>#REF!</v>
      </c>
      <c r="BO12" s="1">
        <f t="shared" si="23"/>
        <v>38.2033898305084</v>
      </c>
      <c r="BQ12" s="3" t="e">
        <f t="shared" si="24"/>
        <v>#REF!</v>
      </c>
      <c r="BR12" s="1">
        <f t="shared" si="25"/>
        <v>64.4067796610169</v>
      </c>
      <c r="BT12" s="3" t="e">
        <f t="shared" si="26"/>
        <v>#REF!</v>
      </c>
      <c r="BU12" s="1">
        <f t="shared" si="27"/>
        <v>77.7514124293785</v>
      </c>
      <c r="BW12" s="3" t="e">
        <f t="shared" si="28"/>
        <v>#REF!</v>
      </c>
      <c r="BX12" s="1">
        <f t="shared" si="29"/>
        <v>70.9717514124293</v>
      </c>
      <c r="BZ12" s="3" t="e">
        <f t="shared" si="30"/>
        <v>#REF!</v>
      </c>
    </row>
    <row r="13" ht="14.0">
      <c r="A13" s="27" t="s">
        <v>28</v>
      </c>
      <c r="B13" s="27" t="s">
        <v>29</v>
      </c>
      <c r="C13" s="27" t="s">
        <v>43</v>
      </c>
      <c r="D13" s="27" t="s">
        <v>44</v>
      </c>
      <c r="E13" s="27">
        <v>0.0</v>
      </c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234.0</v>
      </c>
      <c r="Z13" s="27">
        <v>144.0</v>
      </c>
      <c r="AA13" s="27">
        <v>112.0</v>
      </c>
      <c r="AB13" s="27">
        <v>89.0</v>
      </c>
      <c r="AC13" s="27">
        <v>72.0</v>
      </c>
      <c r="AD13" s="27">
        <v>39.0</v>
      </c>
      <c r="AE13" s="27">
        <v>61.0</v>
      </c>
      <c r="AF13" s="27">
        <v>103.0</v>
      </c>
      <c r="AG13" s="27">
        <v>114.0</v>
      </c>
      <c r="AH13" s="27">
        <v>146.0</v>
      </c>
      <c r="AI13" s="27">
        <v>74.0</v>
      </c>
      <c r="AJ13" s="27">
        <v>45.0</v>
      </c>
      <c r="AK13" s="27">
        <v>82.0</v>
      </c>
      <c r="AL13" s="27">
        <v>59.0</v>
      </c>
      <c r="AM13" s="27">
        <v>89.0</v>
      </c>
      <c r="AN13" s="27">
        <v>53.0</v>
      </c>
      <c r="AO13" s="28"/>
      <c r="AP13" s="28">
        <f t="shared" si="3"/>
        <v>937.0</v>
      </c>
      <c r="AQ13" s="28">
        <f t="shared" si="4"/>
        <v>402.0</v>
      </c>
      <c r="AR13" s="28">
        <f t="shared" si="5"/>
        <v>442.2</v>
      </c>
      <c r="AS13" s="1">
        <f t="shared" si="6"/>
        <v>101.06779661017</v>
      </c>
      <c r="AT13" s="1">
        <f t="shared" si="7"/>
        <v>88.8983050847458</v>
      </c>
      <c r="AU13" s="1">
        <f t="shared" si="8"/>
        <v>70.728813559322</v>
      </c>
      <c r="AV13" s="1">
        <f t="shared" si="9"/>
        <v>129.457627118644</v>
      </c>
      <c r="AW13" s="1">
        <f t="shared" si="10"/>
        <v>150.22033898305</v>
      </c>
      <c r="AX13" s="1">
        <f t="shared" si="11"/>
        <v>136.593220338983</v>
      </c>
      <c r="AY13" s="2">
        <f t="shared" si="12"/>
        <v>676.966101694914</v>
      </c>
      <c r="AZ13" s="2" t="e">
        <f t="shared" si="13"/>
        <v>#REF!</v>
      </c>
      <c r="BD13" s="28" t="e">
        <f t="shared" si="14"/>
        <v>#REF!</v>
      </c>
      <c r="BE13" s="1">
        <f>VLOOKUP(C13,MOQ,3,FALSE())</f>
        <v>1000.0</v>
      </c>
      <c r="BH13" s="1" t="e">
        <f t="shared" si="16"/>
        <v>#REF!</v>
      </c>
      <c r="BI13" s="1">
        <f t="shared" si="17"/>
        <v>101.06779661017</v>
      </c>
      <c r="BJ13" s="1">
        <f t="shared" si="18"/>
      </c>
      <c r="BK13" s="3" t="e">
        <f t="shared" si="19"/>
        <v>#REF!</v>
      </c>
      <c r="BL13" s="1">
        <f t="shared" si="20"/>
        <v>88.8983050847458</v>
      </c>
      <c r="BM13" s="1">
        <f t="shared" si="21"/>
      </c>
      <c r="BN13" s="3" t="e">
        <f t="shared" si="22"/>
        <v>#REF!</v>
      </c>
      <c r="BO13" s="1">
        <f t="shared" si="23"/>
        <v>70.728813559322</v>
      </c>
      <c r="BQ13" s="3" t="e">
        <f t="shared" si="24"/>
        <v>#REF!</v>
      </c>
      <c r="BR13" s="1">
        <f t="shared" si="25"/>
        <v>129.457627118644</v>
      </c>
      <c r="BT13" s="3" t="e">
        <f t="shared" si="26"/>
        <v>#REF!</v>
      </c>
      <c r="BU13" s="1">
        <f t="shared" si="27"/>
        <v>150.22033898305</v>
      </c>
      <c r="BW13" s="3" t="e">
        <f t="shared" si="28"/>
        <v>#REF!</v>
      </c>
      <c r="BX13" s="1">
        <f t="shared" si="29"/>
        <v>136.593220338983</v>
      </c>
      <c r="BZ13" s="3" t="e">
        <f t="shared" si="30"/>
        <v>#REF!</v>
      </c>
    </row>
    <row r="14" ht="14.0">
      <c r="A14" s="27" t="s">
        <v>28</v>
      </c>
      <c r="B14" s="27" t="s">
        <v>29</v>
      </c>
      <c r="C14" s="27" t="s">
        <v>48</v>
      </c>
      <c r="D14" s="27" t="s">
        <v>49</v>
      </c>
      <c r="E14" s="27">
        <v>0.0</v>
      </c>
      <c r="F14" s="27">
        <v>1.0</v>
      </c>
      <c r="G14" s="27">
        <v>1.0</v>
      </c>
      <c r="H14" s="27">
        <v>3.0</v>
      </c>
      <c r="I14" s="27">
        <v>5.0</v>
      </c>
      <c r="J14" s="27">
        <v>0.0</v>
      </c>
      <c r="K14" s="27">
        <v>1.0</v>
      </c>
      <c r="L14" s="27">
        <v>2.0</v>
      </c>
      <c r="M14" s="27">
        <v>4.0</v>
      </c>
      <c r="N14" s="27">
        <v>1.0</v>
      </c>
      <c r="O14" s="27">
        <v>3.0</v>
      </c>
      <c r="P14" s="27">
        <v>0.0</v>
      </c>
      <c r="Q14" s="27">
        <v>1.0</v>
      </c>
      <c r="R14" s="27">
        <v>2.0</v>
      </c>
      <c r="S14" s="27">
        <v>0.0</v>
      </c>
      <c r="T14" s="27">
        <v>1.0</v>
      </c>
      <c r="U14" s="27">
        <v>1.0</v>
      </c>
      <c r="V14" s="27">
        <v>0.0</v>
      </c>
      <c r="W14" s="27">
        <v>0.0</v>
      </c>
      <c r="X14" s="27">
        <v>0.0</v>
      </c>
      <c r="Y14" s="27">
        <v>0.0</v>
      </c>
      <c r="Z14" s="27">
        <v>1.0</v>
      </c>
      <c r="AA14" s="27">
        <v>0.0</v>
      </c>
      <c r="AB14" s="27">
        <v>0.0</v>
      </c>
      <c r="AC14" s="27">
        <v>2.0</v>
      </c>
      <c r="AD14" s="27">
        <v>0.0</v>
      </c>
      <c r="AE14" s="27">
        <v>0.0</v>
      </c>
      <c r="AF14" s="27">
        <v>2.0</v>
      </c>
      <c r="AG14" s="27">
        <v>4.0</v>
      </c>
      <c r="AH14" s="27">
        <v>0.0</v>
      </c>
      <c r="AI14" s="27">
        <v>0.0</v>
      </c>
      <c r="AJ14" s="27">
        <v>-1.0</v>
      </c>
      <c r="AK14" s="27">
        <v>0.0</v>
      </c>
      <c r="AL14" s="27">
        <v>0.0</v>
      </c>
      <c r="AM14" s="27">
        <v>0.0</v>
      </c>
      <c r="AN14" s="27">
        <v>0.0</v>
      </c>
      <c r="AO14" s="28"/>
      <c r="AP14" s="28">
        <f t="shared" si="3"/>
        <v>7.0</v>
      </c>
      <c r="AQ14" s="28">
        <f t="shared" si="4"/>
        <v>-1.0</v>
      </c>
      <c r="AR14" s="32">
        <f t="shared" si="5"/>
        <v>-1.1</v>
      </c>
      <c r="AS14" s="167">
        <v>0.0</v>
      </c>
      <c r="AT14" s="167">
        <v>1.0</v>
      </c>
      <c r="AU14" s="167">
        <v>1.0</v>
      </c>
      <c r="AV14" s="167">
        <v>0.0</v>
      </c>
      <c r="AW14" s="167">
        <v>1.0</v>
      </c>
      <c r="AX14" s="167">
        <v>1.0</v>
      </c>
      <c r="AY14" s="2">
        <f t="shared" si="12"/>
        <v>4.0</v>
      </c>
      <c r="AZ14" s="2" t="e">
        <f t="shared" si="13"/>
        <v>#REF!</v>
      </c>
      <c r="BD14" s="28"/>
      <c r="BK14" s="3"/>
      <c r="BN14" s="3"/>
      <c r="BQ14" s="3"/>
      <c r="BT14" s="3"/>
      <c r="BW14" s="3"/>
      <c r="BZ14" s="3"/>
    </row>
    <row r="15" ht="14.0">
      <c r="A15" s="166" t="s">
        <v>28</v>
      </c>
      <c r="B15" s="27" t="s">
        <v>29</v>
      </c>
      <c r="C15" s="27" t="s">
        <v>50</v>
      </c>
      <c r="D15" s="27" t="s">
        <v>51</v>
      </c>
      <c r="E15" s="27">
        <v>108.0</v>
      </c>
      <c r="F15" s="27">
        <v>84.0</v>
      </c>
      <c r="G15" s="27">
        <v>155.0</v>
      </c>
      <c r="H15" s="27">
        <v>120.0</v>
      </c>
      <c r="I15" s="27">
        <v>143.0</v>
      </c>
      <c r="J15" s="27">
        <v>144.0</v>
      </c>
      <c r="K15" s="27">
        <v>155.0</v>
      </c>
      <c r="L15" s="27">
        <v>60.0</v>
      </c>
      <c r="M15" s="27">
        <v>108.0</v>
      </c>
      <c r="N15" s="27">
        <v>131.0</v>
      </c>
      <c r="O15" s="27">
        <v>91.0</v>
      </c>
      <c r="P15" s="27">
        <v>83.0</v>
      </c>
      <c r="Q15" s="27">
        <v>60.0</v>
      </c>
      <c r="R15" s="27">
        <v>76.0</v>
      </c>
      <c r="S15" s="27">
        <v>101.0</v>
      </c>
      <c r="T15" s="27">
        <v>54.0</v>
      </c>
      <c r="U15" s="27">
        <v>70.0</v>
      </c>
      <c r="V15" s="27">
        <v>156.0</v>
      </c>
      <c r="W15" s="27">
        <v>107.0</v>
      </c>
      <c r="X15" s="27">
        <v>76.0</v>
      </c>
      <c r="Y15" s="27">
        <v>138.0</v>
      </c>
      <c r="Z15" s="27">
        <v>48.0</v>
      </c>
      <c r="AA15" s="27">
        <v>35.0</v>
      </c>
      <c r="AB15" s="27">
        <v>30.0</v>
      </c>
      <c r="AC15" s="27">
        <v>97.0</v>
      </c>
      <c r="AD15" s="27">
        <v>82.0</v>
      </c>
      <c r="AE15" s="27">
        <v>60.0</v>
      </c>
      <c r="AF15" s="27">
        <v>42.0</v>
      </c>
      <c r="AG15" s="27">
        <v>60.0</v>
      </c>
      <c r="AH15" s="27">
        <v>77.0</v>
      </c>
      <c r="AI15" s="27">
        <v>67.0</v>
      </c>
      <c r="AJ15" s="27">
        <v>23.0</v>
      </c>
      <c r="AK15" s="27">
        <v>47.0</v>
      </c>
      <c r="AL15" s="27">
        <v>24.0</v>
      </c>
      <c r="AM15" s="27">
        <v>36.0</v>
      </c>
      <c r="AN15" s="27">
        <v>36.0</v>
      </c>
      <c r="AO15" s="28"/>
      <c r="AP15" s="28">
        <f t="shared" si="3"/>
        <v>651.0</v>
      </c>
      <c r="AQ15" s="28">
        <f t="shared" si="4"/>
        <v>233.0</v>
      </c>
      <c r="AR15" s="28">
        <f t="shared" si="5"/>
        <v>256.3</v>
      </c>
      <c r="AS15" s="1">
        <f t="shared" ref="AS15:AS18" si="31">AR15*$AS$4/$AR$4+6*$AS$19</f>
        <v>64.5790960451977</v>
      </c>
      <c r="AT15" s="1">
        <f t="shared" ref="AT15:AT18" si="32">AR15*$AT$4/$AR$4+6*$AT$19</f>
        <v>54.04802259887</v>
      </c>
      <c r="AU15" s="1">
        <f t="shared" ref="AU15:AU18" si="33">AR15*$AU$4/$AR$4+6*$AU$19</f>
        <v>43.5169491525423</v>
      </c>
      <c r="AV15" s="1">
        <f t="shared" ref="AV15:AV18" si="34">AR15*$AV$4/$AR$4+6*$AV$19</f>
        <v>81.0338983050847</v>
      </c>
      <c r="AW15" s="1">
        <f t="shared" ref="AW15:AW18" si="35">AR15*$AW$4/$AR$4+6*$AW$19</f>
        <v>89.590395480226</v>
      </c>
      <c r="AX15" s="1">
        <f t="shared" ref="AX15:AX18" si="36">AR15*$AX$4/$AR$4+6*$AX$19</f>
        <v>87.6920903954802</v>
      </c>
      <c r="AY15" s="2">
        <f t="shared" si="12"/>
        <v>420.4604519774</v>
      </c>
      <c r="AZ15" s="2" t="e">
        <f t="shared" si="13"/>
        <v>#REF!</v>
      </c>
      <c r="BD15" s="28" t="e">
        <f t="shared" ref="BD15:BD18" si="37">AZ15+BB15+BC15-AY15+BA15</f>
        <v>#REF!</v>
      </c>
      <c r="BE15" s="1">
        <f>VLOOKUP(C15,MOQ,3,FALSE())</f>
        <v>480.0</v>
      </c>
      <c r="BF15" s="30"/>
      <c r="BG15" s="4" t="s">
        <v>227</v>
      </c>
      <c r="BH15" s="1" t="e">
        <f t="shared" ref="BH15:BH18" si="39">AZ15</f>
        <v>#REF!</v>
      </c>
      <c r="BI15" s="1">
        <f t="shared" ref="BI15:BI18" si="40">AS15</f>
        <v>64.5790960451977</v>
      </c>
      <c r="BJ15" s="1">
        <f t="shared" ref="BJ15:BJ60" si="41">BA15</f>
      </c>
      <c r="BK15" s="3" t="e">
        <f t="shared" ref="BK15:BK18" si="42">BH15+BJ15-BI15</f>
        <v>#REF!</v>
      </c>
      <c r="BL15" s="1">
        <f t="shared" ref="BL15:BL18" si="43">AT15</f>
        <v>54.04802259887</v>
      </c>
      <c r="BM15" s="1">
        <f t="shared" ref="BM15:BM60" si="44">BB15</f>
      </c>
      <c r="BN15" s="3" t="e">
        <f t="shared" ref="BN15:BN18" si="45">BK15+BM15-BL15</f>
        <v>#REF!</v>
      </c>
      <c r="BO15" s="1">
        <f t="shared" ref="BO15:BO18" si="46">AU15</f>
        <v>43.5169491525423</v>
      </c>
      <c r="BQ15" s="3" t="e">
        <f t="shared" ref="BQ15:BQ18" si="47">BN15+BP15-BO15</f>
        <v>#REF!</v>
      </c>
      <c r="BR15" s="1">
        <f t="shared" ref="BR15:BR18" si="48">AV15</f>
        <v>81.0338983050847</v>
      </c>
      <c r="BT15" s="3" t="e">
        <f t="shared" ref="BT15:BT18" si="49">BQ15+BS15-BR15</f>
        <v>#REF!</v>
      </c>
      <c r="BU15" s="1">
        <f t="shared" ref="BU15:BU18" si="50">AW15</f>
        <v>89.590395480226</v>
      </c>
      <c r="BW15" s="3" t="e">
        <f t="shared" ref="BW15:BW18" si="51">BT15+BV15-BU15</f>
        <v>#REF!</v>
      </c>
      <c r="BX15" s="1">
        <f t="shared" ref="BX15:BX18" si="52">AX15</f>
        <v>87.6920903954802</v>
      </c>
      <c r="BZ15" s="3" t="e">
        <f t="shared" ref="BZ15:BZ18" si="53">BW15+BY15-BX15</f>
        <v>#REF!</v>
      </c>
    </row>
    <row r="16" ht="14.0">
      <c r="A16" s="166" t="s">
        <v>28</v>
      </c>
      <c r="B16" s="27" t="s">
        <v>29</v>
      </c>
      <c r="C16" s="27" t="s">
        <v>52</v>
      </c>
      <c r="D16" s="27" t="s">
        <v>53</v>
      </c>
      <c r="E16" s="27">
        <v>65.0</v>
      </c>
      <c r="F16" s="27">
        <v>66.0</v>
      </c>
      <c r="G16" s="27">
        <v>132.0</v>
      </c>
      <c r="H16" s="27">
        <v>78.0</v>
      </c>
      <c r="I16" s="27">
        <v>114.0</v>
      </c>
      <c r="J16" s="27">
        <v>114.0</v>
      </c>
      <c r="K16" s="27">
        <v>135.0</v>
      </c>
      <c r="L16" s="27">
        <v>42.0</v>
      </c>
      <c r="M16" s="27">
        <v>55.0</v>
      </c>
      <c r="N16" s="27">
        <v>95.0</v>
      </c>
      <c r="O16" s="27">
        <v>66.0</v>
      </c>
      <c r="P16" s="27">
        <v>53.0</v>
      </c>
      <c r="Q16" s="27">
        <v>72.0</v>
      </c>
      <c r="R16" s="27">
        <v>42.0</v>
      </c>
      <c r="S16" s="27">
        <v>41.0</v>
      </c>
      <c r="T16" s="27">
        <v>60.0</v>
      </c>
      <c r="U16" s="27">
        <v>65.0</v>
      </c>
      <c r="V16" s="27">
        <v>108.0</v>
      </c>
      <c r="W16" s="27">
        <v>84.0</v>
      </c>
      <c r="X16" s="27">
        <v>29.0</v>
      </c>
      <c r="Y16" s="27">
        <v>59.0</v>
      </c>
      <c r="Z16" s="27">
        <v>36.0</v>
      </c>
      <c r="AA16" s="27">
        <v>42.0</v>
      </c>
      <c r="AB16" s="27">
        <v>48.0</v>
      </c>
      <c r="AC16" s="27">
        <v>48.0</v>
      </c>
      <c r="AD16" s="27">
        <v>66.0</v>
      </c>
      <c r="AE16" s="27">
        <v>48.0</v>
      </c>
      <c r="AF16" s="27">
        <v>30.0</v>
      </c>
      <c r="AG16" s="27">
        <v>42.0</v>
      </c>
      <c r="AH16" s="27">
        <v>52.0</v>
      </c>
      <c r="AI16" s="27">
        <v>48.0</v>
      </c>
      <c r="AJ16" s="27">
        <v>18.0</v>
      </c>
      <c r="AK16" s="27">
        <v>65.0</v>
      </c>
      <c r="AL16" s="27">
        <v>24.0</v>
      </c>
      <c r="AM16" s="27">
        <v>30.0</v>
      </c>
      <c r="AN16" s="27">
        <v>18.0</v>
      </c>
      <c r="AO16" s="28"/>
      <c r="AP16" s="28">
        <f t="shared" si="3"/>
        <v>489.0</v>
      </c>
      <c r="AQ16" s="28">
        <f t="shared" si="4"/>
        <v>203.0</v>
      </c>
      <c r="AR16" s="28">
        <f t="shared" si="5"/>
        <v>223.3</v>
      </c>
      <c r="AS16" s="1">
        <f t="shared" si="31"/>
        <v>57.0367231638418</v>
      </c>
      <c r="AT16" s="1">
        <f t="shared" si="32"/>
        <v>47.861581920904</v>
      </c>
      <c r="AU16" s="1">
        <f t="shared" si="33"/>
        <v>38.6864406779661</v>
      </c>
      <c r="AV16" s="1">
        <f t="shared" si="34"/>
        <v>71.3728813559322</v>
      </c>
      <c r="AW16" s="1">
        <f t="shared" si="35"/>
        <v>78.8276836158192</v>
      </c>
      <c r="AX16" s="1">
        <f t="shared" si="36"/>
        <v>77.9463276836158</v>
      </c>
      <c r="AY16" s="2">
        <f t="shared" si="12"/>
        <v>371.731638418079</v>
      </c>
      <c r="AZ16" s="2" t="e">
        <f t="shared" si="13"/>
        <v>#REF!</v>
      </c>
      <c r="BD16" s="28" t="e">
        <f t="shared" si="37"/>
        <v>#REF!</v>
      </c>
      <c r="BE16" s="1">
        <f>VLOOKUP(C16,MOQ,3,FALSE())</f>
        <v>480.0</v>
      </c>
      <c r="BF16" s="30"/>
      <c r="BH16" s="1" t="e">
        <f t="shared" si="39"/>
        <v>#REF!</v>
      </c>
      <c r="BI16" s="1">
        <f t="shared" si="40"/>
        <v>57.0367231638418</v>
      </c>
      <c r="BJ16" s="1">
        <f t="shared" si="41"/>
      </c>
      <c r="BK16" s="3" t="e">
        <f t="shared" si="42"/>
        <v>#REF!</v>
      </c>
      <c r="BL16" s="1">
        <f t="shared" si="43"/>
        <v>47.861581920904</v>
      </c>
      <c r="BM16" s="1">
        <f t="shared" si="44"/>
      </c>
      <c r="BN16" s="3" t="e">
        <f t="shared" si="45"/>
        <v>#REF!</v>
      </c>
      <c r="BO16" s="1">
        <f t="shared" si="46"/>
        <v>38.6864406779661</v>
      </c>
      <c r="BQ16" s="3" t="e">
        <f t="shared" si="47"/>
        <v>#REF!</v>
      </c>
      <c r="BR16" s="1">
        <f t="shared" si="48"/>
        <v>71.3728813559322</v>
      </c>
      <c r="BT16" s="3" t="e">
        <f t="shared" si="49"/>
        <v>#REF!</v>
      </c>
      <c r="BU16" s="1">
        <f t="shared" si="50"/>
        <v>78.8276836158192</v>
      </c>
      <c r="BW16" s="3" t="e">
        <f t="shared" si="51"/>
        <v>#REF!</v>
      </c>
      <c r="BX16" s="1">
        <f t="shared" si="52"/>
        <v>77.9463276836158</v>
      </c>
      <c r="BZ16" s="3" t="e">
        <f t="shared" si="53"/>
        <v>#REF!</v>
      </c>
    </row>
    <row r="17" ht="14.0">
      <c r="A17" s="166" t="s">
        <v>28</v>
      </c>
      <c r="B17" s="27" t="s">
        <v>29</v>
      </c>
      <c r="C17" s="27" t="s">
        <v>54</v>
      </c>
      <c r="D17" s="27" t="s">
        <v>55</v>
      </c>
      <c r="E17" s="27">
        <v>65.0</v>
      </c>
      <c r="F17" s="27">
        <v>30.0</v>
      </c>
      <c r="G17" s="27">
        <v>65.0</v>
      </c>
      <c r="H17" s="27">
        <v>48.0</v>
      </c>
      <c r="I17" s="27">
        <v>77.0</v>
      </c>
      <c r="J17" s="27">
        <v>84.0</v>
      </c>
      <c r="K17" s="27">
        <v>36.0</v>
      </c>
      <c r="L17" s="27">
        <v>24.0</v>
      </c>
      <c r="M17" s="27">
        <v>30.0</v>
      </c>
      <c r="N17" s="27">
        <v>72.0</v>
      </c>
      <c r="O17" s="27">
        <v>18.0</v>
      </c>
      <c r="P17" s="27">
        <v>42.0</v>
      </c>
      <c r="Q17" s="27">
        <v>18.0</v>
      </c>
      <c r="R17" s="27">
        <v>48.0</v>
      </c>
      <c r="S17" s="27">
        <v>18.0</v>
      </c>
      <c r="T17" s="27">
        <v>48.0</v>
      </c>
      <c r="U17" s="27">
        <v>23.0</v>
      </c>
      <c r="V17" s="27">
        <v>48.0</v>
      </c>
      <c r="W17" s="27">
        <v>35.0</v>
      </c>
      <c r="X17" s="27">
        <v>18.0</v>
      </c>
      <c r="Y17" s="27">
        <v>60.0</v>
      </c>
      <c r="Z17" s="27">
        <v>36.0</v>
      </c>
      <c r="AA17" s="27">
        <v>5.0</v>
      </c>
      <c r="AB17" s="27">
        <v>18.0</v>
      </c>
      <c r="AC17" s="27">
        <v>25.0</v>
      </c>
      <c r="AD17" s="27">
        <v>36.0</v>
      </c>
      <c r="AE17" s="27">
        <v>54.0</v>
      </c>
      <c r="AF17" s="27">
        <v>0.0</v>
      </c>
      <c r="AG17" s="27">
        <v>18.0</v>
      </c>
      <c r="AH17" s="27">
        <v>46.0</v>
      </c>
      <c r="AI17" s="27">
        <v>22.0</v>
      </c>
      <c r="AJ17" s="27">
        <v>12.0</v>
      </c>
      <c r="AK17" s="27">
        <v>6.0</v>
      </c>
      <c r="AL17" s="27">
        <v>18.0</v>
      </c>
      <c r="AM17" s="27">
        <v>24.0</v>
      </c>
      <c r="AN17" s="27">
        <v>6.0</v>
      </c>
      <c r="AO17" s="28"/>
      <c r="AP17" s="28">
        <f t="shared" si="3"/>
        <v>267.0</v>
      </c>
      <c r="AQ17" s="28">
        <f t="shared" si="4"/>
        <v>88.0</v>
      </c>
      <c r="AR17" s="28">
        <f t="shared" si="5"/>
        <v>96.8</v>
      </c>
      <c r="AS17" s="1">
        <f t="shared" si="31"/>
        <v>28.1242937853107</v>
      </c>
      <c r="AT17" s="1">
        <f t="shared" si="32"/>
        <v>24.1468926553672</v>
      </c>
      <c r="AU17" s="1">
        <f t="shared" si="33"/>
        <v>20.1694915254237</v>
      </c>
      <c r="AV17" s="1">
        <f t="shared" si="34"/>
        <v>34.3389830508474</v>
      </c>
      <c r="AW17" s="1">
        <f t="shared" si="35"/>
        <v>37.5706214689266</v>
      </c>
      <c r="AX17" s="1">
        <f t="shared" si="36"/>
        <v>40.5875706214689</v>
      </c>
      <c r="AY17" s="2">
        <f t="shared" si="12"/>
        <v>184.937853107344</v>
      </c>
      <c r="AZ17" s="2" t="e">
        <f t="shared" si="13"/>
        <v>#REF!</v>
      </c>
      <c r="BD17" s="28" t="e">
        <f t="shared" si="37"/>
        <v>#REF!</v>
      </c>
      <c r="BE17" s="1">
        <f>VLOOKUP(C17,MOQ,3,FALSE())</f>
        <v>480.0</v>
      </c>
      <c r="BF17" s="30"/>
      <c r="BG17" s="4" t="s">
        <v>227</v>
      </c>
      <c r="BH17" s="1" t="e">
        <f t="shared" si="39"/>
        <v>#REF!</v>
      </c>
      <c r="BI17" s="1">
        <f t="shared" si="40"/>
        <v>28.1242937853107</v>
      </c>
      <c r="BJ17" s="1">
        <f t="shared" si="41"/>
      </c>
      <c r="BK17" s="3" t="e">
        <f t="shared" si="42"/>
        <v>#REF!</v>
      </c>
      <c r="BL17" s="1">
        <f t="shared" si="43"/>
        <v>24.1468926553672</v>
      </c>
      <c r="BM17" s="1">
        <f t="shared" si="44"/>
      </c>
      <c r="BN17" s="3" t="e">
        <f t="shared" si="45"/>
        <v>#REF!</v>
      </c>
      <c r="BO17" s="1">
        <f t="shared" si="46"/>
        <v>20.1694915254237</v>
      </c>
      <c r="BQ17" s="3" t="e">
        <f t="shared" si="47"/>
        <v>#REF!</v>
      </c>
      <c r="BR17" s="1">
        <f t="shared" si="48"/>
        <v>34.3389830508474</v>
      </c>
      <c r="BT17" s="3" t="e">
        <f t="shared" si="49"/>
        <v>#REF!</v>
      </c>
      <c r="BU17" s="1">
        <f t="shared" si="50"/>
        <v>37.5706214689266</v>
      </c>
      <c r="BW17" s="3" t="e">
        <f t="shared" si="51"/>
        <v>#REF!</v>
      </c>
      <c r="BX17" s="1">
        <f t="shared" si="52"/>
        <v>40.5875706214689</v>
      </c>
      <c r="BZ17" s="3" t="e">
        <f t="shared" si="53"/>
        <v>#REF!</v>
      </c>
    </row>
    <row r="18" ht="14.0">
      <c r="A18" s="166" t="s">
        <v>28</v>
      </c>
      <c r="B18" s="27" t="s">
        <v>29</v>
      </c>
      <c r="C18" s="27" t="s">
        <v>56</v>
      </c>
      <c r="D18" s="27" t="s">
        <v>57</v>
      </c>
      <c r="E18" s="27">
        <v>78.0</v>
      </c>
      <c r="F18" s="27">
        <v>42.0</v>
      </c>
      <c r="G18" s="27">
        <v>72.0</v>
      </c>
      <c r="H18" s="27">
        <v>40.0</v>
      </c>
      <c r="I18" s="27">
        <v>71.0</v>
      </c>
      <c r="J18" s="27">
        <v>113.0</v>
      </c>
      <c r="K18" s="27">
        <v>36.0</v>
      </c>
      <c r="L18" s="27">
        <v>24.0</v>
      </c>
      <c r="M18" s="27">
        <v>30.0</v>
      </c>
      <c r="N18" s="27">
        <v>66.0</v>
      </c>
      <c r="O18" s="27">
        <v>42.0</v>
      </c>
      <c r="P18" s="27">
        <v>24.0</v>
      </c>
      <c r="Q18" s="27">
        <v>54.0</v>
      </c>
      <c r="R18" s="27">
        <v>54.0</v>
      </c>
      <c r="S18" s="27">
        <v>36.0</v>
      </c>
      <c r="T18" s="27">
        <v>48.0</v>
      </c>
      <c r="U18" s="27">
        <v>30.0</v>
      </c>
      <c r="V18" s="27">
        <v>66.0</v>
      </c>
      <c r="W18" s="27">
        <v>54.0</v>
      </c>
      <c r="X18" s="27">
        <v>30.0</v>
      </c>
      <c r="Y18" s="27">
        <v>66.0</v>
      </c>
      <c r="Z18" s="27">
        <v>30.0</v>
      </c>
      <c r="AA18" s="27">
        <v>23.0</v>
      </c>
      <c r="AB18" s="27">
        <v>30.0</v>
      </c>
      <c r="AC18" s="27">
        <v>24.0</v>
      </c>
      <c r="AD18" s="27">
        <v>48.0</v>
      </c>
      <c r="AE18" s="27">
        <v>36.0</v>
      </c>
      <c r="AF18" s="27">
        <v>30.0</v>
      </c>
      <c r="AG18" s="27">
        <v>36.0</v>
      </c>
      <c r="AH18" s="27">
        <v>36.0</v>
      </c>
      <c r="AI18" s="27">
        <v>18.0</v>
      </c>
      <c r="AJ18" s="27">
        <v>24.0</v>
      </c>
      <c r="AK18" s="27">
        <v>48.0</v>
      </c>
      <c r="AL18" s="27">
        <v>18.0</v>
      </c>
      <c r="AM18" s="27">
        <v>18.0</v>
      </c>
      <c r="AN18" s="27">
        <v>18.0</v>
      </c>
      <c r="AO18" s="28"/>
      <c r="AP18" s="28">
        <f t="shared" si="3"/>
        <v>354.0</v>
      </c>
      <c r="AQ18" s="28">
        <f t="shared" si="4"/>
        <v>144.0</v>
      </c>
      <c r="AR18" s="28">
        <f t="shared" si="5"/>
        <v>158.4</v>
      </c>
      <c r="AS18" s="1">
        <f t="shared" si="31"/>
        <v>42.2033898305084</v>
      </c>
      <c r="AT18" s="1">
        <f t="shared" si="32"/>
        <v>35.6949152542372</v>
      </c>
      <c r="AU18" s="1">
        <f t="shared" si="33"/>
        <v>29.1864406779661</v>
      </c>
      <c r="AV18" s="1">
        <f t="shared" si="34"/>
        <v>52.3728813559322</v>
      </c>
      <c r="AW18" s="1">
        <f t="shared" si="35"/>
        <v>57.6610169491525</v>
      </c>
      <c r="AX18" s="1">
        <f t="shared" si="36"/>
        <v>58.7796610169491</v>
      </c>
      <c r="AY18" s="2">
        <f t="shared" si="12"/>
        <v>275.898305084746</v>
      </c>
      <c r="AZ18" s="2" t="e">
        <f t="shared" si="13"/>
        <v>#REF!</v>
      </c>
      <c r="BD18" s="28" t="e">
        <f t="shared" si="37"/>
        <v>#REF!</v>
      </c>
      <c r="BE18" s="1">
        <f>VLOOKUP(C18,MOQ,3,FALSE())</f>
        <v>480.0</v>
      </c>
      <c r="BF18" s="30"/>
      <c r="BG18" s="4" t="s">
        <v>212</v>
      </c>
      <c r="BH18" s="1" t="e">
        <f t="shared" si="39"/>
        <v>#REF!</v>
      </c>
      <c r="BI18" s="1">
        <f t="shared" si="40"/>
        <v>42.2033898305084</v>
      </c>
      <c r="BJ18" s="1">
        <f t="shared" si="41"/>
      </c>
      <c r="BK18" s="3" t="e">
        <f t="shared" si="42"/>
        <v>#REF!</v>
      </c>
      <c r="BL18" s="1">
        <f t="shared" si="43"/>
        <v>35.6949152542372</v>
      </c>
      <c r="BM18" s="1">
        <f t="shared" si="44"/>
      </c>
      <c r="BN18" s="3" t="e">
        <f t="shared" si="45"/>
        <v>#REF!</v>
      </c>
      <c r="BO18" s="1">
        <f t="shared" si="46"/>
        <v>29.1864406779661</v>
      </c>
      <c r="BQ18" s="3" t="e">
        <f t="shared" si="47"/>
        <v>#REF!</v>
      </c>
      <c r="BR18" s="1">
        <f t="shared" si="48"/>
        <v>52.3728813559322</v>
      </c>
      <c r="BT18" s="3" t="e">
        <f t="shared" si="49"/>
        <v>#REF!</v>
      </c>
      <c r="BU18" s="1">
        <f t="shared" si="50"/>
        <v>57.6610169491525</v>
      </c>
      <c r="BW18" s="3" t="e">
        <f t="shared" si="51"/>
        <v>#REF!</v>
      </c>
      <c r="BX18" s="1">
        <f t="shared" si="52"/>
        <v>58.7796610169491</v>
      </c>
      <c r="BZ18" s="3" t="e">
        <f t="shared" si="53"/>
        <v>#REF!</v>
      </c>
    </row>
    <row r="19" ht="14.0">
      <c r="A19" s="27" t="s">
        <v>28</v>
      </c>
      <c r="B19" s="27" t="s">
        <v>29</v>
      </c>
      <c r="C19" s="27" t="s">
        <v>58</v>
      </c>
      <c r="D19" s="27" t="s">
        <v>59</v>
      </c>
      <c r="E19" s="27">
        <v>3.0</v>
      </c>
      <c r="F19" s="27">
        <v>1.0</v>
      </c>
      <c r="G19" s="27">
        <v>4.0</v>
      </c>
      <c r="H19" s="27">
        <v>0.0</v>
      </c>
      <c r="I19" s="27">
        <v>3.0</v>
      </c>
      <c r="J19" s="27">
        <v>1.0</v>
      </c>
      <c r="K19" s="27">
        <v>2.0</v>
      </c>
      <c r="L19" s="27">
        <v>1.0</v>
      </c>
      <c r="M19" s="27">
        <v>3.0</v>
      </c>
      <c r="N19" s="27">
        <v>1.0</v>
      </c>
      <c r="O19" s="27">
        <v>1.0</v>
      </c>
      <c r="P19" s="27">
        <v>5.0</v>
      </c>
      <c r="Q19" s="27">
        <v>2.0</v>
      </c>
      <c r="R19" s="27">
        <v>2.0</v>
      </c>
      <c r="S19" s="27">
        <v>1.0</v>
      </c>
      <c r="T19" s="27">
        <v>0.0</v>
      </c>
      <c r="U19" s="27">
        <v>2.0</v>
      </c>
      <c r="V19" s="27">
        <v>0.0</v>
      </c>
      <c r="W19" s="27">
        <v>0.0</v>
      </c>
      <c r="X19" s="27">
        <v>1.0</v>
      </c>
      <c r="Y19" s="27">
        <v>4.0</v>
      </c>
      <c r="Z19" s="27">
        <v>4.0</v>
      </c>
      <c r="AA19" s="27">
        <v>0.0</v>
      </c>
      <c r="AB19" s="27">
        <v>0.0</v>
      </c>
      <c r="AC19" s="27">
        <v>0.0</v>
      </c>
      <c r="AD19" s="27">
        <v>2.0</v>
      </c>
      <c r="AE19" s="27">
        <v>1.0</v>
      </c>
      <c r="AF19" s="27">
        <v>1.0</v>
      </c>
      <c r="AG19" s="27">
        <v>0.0</v>
      </c>
      <c r="AH19" s="27">
        <v>1.0</v>
      </c>
      <c r="AI19" s="27">
        <v>0.0</v>
      </c>
      <c r="AJ19" s="27">
        <v>1.0</v>
      </c>
      <c r="AK19" s="27">
        <v>1.0</v>
      </c>
      <c r="AL19" s="27">
        <v>2.0</v>
      </c>
      <c r="AM19" s="27">
        <v>1.0</v>
      </c>
      <c r="AN19" s="27">
        <v>1.0</v>
      </c>
      <c r="AO19" s="28"/>
      <c r="AP19" s="28">
        <f t="shared" si="3"/>
        <v>11.0</v>
      </c>
      <c r="AQ19" s="28">
        <f t="shared" si="4"/>
        <v>6.0</v>
      </c>
      <c r="AR19" s="32">
        <f t="shared" si="5"/>
        <v>6.6</v>
      </c>
      <c r="AS19" s="167">
        <v>1.0</v>
      </c>
      <c r="AT19" s="167">
        <v>1.0</v>
      </c>
      <c r="AU19" s="167">
        <v>1.0</v>
      </c>
      <c r="AV19" s="167">
        <v>1.0</v>
      </c>
      <c r="AW19" s="167">
        <v>1.0</v>
      </c>
      <c r="AX19" s="167">
        <v>2.0</v>
      </c>
      <c r="AY19" s="2">
        <f t="shared" si="12"/>
        <v>7.0</v>
      </c>
      <c r="AZ19" s="2" t="e">
        <f t="shared" si="13"/>
        <v>#REF!</v>
      </c>
      <c r="BD19" s="28"/>
      <c r="BJ19" s="1">
        <f t="shared" si="41"/>
      </c>
      <c r="BK19" s="3"/>
      <c r="BM19" s="1">
        <f t="shared" si="44"/>
      </c>
      <c r="BN19" s="3"/>
      <c r="BQ19" s="3"/>
      <c r="BT19" s="3"/>
      <c r="BW19" s="3"/>
      <c r="BZ19" s="3"/>
    </row>
    <row hidden="1" r="20" ht="14.0" outlineLevel="1">
      <c r="A20" s="27" t="s">
        <v>28</v>
      </c>
      <c r="B20" s="27" t="s">
        <v>29</v>
      </c>
      <c r="C20" s="27" t="s">
        <v>60</v>
      </c>
      <c r="D20" s="27" t="s">
        <v>61</v>
      </c>
      <c r="E20" s="27">
        <v>0.0</v>
      </c>
      <c r="F20" s="27">
        <v>0.0</v>
      </c>
      <c r="G20" s="27">
        <v>0.0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7">
        <v>0.0</v>
      </c>
      <c r="N20" s="27">
        <v>0.0</v>
      </c>
      <c r="O20" s="27">
        <v>0.0</v>
      </c>
      <c r="P20" s="27">
        <v>0.0</v>
      </c>
      <c r="Q20" s="27">
        <v>0.0</v>
      </c>
      <c r="R20" s="27">
        <v>182.0</v>
      </c>
      <c r="S20" s="27">
        <v>96.0</v>
      </c>
      <c r="T20" s="27">
        <v>630.0</v>
      </c>
      <c r="U20" s="27">
        <v>714.0</v>
      </c>
      <c r="V20" s="27">
        <v>1034.0</v>
      </c>
      <c r="W20" s="27">
        <v>266.0</v>
      </c>
      <c r="X20" s="27">
        <v>66.0</v>
      </c>
      <c r="Y20" s="27">
        <v>12.0</v>
      </c>
      <c r="Z20" s="27">
        <v>18.0</v>
      </c>
      <c r="AA20" s="27">
        <v>1088.0</v>
      </c>
      <c r="AB20" s="27">
        <v>0.0</v>
      </c>
      <c r="AC20" s="27">
        <v>936.0</v>
      </c>
      <c r="AD20" s="27">
        <v>84.0</v>
      </c>
      <c r="AE20" s="27">
        <v>60.0</v>
      </c>
      <c r="AF20" s="27">
        <v>564.0</v>
      </c>
      <c r="AG20" s="27">
        <v>901.0</v>
      </c>
      <c r="AH20" s="27">
        <v>660.0</v>
      </c>
      <c r="AI20" s="27">
        <v>811.0</v>
      </c>
      <c r="AJ20" s="27">
        <v>234.0</v>
      </c>
      <c r="AK20" s="27">
        <v>54.0</v>
      </c>
      <c r="AL20" s="27">
        <v>348.0</v>
      </c>
      <c r="AM20" s="27">
        <v>595.0</v>
      </c>
      <c r="AN20" s="27">
        <v>402.0</v>
      </c>
      <c r="AO20" s="28"/>
      <c r="AP20" s="28">
        <f t="shared" si="3"/>
        <v>5649.0</v>
      </c>
      <c r="AQ20" s="28">
        <f t="shared" si="4"/>
        <v>2444.0</v>
      </c>
      <c r="AR20" s="28">
        <f t="shared" si="5"/>
        <v>2688.4</v>
      </c>
      <c r="AS20" s="1">
        <f t="shared" ref="AS20:AS23" si="54">AR20*$AS$4/$AR$4+6*$AS$24</f>
        <v>759.65197740113</v>
      </c>
      <c r="AT20" s="1">
        <f t="shared" ref="AT20:AT23" si="55">AR20*$AT$4/$AR$4+6*$AT$24</f>
        <v>649.188700564971</v>
      </c>
      <c r="AU20" s="1">
        <f t="shared" ref="AU20:AU23" si="56">AR20*$AU$4/$AR$4+6*$AU$24</f>
        <v>538.725423728813</v>
      </c>
      <c r="AV20" s="1">
        <f t="shared" ref="AV20:AV23" si="57">AR20*$AV$4/$AR$4+6*$AV$24</f>
        <v>932.250847457627</v>
      </c>
      <c r="AW20" s="1">
        <f t="shared" ref="AW20:AW23" si="58">AR20*$AW$4/$AR$4+6*$AW$24</f>
        <v>1022.002259887</v>
      </c>
      <c r="AX20" s="1">
        <f t="shared" ref="AX20:AX23" si="59">AR20*$AX$4/$AR$4+6*$AX$24</f>
        <v>939.154802259887</v>
      </c>
      <c r="AY20" s="2">
        <f t="shared" si="12"/>
        <v>4840.97401129942</v>
      </c>
      <c r="AZ20" s="2" t="e">
        <f t="shared" si="13"/>
        <v>#REF!</v>
      </c>
      <c r="BA20" s="1" t="e">
        <f t="shared" ref="BA20:BA23" si="60">VLOOKUP(C20,JULY,3,false)</f>
        <v>#REF!</v>
      </c>
      <c r="BB20" s="1" t="e">
        <f t="shared" ref="BB20:BB23" si="61">VLOOKUP(C20,AUGUST,3,false)</f>
        <v>#REF!</v>
      </c>
      <c r="BD20" s="28" t="e">
        <f t="shared" ref="BD20:BD23" si="62">AZ20+BB20+BC20-AY20+BA20</f>
        <v>#REF!</v>
      </c>
      <c r="BE20" s="1">
        <f>VLOOKUP(C20,MOQ,3,FALSE())</f>
        <v>3000.0</v>
      </c>
      <c r="BF20" s="168" t="s">
        <v>32</v>
      </c>
      <c r="BG20" s="4" t="s">
        <v>77</v>
      </c>
      <c r="BH20" s="1" t="e">
        <f t="shared" ref="BH20:BH23" si="64">AZ20</f>
        <v>#REF!</v>
      </c>
      <c r="BI20" s="1">
        <f t="shared" ref="BI20:BI23" si="65">AS20</f>
        <v>759.65197740113</v>
      </c>
      <c r="BJ20" s="1" t="e">
        <f t="shared" si="41"/>
        <v>#REF!</v>
      </c>
      <c r="BK20" s="3" t="e">
        <f t="shared" ref="BK20:BK23" si="66">BH20+BJ20-BI20</f>
        <v>#REF!</v>
      </c>
      <c r="BL20" s="1">
        <f t="shared" ref="BL20:BL23" si="67">AT20</f>
        <v>649.188700564971</v>
      </c>
      <c r="BM20" s="1" t="e">
        <f t="shared" si="44"/>
        <v>#REF!</v>
      </c>
      <c r="BN20" s="3" t="e">
        <f t="shared" ref="BN20:BN23" si="68">BK20+BM20-BL20</f>
        <v>#REF!</v>
      </c>
      <c r="BO20" s="1">
        <f t="shared" ref="BO20:BO23" si="69">AU20</f>
        <v>538.725423728813</v>
      </c>
      <c r="BQ20" s="3" t="e">
        <f t="shared" ref="BQ20:BQ23" si="70">BN20+BP20-BO20</f>
        <v>#REF!</v>
      </c>
      <c r="BR20" s="1">
        <f t="shared" ref="BR20:BR23" si="71">AV20</f>
        <v>932.250847457627</v>
      </c>
      <c r="BT20" s="3" t="e">
        <f t="shared" ref="BT20:BT23" si="72">BQ20+BS20-BR20</f>
        <v>#REF!</v>
      </c>
      <c r="BU20" s="1">
        <f t="shared" ref="BU20:BU23" si="73">AW20</f>
        <v>1022.002259887</v>
      </c>
      <c r="BW20" s="3" t="e">
        <f t="shared" ref="BW20:BW23" si="74">BT20+BV20-BU20</f>
        <v>#REF!</v>
      </c>
      <c r="BX20" s="1">
        <f t="shared" ref="BX20:BX23" si="75">AX20</f>
        <v>939.154802259887</v>
      </c>
      <c r="BZ20" s="3" t="e">
        <f t="shared" ref="BZ20:BZ23" si="76">BW20+BY20-BX20</f>
        <v>#REF!</v>
      </c>
    </row>
    <row hidden="1" r="21" ht="14.0" outlineLevel="1">
      <c r="A21" s="27" t="s">
        <v>28</v>
      </c>
      <c r="B21" s="27" t="s">
        <v>29</v>
      </c>
      <c r="C21" s="27" t="s">
        <v>62</v>
      </c>
      <c r="D21" s="27" t="s">
        <v>63</v>
      </c>
      <c r="E21" s="27">
        <v>0.0</v>
      </c>
      <c r="F21" s="27">
        <v>0.0</v>
      </c>
      <c r="G21" s="27">
        <v>0.0</v>
      </c>
      <c r="H21" s="27">
        <v>0.0</v>
      </c>
      <c r="I21" s="27">
        <v>0.0</v>
      </c>
      <c r="J21" s="27">
        <v>0.0</v>
      </c>
      <c r="K21" s="27">
        <v>0.0</v>
      </c>
      <c r="L21" s="27">
        <v>0.0</v>
      </c>
      <c r="M21" s="27">
        <v>0.0</v>
      </c>
      <c r="N21" s="27">
        <v>0.0</v>
      </c>
      <c r="O21" s="27">
        <v>0.0</v>
      </c>
      <c r="P21" s="27">
        <v>0.0</v>
      </c>
      <c r="Q21" s="27">
        <v>0.0</v>
      </c>
      <c r="R21" s="27">
        <v>181.0</v>
      </c>
      <c r="S21" s="27">
        <v>96.0</v>
      </c>
      <c r="T21" s="27">
        <v>630.0</v>
      </c>
      <c r="U21" s="27">
        <v>618.0</v>
      </c>
      <c r="V21" s="27">
        <v>950.0</v>
      </c>
      <c r="W21" s="27">
        <v>306.0</v>
      </c>
      <c r="X21" s="27">
        <v>54.0</v>
      </c>
      <c r="Y21" s="27">
        <v>18.0</v>
      </c>
      <c r="Z21" s="27">
        <v>48.0</v>
      </c>
      <c r="AA21" s="27">
        <v>1135.0</v>
      </c>
      <c r="AB21" s="27">
        <v>0.0</v>
      </c>
      <c r="AC21" s="27">
        <v>828.0</v>
      </c>
      <c r="AD21" s="27">
        <v>24.0</v>
      </c>
      <c r="AE21" s="27">
        <v>60.0</v>
      </c>
      <c r="AF21" s="27">
        <v>666.0</v>
      </c>
      <c r="AG21" s="27">
        <v>733.0</v>
      </c>
      <c r="AH21" s="27">
        <v>246.0</v>
      </c>
      <c r="AI21" s="27">
        <v>882.0</v>
      </c>
      <c r="AJ21" s="27">
        <v>162.0</v>
      </c>
      <c r="AK21" s="27">
        <v>31.0</v>
      </c>
      <c r="AL21" s="27">
        <v>241.0</v>
      </c>
      <c r="AM21" s="27">
        <v>489.0</v>
      </c>
      <c r="AN21" s="27">
        <v>456.0</v>
      </c>
      <c r="AO21" s="28"/>
      <c r="AP21" s="28">
        <f t="shared" si="3"/>
        <v>4818.0</v>
      </c>
      <c r="AQ21" s="28">
        <f t="shared" si="4"/>
        <v>2261.0</v>
      </c>
      <c r="AR21" s="28">
        <f t="shared" si="5"/>
        <v>2487.1</v>
      </c>
      <c r="AS21" s="1">
        <f t="shared" si="54"/>
        <v>713.643502824859</v>
      </c>
      <c r="AT21" s="1">
        <f t="shared" si="55"/>
        <v>611.451412429379</v>
      </c>
      <c r="AU21" s="1">
        <f t="shared" si="56"/>
        <v>509.259322033898</v>
      </c>
      <c r="AV21" s="1">
        <f t="shared" si="57"/>
        <v>873.318644067797</v>
      </c>
      <c r="AW21" s="1">
        <f t="shared" si="58"/>
        <v>956.349717514124</v>
      </c>
      <c r="AX21" s="1">
        <f t="shared" si="59"/>
        <v>879.705649717514</v>
      </c>
      <c r="AY21" s="2">
        <f t="shared" si="12"/>
        <v>4543.72824858757</v>
      </c>
      <c r="AZ21" s="2" t="e">
        <f t="shared" si="13"/>
        <v>#REF!</v>
      </c>
      <c r="BA21" s="1" t="e">
        <f t="shared" si="60"/>
        <v>#REF!</v>
      </c>
      <c r="BB21" s="1" t="e">
        <f t="shared" si="61"/>
        <v>#REF!</v>
      </c>
      <c r="BD21" s="28" t="e">
        <f t="shared" si="62"/>
        <v>#REF!</v>
      </c>
      <c r="BE21" s="1">
        <f>VLOOKUP(C21,MOQ,3,FALSE())</f>
        <v>3000.0</v>
      </c>
      <c r="BH21" s="1" t="e">
        <f t="shared" si="64"/>
        <v>#REF!</v>
      </c>
      <c r="BI21" s="1">
        <f t="shared" si="65"/>
        <v>713.643502824859</v>
      </c>
      <c r="BJ21" s="1" t="e">
        <f t="shared" si="41"/>
        <v>#REF!</v>
      </c>
      <c r="BK21" s="3" t="e">
        <f t="shared" si="66"/>
        <v>#REF!</v>
      </c>
      <c r="BL21" s="1">
        <f t="shared" si="67"/>
        <v>611.451412429379</v>
      </c>
      <c r="BM21" s="1" t="e">
        <f t="shared" si="44"/>
        <v>#REF!</v>
      </c>
      <c r="BN21" s="3" t="e">
        <f t="shared" si="68"/>
        <v>#REF!</v>
      </c>
      <c r="BO21" s="1">
        <f t="shared" si="69"/>
        <v>509.259322033898</v>
      </c>
      <c r="BQ21" s="3" t="e">
        <f t="shared" si="70"/>
        <v>#REF!</v>
      </c>
      <c r="BR21" s="1">
        <f t="shared" si="71"/>
        <v>873.318644067797</v>
      </c>
      <c r="BT21" s="3" t="e">
        <f t="shared" si="72"/>
        <v>#REF!</v>
      </c>
      <c r="BU21" s="1">
        <f t="shared" si="73"/>
        <v>956.349717514124</v>
      </c>
      <c r="BW21" s="3" t="e">
        <f t="shared" si="74"/>
        <v>#REF!</v>
      </c>
      <c r="BX21" s="1">
        <f t="shared" si="75"/>
        <v>879.705649717514</v>
      </c>
      <c r="BZ21" s="3" t="e">
        <f t="shared" si="76"/>
        <v>#REF!</v>
      </c>
    </row>
    <row hidden="1" r="22" ht="14.0" outlineLevel="1">
      <c r="A22" s="27" t="s">
        <v>28</v>
      </c>
      <c r="B22" s="27" t="s">
        <v>29</v>
      </c>
      <c r="C22" s="27" t="s">
        <v>65</v>
      </c>
      <c r="D22" s="27" t="s">
        <v>66</v>
      </c>
      <c r="E22" s="27">
        <v>0.0</v>
      </c>
      <c r="F22" s="27">
        <v>0.0</v>
      </c>
      <c r="G22" s="27">
        <v>0.0</v>
      </c>
      <c r="H22" s="27">
        <v>0.0</v>
      </c>
      <c r="I22" s="27">
        <v>0.0</v>
      </c>
      <c r="J22" s="27">
        <v>0.0</v>
      </c>
      <c r="K22" s="27">
        <v>0.0</v>
      </c>
      <c r="L22" s="27">
        <v>0.0</v>
      </c>
      <c r="M22" s="27">
        <v>0.0</v>
      </c>
      <c r="N22" s="27">
        <v>0.0</v>
      </c>
      <c r="O22" s="27">
        <v>0.0</v>
      </c>
      <c r="P22" s="27">
        <v>0.0</v>
      </c>
      <c r="Q22" s="27">
        <v>0.0</v>
      </c>
      <c r="R22" s="27">
        <v>1.0</v>
      </c>
      <c r="S22" s="27">
        <v>96.0</v>
      </c>
      <c r="T22" s="27">
        <v>36.0</v>
      </c>
      <c r="U22" s="27">
        <v>126.0</v>
      </c>
      <c r="V22" s="27">
        <v>44.0</v>
      </c>
      <c r="W22" s="27">
        <v>408.0</v>
      </c>
      <c r="X22" s="27">
        <v>31.0</v>
      </c>
      <c r="Y22" s="27">
        <v>36.0</v>
      </c>
      <c r="Z22" s="27">
        <v>30.0</v>
      </c>
      <c r="AA22" s="27">
        <v>594.0</v>
      </c>
      <c r="AB22" s="27">
        <v>6.0</v>
      </c>
      <c r="AC22" s="27">
        <v>486.0</v>
      </c>
      <c r="AD22" s="27">
        <v>60.0</v>
      </c>
      <c r="AE22" s="27">
        <v>12.0</v>
      </c>
      <c r="AF22" s="27">
        <v>498.0</v>
      </c>
      <c r="AG22" s="27">
        <v>572.0</v>
      </c>
      <c r="AH22" s="27">
        <v>470.0</v>
      </c>
      <c r="AI22" s="27">
        <v>715.0</v>
      </c>
      <c r="AJ22" s="27">
        <v>139.0</v>
      </c>
      <c r="AK22" s="27">
        <v>43.0</v>
      </c>
      <c r="AL22" s="27">
        <v>288.0</v>
      </c>
      <c r="AM22" s="27">
        <v>406.0</v>
      </c>
      <c r="AN22" s="27">
        <v>381.0</v>
      </c>
      <c r="AO22" s="28"/>
      <c r="AP22" s="28">
        <f t="shared" si="3"/>
        <v>4070.0</v>
      </c>
      <c r="AQ22" s="28">
        <f t="shared" si="4"/>
        <v>1972.0</v>
      </c>
      <c r="AR22" s="28">
        <f t="shared" si="5"/>
        <v>2169.2</v>
      </c>
      <c r="AS22" s="1">
        <f t="shared" si="54"/>
        <v>640.985310734462</v>
      </c>
      <c r="AT22" s="1">
        <f t="shared" si="55"/>
        <v>551.855367231638</v>
      </c>
      <c r="AU22" s="1">
        <f t="shared" si="56"/>
        <v>462.725423728813</v>
      </c>
      <c r="AV22" s="1">
        <f t="shared" si="57"/>
        <v>780.250847457627</v>
      </c>
      <c r="AW22" s="1">
        <f t="shared" si="58"/>
        <v>852.668926553672</v>
      </c>
      <c r="AX22" s="1">
        <f t="shared" si="59"/>
        <v>785.821468926553</v>
      </c>
      <c r="AY22" s="2">
        <f t="shared" si="12"/>
        <v>4074.30734463277</v>
      </c>
      <c r="AZ22" s="2" t="e">
        <f t="shared" si="13"/>
        <v>#REF!</v>
      </c>
      <c r="BA22" s="1" t="e">
        <f t="shared" si="60"/>
        <v>#REF!</v>
      </c>
      <c r="BB22" s="1" t="e">
        <f t="shared" si="61"/>
        <v>#REF!</v>
      </c>
      <c r="BD22" s="28" t="e">
        <f t="shared" si="62"/>
        <v>#REF!</v>
      </c>
      <c r="BE22" s="1">
        <f>VLOOKUP(C22,MOQ,3,FALSE())</f>
        <v>3000.0</v>
      </c>
      <c r="BF22" s="168" t="s">
        <v>32</v>
      </c>
      <c r="BH22" s="1" t="e">
        <f t="shared" si="64"/>
        <v>#REF!</v>
      </c>
      <c r="BI22" s="1">
        <f t="shared" si="65"/>
        <v>640.985310734462</v>
      </c>
      <c r="BJ22" s="1" t="e">
        <f t="shared" si="41"/>
        <v>#REF!</v>
      </c>
      <c r="BK22" s="3" t="e">
        <f t="shared" si="66"/>
        <v>#REF!</v>
      </c>
      <c r="BL22" s="1">
        <f t="shared" si="67"/>
        <v>551.855367231638</v>
      </c>
      <c r="BM22" s="1" t="e">
        <f t="shared" si="44"/>
        <v>#REF!</v>
      </c>
      <c r="BN22" s="3" t="e">
        <f t="shared" si="68"/>
        <v>#REF!</v>
      </c>
      <c r="BO22" s="1">
        <f t="shared" si="69"/>
        <v>462.725423728813</v>
      </c>
      <c r="BQ22" s="3" t="e">
        <f t="shared" si="70"/>
        <v>#REF!</v>
      </c>
      <c r="BR22" s="1">
        <f t="shared" si="71"/>
        <v>780.250847457627</v>
      </c>
      <c r="BT22" s="3" t="e">
        <f t="shared" si="72"/>
        <v>#REF!</v>
      </c>
      <c r="BU22" s="1">
        <f t="shared" si="73"/>
        <v>852.668926553672</v>
      </c>
      <c r="BW22" s="3" t="e">
        <f t="shared" si="74"/>
        <v>#REF!</v>
      </c>
      <c r="BX22" s="1">
        <f t="shared" si="75"/>
        <v>785.821468926553</v>
      </c>
      <c r="BZ22" s="3" t="e">
        <f t="shared" si="76"/>
        <v>#REF!</v>
      </c>
    </row>
    <row hidden="1" r="23" ht="14.0" outlineLevel="1">
      <c r="A23" s="27" t="s">
        <v>28</v>
      </c>
      <c r="B23" s="27" t="s">
        <v>29</v>
      </c>
      <c r="C23" s="27" t="s">
        <v>67</v>
      </c>
      <c r="D23" s="27" t="s">
        <v>68</v>
      </c>
      <c r="E23" s="27">
        <v>0.0</v>
      </c>
      <c r="F23" s="27">
        <v>0.0</v>
      </c>
      <c r="G23" s="27">
        <v>0.0</v>
      </c>
      <c r="H23" s="27">
        <v>0.0</v>
      </c>
      <c r="I23" s="27">
        <v>0.0</v>
      </c>
      <c r="J23" s="27">
        <v>0.0</v>
      </c>
      <c r="K23" s="27">
        <v>0.0</v>
      </c>
      <c r="L23" s="27">
        <v>0.0</v>
      </c>
      <c r="M23" s="27">
        <v>0.0</v>
      </c>
      <c r="N23" s="27">
        <v>0.0</v>
      </c>
      <c r="O23" s="27">
        <v>0.0</v>
      </c>
      <c r="P23" s="27">
        <v>0.0</v>
      </c>
      <c r="Q23" s="27">
        <v>0.0</v>
      </c>
      <c r="R23" s="27">
        <v>1.0</v>
      </c>
      <c r="S23" s="27">
        <v>132.0</v>
      </c>
      <c r="T23" s="27">
        <v>36.0</v>
      </c>
      <c r="U23" s="27">
        <v>90.0</v>
      </c>
      <c r="V23" s="27">
        <v>37.0</v>
      </c>
      <c r="W23" s="27">
        <v>383.0</v>
      </c>
      <c r="X23" s="27">
        <v>36.0</v>
      </c>
      <c r="Y23" s="27">
        <v>30.0</v>
      </c>
      <c r="Z23" s="27">
        <v>66.0</v>
      </c>
      <c r="AA23" s="27">
        <v>606.0</v>
      </c>
      <c r="AB23" s="27">
        <v>6.0</v>
      </c>
      <c r="AC23" s="27">
        <v>492.0</v>
      </c>
      <c r="AD23" s="27">
        <v>60.0</v>
      </c>
      <c r="AE23" s="27">
        <v>24.0</v>
      </c>
      <c r="AF23" s="27">
        <v>464.0</v>
      </c>
      <c r="AG23" s="27">
        <v>595.0</v>
      </c>
      <c r="AH23" s="27">
        <v>560.0</v>
      </c>
      <c r="AI23" s="27">
        <v>770.0</v>
      </c>
      <c r="AJ23" s="27">
        <v>282.0</v>
      </c>
      <c r="AK23" s="27">
        <v>19.0</v>
      </c>
      <c r="AL23" s="27">
        <v>264.0</v>
      </c>
      <c r="AM23" s="27">
        <v>497.0</v>
      </c>
      <c r="AN23" s="27">
        <v>386.0</v>
      </c>
      <c r="AO23" s="28"/>
      <c r="AP23" s="28">
        <f t="shared" si="3"/>
        <v>4413.0</v>
      </c>
      <c r="AQ23" s="28">
        <f t="shared" si="4"/>
        <v>2218.0</v>
      </c>
      <c r="AR23" s="28">
        <f t="shared" si="5"/>
        <v>2439.8</v>
      </c>
      <c r="AS23" s="1">
        <f t="shared" si="54"/>
        <v>702.832768361581</v>
      </c>
      <c r="AT23" s="1">
        <f t="shared" si="55"/>
        <v>602.58418079096</v>
      </c>
      <c r="AU23" s="1">
        <f t="shared" si="56"/>
        <v>502.335593220339</v>
      </c>
      <c r="AV23" s="1">
        <f t="shared" si="57"/>
        <v>859.471186440678</v>
      </c>
      <c r="AW23" s="1">
        <f t="shared" si="58"/>
        <v>940.9231638418</v>
      </c>
      <c r="AX23" s="1">
        <f t="shared" si="59"/>
        <v>865.73672316384</v>
      </c>
      <c r="AY23" s="2">
        <f t="shared" si="12"/>
        <v>4473.8836158192</v>
      </c>
      <c r="AZ23" s="2" t="e">
        <f t="shared" si="13"/>
        <v>#REF!</v>
      </c>
      <c r="BA23" s="1" t="e">
        <f t="shared" si="60"/>
        <v>#REF!</v>
      </c>
      <c r="BB23" s="1" t="e">
        <f t="shared" si="61"/>
        <v>#REF!</v>
      </c>
      <c r="BD23" s="28" t="e">
        <f t="shared" si="62"/>
        <v>#REF!</v>
      </c>
      <c r="BE23" s="1">
        <f>VLOOKUP(C23,MOQ,3,FALSE())</f>
        <v>3000.0</v>
      </c>
      <c r="BH23" s="1" t="e">
        <f t="shared" si="64"/>
        <v>#REF!</v>
      </c>
      <c r="BI23" s="1">
        <f t="shared" si="65"/>
        <v>702.832768361581</v>
      </c>
      <c r="BJ23" s="1" t="e">
        <f t="shared" si="41"/>
        <v>#REF!</v>
      </c>
      <c r="BK23" s="3" t="e">
        <f t="shared" si="66"/>
        <v>#REF!</v>
      </c>
      <c r="BL23" s="1">
        <f t="shared" si="67"/>
        <v>602.58418079096</v>
      </c>
      <c r="BM23" s="1" t="e">
        <f t="shared" si="44"/>
        <v>#REF!</v>
      </c>
      <c r="BN23" s="3" t="e">
        <f t="shared" si="68"/>
        <v>#REF!</v>
      </c>
      <c r="BO23" s="1">
        <f t="shared" si="69"/>
        <v>502.335593220339</v>
      </c>
      <c r="BQ23" s="3" t="e">
        <f t="shared" si="70"/>
        <v>#REF!</v>
      </c>
      <c r="BR23" s="1">
        <f t="shared" si="71"/>
        <v>859.471186440678</v>
      </c>
      <c r="BT23" s="3" t="e">
        <f t="shared" si="72"/>
        <v>#REF!</v>
      </c>
      <c r="BU23" s="1">
        <f t="shared" si="73"/>
        <v>940.9231638418</v>
      </c>
      <c r="BW23" s="3" t="e">
        <f t="shared" si="74"/>
        <v>#REF!</v>
      </c>
      <c r="BX23" s="1">
        <f t="shared" si="75"/>
        <v>865.73672316384</v>
      </c>
      <c r="BZ23" s="3" t="e">
        <f t="shared" si="76"/>
        <v>#REF!</v>
      </c>
    </row>
    <row hidden="1" r="24" ht="14.0" outlineLevel="1">
      <c r="A24" s="27" t="s">
        <v>28</v>
      </c>
      <c r="B24" s="27" t="s">
        <v>29</v>
      </c>
      <c r="C24" s="27" t="s">
        <v>208</v>
      </c>
      <c r="D24" s="27" t="s">
        <v>209</v>
      </c>
      <c r="E24" s="27">
        <v>0.0</v>
      </c>
      <c r="F24" s="27">
        <v>0.0</v>
      </c>
      <c r="G24" s="27">
        <v>0.0</v>
      </c>
      <c r="H24" s="27">
        <v>0.0</v>
      </c>
      <c r="I24" s="27">
        <v>0.0</v>
      </c>
      <c r="J24" s="27">
        <v>0.0</v>
      </c>
      <c r="K24" s="27">
        <v>0.0</v>
      </c>
      <c r="L24" s="27">
        <v>0.0</v>
      </c>
      <c r="M24" s="27">
        <v>0.0</v>
      </c>
      <c r="N24" s="27">
        <v>0.0</v>
      </c>
      <c r="O24" s="27">
        <v>0.0</v>
      </c>
      <c r="P24" s="27">
        <v>0.0</v>
      </c>
      <c r="Q24" s="27">
        <v>0.0</v>
      </c>
      <c r="R24" s="27">
        <v>0.0</v>
      </c>
      <c r="S24" s="27">
        <v>0.0</v>
      </c>
      <c r="T24" s="27">
        <v>0.0</v>
      </c>
      <c r="U24" s="27">
        <v>0.0</v>
      </c>
      <c r="V24" s="27">
        <v>0.0</v>
      </c>
      <c r="W24" s="27">
        <v>0.0</v>
      </c>
      <c r="X24" s="27">
        <v>0.0</v>
      </c>
      <c r="Y24" s="27">
        <v>0.0</v>
      </c>
      <c r="Z24" s="27">
        <v>0.0</v>
      </c>
      <c r="AA24" s="27">
        <v>0.0</v>
      </c>
      <c r="AB24" s="27">
        <v>0.0</v>
      </c>
      <c r="AC24" s="27">
        <v>0.0</v>
      </c>
      <c r="AD24" s="27">
        <v>0.0</v>
      </c>
      <c r="AE24" s="27">
        <v>0.0</v>
      </c>
      <c r="AF24" s="27">
        <v>0.0</v>
      </c>
      <c r="AG24" s="27">
        <v>0.0</v>
      </c>
      <c r="AH24" s="27">
        <v>0.0</v>
      </c>
      <c r="AI24" s="27">
        <v>0.0</v>
      </c>
      <c r="AJ24" s="27">
        <v>0.0</v>
      </c>
      <c r="AK24" s="27">
        <v>0.0</v>
      </c>
      <c r="AL24" s="27">
        <v>0.0</v>
      </c>
      <c r="AM24" s="27">
        <v>12.0</v>
      </c>
      <c r="AN24" s="27">
        <v>8.0</v>
      </c>
      <c r="AO24" s="28"/>
      <c r="AP24" s="28">
        <f t="shared" si="3"/>
        <v>20.0</v>
      </c>
      <c r="AQ24" s="28">
        <f t="shared" si="4"/>
        <v>20.0</v>
      </c>
      <c r="AR24" s="28">
        <f t="shared" si="5"/>
        <v>22.0</v>
      </c>
      <c r="AS24" s="167">
        <f>AR24*1.1</f>
        <v>24.2</v>
      </c>
      <c r="AT24" s="167">
        <f>AS24</f>
        <v>24.2</v>
      </c>
      <c r="AU24" s="167">
        <f>AT24</f>
        <v>24.2</v>
      </c>
      <c r="AV24" s="167">
        <f>AU24</f>
        <v>24.2</v>
      </c>
      <c r="AW24" s="167">
        <f>AV24</f>
        <v>24.2</v>
      </c>
      <c r="AX24" s="167">
        <f>AW24</f>
        <v>24.2</v>
      </c>
      <c r="AY24" s="2">
        <f t="shared" si="12"/>
        <v>145.2</v>
      </c>
      <c r="AZ24" s="2" t="e">
        <f t="shared" si="13"/>
        <v>#REF!</v>
      </c>
      <c r="BD24" s="28"/>
      <c r="BJ24" s="1">
        <f t="shared" si="41"/>
      </c>
      <c r="BM24" s="1">
        <f t="shared" si="44"/>
      </c>
      <c r="AMH24" s="126"/>
      <c r="AMI24" s="126"/>
      <c r="AMJ24" s="126"/>
      <c r="AMK24" s="126"/>
    </row>
    <row hidden="1" r="25" ht="14.0" outlineLevel="1">
      <c r="A25" s="27" t="s">
        <v>28</v>
      </c>
      <c r="B25" s="27" t="s">
        <v>29</v>
      </c>
      <c r="C25" s="27" t="s">
        <v>69</v>
      </c>
      <c r="D25" s="27" t="s">
        <v>70</v>
      </c>
      <c r="E25" s="27">
        <v>484.0</v>
      </c>
      <c r="F25" s="27">
        <v>408.0</v>
      </c>
      <c r="G25" s="27">
        <v>455.0</v>
      </c>
      <c r="H25" s="27">
        <v>567.0</v>
      </c>
      <c r="I25" s="27">
        <v>558.0</v>
      </c>
      <c r="J25" s="27">
        <v>495.0</v>
      </c>
      <c r="K25" s="27">
        <v>424.0</v>
      </c>
      <c r="L25" s="27">
        <v>304.0</v>
      </c>
      <c r="M25" s="27">
        <v>295.0</v>
      </c>
      <c r="N25" s="27">
        <v>322.0</v>
      </c>
      <c r="O25" s="27">
        <v>300.0</v>
      </c>
      <c r="P25" s="27">
        <v>173.0</v>
      </c>
      <c r="Q25" s="27">
        <v>276.0</v>
      </c>
      <c r="R25" s="27">
        <v>312.0</v>
      </c>
      <c r="S25" s="27">
        <v>254.0</v>
      </c>
      <c r="T25" s="27">
        <v>385.0</v>
      </c>
      <c r="U25" s="27">
        <v>508.0</v>
      </c>
      <c r="V25" s="27">
        <v>550.0</v>
      </c>
      <c r="W25" s="27">
        <v>332.0</v>
      </c>
      <c r="X25" s="27">
        <v>132.0</v>
      </c>
      <c r="Y25" s="27">
        <v>443.0</v>
      </c>
      <c r="Z25" s="27">
        <v>242.0</v>
      </c>
      <c r="AA25" s="27">
        <v>274.0</v>
      </c>
      <c r="AB25" s="27">
        <v>273.0</v>
      </c>
      <c r="AC25" s="27">
        <v>219.0</v>
      </c>
      <c r="AD25" s="27">
        <v>346.0</v>
      </c>
      <c r="AE25" s="27">
        <v>163.0</v>
      </c>
      <c r="AF25" s="27">
        <v>421.0</v>
      </c>
      <c r="AG25" s="27">
        <v>306.0</v>
      </c>
      <c r="AH25" s="27">
        <v>466.0</v>
      </c>
      <c r="AI25" s="27">
        <v>193.0</v>
      </c>
      <c r="AJ25" s="27">
        <v>239.0</v>
      </c>
      <c r="AK25" s="27">
        <v>238.0</v>
      </c>
      <c r="AL25" s="27">
        <v>147.0</v>
      </c>
      <c r="AM25" s="27">
        <v>223.0</v>
      </c>
      <c r="AN25" s="27">
        <v>263.0</v>
      </c>
      <c r="AO25" s="28"/>
      <c r="AP25" s="28">
        <f t="shared" si="3"/>
        <v>3224.0</v>
      </c>
      <c r="AQ25" s="28">
        <f t="shared" si="4"/>
        <v>1303.0</v>
      </c>
      <c r="AR25" s="28">
        <f t="shared" si="5"/>
        <v>1433.3</v>
      </c>
      <c r="AS25" s="1">
        <f>AR25*$AS$4/$AR$4+12*$AS$29</f>
        <v>363.59039548022</v>
      </c>
      <c r="AT25" s="1">
        <f>AR25*$AT$4/$AR$4+12*$AT$29</f>
        <v>328.697740112994</v>
      </c>
      <c r="AU25" s="1">
        <f>AR25*$AU$4/$AR$4+12*$AU$29</f>
        <v>257.805084745762</v>
      </c>
      <c r="AV25" s="1">
        <f>AR25*$AV$4/$AR$4+12*$AV$29</f>
        <v>455.610169491525</v>
      </c>
      <c r="AW25" s="1">
        <f>AR25*$AW$4/$AR$4+12*$AW$29</f>
        <v>539.460451977401</v>
      </c>
      <c r="AX25" s="1">
        <f>AR25*$AX$4/$AR$4+12*$AX$29</f>
        <v>507.290960451977</v>
      </c>
      <c r="AY25" s="2">
        <f t="shared" si="12"/>
        <v>2452.45480225988</v>
      </c>
      <c r="AZ25" s="2" t="e">
        <f t="shared" si="13"/>
        <v>#REF!</v>
      </c>
      <c r="BD25" s="28" t="e">
        <f t="shared" ref="BD25:BD28" si="89">AZ25+BB25+BC25-AY25+BA25</f>
        <v>#REF!</v>
      </c>
      <c r="BE25" s="1">
        <f>VLOOKUP(C25,MOQ,3,FALSE())</f>
        <v>1620.0</v>
      </c>
      <c r="BF25" s="30" t="s">
        <v>32</v>
      </c>
      <c r="BG25" s="31" t="s">
        <v>7</v>
      </c>
      <c r="BH25" s="1" t="e">
        <f t="shared" ref="BH25:BH28" si="91">AZ25</f>
        <v>#REF!</v>
      </c>
      <c r="BI25" s="1">
        <f t="shared" ref="BI25:BI28" si="92">AS25</f>
        <v>363.59039548022</v>
      </c>
      <c r="BJ25" s="1">
        <f t="shared" si="41"/>
      </c>
      <c r="BK25" s="3" t="e">
        <f t="shared" ref="BK25:BK28" si="93">BH25+BJ25-BI25</f>
        <v>#REF!</v>
      </c>
      <c r="BL25" s="1">
        <f t="shared" ref="BL25:BL28" si="94">AT25</f>
        <v>328.697740112994</v>
      </c>
      <c r="BM25" s="1">
        <f t="shared" si="44"/>
      </c>
      <c r="BN25" s="3" t="e">
        <f t="shared" ref="BN25:BN28" si="95">BK25+BM25-BL25</f>
        <v>#REF!</v>
      </c>
      <c r="BO25" s="1">
        <f t="shared" ref="BO25:BO28" si="96">AU25</f>
        <v>257.805084745762</v>
      </c>
      <c r="BQ25" s="3" t="e">
        <f t="shared" ref="BQ25:BQ28" si="97">BN25+BP25-BO25</f>
        <v>#REF!</v>
      </c>
      <c r="BR25" s="1">
        <f t="shared" ref="BR25:BR28" si="98">AV25</f>
        <v>455.610169491525</v>
      </c>
      <c r="BT25" s="3" t="e">
        <f t="shared" ref="BT25:BT28" si="99">BQ25+BS25-BR25</f>
        <v>#REF!</v>
      </c>
      <c r="BU25" s="1">
        <f t="shared" ref="BU25:BU28" si="100">AW25</f>
        <v>539.460451977401</v>
      </c>
      <c r="BW25" s="3" t="e">
        <f t="shared" ref="BW25:BW28" si="101">BT25+BV25-BU25</f>
        <v>#REF!</v>
      </c>
      <c r="BX25" s="1">
        <f t="shared" ref="BX25:BX28" si="102">AX25</f>
        <v>507.290960451977</v>
      </c>
      <c r="BZ25" s="3" t="e">
        <f t="shared" ref="BZ25:BZ28" si="103">BW25+BY25-BX25</f>
        <v>#REF!</v>
      </c>
    </row>
    <row hidden="1" r="26" ht="14.0" outlineLevel="1">
      <c r="A26" s="166" t="s">
        <v>45</v>
      </c>
      <c r="B26" s="27" t="s">
        <v>29</v>
      </c>
      <c r="C26" s="27" t="s">
        <v>71</v>
      </c>
      <c r="D26" s="27" t="s">
        <v>72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>
        <v>0.0</v>
      </c>
      <c r="AO26" s="27"/>
      <c r="AP26" s="28">
        <f t="shared" si="3"/>
        <v>0.0</v>
      </c>
      <c r="AQ26" s="28">
        <f t="shared" si="4"/>
        <v>0.0</v>
      </c>
      <c r="AR26" s="28">
        <f t="shared" si="5"/>
        <v>0.0</v>
      </c>
      <c r="AS26" s="1">
        <f t="shared" ref="AS26:AS28" si="104">AR26*$AS$4/$AR$4+6*$AS$29</f>
        <v>18.0</v>
      </c>
      <c r="AT26" s="1">
        <f t="shared" ref="AT26:AT28" si="105">AR26*$AT$4/$AR$4+6*$AT$29</f>
        <v>30.0</v>
      </c>
      <c r="AU26" s="1">
        <f t="shared" ref="AU26:AU28" si="106">AR26*$AU$4/$AR$4+6*$AU$29</f>
        <v>24.0</v>
      </c>
      <c r="AV26" s="1">
        <f t="shared" ref="AV26:AV28" si="107">AR26*$AV$4/$AR$4+6*$AV$29</f>
        <v>18.0</v>
      </c>
      <c r="AW26" s="1">
        <f t="shared" ref="AW26:AW28" si="108">AR26*$AW$4/$AR$4+6*$AW$29</f>
        <v>36.0</v>
      </c>
      <c r="AX26" s="1">
        <f t="shared" ref="AX26:AX28" si="109">AR26*$AX$4/$AR$4+6*$AX$29</f>
        <v>42.0</v>
      </c>
      <c r="AY26" s="2">
        <f t="shared" si="12"/>
        <v>168.0</v>
      </c>
      <c r="AZ26" s="2" t="e">
        <f t="shared" si="13"/>
        <v>#REF!</v>
      </c>
      <c r="BD26" s="28" t="e">
        <f t="shared" si="89"/>
        <v>#REF!</v>
      </c>
      <c r="BE26" s="1">
        <f>VLOOKUP(C26,MOQ,3,FALSE())</f>
        <v>1080.0</v>
      </c>
      <c r="BF26" s="30"/>
      <c r="BG26" s="4" t="s">
        <v>227</v>
      </c>
      <c r="BH26" s="1" t="e">
        <f t="shared" si="91"/>
        <v>#REF!</v>
      </c>
      <c r="BI26" s="1">
        <f t="shared" si="92"/>
        <v>18.0</v>
      </c>
      <c r="BJ26" s="1">
        <f t="shared" si="41"/>
      </c>
      <c r="BK26" s="3" t="e">
        <f t="shared" si="93"/>
        <v>#REF!</v>
      </c>
      <c r="BL26" s="1">
        <f t="shared" si="94"/>
        <v>30.0</v>
      </c>
      <c r="BM26" s="1">
        <f t="shared" si="44"/>
      </c>
      <c r="BN26" s="3" t="e">
        <f t="shared" si="95"/>
        <v>#REF!</v>
      </c>
      <c r="BO26" s="1">
        <f t="shared" si="96"/>
        <v>24.0</v>
      </c>
      <c r="BQ26" s="3" t="e">
        <f t="shared" si="97"/>
        <v>#REF!</v>
      </c>
      <c r="BR26" s="1">
        <f t="shared" si="98"/>
        <v>18.0</v>
      </c>
      <c r="BT26" s="3" t="e">
        <f t="shared" si="99"/>
        <v>#REF!</v>
      </c>
      <c r="BU26" s="1">
        <f t="shared" si="100"/>
        <v>36.0</v>
      </c>
      <c r="BW26" s="3" t="e">
        <f t="shared" si="101"/>
        <v>#REF!</v>
      </c>
      <c r="BX26" s="1">
        <f t="shared" si="102"/>
        <v>42.0</v>
      </c>
      <c r="BZ26" s="3" t="e">
        <f t="shared" si="103"/>
        <v>#REF!</v>
      </c>
    </row>
    <row hidden="1" r="27" ht="14.0" outlineLevel="1">
      <c r="A27" s="166" t="s">
        <v>45</v>
      </c>
      <c r="B27" s="27" t="s">
        <v>29</v>
      </c>
      <c r="C27" s="27" t="s">
        <v>73</v>
      </c>
      <c r="D27" s="27" t="s">
        <v>74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>
        <v>-1.0</v>
      </c>
      <c r="AO27" s="27"/>
      <c r="AP27" s="28">
        <f t="shared" si="3"/>
        <v>-1.0</v>
      </c>
      <c r="AQ27" s="28">
        <f t="shared" si="4"/>
        <v>-1.0</v>
      </c>
      <c r="AR27" s="28">
        <f t="shared" si="5"/>
        <v>-1.1</v>
      </c>
      <c r="AS27" s="1">
        <f t="shared" si="104"/>
        <v>17.7485875706214</v>
      </c>
      <c r="AT27" s="1">
        <f t="shared" si="105"/>
        <v>29.7937853107344</v>
      </c>
      <c r="AU27" s="1">
        <f t="shared" si="106"/>
        <v>23.8389830508474</v>
      </c>
      <c r="AV27" s="1">
        <f t="shared" si="107"/>
        <v>17.6779661016949</v>
      </c>
      <c r="AW27" s="1">
        <f t="shared" si="108"/>
        <v>35.6412429378531</v>
      </c>
      <c r="AX27" s="1">
        <f t="shared" si="109"/>
        <v>41.6751412429379</v>
      </c>
      <c r="AY27" s="2">
        <f t="shared" si="12"/>
        <v>166.375706214689</v>
      </c>
      <c r="AZ27" s="2" t="e">
        <f t="shared" si="13"/>
        <v>#REF!</v>
      </c>
      <c r="BD27" s="28" t="e">
        <f t="shared" si="89"/>
        <v>#REF!</v>
      </c>
      <c r="BE27" s="1">
        <f>VLOOKUP(C27,MOQ,3,FALSE())</f>
        <v>660.0</v>
      </c>
      <c r="BF27" s="30"/>
      <c r="BG27" s="4" t="s">
        <v>227</v>
      </c>
      <c r="BH27" s="1" t="e">
        <f t="shared" si="91"/>
        <v>#REF!</v>
      </c>
      <c r="BI27" s="1">
        <f t="shared" si="92"/>
        <v>17.7485875706214</v>
      </c>
      <c r="BJ27" s="1">
        <f t="shared" si="41"/>
      </c>
      <c r="BK27" s="3" t="e">
        <f t="shared" si="93"/>
        <v>#REF!</v>
      </c>
      <c r="BL27" s="1">
        <f t="shared" si="94"/>
        <v>29.7937853107344</v>
      </c>
      <c r="BM27" s="1">
        <f t="shared" si="44"/>
      </c>
      <c r="BN27" s="3" t="e">
        <f t="shared" si="95"/>
        <v>#REF!</v>
      </c>
      <c r="BO27" s="1">
        <f t="shared" si="96"/>
        <v>23.8389830508474</v>
      </c>
      <c r="BQ27" s="3" t="e">
        <f t="shared" si="97"/>
        <v>#REF!</v>
      </c>
      <c r="BR27" s="1">
        <f t="shared" si="98"/>
        <v>17.6779661016949</v>
      </c>
      <c r="BT27" s="3" t="e">
        <f t="shared" si="99"/>
        <v>#REF!</v>
      </c>
      <c r="BU27" s="1">
        <f t="shared" si="100"/>
        <v>35.6412429378531</v>
      </c>
      <c r="BW27" s="3" t="e">
        <f t="shared" si="101"/>
        <v>#REF!</v>
      </c>
      <c r="BX27" s="1">
        <f t="shared" si="102"/>
        <v>41.6751412429379</v>
      </c>
      <c r="BZ27" s="3" t="e">
        <f t="shared" si="103"/>
        <v>#REF!</v>
      </c>
    </row>
    <row hidden="1" r="28" ht="14.0" outlineLevel="1">
      <c r="A28" s="166" t="s">
        <v>45</v>
      </c>
      <c r="B28" s="27" t="s">
        <v>29</v>
      </c>
      <c r="C28" s="27" t="s">
        <v>75</v>
      </c>
      <c r="D28" s="27" t="s">
        <v>76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>
        <v>6.0</v>
      </c>
      <c r="AO28" s="27"/>
      <c r="AP28" s="28">
        <f t="shared" si="3"/>
        <v>6.0</v>
      </c>
      <c r="AQ28" s="28">
        <f t="shared" si="4"/>
        <v>6.0</v>
      </c>
      <c r="AR28" s="28">
        <f t="shared" si="5"/>
        <v>6.6</v>
      </c>
      <c r="AS28" s="1">
        <f t="shared" si="104"/>
        <v>19.5084745762711</v>
      </c>
      <c r="AT28" s="1">
        <f t="shared" si="105"/>
        <v>31.2372881355932</v>
      </c>
      <c r="AU28" s="1">
        <f t="shared" si="106"/>
        <v>24.9661016949152</v>
      </c>
      <c r="AV28" s="1">
        <f t="shared" si="107"/>
        <v>19.9322033898305</v>
      </c>
      <c r="AW28" s="1">
        <f t="shared" si="108"/>
        <v>38.1525423728813</v>
      </c>
      <c r="AX28" s="1">
        <f t="shared" si="109"/>
        <v>43.9491525423729</v>
      </c>
      <c r="AY28" s="2">
        <f t="shared" si="12"/>
        <v>177.745762711864</v>
      </c>
      <c r="AZ28" s="2" t="e">
        <f t="shared" si="13"/>
        <v>#REF!</v>
      </c>
      <c r="BD28" s="28" t="e">
        <f t="shared" si="89"/>
        <v>#REF!</v>
      </c>
      <c r="BE28" s="1">
        <f>VLOOKUP(C28,MOQ,3,FALSE())</f>
        <v>480.0</v>
      </c>
      <c r="BF28" s="30"/>
      <c r="BG28" s="4" t="s">
        <v>227</v>
      </c>
      <c r="BH28" s="1" t="e">
        <f t="shared" si="91"/>
        <v>#REF!</v>
      </c>
      <c r="BI28" s="1">
        <f t="shared" si="92"/>
        <v>19.5084745762711</v>
      </c>
      <c r="BJ28" s="1">
        <f t="shared" si="41"/>
      </c>
      <c r="BK28" s="3" t="e">
        <f t="shared" si="93"/>
        <v>#REF!</v>
      </c>
      <c r="BL28" s="1">
        <f t="shared" si="94"/>
        <v>31.2372881355932</v>
      </c>
      <c r="BM28" s="1">
        <f t="shared" si="44"/>
      </c>
      <c r="BN28" s="3" t="e">
        <f t="shared" si="95"/>
        <v>#REF!</v>
      </c>
      <c r="BO28" s="1">
        <f t="shared" si="96"/>
        <v>24.9661016949152</v>
      </c>
      <c r="BQ28" s="3" t="e">
        <f t="shared" si="97"/>
        <v>#REF!</v>
      </c>
      <c r="BR28" s="1">
        <f t="shared" si="98"/>
        <v>19.9322033898305</v>
      </c>
      <c r="BT28" s="3" t="e">
        <f t="shared" si="99"/>
        <v>#REF!</v>
      </c>
      <c r="BU28" s="1">
        <f t="shared" si="100"/>
        <v>38.1525423728813</v>
      </c>
      <c r="BW28" s="3" t="e">
        <f t="shared" si="101"/>
        <v>#REF!</v>
      </c>
      <c r="BX28" s="1">
        <f t="shared" si="102"/>
        <v>43.9491525423729</v>
      </c>
      <c r="BZ28" s="3" t="e">
        <f t="shared" si="103"/>
        <v>#REF!</v>
      </c>
    </row>
    <row r="29" ht="14.0" collapsed="1">
      <c r="A29" s="27" t="s">
        <v>28</v>
      </c>
      <c r="B29" s="27" t="s">
        <v>29</v>
      </c>
      <c r="C29" s="27" t="s">
        <v>78</v>
      </c>
      <c r="D29" s="27" t="s">
        <v>79</v>
      </c>
      <c r="E29" s="27">
        <v>8.0</v>
      </c>
      <c r="F29" s="27">
        <v>9.0</v>
      </c>
      <c r="G29" s="27">
        <v>9.0</v>
      </c>
      <c r="H29" s="27">
        <v>12.0</v>
      </c>
      <c r="I29" s="27">
        <v>14.0</v>
      </c>
      <c r="J29" s="27">
        <v>4.0</v>
      </c>
      <c r="K29" s="27">
        <v>9.0</v>
      </c>
      <c r="L29" s="27">
        <v>9.0</v>
      </c>
      <c r="M29" s="27">
        <v>13.0</v>
      </c>
      <c r="N29" s="27">
        <v>7.0</v>
      </c>
      <c r="O29" s="27">
        <v>6.0</v>
      </c>
      <c r="P29" s="27">
        <v>9.0</v>
      </c>
      <c r="Q29" s="27">
        <v>9.0</v>
      </c>
      <c r="R29" s="27">
        <v>10.0</v>
      </c>
      <c r="S29" s="27">
        <v>8.0</v>
      </c>
      <c r="T29" s="27">
        <v>9.0</v>
      </c>
      <c r="U29" s="27">
        <v>4.0</v>
      </c>
      <c r="V29" s="27">
        <v>7.0</v>
      </c>
      <c r="W29" s="27">
        <v>5.0</v>
      </c>
      <c r="X29" s="27">
        <v>1.0</v>
      </c>
      <c r="Y29" s="27">
        <v>1.0</v>
      </c>
      <c r="Z29" s="27">
        <v>0.0</v>
      </c>
      <c r="AA29" s="27">
        <v>8.0</v>
      </c>
      <c r="AB29" s="27">
        <v>3.0</v>
      </c>
      <c r="AC29" s="27">
        <v>4.0</v>
      </c>
      <c r="AD29" s="27">
        <v>4.0</v>
      </c>
      <c r="AE29" s="27">
        <v>11.0</v>
      </c>
      <c r="AF29" s="27">
        <v>7.0</v>
      </c>
      <c r="AG29" s="27">
        <v>9.0</v>
      </c>
      <c r="AH29" s="27">
        <v>5.0</v>
      </c>
      <c r="AI29" s="27">
        <v>3.0</v>
      </c>
      <c r="AJ29" s="27">
        <v>1.0</v>
      </c>
      <c r="AK29" s="27">
        <v>3.0</v>
      </c>
      <c r="AL29" s="27">
        <v>2.0</v>
      </c>
      <c r="AM29" s="27">
        <v>0.0</v>
      </c>
      <c r="AN29" s="27">
        <v>0.0</v>
      </c>
      <c r="AO29" s="28"/>
      <c r="AP29" s="28">
        <f t="shared" si="3"/>
        <v>49.0</v>
      </c>
      <c r="AQ29" s="28">
        <f t="shared" si="4"/>
        <v>9.0</v>
      </c>
      <c r="AR29" s="32">
        <f t="shared" si="5"/>
        <v>9.9</v>
      </c>
      <c r="AS29" s="167">
        <v>3.0</v>
      </c>
      <c r="AT29" s="167">
        <v>5.0</v>
      </c>
      <c r="AU29" s="167">
        <v>4.0</v>
      </c>
      <c r="AV29" s="167">
        <v>3.0</v>
      </c>
      <c r="AW29" s="167">
        <v>6.0</v>
      </c>
      <c r="AX29" s="167">
        <v>7.0</v>
      </c>
      <c r="AY29" s="2">
        <f t="shared" si="12"/>
        <v>28.0</v>
      </c>
      <c r="AZ29" s="2" t="e">
        <f t="shared" si="13"/>
        <v>#REF!</v>
      </c>
      <c r="BD29" s="28"/>
      <c r="BJ29" s="1">
        <f t="shared" si="41"/>
      </c>
      <c r="BK29" s="3"/>
      <c r="BM29" s="1">
        <f t="shared" si="44"/>
      </c>
      <c r="BN29" s="3"/>
      <c r="BQ29" s="3"/>
      <c r="BT29" s="3"/>
      <c r="BW29" s="3"/>
      <c r="BZ29" s="3"/>
    </row>
    <row r="30" ht="14.0">
      <c r="A30" s="27" t="s">
        <v>28</v>
      </c>
      <c r="B30" s="27" t="s">
        <v>29</v>
      </c>
      <c r="C30" s="27" t="s">
        <v>80</v>
      </c>
      <c r="D30" s="27" t="s">
        <v>81</v>
      </c>
      <c r="E30" s="27">
        <v>48.0</v>
      </c>
      <c r="F30" s="27">
        <v>1409.0</v>
      </c>
      <c r="G30" s="27">
        <v>1121.0</v>
      </c>
      <c r="H30" s="27">
        <v>210.0</v>
      </c>
      <c r="I30" s="27">
        <v>177.0</v>
      </c>
      <c r="J30" s="27">
        <v>1956.0</v>
      </c>
      <c r="K30" s="27">
        <v>195.0</v>
      </c>
      <c r="L30" s="27">
        <v>643.0</v>
      </c>
      <c r="M30" s="27">
        <v>4.0</v>
      </c>
      <c r="N30" s="27">
        <v>1219.0</v>
      </c>
      <c r="O30" s="27">
        <v>222.0</v>
      </c>
      <c r="P30" s="27">
        <v>162.0</v>
      </c>
      <c r="Q30" s="27">
        <v>678.0</v>
      </c>
      <c r="R30" s="27">
        <v>936.0</v>
      </c>
      <c r="S30" s="27">
        <v>26.0</v>
      </c>
      <c r="T30" s="27">
        <v>960.0</v>
      </c>
      <c r="U30" s="27">
        <v>876.0</v>
      </c>
      <c r="V30" s="27">
        <v>534.0</v>
      </c>
      <c r="W30" s="27">
        <v>464.0</v>
      </c>
      <c r="X30" s="27">
        <v>223.0</v>
      </c>
      <c r="Y30" s="27">
        <v>760.0</v>
      </c>
      <c r="Z30" s="27">
        <v>229.0</v>
      </c>
      <c r="AA30" s="27">
        <v>985.0</v>
      </c>
      <c r="AB30" s="27">
        <v>96.0</v>
      </c>
      <c r="AC30" s="27">
        <v>809.0</v>
      </c>
      <c r="AD30" s="27">
        <v>144.0</v>
      </c>
      <c r="AE30" s="27">
        <v>162.0</v>
      </c>
      <c r="AF30" s="27">
        <v>611.0</v>
      </c>
      <c r="AG30" s="27">
        <v>679.0</v>
      </c>
      <c r="AH30" s="27">
        <v>600.0</v>
      </c>
      <c r="AI30" s="27">
        <v>642.0</v>
      </c>
      <c r="AJ30" s="27">
        <v>285.0</v>
      </c>
      <c r="AK30" s="27">
        <v>168.0</v>
      </c>
      <c r="AL30" s="27">
        <v>384.0</v>
      </c>
      <c r="AM30" s="27">
        <v>318.0</v>
      </c>
      <c r="AN30" s="27">
        <v>292.0</v>
      </c>
      <c r="AO30" s="28"/>
      <c r="AP30" s="28">
        <f t="shared" si="3"/>
        <v>5094.0</v>
      </c>
      <c r="AQ30" s="28">
        <f t="shared" si="4"/>
        <v>2089.0</v>
      </c>
      <c r="AR30" s="28">
        <f t="shared" si="5"/>
        <v>2297.9</v>
      </c>
      <c r="AS30" s="1">
        <f>AR30*$AS$4/$AR$4+12*$AS$35</f>
        <v>585.539548022598</v>
      </c>
      <c r="AT30" s="1">
        <f>AR30*$AT$4/$AR$4+12*$AT$35</f>
        <v>490.782485875706</v>
      </c>
      <c r="AU30" s="1">
        <f>AR30*$AU$4/$AR$4+12*$AU$35</f>
        <v>384.364406779661</v>
      </c>
      <c r="AV30" s="1">
        <f>AR30*$AV$4/$AR$4+12*$AV$35</f>
        <v>708.728813559322</v>
      </c>
      <c r="AW30" s="1">
        <f>AR30*$AW$4/$AR$4+12*$AW$35</f>
        <v>833.443502824859</v>
      </c>
      <c r="AX30" s="1">
        <f>AR30*$AX$4/$AR$4+12*$AX$35</f>
        <v>774.629943502824</v>
      </c>
      <c r="AY30" s="2">
        <f t="shared" si="12"/>
        <v>3777.48870056497</v>
      </c>
      <c r="AZ30" s="2" t="e">
        <f t="shared" si="13"/>
        <v>#REF!</v>
      </c>
      <c r="BB30" s="1" t="e">
        <f t="shared" ref="BB30:BB31" si="116">VLOOKUP(C30,AUGUST,3,false)</f>
        <v>#REF!</v>
      </c>
      <c r="BD30" s="28" t="e">
        <f t="shared" ref="BD30:BD34" si="117">AZ30+BB30+BC30-AY30+BA30</f>
        <v>#REF!</v>
      </c>
      <c r="BE30" s="1">
        <f>VLOOKUP(C30,MOQ,3,FALSE())</f>
        <v>3000.0</v>
      </c>
      <c r="BF30" s="168" t="s">
        <v>32</v>
      </c>
      <c r="BH30" s="1" t="e">
        <f t="shared" ref="BH30:BH34" si="119">AZ30</f>
        <v>#REF!</v>
      </c>
      <c r="BI30" s="1">
        <f t="shared" ref="BI30:BI34" si="120">AS30</f>
        <v>585.539548022598</v>
      </c>
      <c r="BJ30" s="1">
        <f t="shared" si="41"/>
      </c>
      <c r="BK30" s="3" t="e">
        <f t="shared" ref="BK30:BK34" si="121">BH30+BJ30-BI30</f>
        <v>#REF!</v>
      </c>
      <c r="BL30" s="1">
        <f t="shared" ref="BL30:BL34" si="122">AT30</f>
        <v>490.782485875706</v>
      </c>
      <c r="BM30" s="1" t="e">
        <f t="shared" si="44"/>
        <v>#REF!</v>
      </c>
      <c r="BN30" s="3" t="e">
        <f t="shared" ref="BN30:BN34" si="123">BK30+BM30-BL30</f>
        <v>#REF!</v>
      </c>
      <c r="BO30" s="1">
        <f t="shared" ref="BO30:BO34" si="124">AU30</f>
        <v>384.364406779661</v>
      </c>
      <c r="BQ30" s="3" t="e">
        <f t="shared" ref="BQ30:BQ34" si="125">BN30+BP30-BO30</f>
        <v>#REF!</v>
      </c>
      <c r="BR30" s="1">
        <f t="shared" ref="BR30:BR34" si="126">AV30</f>
        <v>708.728813559322</v>
      </c>
      <c r="BT30" s="3" t="e">
        <f t="shared" ref="BT30:BT34" si="127">BQ30+BS30-BR30</f>
        <v>#REF!</v>
      </c>
      <c r="BU30" s="1">
        <f t="shared" ref="BU30:BU34" si="128">AW30</f>
        <v>833.443502824859</v>
      </c>
      <c r="BW30" s="3" t="e">
        <f t="shared" ref="BW30:BW34" si="129">BT30+BV30-BU30</f>
        <v>#REF!</v>
      </c>
      <c r="BX30" s="1">
        <f t="shared" ref="BX30:BX34" si="130">AX30</f>
        <v>774.629943502824</v>
      </c>
      <c r="BZ30" s="3" t="e">
        <f t="shared" ref="BZ30:BZ34" si="131">BW30+BY30-BX30</f>
        <v>#REF!</v>
      </c>
    </row>
    <row r="31" ht="14.0">
      <c r="A31" s="27" t="s">
        <v>28</v>
      </c>
      <c r="B31" s="27" t="s">
        <v>29</v>
      </c>
      <c r="C31" s="27" t="s">
        <v>82</v>
      </c>
      <c r="D31" s="27" t="s">
        <v>83</v>
      </c>
      <c r="E31" s="27">
        <v>36.0</v>
      </c>
      <c r="F31" s="27">
        <v>1290.0</v>
      </c>
      <c r="G31" s="27">
        <v>899.0</v>
      </c>
      <c r="H31" s="27">
        <v>228.0</v>
      </c>
      <c r="I31" s="27">
        <v>280.0</v>
      </c>
      <c r="J31" s="27">
        <v>1686.0</v>
      </c>
      <c r="K31" s="27">
        <v>157.0</v>
      </c>
      <c r="L31" s="27">
        <v>882.0</v>
      </c>
      <c r="M31" s="27">
        <v>222.0</v>
      </c>
      <c r="N31" s="27">
        <v>1068.0</v>
      </c>
      <c r="O31" s="27">
        <v>175.0</v>
      </c>
      <c r="P31" s="27">
        <v>142.0</v>
      </c>
      <c r="Q31" s="27">
        <v>690.0</v>
      </c>
      <c r="R31" s="27">
        <v>682.0</v>
      </c>
      <c r="S31" s="27">
        <v>-14.0</v>
      </c>
      <c r="T31" s="27">
        <v>669.0</v>
      </c>
      <c r="U31" s="27">
        <v>637.0</v>
      </c>
      <c r="V31" s="27">
        <v>556.0</v>
      </c>
      <c r="W31" s="27">
        <v>502.0</v>
      </c>
      <c r="X31" s="27">
        <v>172.0</v>
      </c>
      <c r="Y31" s="27">
        <v>642.0</v>
      </c>
      <c r="Z31" s="27">
        <v>131.0</v>
      </c>
      <c r="AA31" s="27">
        <v>1033.0</v>
      </c>
      <c r="AB31" s="27">
        <v>90.0</v>
      </c>
      <c r="AC31" s="27">
        <v>652.0</v>
      </c>
      <c r="AD31" s="27">
        <v>132.0</v>
      </c>
      <c r="AE31" s="27">
        <v>108.0</v>
      </c>
      <c r="AF31" s="27">
        <v>548.0</v>
      </c>
      <c r="AG31" s="27">
        <v>642.0</v>
      </c>
      <c r="AH31" s="27">
        <v>446.0</v>
      </c>
      <c r="AI31" s="27">
        <v>657.0</v>
      </c>
      <c r="AJ31" s="27">
        <v>312.0</v>
      </c>
      <c r="AK31" s="27">
        <v>144.0</v>
      </c>
      <c r="AL31" s="27">
        <v>309.0</v>
      </c>
      <c r="AM31" s="27">
        <v>282.0</v>
      </c>
      <c r="AN31" s="27">
        <v>228.0</v>
      </c>
      <c r="AO31" s="28"/>
      <c r="AP31" s="28">
        <f t="shared" si="3"/>
        <v>4460.0</v>
      </c>
      <c r="AQ31" s="28">
        <f t="shared" si="4"/>
        <v>1932.0</v>
      </c>
      <c r="AR31" s="28">
        <f t="shared" si="5"/>
        <v>2125.2</v>
      </c>
      <c r="AS31" s="1">
        <f t="shared" ref="AS31:AS34" si="132">AR31*$AS$4/$AR$4+6*$AS$35</f>
        <v>515.898305084744</v>
      </c>
      <c r="AT31" s="1">
        <f t="shared" ref="AT31:AT34" si="133">AR31*$AT$4/$AR$4+6*$AT$35</f>
        <v>428.406779661017</v>
      </c>
      <c r="AU31" s="1">
        <f t="shared" ref="AU31:AU34" si="134">AR31*$AU$4/$AR$4+6*$AU$35</f>
        <v>335.084745762711</v>
      </c>
      <c r="AV31" s="1">
        <f t="shared" ref="AV31:AV34" si="135">AR31*$AV$4/$AR$4+6*$AV$35</f>
        <v>640.169491525423</v>
      </c>
      <c r="AW31" s="1">
        <f t="shared" ref="AW31:AW34" si="136">AR31*$AW$4/$AR$4+6*$AW$35</f>
        <v>735.118644067797</v>
      </c>
      <c r="AX31" s="1">
        <f t="shared" ref="AX31:AX34" si="137">AR31*$AX$4/$AR$4+6*$AX$35</f>
        <v>675.627118644068</v>
      </c>
      <c r="AY31" s="2">
        <f t="shared" si="12"/>
        <v>3330.30508474576</v>
      </c>
      <c r="AZ31" s="2" t="e">
        <f t="shared" si="13"/>
        <v>#REF!</v>
      </c>
      <c r="BB31" s="1" t="e">
        <f t="shared" si="116"/>
        <v>#REF!</v>
      </c>
      <c r="BD31" s="28" t="e">
        <f t="shared" si="117"/>
        <v>#REF!</v>
      </c>
      <c r="BE31" s="1">
        <f>VLOOKUP(C31,MOQ,3,FALSE())</f>
        <v>3000.0</v>
      </c>
      <c r="BH31" s="1" t="e">
        <f t="shared" si="119"/>
        <v>#REF!</v>
      </c>
      <c r="BI31" s="1">
        <f t="shared" si="120"/>
        <v>515.898305084744</v>
      </c>
      <c r="BJ31" s="1">
        <f t="shared" si="41"/>
      </c>
      <c r="BK31" s="3" t="e">
        <f t="shared" si="121"/>
        <v>#REF!</v>
      </c>
      <c r="BL31" s="1">
        <f t="shared" si="122"/>
        <v>428.406779661017</v>
      </c>
      <c r="BM31" s="1" t="e">
        <f t="shared" si="44"/>
        <v>#REF!</v>
      </c>
      <c r="BN31" s="3" t="e">
        <f t="shared" si="123"/>
        <v>#REF!</v>
      </c>
      <c r="BO31" s="1">
        <f t="shared" si="124"/>
        <v>335.084745762711</v>
      </c>
      <c r="BQ31" s="3" t="e">
        <f t="shared" si="125"/>
        <v>#REF!</v>
      </c>
      <c r="BR31" s="1">
        <f t="shared" si="126"/>
        <v>640.169491525423</v>
      </c>
      <c r="BT31" s="3" t="e">
        <f t="shared" si="127"/>
        <v>#REF!</v>
      </c>
      <c r="BU31" s="1">
        <f t="shared" si="128"/>
        <v>735.118644067797</v>
      </c>
      <c r="BW31" s="3" t="e">
        <f t="shared" si="129"/>
        <v>#REF!</v>
      </c>
      <c r="BX31" s="1">
        <f t="shared" si="130"/>
        <v>675.627118644068</v>
      </c>
      <c r="BZ31" s="3" t="e">
        <f t="shared" si="131"/>
        <v>#REF!</v>
      </c>
    </row>
    <row r="32" ht="14.0">
      <c r="A32" s="27" t="s">
        <v>28</v>
      </c>
      <c r="B32" s="27" t="s">
        <v>29</v>
      </c>
      <c r="C32" s="27" t="s">
        <v>84</v>
      </c>
      <c r="D32" s="27" t="s">
        <v>85</v>
      </c>
      <c r="E32" s="27">
        <v>30.0</v>
      </c>
      <c r="F32" s="27">
        <v>48.0</v>
      </c>
      <c r="G32" s="27">
        <v>107.0</v>
      </c>
      <c r="H32" s="27">
        <v>102.0</v>
      </c>
      <c r="I32" s="27">
        <v>179.0</v>
      </c>
      <c r="J32" s="27">
        <v>454.0</v>
      </c>
      <c r="K32" s="27">
        <v>140.0</v>
      </c>
      <c r="L32" s="27">
        <v>258.0</v>
      </c>
      <c r="M32" s="27">
        <v>232.0</v>
      </c>
      <c r="N32" s="27">
        <v>524.0</v>
      </c>
      <c r="O32" s="27">
        <v>86.0</v>
      </c>
      <c r="P32" s="27">
        <v>71.0</v>
      </c>
      <c r="Q32" s="27">
        <v>293.0</v>
      </c>
      <c r="R32" s="27">
        <v>130.0</v>
      </c>
      <c r="S32" s="27">
        <v>71.0</v>
      </c>
      <c r="T32" s="27">
        <v>142.0</v>
      </c>
      <c r="U32" s="27">
        <v>137.0</v>
      </c>
      <c r="V32" s="27">
        <v>150.0</v>
      </c>
      <c r="W32" s="27">
        <v>160.0</v>
      </c>
      <c r="X32" s="27">
        <v>135.0</v>
      </c>
      <c r="Y32" s="27">
        <v>144.0</v>
      </c>
      <c r="Z32" s="27">
        <v>110.0</v>
      </c>
      <c r="AA32" s="27">
        <v>108.0</v>
      </c>
      <c r="AB32" s="27">
        <v>60.0</v>
      </c>
      <c r="AC32" s="27">
        <v>114.0</v>
      </c>
      <c r="AD32" s="27">
        <v>88.0</v>
      </c>
      <c r="AE32" s="27">
        <v>66.0</v>
      </c>
      <c r="AF32" s="27">
        <v>173.0</v>
      </c>
      <c r="AG32" s="27">
        <v>134.0</v>
      </c>
      <c r="AH32" s="27">
        <v>127.0</v>
      </c>
      <c r="AI32" s="27">
        <v>150.0</v>
      </c>
      <c r="AJ32" s="27">
        <v>125.0</v>
      </c>
      <c r="AK32" s="27">
        <v>123.0</v>
      </c>
      <c r="AL32" s="27">
        <v>78.0</v>
      </c>
      <c r="AM32" s="27">
        <v>91.0</v>
      </c>
      <c r="AN32" s="27">
        <v>59.0</v>
      </c>
      <c r="AO32" s="28"/>
      <c r="AP32" s="28">
        <f t="shared" si="3"/>
        <v>1328.0</v>
      </c>
      <c r="AQ32" s="28">
        <f t="shared" si="4"/>
        <v>626.0</v>
      </c>
      <c r="AR32" s="28">
        <f t="shared" si="5"/>
        <v>688.6</v>
      </c>
      <c r="AS32" s="1">
        <f t="shared" si="132"/>
        <v>187.553672316383</v>
      </c>
      <c r="AT32" s="1">
        <f t="shared" si="133"/>
        <v>159.090395480226</v>
      </c>
      <c r="AU32" s="1">
        <f t="shared" si="134"/>
        <v>124.796610169491</v>
      </c>
      <c r="AV32" s="1">
        <f t="shared" si="135"/>
        <v>219.593220338983</v>
      </c>
      <c r="AW32" s="1">
        <f t="shared" si="136"/>
        <v>266.581920903954</v>
      </c>
      <c r="AX32" s="1">
        <f t="shared" si="137"/>
        <v>251.361581920903</v>
      </c>
      <c r="AY32" s="2">
        <f t="shared" si="12"/>
        <v>1208.97740112994</v>
      </c>
      <c r="AZ32" s="2" t="e">
        <f t="shared" si="13"/>
        <v>#REF!</v>
      </c>
      <c r="BD32" s="28" t="e">
        <f t="shared" si="117"/>
        <v>#REF!</v>
      </c>
      <c r="BE32" s="1">
        <f>VLOOKUP(C32,MOQ,3,FALSE())</f>
        <v>3000.0</v>
      </c>
      <c r="BH32" s="1" t="e">
        <f t="shared" si="119"/>
        <v>#REF!</v>
      </c>
      <c r="BI32" s="1">
        <f t="shared" si="120"/>
        <v>187.553672316383</v>
      </c>
      <c r="BJ32" s="1">
        <f t="shared" si="41"/>
      </c>
      <c r="BK32" s="3" t="e">
        <f t="shared" si="121"/>
        <v>#REF!</v>
      </c>
      <c r="BL32" s="1">
        <f t="shared" si="122"/>
        <v>159.090395480226</v>
      </c>
      <c r="BM32" s="1">
        <f t="shared" si="44"/>
      </c>
      <c r="BN32" s="3" t="e">
        <f t="shared" si="123"/>
        <v>#REF!</v>
      </c>
      <c r="BO32" s="1">
        <f t="shared" si="124"/>
        <v>124.796610169491</v>
      </c>
      <c r="BQ32" s="3" t="e">
        <f t="shared" si="125"/>
        <v>#REF!</v>
      </c>
      <c r="BR32" s="1">
        <f t="shared" si="126"/>
        <v>219.593220338983</v>
      </c>
      <c r="BT32" s="3" t="e">
        <f t="shared" si="127"/>
        <v>#REF!</v>
      </c>
      <c r="BU32" s="1">
        <f t="shared" si="128"/>
        <v>266.581920903954</v>
      </c>
      <c r="BW32" s="3" t="e">
        <f t="shared" si="129"/>
        <v>#REF!</v>
      </c>
      <c r="BX32" s="1">
        <f t="shared" si="130"/>
        <v>251.361581920903</v>
      </c>
      <c r="BZ32" s="3" t="e">
        <f t="shared" si="131"/>
        <v>#REF!</v>
      </c>
    </row>
    <row r="33" ht="14.0">
      <c r="A33" s="27" t="s">
        <v>28</v>
      </c>
      <c r="B33" s="27" t="s">
        <v>29</v>
      </c>
      <c r="C33" s="27" t="s">
        <v>86</v>
      </c>
      <c r="D33" s="27" t="s">
        <v>87</v>
      </c>
      <c r="E33" s="27">
        <v>36.0</v>
      </c>
      <c r="F33" s="27">
        <v>90.0</v>
      </c>
      <c r="G33" s="27">
        <v>84.0</v>
      </c>
      <c r="H33" s="27">
        <v>142.0</v>
      </c>
      <c r="I33" s="27">
        <v>112.0</v>
      </c>
      <c r="J33" s="27">
        <v>462.0</v>
      </c>
      <c r="K33" s="27">
        <v>101.0</v>
      </c>
      <c r="L33" s="27">
        <v>306.0</v>
      </c>
      <c r="M33" s="27">
        <v>155.0</v>
      </c>
      <c r="N33" s="27">
        <v>576.0</v>
      </c>
      <c r="O33" s="27">
        <v>147.0</v>
      </c>
      <c r="P33" s="27">
        <v>116.0</v>
      </c>
      <c r="Q33" s="27">
        <v>429.0</v>
      </c>
      <c r="R33" s="27">
        <v>451.0</v>
      </c>
      <c r="S33" s="27">
        <v>-44.0</v>
      </c>
      <c r="T33" s="27">
        <v>773.0</v>
      </c>
      <c r="U33" s="27">
        <v>663.0</v>
      </c>
      <c r="V33" s="27">
        <v>714.0</v>
      </c>
      <c r="W33" s="27">
        <v>532.0</v>
      </c>
      <c r="X33" s="27">
        <v>157.0</v>
      </c>
      <c r="Y33" s="27">
        <v>576.0</v>
      </c>
      <c r="Z33" s="27">
        <v>107.0</v>
      </c>
      <c r="AA33" s="27">
        <v>983.0</v>
      </c>
      <c r="AB33" s="27">
        <v>78.0</v>
      </c>
      <c r="AC33" s="27">
        <v>642.0</v>
      </c>
      <c r="AD33" s="27">
        <v>119.0</v>
      </c>
      <c r="AE33" s="27">
        <v>108.0</v>
      </c>
      <c r="AF33" s="27">
        <v>487.0</v>
      </c>
      <c r="AG33" s="27">
        <v>563.0</v>
      </c>
      <c r="AH33" s="27">
        <v>618.0</v>
      </c>
      <c r="AI33" s="27">
        <v>516.0</v>
      </c>
      <c r="AJ33" s="27">
        <v>249.0</v>
      </c>
      <c r="AK33" s="27">
        <v>100.0</v>
      </c>
      <c r="AL33" s="27">
        <v>268.0</v>
      </c>
      <c r="AM33" s="27">
        <v>306.0</v>
      </c>
      <c r="AN33" s="27">
        <v>222.0</v>
      </c>
      <c r="AO33" s="28"/>
      <c r="AP33" s="28">
        <f t="shared" si="3"/>
        <v>4198.0</v>
      </c>
      <c r="AQ33" s="28">
        <f t="shared" si="4"/>
        <v>1661.0</v>
      </c>
      <c r="AR33" s="28">
        <f t="shared" si="5"/>
        <v>1827.1</v>
      </c>
      <c r="AS33" s="1">
        <f t="shared" si="132"/>
        <v>447.765536723163</v>
      </c>
      <c r="AT33" s="1">
        <f t="shared" si="133"/>
        <v>372.522598870056</v>
      </c>
      <c r="AU33" s="1">
        <f t="shared" si="134"/>
        <v>291.449152542372</v>
      </c>
      <c r="AV33" s="1">
        <f t="shared" si="135"/>
        <v>552.898305084746</v>
      </c>
      <c r="AW33" s="1">
        <f t="shared" si="136"/>
        <v>637.895480225989</v>
      </c>
      <c r="AX33" s="1">
        <f t="shared" si="137"/>
        <v>587.590395480226</v>
      </c>
      <c r="AY33" s="2">
        <f t="shared" si="12"/>
        <v>2890.12146892655</v>
      </c>
      <c r="AZ33" s="2" t="e">
        <f t="shared" si="13"/>
        <v>#REF!</v>
      </c>
      <c r="BB33" s="1" t="e">
        <f>VLOOKUP(C33,AUGUST,3,false)</f>
        <v>#REF!</v>
      </c>
      <c r="BD33" s="28" t="e">
        <f t="shared" si="117"/>
        <v>#REF!</v>
      </c>
      <c r="BE33" s="1">
        <f>VLOOKUP(C33,MOQ,3,FALSE())</f>
        <v>3000.0</v>
      </c>
      <c r="BF33" s="168" t="s">
        <v>32</v>
      </c>
      <c r="BH33" s="1" t="e">
        <f t="shared" si="119"/>
        <v>#REF!</v>
      </c>
      <c r="BI33" s="1">
        <f t="shared" si="120"/>
        <v>447.765536723163</v>
      </c>
      <c r="BJ33" s="1">
        <f t="shared" si="41"/>
      </c>
      <c r="BK33" s="3" t="e">
        <f t="shared" si="121"/>
        <v>#REF!</v>
      </c>
      <c r="BL33" s="1">
        <f t="shared" si="122"/>
        <v>372.522598870056</v>
      </c>
      <c r="BM33" s="1" t="e">
        <f t="shared" si="44"/>
        <v>#REF!</v>
      </c>
      <c r="BN33" s="3" t="e">
        <f t="shared" si="123"/>
        <v>#REF!</v>
      </c>
      <c r="BO33" s="1">
        <f t="shared" si="124"/>
        <v>291.449152542372</v>
      </c>
      <c r="BQ33" s="3" t="e">
        <f t="shared" si="125"/>
        <v>#REF!</v>
      </c>
      <c r="BR33" s="1">
        <f t="shared" si="126"/>
        <v>552.898305084746</v>
      </c>
      <c r="BT33" s="3" t="e">
        <f t="shared" si="127"/>
        <v>#REF!</v>
      </c>
      <c r="BU33" s="1">
        <f t="shared" si="128"/>
        <v>637.895480225989</v>
      </c>
      <c r="BW33" s="3" t="e">
        <f t="shared" si="129"/>
        <v>#REF!</v>
      </c>
      <c r="BX33" s="1">
        <f t="shared" si="130"/>
        <v>587.590395480226</v>
      </c>
      <c r="BZ33" s="3" t="e">
        <f t="shared" si="131"/>
        <v>#REF!</v>
      </c>
    </row>
    <row r="34" ht="14.0">
      <c r="A34" s="27" t="s">
        <v>28</v>
      </c>
      <c r="B34" s="27" t="s">
        <v>29</v>
      </c>
      <c r="C34" s="27" t="s">
        <v>88</v>
      </c>
      <c r="D34" s="27" t="s">
        <v>89</v>
      </c>
      <c r="E34" s="27">
        <v>42.0</v>
      </c>
      <c r="F34" s="27">
        <v>1067.0</v>
      </c>
      <c r="G34" s="27">
        <v>713.0</v>
      </c>
      <c r="H34" s="27">
        <v>186.0</v>
      </c>
      <c r="I34" s="27">
        <v>184.0</v>
      </c>
      <c r="J34" s="27">
        <v>1600.0</v>
      </c>
      <c r="K34" s="27">
        <v>115.0</v>
      </c>
      <c r="L34" s="27">
        <v>618.0</v>
      </c>
      <c r="M34" s="27">
        <v>143.0</v>
      </c>
      <c r="N34" s="27">
        <v>882.0</v>
      </c>
      <c r="O34" s="27">
        <v>132.0</v>
      </c>
      <c r="P34" s="27">
        <v>95.0</v>
      </c>
      <c r="Q34" s="27">
        <v>350.0</v>
      </c>
      <c r="R34" s="27">
        <v>506.0</v>
      </c>
      <c r="S34" s="27">
        <v>48.0</v>
      </c>
      <c r="T34" s="27">
        <v>522.0</v>
      </c>
      <c r="U34" s="27">
        <v>523.0</v>
      </c>
      <c r="V34" s="27">
        <v>434.0</v>
      </c>
      <c r="W34" s="27">
        <v>314.0</v>
      </c>
      <c r="X34" s="27">
        <v>98.0</v>
      </c>
      <c r="Y34" s="27">
        <v>438.0</v>
      </c>
      <c r="Z34" s="27">
        <v>129.0</v>
      </c>
      <c r="AA34" s="27">
        <v>825.0</v>
      </c>
      <c r="AB34" s="27">
        <v>60.0</v>
      </c>
      <c r="AC34" s="27">
        <v>468.0</v>
      </c>
      <c r="AD34" s="27">
        <v>84.0</v>
      </c>
      <c r="AE34" s="27">
        <v>77.0</v>
      </c>
      <c r="AF34" s="27">
        <v>332.0</v>
      </c>
      <c r="AG34" s="27">
        <v>498.0</v>
      </c>
      <c r="AH34" s="27">
        <v>390.0</v>
      </c>
      <c r="AI34" s="27">
        <v>467.0</v>
      </c>
      <c r="AJ34" s="27">
        <v>210.0</v>
      </c>
      <c r="AK34" s="27">
        <v>96.0</v>
      </c>
      <c r="AL34" s="27">
        <v>162.0</v>
      </c>
      <c r="AM34" s="27">
        <v>132.0</v>
      </c>
      <c r="AN34" s="27">
        <v>144.0</v>
      </c>
      <c r="AO34" s="28"/>
      <c r="AP34" s="28">
        <f t="shared" si="3"/>
        <v>3060.0</v>
      </c>
      <c r="AQ34" s="28">
        <f t="shared" si="4"/>
        <v>1211.0</v>
      </c>
      <c r="AR34" s="28">
        <f t="shared" si="5"/>
        <v>1332.1</v>
      </c>
      <c r="AS34" s="1">
        <f t="shared" si="132"/>
        <v>334.629943502824</v>
      </c>
      <c r="AT34" s="1">
        <f t="shared" si="133"/>
        <v>279.725988700564</v>
      </c>
      <c r="AU34" s="1">
        <f t="shared" si="134"/>
        <v>218.991525423729</v>
      </c>
      <c r="AV34" s="1">
        <f t="shared" si="135"/>
        <v>407.983050847458</v>
      </c>
      <c r="AW34" s="1">
        <f t="shared" si="136"/>
        <v>476.454802259887</v>
      </c>
      <c r="AX34" s="1">
        <f t="shared" si="137"/>
        <v>441.40395480226</v>
      </c>
      <c r="AY34" s="2">
        <f t="shared" si="12"/>
        <v>2159.18926553672</v>
      </c>
      <c r="AZ34" s="2" t="e">
        <f t="shared" si="13"/>
        <v>#REF!</v>
      </c>
      <c r="BD34" s="28" t="e">
        <f t="shared" si="117"/>
        <v>#REF!</v>
      </c>
      <c r="BE34" s="1">
        <f>VLOOKUP(C34,MOQ,3,FALSE())</f>
        <v>3000.0</v>
      </c>
      <c r="BF34" s="168" t="s">
        <v>32</v>
      </c>
      <c r="BH34" s="1" t="e">
        <f t="shared" si="119"/>
        <v>#REF!</v>
      </c>
      <c r="BI34" s="1">
        <f t="shared" si="120"/>
        <v>334.629943502824</v>
      </c>
      <c r="BJ34" s="1">
        <f t="shared" si="41"/>
      </c>
      <c r="BK34" s="3" t="e">
        <f t="shared" si="121"/>
        <v>#REF!</v>
      </c>
      <c r="BL34" s="1">
        <f t="shared" si="122"/>
        <v>279.725988700564</v>
      </c>
      <c r="BM34" s="1">
        <f t="shared" si="44"/>
      </c>
      <c r="BN34" s="3" t="e">
        <f t="shared" si="123"/>
        <v>#REF!</v>
      </c>
      <c r="BO34" s="1">
        <f t="shared" si="124"/>
        <v>218.991525423729</v>
      </c>
      <c r="BQ34" s="3" t="e">
        <f t="shared" si="125"/>
        <v>#REF!</v>
      </c>
      <c r="BR34" s="1">
        <f t="shared" si="126"/>
        <v>407.983050847458</v>
      </c>
      <c r="BT34" s="3" t="e">
        <f t="shared" si="127"/>
        <v>#REF!</v>
      </c>
      <c r="BU34" s="1">
        <f t="shared" si="128"/>
        <v>476.454802259887</v>
      </c>
      <c r="BW34" s="3" t="e">
        <f t="shared" si="129"/>
        <v>#REF!</v>
      </c>
      <c r="BX34" s="1">
        <f t="shared" si="130"/>
        <v>441.40395480226</v>
      </c>
      <c r="BZ34" s="3" t="e">
        <f t="shared" si="131"/>
        <v>#REF!</v>
      </c>
    </row>
    <row r="35" ht="14.0">
      <c r="A35" s="27" t="s">
        <v>28</v>
      </c>
      <c r="B35" s="27" t="s">
        <v>29</v>
      </c>
      <c r="C35" s="27" t="s">
        <v>90</v>
      </c>
      <c r="D35" s="27" t="s">
        <v>91</v>
      </c>
      <c r="E35" s="27">
        <v>11.0</v>
      </c>
      <c r="F35" s="27">
        <v>19.0</v>
      </c>
      <c r="G35" s="27">
        <v>6.0</v>
      </c>
      <c r="H35" s="27">
        <v>0.0</v>
      </c>
      <c r="I35" s="27">
        <v>2.0</v>
      </c>
      <c r="J35" s="27">
        <v>2.0</v>
      </c>
      <c r="K35" s="27">
        <v>3.0</v>
      </c>
      <c r="L35" s="27">
        <v>2.0</v>
      </c>
      <c r="M35" s="27">
        <v>0.0</v>
      </c>
      <c r="N35" s="27">
        <v>1.0</v>
      </c>
      <c r="O35" s="27">
        <v>4.0</v>
      </c>
      <c r="P35" s="27">
        <v>14.0</v>
      </c>
      <c r="Q35" s="27">
        <v>8.0</v>
      </c>
      <c r="R35" s="27">
        <v>4.0</v>
      </c>
      <c r="S35" s="27">
        <v>11.0</v>
      </c>
      <c r="T35" s="27">
        <v>9.0</v>
      </c>
      <c r="U35" s="27">
        <v>6.0</v>
      </c>
      <c r="V35" s="27">
        <v>1.0</v>
      </c>
      <c r="W35" s="27">
        <v>5.0</v>
      </c>
      <c r="X35" s="27">
        <v>1.0</v>
      </c>
      <c r="Y35" s="27">
        <v>8.0</v>
      </c>
      <c r="Z35" s="27">
        <v>5.0</v>
      </c>
      <c r="AA35" s="27">
        <v>3.0</v>
      </c>
      <c r="AB35" s="27">
        <v>3.0</v>
      </c>
      <c r="AC35" s="27">
        <v>4.0</v>
      </c>
      <c r="AD35" s="27">
        <v>2.0</v>
      </c>
      <c r="AE35" s="27">
        <v>6.0</v>
      </c>
      <c r="AF35" s="27">
        <v>9.0</v>
      </c>
      <c r="AG35" s="27">
        <v>8.0</v>
      </c>
      <c r="AH35" s="27">
        <v>0.0</v>
      </c>
      <c r="AI35" s="27">
        <v>4.0</v>
      </c>
      <c r="AJ35" s="27">
        <v>7.0</v>
      </c>
      <c r="AK35" s="27">
        <v>4.0</v>
      </c>
      <c r="AL35" s="27">
        <v>2.0</v>
      </c>
      <c r="AM35" s="27">
        <v>2.0</v>
      </c>
      <c r="AN35" s="27">
        <v>1.0</v>
      </c>
      <c r="AO35" s="28"/>
      <c r="AP35" s="28">
        <f t="shared" si="3"/>
        <v>49.0</v>
      </c>
      <c r="AQ35" s="28">
        <f t="shared" si="4"/>
        <v>20.0</v>
      </c>
      <c r="AR35" s="32">
        <f t="shared" si="5"/>
        <v>22.0</v>
      </c>
      <c r="AS35" s="167">
        <f t="shared" ref="AS35:AS60" si="139">AR35*$AS$4/$AR$4</f>
        <v>5.02824858757062</v>
      </c>
      <c r="AT35" s="167">
        <v>5.0</v>
      </c>
      <c r="AU35" s="167">
        <v>4.0</v>
      </c>
      <c r="AV35" s="167">
        <v>3.0</v>
      </c>
      <c r="AW35" s="167">
        <v>7.0</v>
      </c>
      <c r="AX35" s="167">
        <v>8.0</v>
      </c>
      <c r="AY35" s="2">
        <f t="shared" si="12"/>
        <v>32.0282485875706</v>
      </c>
      <c r="AZ35" s="2" t="e">
        <f t="shared" si="13"/>
        <v>#REF!</v>
      </c>
      <c r="BD35" s="28"/>
      <c r="BJ35" s="1">
        <f t="shared" si="41"/>
      </c>
      <c r="BK35" s="3"/>
      <c r="BM35" s="1">
        <f t="shared" si="44"/>
      </c>
      <c r="BN35" s="3"/>
      <c r="BQ35" s="3"/>
      <c r="BT35" s="3"/>
      <c r="BW35" s="3"/>
      <c r="BZ35" s="3"/>
    </row>
    <row r="36" ht="14.0">
      <c r="A36" s="27" t="s">
        <v>28</v>
      </c>
      <c r="B36" s="27" t="s">
        <v>29</v>
      </c>
      <c r="C36" s="27" t="s">
        <v>92</v>
      </c>
      <c r="D36" s="27" t="s">
        <v>93</v>
      </c>
      <c r="E36" s="27">
        <v>0.0</v>
      </c>
      <c r="F36" s="27">
        <v>0.0</v>
      </c>
      <c r="G36" s="27">
        <v>0.0</v>
      </c>
      <c r="H36" s="27">
        <v>0.0</v>
      </c>
      <c r="I36" s="27">
        <v>0.0</v>
      </c>
      <c r="J36" s="27">
        <v>0.0</v>
      </c>
      <c r="K36" s="27">
        <v>0.0</v>
      </c>
      <c r="L36" s="27">
        <v>0.0</v>
      </c>
      <c r="M36" s="27">
        <v>0.0</v>
      </c>
      <c r="N36" s="27">
        <v>0.0</v>
      </c>
      <c r="O36" s="27">
        <v>180.0</v>
      </c>
      <c r="P36" s="27">
        <v>204.0</v>
      </c>
      <c r="Q36" s="27">
        <v>162.0</v>
      </c>
      <c r="R36" s="27">
        <v>165.0</v>
      </c>
      <c r="S36" s="27">
        <v>187.0</v>
      </c>
      <c r="T36" s="27">
        <v>168.0</v>
      </c>
      <c r="U36" s="27">
        <v>192.0</v>
      </c>
      <c r="V36" s="27">
        <v>282.0</v>
      </c>
      <c r="W36" s="27">
        <v>219.0</v>
      </c>
      <c r="X36" s="27">
        <v>191.0</v>
      </c>
      <c r="Y36" s="27">
        <v>255.0</v>
      </c>
      <c r="Z36" s="27">
        <v>150.0</v>
      </c>
      <c r="AA36" s="27">
        <v>222.0</v>
      </c>
      <c r="AB36" s="27">
        <v>159.0</v>
      </c>
      <c r="AC36" s="27">
        <v>176.0</v>
      </c>
      <c r="AD36" s="27">
        <v>185.0</v>
      </c>
      <c r="AE36" s="27">
        <v>168.0</v>
      </c>
      <c r="AF36" s="27">
        <v>240.0</v>
      </c>
      <c r="AG36" s="27">
        <v>347.0</v>
      </c>
      <c r="AH36" s="27">
        <v>209.0</v>
      </c>
      <c r="AI36" s="27">
        <v>173.0</v>
      </c>
      <c r="AJ36" s="27">
        <v>172.0</v>
      </c>
      <c r="AK36" s="27">
        <v>162.0</v>
      </c>
      <c r="AL36" s="27">
        <v>160.0</v>
      </c>
      <c r="AM36" s="27">
        <v>181.0</v>
      </c>
      <c r="AN36" s="27">
        <v>163.0</v>
      </c>
      <c r="AO36" s="28"/>
      <c r="AP36" s="28">
        <f t="shared" si="3"/>
        <v>2336.0</v>
      </c>
      <c r="AQ36" s="28">
        <f t="shared" si="4"/>
        <v>1011.0</v>
      </c>
      <c r="AR36" s="28">
        <f t="shared" si="5"/>
        <v>1112.1</v>
      </c>
      <c r="AS36" s="1">
        <f t="shared" si="139"/>
        <v>254.177966101694</v>
      </c>
      <c r="AT36" s="1">
        <f t="shared" ref="AT36:AT60" si="140">AR36*$AT$4/$AR$4</f>
        <v>208.483050847458</v>
      </c>
      <c r="AU36" s="1">
        <f t="shared" ref="AU36:AU60" si="141">AR36*$AU$4/$AR$4</f>
        <v>162.78813559322</v>
      </c>
      <c r="AV36" s="1">
        <f t="shared" ref="AV36:AV60" si="142">AR36*$AV$4/$AR$4</f>
        <v>325.57627118644</v>
      </c>
      <c r="AW36" s="1">
        <f t="shared" ref="AW36:AW60" si="143">AR36*$AW$4/$AR$4</f>
        <v>362.703389830509</v>
      </c>
      <c r="AX36" s="1">
        <f t="shared" ref="AX36:AX60" si="144">AR36*$AX$4/$AR$4</f>
        <v>328.43220338983</v>
      </c>
      <c r="AY36" s="2">
        <f t="shared" si="12"/>
        <v>1642.16101694915</v>
      </c>
      <c r="AZ36" s="2" t="e">
        <f t="shared" si="13"/>
        <v>#REF!</v>
      </c>
      <c r="BD36" s="28" t="e">
        <f t="shared" ref="BD36:BD60" si="145">AZ36+BB36+BC36-AY36+BA36</f>
        <v>#REF!</v>
      </c>
      <c r="BE36" s="1">
        <f>VLOOKUP(C36,MOQ,3,FALSE())</f>
        <v>504.0</v>
      </c>
      <c r="BG36" s="4" t="s">
        <v>10</v>
      </c>
      <c r="BH36" s="1" t="e">
        <f t="shared" ref="BH36:BH60" si="147">AZ36</f>
        <v>#REF!</v>
      </c>
      <c r="BI36" s="1">
        <f t="shared" ref="BI36:BI60" si="148">AS36</f>
        <v>254.177966101694</v>
      </c>
      <c r="BJ36" s="1">
        <f t="shared" si="41"/>
      </c>
      <c r="BK36" s="3" t="e">
        <f t="shared" ref="BK36:BK60" si="149">BH36+BJ36-BI36</f>
        <v>#REF!</v>
      </c>
      <c r="BL36" s="1">
        <f t="shared" ref="BL36:BL60" si="150">AT36</f>
        <v>208.483050847458</v>
      </c>
      <c r="BM36" s="1">
        <f t="shared" si="44"/>
      </c>
      <c r="BN36" s="3" t="e">
        <f t="shared" ref="BN36:BN60" si="151">BK36+BM36-BL36</f>
        <v>#REF!</v>
      </c>
      <c r="BO36" s="1">
        <f t="shared" ref="BO36:BO60" si="152">AU36</f>
        <v>162.78813559322</v>
      </c>
      <c r="BQ36" s="3" t="e">
        <f t="shared" ref="BQ36:BQ60" si="153">BN36+BP36-BO36</f>
        <v>#REF!</v>
      </c>
      <c r="BR36" s="1">
        <f t="shared" ref="BR36:BR60" si="154">AV36</f>
        <v>325.57627118644</v>
      </c>
      <c r="BT36" s="3" t="e">
        <f t="shared" ref="BT36:BT60" si="155">BQ36+BS36-BR36</f>
        <v>#REF!</v>
      </c>
      <c r="BU36" s="1">
        <f t="shared" ref="BU36:BU60" si="156">AW36</f>
        <v>362.703389830509</v>
      </c>
      <c r="BW36" s="3" t="e">
        <f t="shared" ref="BW36:BW60" si="157">BT36+BV36-BU36</f>
        <v>#REF!</v>
      </c>
      <c r="BX36" s="1">
        <f t="shared" ref="BX36:BX60" si="158">AX36</f>
        <v>328.43220338983</v>
      </c>
      <c r="BZ36" s="3" t="e">
        <f t="shared" ref="BZ36:BZ60" si="159">BW36+BY36-BX36</f>
        <v>#REF!</v>
      </c>
    </row>
    <row r="37" ht="14.0">
      <c r="A37" s="27" t="s">
        <v>28</v>
      </c>
      <c r="B37" s="27" t="s">
        <v>29</v>
      </c>
      <c r="C37" s="27" t="s">
        <v>94</v>
      </c>
      <c r="D37" s="27" t="s">
        <v>95</v>
      </c>
      <c r="E37" s="27">
        <v>99.0</v>
      </c>
      <c r="F37" s="27">
        <v>99.0</v>
      </c>
      <c r="G37" s="27">
        <v>163.0</v>
      </c>
      <c r="H37" s="27">
        <v>111.0</v>
      </c>
      <c r="I37" s="27">
        <v>139.0</v>
      </c>
      <c r="J37" s="27">
        <v>141.0</v>
      </c>
      <c r="K37" s="27">
        <v>147.0</v>
      </c>
      <c r="L37" s="27">
        <v>64.0</v>
      </c>
      <c r="M37" s="27">
        <v>86.0</v>
      </c>
      <c r="N37" s="27">
        <v>150.0</v>
      </c>
      <c r="O37" s="27">
        <v>75.0</v>
      </c>
      <c r="P37" s="27">
        <v>86.0</v>
      </c>
      <c r="Q37" s="27">
        <v>187.0</v>
      </c>
      <c r="R37" s="27">
        <v>151.0</v>
      </c>
      <c r="S37" s="27">
        <v>191.0</v>
      </c>
      <c r="T37" s="27">
        <v>146.0</v>
      </c>
      <c r="U37" s="27">
        <v>178.0</v>
      </c>
      <c r="V37" s="27">
        <v>258.0</v>
      </c>
      <c r="W37" s="27">
        <v>106.0</v>
      </c>
      <c r="X37" s="27">
        <v>1.0</v>
      </c>
      <c r="Y37" s="27">
        <v>245.0</v>
      </c>
      <c r="Z37" s="27">
        <v>137.0</v>
      </c>
      <c r="AA37" s="27">
        <v>177.0</v>
      </c>
      <c r="AB37" s="27">
        <v>162.0</v>
      </c>
      <c r="AC37" s="27">
        <v>151.0</v>
      </c>
      <c r="AD37" s="27">
        <v>144.0</v>
      </c>
      <c r="AE37" s="27">
        <v>141.0</v>
      </c>
      <c r="AF37" s="27">
        <v>176.0</v>
      </c>
      <c r="AG37" s="27">
        <v>209.0</v>
      </c>
      <c r="AH37" s="27">
        <v>186.0</v>
      </c>
      <c r="AI37" s="27">
        <v>126.0</v>
      </c>
      <c r="AJ37" s="27">
        <v>141.0</v>
      </c>
      <c r="AK37" s="27">
        <v>137.0</v>
      </c>
      <c r="AL37" s="27">
        <v>42.0</v>
      </c>
      <c r="AM37" s="27">
        <v>-1.0</v>
      </c>
      <c r="AN37" s="27">
        <v>0.0</v>
      </c>
      <c r="AO37" s="28"/>
      <c r="AP37" s="28">
        <f t="shared" si="3"/>
        <v>1452.0</v>
      </c>
      <c r="AQ37" s="28">
        <f t="shared" si="4"/>
        <v>445.0</v>
      </c>
      <c r="AR37" s="28">
        <f t="shared" si="5"/>
        <v>489.5</v>
      </c>
      <c r="AS37" s="1">
        <f t="shared" si="139"/>
        <v>111.878531073446</v>
      </c>
      <c r="AT37" s="1">
        <f t="shared" si="140"/>
        <v>91.7655367231638</v>
      </c>
      <c r="AU37" s="1">
        <f t="shared" si="141"/>
        <v>71.6525423728813</v>
      </c>
      <c r="AV37" s="1">
        <f t="shared" si="142"/>
        <v>143.305084745762</v>
      </c>
      <c r="AW37" s="1">
        <f t="shared" si="143"/>
        <v>159.646892655367</v>
      </c>
      <c r="AX37" s="1">
        <f t="shared" si="144"/>
        <v>144.562146892655</v>
      </c>
      <c r="AY37" s="2">
        <f t="shared" si="12"/>
        <v>722.810734463275</v>
      </c>
      <c r="AZ37" s="2" t="e">
        <f t="shared" si="13"/>
        <v>#REF!</v>
      </c>
      <c r="BA37" s="1" t="e">
        <f>VLOOKUP(C37,JULY,3,false)</f>
        <v>#REF!</v>
      </c>
      <c r="BD37" s="28" t="e">
        <f t="shared" si="145"/>
        <v>#REF!</v>
      </c>
      <c r="BE37" s="1">
        <f>VLOOKUP(C37,MOQ,3,FALSE())</f>
        <v>480.0</v>
      </c>
      <c r="BF37" s="168" t="s">
        <v>32</v>
      </c>
      <c r="BH37" s="1" t="e">
        <f t="shared" si="147"/>
        <v>#REF!</v>
      </c>
      <c r="BI37" s="1">
        <f t="shared" si="148"/>
        <v>111.878531073446</v>
      </c>
      <c r="BJ37" s="1" t="e">
        <f t="shared" si="41"/>
        <v>#REF!</v>
      </c>
      <c r="BK37" s="3" t="e">
        <f t="shared" si="149"/>
        <v>#REF!</v>
      </c>
      <c r="BL37" s="1">
        <f t="shared" si="150"/>
        <v>91.7655367231638</v>
      </c>
      <c r="BM37" s="1">
        <f t="shared" si="44"/>
      </c>
      <c r="BN37" s="3" t="e">
        <f t="shared" si="151"/>
        <v>#REF!</v>
      </c>
      <c r="BO37" s="1">
        <f t="shared" si="152"/>
        <v>71.6525423728813</v>
      </c>
      <c r="BQ37" s="3" t="e">
        <f t="shared" si="153"/>
        <v>#REF!</v>
      </c>
      <c r="BR37" s="1">
        <f t="shared" si="154"/>
        <v>143.305084745762</v>
      </c>
      <c r="BT37" s="3" t="e">
        <f t="shared" si="155"/>
        <v>#REF!</v>
      </c>
      <c r="BU37" s="1">
        <f t="shared" si="156"/>
        <v>159.646892655367</v>
      </c>
      <c r="BW37" s="3" t="e">
        <f t="shared" si="157"/>
        <v>#REF!</v>
      </c>
      <c r="BX37" s="1">
        <f t="shared" si="158"/>
        <v>144.562146892655</v>
      </c>
      <c r="BZ37" s="3" t="e">
        <f t="shared" si="159"/>
        <v>#REF!</v>
      </c>
    </row>
    <row r="38" ht="14.0">
      <c r="A38" s="27" t="s">
        <v>28</v>
      </c>
      <c r="B38" s="27" t="s">
        <v>29</v>
      </c>
      <c r="C38" s="27" t="s">
        <v>96</v>
      </c>
      <c r="D38" s="27" t="s">
        <v>97</v>
      </c>
      <c r="E38" s="27">
        <v>33.0</v>
      </c>
      <c r="F38" s="27">
        <v>77.0</v>
      </c>
      <c r="G38" s="27">
        <v>125.0</v>
      </c>
      <c r="H38" s="27">
        <v>110.0</v>
      </c>
      <c r="I38" s="27">
        <v>86.0</v>
      </c>
      <c r="J38" s="27">
        <v>108.0</v>
      </c>
      <c r="K38" s="27">
        <v>116.0</v>
      </c>
      <c r="L38" s="27">
        <v>35.0</v>
      </c>
      <c r="M38" s="27">
        <v>57.0</v>
      </c>
      <c r="N38" s="27">
        <v>104.0</v>
      </c>
      <c r="O38" s="27">
        <v>81.0</v>
      </c>
      <c r="P38" s="27">
        <v>92.0</v>
      </c>
      <c r="Q38" s="27">
        <v>120.0</v>
      </c>
      <c r="R38" s="27">
        <v>116.0</v>
      </c>
      <c r="S38" s="27">
        <v>126.0</v>
      </c>
      <c r="T38" s="27">
        <v>92.0</v>
      </c>
      <c r="U38" s="27">
        <v>221.0</v>
      </c>
      <c r="V38" s="27">
        <v>156.0</v>
      </c>
      <c r="W38" s="27">
        <v>68.0</v>
      </c>
      <c r="X38" s="27">
        <v>0.0</v>
      </c>
      <c r="Y38" s="27">
        <v>157.0</v>
      </c>
      <c r="Z38" s="27">
        <v>62.0</v>
      </c>
      <c r="AA38" s="27">
        <v>70.0</v>
      </c>
      <c r="AB38" s="27">
        <v>96.0</v>
      </c>
      <c r="AC38" s="27">
        <v>50.0</v>
      </c>
      <c r="AD38" s="27">
        <v>73.0</v>
      </c>
      <c r="AE38" s="27">
        <v>77.0</v>
      </c>
      <c r="AF38" s="27">
        <v>122.0</v>
      </c>
      <c r="AG38" s="27">
        <v>100.0</v>
      </c>
      <c r="AH38" s="27">
        <v>95.0</v>
      </c>
      <c r="AI38" s="27">
        <v>95.0</v>
      </c>
      <c r="AJ38" s="27">
        <v>53.0</v>
      </c>
      <c r="AK38" s="27">
        <v>75.0</v>
      </c>
      <c r="AL38" s="27">
        <v>44.0</v>
      </c>
      <c r="AM38" s="27">
        <v>142.0</v>
      </c>
      <c r="AN38" s="27">
        <v>93.0</v>
      </c>
      <c r="AO38" s="28"/>
      <c r="AP38" s="28">
        <f t="shared" si="3"/>
        <v>1019.0</v>
      </c>
      <c r="AQ38" s="28">
        <f t="shared" si="4"/>
        <v>502.0</v>
      </c>
      <c r="AR38" s="28">
        <f t="shared" si="5"/>
        <v>552.2</v>
      </c>
      <c r="AS38" s="1">
        <f t="shared" si="139"/>
        <v>126.209039548022</v>
      </c>
      <c r="AT38" s="1">
        <f t="shared" si="140"/>
        <v>103.519774011299</v>
      </c>
      <c r="AU38" s="1">
        <f t="shared" si="141"/>
        <v>80.8305084745762</v>
      </c>
      <c r="AV38" s="1">
        <f t="shared" si="142"/>
        <v>161.661016949152</v>
      </c>
      <c r="AW38" s="1">
        <f t="shared" si="143"/>
        <v>180.09604519774</v>
      </c>
      <c r="AX38" s="1">
        <f t="shared" si="144"/>
        <v>163.0790960452</v>
      </c>
      <c r="AY38" s="2">
        <f t="shared" si="12"/>
        <v>815.395480225989</v>
      </c>
      <c r="AZ38" s="2" t="e">
        <f t="shared" si="13"/>
        <v>#REF!</v>
      </c>
      <c r="BD38" s="28" t="e">
        <f t="shared" si="145"/>
        <v>#REF!</v>
      </c>
      <c r="BE38" s="1">
        <f>VLOOKUP(C38,MOQ,3,FALSE())</f>
        <v>480.0</v>
      </c>
      <c r="BG38" s="4" t="s">
        <v>212</v>
      </c>
      <c r="BH38" s="1" t="e">
        <f t="shared" si="147"/>
        <v>#REF!</v>
      </c>
      <c r="BI38" s="1">
        <f t="shared" si="148"/>
        <v>126.209039548022</v>
      </c>
      <c r="BJ38" s="1">
        <f t="shared" si="41"/>
      </c>
      <c r="BK38" s="3" t="e">
        <f t="shared" si="149"/>
        <v>#REF!</v>
      </c>
      <c r="BL38" s="1">
        <f t="shared" si="150"/>
        <v>103.519774011299</v>
      </c>
      <c r="BM38" s="1">
        <f t="shared" si="44"/>
      </c>
      <c r="BN38" s="3" t="e">
        <f t="shared" si="151"/>
        <v>#REF!</v>
      </c>
      <c r="BO38" s="1">
        <f t="shared" si="152"/>
        <v>80.8305084745762</v>
      </c>
      <c r="BQ38" s="3" t="e">
        <f t="shared" si="153"/>
        <v>#REF!</v>
      </c>
      <c r="BR38" s="1">
        <f t="shared" si="154"/>
        <v>161.661016949152</v>
      </c>
      <c r="BT38" s="3" t="e">
        <f t="shared" si="155"/>
        <v>#REF!</v>
      </c>
      <c r="BU38" s="1">
        <f t="shared" si="156"/>
        <v>180.09604519774</v>
      </c>
      <c r="BW38" s="3" t="e">
        <f t="shared" si="157"/>
        <v>#REF!</v>
      </c>
      <c r="BX38" s="1">
        <f t="shared" si="158"/>
        <v>163.0790960452</v>
      </c>
      <c r="BZ38" s="3" t="e">
        <f t="shared" si="159"/>
        <v>#REF!</v>
      </c>
    </row>
    <row r="39" ht="14.0">
      <c r="A39" s="27" t="s">
        <v>28</v>
      </c>
      <c r="B39" s="27" t="s">
        <v>98</v>
      </c>
      <c r="C39" s="27" t="s">
        <v>99</v>
      </c>
      <c r="D39" s="27" t="s">
        <v>100</v>
      </c>
      <c r="E39" s="27">
        <v>360.0</v>
      </c>
      <c r="F39" s="27">
        <v>371.0</v>
      </c>
      <c r="G39" s="27">
        <v>762.0</v>
      </c>
      <c r="H39" s="27">
        <v>492.0</v>
      </c>
      <c r="I39" s="27">
        <v>922.0</v>
      </c>
      <c r="J39" s="27">
        <v>793.0</v>
      </c>
      <c r="K39" s="27">
        <v>480.0</v>
      </c>
      <c r="L39" s="27">
        <v>504.0</v>
      </c>
      <c r="M39" s="27">
        <v>368.0</v>
      </c>
      <c r="N39" s="27">
        <v>841.0</v>
      </c>
      <c r="O39" s="27">
        <v>505.0</v>
      </c>
      <c r="P39" s="27">
        <v>458.0</v>
      </c>
      <c r="Q39" s="27">
        <v>594.0</v>
      </c>
      <c r="R39" s="27">
        <v>865.0</v>
      </c>
      <c r="S39" s="27">
        <v>603.0</v>
      </c>
      <c r="T39" s="27">
        <v>890.0</v>
      </c>
      <c r="U39" s="27">
        <v>788.0</v>
      </c>
      <c r="V39" s="27">
        <v>792.0</v>
      </c>
      <c r="W39" s="27">
        <v>492.0</v>
      </c>
      <c r="X39" s="27">
        <v>440.0</v>
      </c>
      <c r="Y39" s="27">
        <v>324.0</v>
      </c>
      <c r="Z39" s="27">
        <v>0.0</v>
      </c>
      <c r="AA39" s="27">
        <v>948.0</v>
      </c>
      <c r="AB39" s="27">
        <v>402.0</v>
      </c>
      <c r="AC39" s="27">
        <v>601.0</v>
      </c>
      <c r="AD39" s="27">
        <v>414.0</v>
      </c>
      <c r="AE39" s="27">
        <v>432.0</v>
      </c>
      <c r="AF39" s="27">
        <v>739.0</v>
      </c>
      <c r="AG39" s="27">
        <v>882.0</v>
      </c>
      <c r="AH39" s="27">
        <v>600.0</v>
      </c>
      <c r="AI39" s="27">
        <v>436.0</v>
      </c>
      <c r="AJ39" s="27">
        <v>450.0</v>
      </c>
      <c r="AK39" s="27">
        <v>303.0</v>
      </c>
      <c r="AL39" s="27">
        <v>372.0</v>
      </c>
      <c r="AM39" s="27">
        <v>457.0</v>
      </c>
      <c r="AN39" s="27">
        <v>480.0</v>
      </c>
      <c r="AO39" s="28"/>
      <c r="AP39" s="28">
        <f t="shared" si="3"/>
        <v>6166.0</v>
      </c>
      <c r="AQ39" s="28">
        <f t="shared" si="4"/>
        <v>2498.0</v>
      </c>
      <c r="AR39" s="28">
        <f t="shared" si="5"/>
        <v>2747.8</v>
      </c>
      <c r="AS39" s="1">
        <f t="shared" si="139"/>
        <v>628.02824858757</v>
      </c>
      <c r="AT39" s="1">
        <f t="shared" si="140"/>
        <v>515.12429378531</v>
      </c>
      <c r="AU39" s="1">
        <f t="shared" si="141"/>
        <v>402.22033898305</v>
      </c>
      <c r="AV39" s="1">
        <f t="shared" si="142"/>
        <v>804.440677966101</v>
      </c>
      <c r="AW39" s="1">
        <f t="shared" si="143"/>
        <v>896.175141242938</v>
      </c>
      <c r="AX39" s="1">
        <f t="shared" si="144"/>
        <v>811.497175141242</v>
      </c>
      <c r="AY39" s="2">
        <f t="shared" si="12"/>
        <v>4057.48587570621</v>
      </c>
      <c r="AZ39" s="2" t="e">
        <f t="shared" si="13"/>
        <v>#REF!</v>
      </c>
      <c r="BA39" s="1" t="e">
        <f>VLOOKUP(C39,JULY,3,false)</f>
        <v>#REF!</v>
      </c>
      <c r="BB39" s="1" t="e">
        <f>VLOOKUP(C39,AUGUST,3,false)</f>
        <v>#REF!</v>
      </c>
      <c r="BD39" s="28" t="e">
        <f t="shared" si="145"/>
        <v>#REF!</v>
      </c>
      <c r="BE39" s="1">
        <f>VLOOKUP(C39,MOQ,3,FALSE())</f>
        <v>1008.0</v>
      </c>
      <c r="BF39" s="168" t="s">
        <v>32</v>
      </c>
      <c r="BG39" s="4" t="s">
        <v>212</v>
      </c>
      <c r="BH39" s="1" t="e">
        <f t="shared" si="147"/>
        <v>#REF!</v>
      </c>
      <c r="BI39" s="1">
        <f t="shared" si="148"/>
        <v>628.02824858757</v>
      </c>
      <c r="BJ39" s="1" t="e">
        <f t="shared" si="41"/>
        <v>#REF!</v>
      </c>
      <c r="BK39" s="3" t="e">
        <f t="shared" si="149"/>
        <v>#REF!</v>
      </c>
      <c r="BL39" s="1">
        <f t="shared" si="150"/>
        <v>515.12429378531</v>
      </c>
      <c r="BM39" s="1" t="e">
        <f t="shared" si="44"/>
        <v>#REF!</v>
      </c>
      <c r="BN39" s="3" t="e">
        <f t="shared" si="151"/>
        <v>#REF!</v>
      </c>
      <c r="BO39" s="1">
        <f t="shared" si="152"/>
        <v>402.22033898305</v>
      </c>
      <c r="BQ39" s="3" t="e">
        <f t="shared" si="153"/>
        <v>#REF!</v>
      </c>
      <c r="BR39" s="1">
        <f t="shared" si="154"/>
        <v>804.440677966101</v>
      </c>
      <c r="BT39" s="3" t="e">
        <f t="shared" si="155"/>
        <v>#REF!</v>
      </c>
      <c r="BU39" s="1">
        <f t="shared" si="156"/>
        <v>896.175141242938</v>
      </c>
      <c r="BW39" s="3" t="e">
        <f t="shared" si="157"/>
        <v>#REF!</v>
      </c>
      <c r="BX39" s="1">
        <f t="shared" si="158"/>
        <v>811.497175141242</v>
      </c>
      <c r="BZ39" s="3" t="e">
        <f t="shared" si="159"/>
        <v>#REF!</v>
      </c>
    </row>
    <row r="40" ht="14.0">
      <c r="A40" s="27" t="s">
        <v>28</v>
      </c>
      <c r="B40" s="27" t="s">
        <v>98</v>
      </c>
      <c r="C40" s="27" t="s">
        <v>101</v>
      </c>
      <c r="D40" s="27" t="s">
        <v>102</v>
      </c>
      <c r="E40" s="27">
        <v>186.0</v>
      </c>
      <c r="F40" s="27">
        <v>204.0</v>
      </c>
      <c r="G40" s="27">
        <v>276.0</v>
      </c>
      <c r="H40" s="27">
        <v>264.0</v>
      </c>
      <c r="I40" s="27">
        <v>474.0</v>
      </c>
      <c r="J40" s="27">
        <v>264.0</v>
      </c>
      <c r="K40" s="27">
        <v>186.0</v>
      </c>
      <c r="L40" s="27">
        <v>144.0</v>
      </c>
      <c r="M40" s="27">
        <v>192.0</v>
      </c>
      <c r="N40" s="27">
        <v>156.0</v>
      </c>
      <c r="O40" s="27">
        <v>162.0</v>
      </c>
      <c r="P40" s="27">
        <v>111.0</v>
      </c>
      <c r="Q40" s="27">
        <v>78.0</v>
      </c>
      <c r="R40" s="27">
        <v>138.0</v>
      </c>
      <c r="S40" s="27">
        <v>133.0</v>
      </c>
      <c r="T40" s="27">
        <v>157.0</v>
      </c>
      <c r="U40" s="27">
        <v>132.0</v>
      </c>
      <c r="V40" s="27">
        <v>162.0</v>
      </c>
      <c r="W40" s="27">
        <v>120.0</v>
      </c>
      <c r="X40" s="27">
        <v>91.0</v>
      </c>
      <c r="Y40" s="27">
        <v>126.0</v>
      </c>
      <c r="Z40" s="27">
        <v>121.0</v>
      </c>
      <c r="AA40" s="27">
        <v>102.0</v>
      </c>
      <c r="AB40" s="27">
        <v>84.0</v>
      </c>
      <c r="AC40" s="27">
        <v>78.0</v>
      </c>
      <c r="AD40" s="27">
        <v>90.0</v>
      </c>
      <c r="AE40" s="27">
        <v>90.0</v>
      </c>
      <c r="AF40" s="27">
        <v>150.0</v>
      </c>
      <c r="AG40" s="27">
        <v>144.0</v>
      </c>
      <c r="AH40" s="27">
        <v>90.0</v>
      </c>
      <c r="AI40" s="27">
        <v>61.0</v>
      </c>
      <c r="AJ40" s="27">
        <v>60.0</v>
      </c>
      <c r="AK40" s="27">
        <v>96.0</v>
      </c>
      <c r="AL40" s="27">
        <v>24.0</v>
      </c>
      <c r="AM40" s="27">
        <v>78.0</v>
      </c>
      <c r="AN40" s="27">
        <v>48.0</v>
      </c>
      <c r="AO40" s="28"/>
      <c r="AP40" s="28">
        <f t="shared" si="3"/>
        <v>1009.0</v>
      </c>
      <c r="AQ40" s="28">
        <f t="shared" si="4"/>
        <v>367.0</v>
      </c>
      <c r="AR40" s="28">
        <f t="shared" si="5"/>
        <v>403.7</v>
      </c>
      <c r="AS40" s="1">
        <f t="shared" si="139"/>
        <v>92.2683615819209</v>
      </c>
      <c r="AT40" s="1">
        <f t="shared" si="140"/>
        <v>75.680790960452</v>
      </c>
      <c r="AU40" s="1">
        <f t="shared" si="141"/>
        <v>59.093220338983</v>
      </c>
      <c r="AV40" s="1">
        <f t="shared" si="142"/>
        <v>118.186440677966</v>
      </c>
      <c r="AW40" s="1">
        <f t="shared" si="143"/>
        <v>131.66384180791</v>
      </c>
      <c r="AX40" s="1">
        <f t="shared" si="144"/>
        <v>119.2231638418</v>
      </c>
      <c r="AY40" s="2">
        <f t="shared" si="12"/>
        <v>596.115819209031</v>
      </c>
      <c r="AZ40" s="2" t="e">
        <f t="shared" si="13"/>
        <v>#REF!</v>
      </c>
      <c r="BD40" s="28" t="e">
        <f t="shared" si="145"/>
        <v>#REF!</v>
      </c>
      <c r="BE40" s="1">
        <f>VLOOKUP(C40,MOQ,3,FALSE())</f>
        <v>1008.0</v>
      </c>
      <c r="BH40" s="1" t="e">
        <f t="shared" si="147"/>
        <v>#REF!</v>
      </c>
      <c r="BI40" s="1">
        <f t="shared" si="148"/>
        <v>92.2683615819209</v>
      </c>
      <c r="BJ40" s="1">
        <f t="shared" si="41"/>
      </c>
      <c r="BK40" s="3" t="e">
        <f t="shared" si="149"/>
        <v>#REF!</v>
      </c>
      <c r="BL40" s="1">
        <f t="shared" si="150"/>
        <v>75.680790960452</v>
      </c>
      <c r="BM40" s="1">
        <f t="shared" si="44"/>
      </c>
      <c r="BN40" s="3" t="e">
        <f t="shared" si="151"/>
        <v>#REF!</v>
      </c>
      <c r="BO40" s="1">
        <f t="shared" si="152"/>
        <v>59.093220338983</v>
      </c>
      <c r="BQ40" s="3" t="e">
        <f t="shared" si="153"/>
        <v>#REF!</v>
      </c>
      <c r="BR40" s="1">
        <f t="shared" si="154"/>
        <v>118.186440677966</v>
      </c>
      <c r="BT40" s="3" t="e">
        <f t="shared" si="155"/>
        <v>#REF!</v>
      </c>
      <c r="BU40" s="1">
        <f t="shared" si="156"/>
        <v>131.66384180791</v>
      </c>
      <c r="BW40" s="3" t="e">
        <f t="shared" si="157"/>
        <v>#REF!</v>
      </c>
      <c r="BX40" s="1">
        <f t="shared" si="158"/>
        <v>119.2231638418</v>
      </c>
      <c r="BZ40" s="3" t="e">
        <f t="shared" si="159"/>
        <v>#REF!</v>
      </c>
    </row>
    <row r="41" ht="14.0">
      <c r="A41" s="27" t="s">
        <v>28</v>
      </c>
      <c r="B41" s="27" t="s">
        <v>98</v>
      </c>
      <c r="C41" s="27" t="s">
        <v>103</v>
      </c>
      <c r="D41" s="27" t="s">
        <v>104</v>
      </c>
      <c r="E41" s="27">
        <v>342.0</v>
      </c>
      <c r="F41" s="27">
        <v>318.0</v>
      </c>
      <c r="G41" s="27">
        <v>594.0</v>
      </c>
      <c r="H41" s="27">
        <v>378.0</v>
      </c>
      <c r="I41" s="27">
        <v>649.0</v>
      </c>
      <c r="J41" s="27">
        <v>648.0</v>
      </c>
      <c r="K41" s="27">
        <v>85.0</v>
      </c>
      <c r="L41" s="27">
        <v>270.0</v>
      </c>
      <c r="M41" s="27">
        <v>278.0</v>
      </c>
      <c r="N41" s="27">
        <v>559.0</v>
      </c>
      <c r="O41" s="27">
        <v>271.0</v>
      </c>
      <c r="P41" s="27">
        <v>235.0</v>
      </c>
      <c r="Q41" s="27">
        <v>408.0</v>
      </c>
      <c r="R41" s="27">
        <v>390.0</v>
      </c>
      <c r="S41" s="27">
        <v>372.0</v>
      </c>
      <c r="T41" s="27">
        <v>648.0</v>
      </c>
      <c r="U41" s="27">
        <v>692.0</v>
      </c>
      <c r="V41" s="27">
        <v>853.0</v>
      </c>
      <c r="W41" s="27">
        <v>499.0</v>
      </c>
      <c r="X41" s="27">
        <v>427.0</v>
      </c>
      <c r="Y41" s="27">
        <v>501.0</v>
      </c>
      <c r="Z41" s="27">
        <v>0.0</v>
      </c>
      <c r="AA41" s="27">
        <v>672.0</v>
      </c>
      <c r="AB41" s="27">
        <v>0.0</v>
      </c>
      <c r="AC41" s="27">
        <v>492.0</v>
      </c>
      <c r="AD41" s="27">
        <v>324.0</v>
      </c>
      <c r="AE41" s="27">
        <v>288.0</v>
      </c>
      <c r="AF41" s="27">
        <v>732.0</v>
      </c>
      <c r="AG41" s="27">
        <v>978.0</v>
      </c>
      <c r="AH41" s="27">
        <v>546.0</v>
      </c>
      <c r="AI41" s="27">
        <v>480.0</v>
      </c>
      <c r="AJ41" s="27">
        <v>390.0</v>
      </c>
      <c r="AK41" s="27">
        <v>288.0</v>
      </c>
      <c r="AL41" s="27">
        <v>390.0</v>
      </c>
      <c r="AM41" s="27">
        <v>356.0</v>
      </c>
      <c r="AN41" s="27">
        <v>330.0</v>
      </c>
      <c r="AO41" s="28"/>
      <c r="AP41" s="28">
        <f t="shared" si="3"/>
        <v>5594.0</v>
      </c>
      <c r="AQ41" s="28">
        <f t="shared" si="4"/>
        <v>2234.0</v>
      </c>
      <c r="AR41" s="28">
        <f t="shared" si="5"/>
        <v>2457.4</v>
      </c>
      <c r="AS41" s="1">
        <f t="shared" si="139"/>
        <v>561.655367231638</v>
      </c>
      <c r="AT41" s="1">
        <f t="shared" si="140"/>
        <v>460.683615819209</v>
      </c>
      <c r="AU41" s="1">
        <f t="shared" si="141"/>
        <v>359.71186440678</v>
      </c>
      <c r="AV41" s="1">
        <f t="shared" si="142"/>
        <v>719.423728813559</v>
      </c>
      <c r="AW41" s="1">
        <f t="shared" si="143"/>
        <v>801.463276836158</v>
      </c>
      <c r="AX41" s="1">
        <f t="shared" si="144"/>
        <v>725.734463276836</v>
      </c>
      <c r="AY41" s="2">
        <f t="shared" si="12"/>
        <v>3628.67231638418</v>
      </c>
      <c r="AZ41" s="2" t="e">
        <f t="shared" si="13"/>
        <v>#REF!</v>
      </c>
      <c r="BA41" s="1" t="e">
        <f t="shared" ref="BA41:BA44" si="163">VLOOKUP(C41,JULY,3,false)</f>
        <v>#REF!</v>
      </c>
      <c r="BB41" s="1" t="e">
        <f t="shared" ref="BB41:BB44" si="164">VLOOKUP(C41,AUGUST,3,false)</f>
        <v>#REF!</v>
      </c>
      <c r="BD41" s="28" t="e">
        <f t="shared" si="145"/>
        <v>#REF!</v>
      </c>
      <c r="BE41" s="1">
        <f>VLOOKUP(C41,MOQ,3,FALSE())</f>
        <v>1008.0</v>
      </c>
      <c r="BF41" s="168" t="s">
        <v>32</v>
      </c>
      <c r="BG41" s="4" t="s">
        <v>212</v>
      </c>
      <c r="BH41" s="1" t="e">
        <f t="shared" si="147"/>
        <v>#REF!</v>
      </c>
      <c r="BI41" s="1">
        <f t="shared" si="148"/>
        <v>561.655367231638</v>
      </c>
      <c r="BJ41" s="1" t="e">
        <f t="shared" si="41"/>
        <v>#REF!</v>
      </c>
      <c r="BK41" s="3" t="e">
        <f t="shared" si="149"/>
        <v>#REF!</v>
      </c>
      <c r="BL41" s="1">
        <f t="shared" si="150"/>
        <v>460.683615819209</v>
      </c>
      <c r="BM41" s="1" t="e">
        <f t="shared" si="44"/>
        <v>#REF!</v>
      </c>
      <c r="BN41" s="3" t="e">
        <f t="shared" si="151"/>
        <v>#REF!</v>
      </c>
      <c r="BO41" s="1">
        <f t="shared" si="152"/>
        <v>359.71186440678</v>
      </c>
      <c r="BQ41" s="3" t="e">
        <f t="shared" si="153"/>
        <v>#REF!</v>
      </c>
      <c r="BR41" s="1">
        <f t="shared" si="154"/>
        <v>719.423728813559</v>
      </c>
      <c r="BT41" s="3" t="e">
        <f t="shared" si="155"/>
        <v>#REF!</v>
      </c>
      <c r="BU41" s="1">
        <f t="shared" si="156"/>
        <v>801.463276836158</v>
      </c>
      <c r="BW41" s="3" t="e">
        <f t="shared" si="157"/>
        <v>#REF!</v>
      </c>
      <c r="BX41" s="1">
        <f t="shared" si="158"/>
        <v>725.734463276836</v>
      </c>
      <c r="BZ41" s="3" t="e">
        <f t="shared" si="159"/>
        <v>#REF!</v>
      </c>
    </row>
    <row r="42" ht="14.0">
      <c r="A42" s="27" t="s">
        <v>28</v>
      </c>
      <c r="B42" s="27" t="s">
        <v>98</v>
      </c>
      <c r="C42" s="27" t="s">
        <v>105</v>
      </c>
      <c r="D42" s="27" t="s">
        <v>106</v>
      </c>
      <c r="E42" s="27">
        <v>294.0</v>
      </c>
      <c r="F42" s="27">
        <v>306.0</v>
      </c>
      <c r="G42" s="27">
        <v>173.0</v>
      </c>
      <c r="H42" s="27">
        <v>0.0</v>
      </c>
      <c r="I42" s="27">
        <v>847.0</v>
      </c>
      <c r="J42" s="27">
        <v>558.0</v>
      </c>
      <c r="K42" s="27">
        <v>252.0</v>
      </c>
      <c r="L42" s="27">
        <v>294.0</v>
      </c>
      <c r="M42" s="27">
        <v>6.0</v>
      </c>
      <c r="N42" s="27">
        <v>0.0</v>
      </c>
      <c r="O42" s="27">
        <v>187.0</v>
      </c>
      <c r="P42" s="27">
        <v>277.0</v>
      </c>
      <c r="Q42" s="27">
        <v>432.0</v>
      </c>
      <c r="R42" s="27">
        <v>312.0</v>
      </c>
      <c r="S42" s="27">
        <v>315.0</v>
      </c>
      <c r="T42" s="27">
        <v>519.0</v>
      </c>
      <c r="U42" s="27">
        <v>525.0</v>
      </c>
      <c r="V42" s="27">
        <v>839.0</v>
      </c>
      <c r="W42" s="27">
        <v>565.0</v>
      </c>
      <c r="X42" s="27">
        <v>313.0</v>
      </c>
      <c r="Y42" s="27">
        <v>58.0</v>
      </c>
      <c r="Z42" s="27">
        <v>0.0</v>
      </c>
      <c r="AA42" s="27">
        <v>844.0</v>
      </c>
      <c r="AB42" s="27">
        <v>162.0</v>
      </c>
      <c r="AC42" s="27">
        <v>402.0</v>
      </c>
      <c r="AD42" s="27">
        <v>282.0</v>
      </c>
      <c r="AE42" s="27">
        <v>222.0</v>
      </c>
      <c r="AF42" s="27">
        <v>528.0</v>
      </c>
      <c r="AG42" s="27">
        <v>528.0</v>
      </c>
      <c r="AH42" s="27">
        <v>414.0</v>
      </c>
      <c r="AI42" s="27">
        <v>330.0</v>
      </c>
      <c r="AJ42" s="27">
        <v>318.0</v>
      </c>
      <c r="AK42" s="27">
        <v>222.0</v>
      </c>
      <c r="AL42" s="27">
        <v>204.0</v>
      </c>
      <c r="AM42" s="27">
        <v>289.0</v>
      </c>
      <c r="AN42" s="27">
        <v>294.0</v>
      </c>
      <c r="AO42" s="28"/>
      <c r="AP42" s="28">
        <f t="shared" si="3"/>
        <v>4033.0</v>
      </c>
      <c r="AQ42" s="28">
        <f t="shared" si="4"/>
        <v>1657.0</v>
      </c>
      <c r="AR42" s="28">
        <f t="shared" si="5"/>
        <v>1822.7</v>
      </c>
      <c r="AS42" s="1">
        <f t="shared" si="139"/>
        <v>416.590395480226</v>
      </c>
      <c r="AT42" s="1">
        <f t="shared" si="140"/>
        <v>341.697740112994</v>
      </c>
      <c r="AU42" s="1">
        <f t="shared" si="141"/>
        <v>266.805084745762</v>
      </c>
      <c r="AV42" s="1">
        <f t="shared" si="142"/>
        <v>533.610169491525</v>
      </c>
      <c r="AW42" s="1">
        <f t="shared" si="143"/>
        <v>594.460451977401</v>
      </c>
      <c r="AX42" s="1">
        <f t="shared" si="144"/>
        <v>538.290960451977</v>
      </c>
      <c r="AY42" s="2">
        <f t="shared" si="12"/>
        <v>2691.45480225989</v>
      </c>
      <c r="AZ42" s="2" t="e">
        <f t="shared" si="13"/>
        <v>#REF!</v>
      </c>
      <c r="BA42" s="1" t="e">
        <f t="shared" si="163"/>
        <v>#REF!</v>
      </c>
      <c r="BB42" s="1" t="e">
        <f t="shared" si="164"/>
        <v>#REF!</v>
      </c>
      <c r="BD42" s="28" t="e">
        <f t="shared" si="145"/>
        <v>#REF!</v>
      </c>
      <c r="BE42" s="1">
        <f>VLOOKUP(C42,MOQ,3,FALSE())</f>
        <v>1008.0</v>
      </c>
      <c r="BG42" s="4" t="s">
        <v>212</v>
      </c>
      <c r="BH42" s="1" t="e">
        <f t="shared" si="147"/>
        <v>#REF!</v>
      </c>
      <c r="BI42" s="1">
        <f t="shared" si="148"/>
        <v>416.590395480226</v>
      </c>
      <c r="BJ42" s="1" t="e">
        <f t="shared" si="41"/>
        <v>#REF!</v>
      </c>
      <c r="BK42" s="3" t="e">
        <f t="shared" si="149"/>
        <v>#REF!</v>
      </c>
      <c r="BL42" s="1">
        <f t="shared" si="150"/>
        <v>341.697740112994</v>
      </c>
      <c r="BM42" s="1" t="e">
        <f t="shared" si="44"/>
        <v>#REF!</v>
      </c>
      <c r="BN42" s="3" t="e">
        <f t="shared" si="151"/>
        <v>#REF!</v>
      </c>
      <c r="BO42" s="1">
        <f t="shared" si="152"/>
        <v>266.805084745762</v>
      </c>
      <c r="BQ42" s="3" t="e">
        <f t="shared" si="153"/>
        <v>#REF!</v>
      </c>
      <c r="BR42" s="1">
        <f t="shared" si="154"/>
        <v>533.610169491525</v>
      </c>
      <c r="BT42" s="3" t="e">
        <f t="shared" si="155"/>
        <v>#REF!</v>
      </c>
      <c r="BU42" s="1">
        <f t="shared" si="156"/>
        <v>594.460451977401</v>
      </c>
      <c r="BW42" s="3" t="e">
        <f t="shared" si="157"/>
        <v>#REF!</v>
      </c>
      <c r="BX42" s="1">
        <f t="shared" si="158"/>
        <v>538.290960451977</v>
      </c>
      <c r="BZ42" s="3" t="e">
        <f t="shared" si="159"/>
        <v>#REF!</v>
      </c>
    </row>
    <row r="43" ht="14.0">
      <c r="A43" s="27" t="s">
        <v>28</v>
      </c>
      <c r="B43" s="27" t="s">
        <v>98</v>
      </c>
      <c r="C43" s="27" t="s">
        <v>107</v>
      </c>
      <c r="D43" s="27" t="s">
        <v>108</v>
      </c>
      <c r="E43" s="27">
        <v>222.0</v>
      </c>
      <c r="F43" s="27">
        <v>829.0</v>
      </c>
      <c r="G43" s="27">
        <v>846.0</v>
      </c>
      <c r="H43" s="27">
        <v>306.0</v>
      </c>
      <c r="I43" s="27">
        <v>201.0</v>
      </c>
      <c r="J43" s="27">
        <v>1114.0</v>
      </c>
      <c r="K43" s="27">
        <v>250.0</v>
      </c>
      <c r="L43" s="27">
        <v>479.0</v>
      </c>
      <c r="M43" s="27">
        <v>242.0</v>
      </c>
      <c r="N43" s="27">
        <v>798.0</v>
      </c>
      <c r="O43" s="27">
        <v>374.0</v>
      </c>
      <c r="P43" s="27">
        <v>252.0</v>
      </c>
      <c r="Q43" s="27">
        <v>480.0</v>
      </c>
      <c r="R43" s="27">
        <v>537.0</v>
      </c>
      <c r="S43" s="27">
        <v>401.0</v>
      </c>
      <c r="T43" s="27">
        <v>591.0</v>
      </c>
      <c r="U43" s="27">
        <v>605.0</v>
      </c>
      <c r="V43" s="27">
        <v>595.0</v>
      </c>
      <c r="W43" s="27">
        <v>388.0</v>
      </c>
      <c r="X43" s="27">
        <v>312.0</v>
      </c>
      <c r="Y43" s="27">
        <v>552.0</v>
      </c>
      <c r="Z43" s="27">
        <v>254.0</v>
      </c>
      <c r="AA43" s="27">
        <v>630.0</v>
      </c>
      <c r="AB43" s="27">
        <v>209.0</v>
      </c>
      <c r="AC43" s="27">
        <v>348.0</v>
      </c>
      <c r="AD43" s="27">
        <v>288.0</v>
      </c>
      <c r="AE43" s="27">
        <v>336.0</v>
      </c>
      <c r="AF43" s="27">
        <v>498.0</v>
      </c>
      <c r="AG43" s="27">
        <v>624.0</v>
      </c>
      <c r="AH43" s="27">
        <v>414.0</v>
      </c>
      <c r="AI43" s="27">
        <v>384.0</v>
      </c>
      <c r="AJ43" s="27">
        <v>306.0</v>
      </c>
      <c r="AK43" s="27">
        <v>284.0</v>
      </c>
      <c r="AL43" s="27">
        <v>252.0</v>
      </c>
      <c r="AM43" s="27">
        <v>282.0</v>
      </c>
      <c r="AN43" s="27">
        <v>239.0</v>
      </c>
      <c r="AO43" s="28"/>
      <c r="AP43" s="28">
        <f t="shared" si="3"/>
        <v>4255.0</v>
      </c>
      <c r="AQ43" s="28">
        <f t="shared" si="4"/>
        <v>1747.0</v>
      </c>
      <c r="AR43" s="28">
        <f t="shared" si="5"/>
        <v>1921.7</v>
      </c>
      <c r="AS43" s="1">
        <f t="shared" si="139"/>
        <v>439.217514124293</v>
      </c>
      <c r="AT43" s="1">
        <f t="shared" si="140"/>
        <v>360.257062146892</v>
      </c>
      <c r="AU43" s="1">
        <f t="shared" si="141"/>
        <v>281.296610169491</v>
      </c>
      <c r="AV43" s="1">
        <f t="shared" si="142"/>
        <v>562.593220338983</v>
      </c>
      <c r="AW43" s="1">
        <f t="shared" si="143"/>
        <v>626.748587570621</v>
      </c>
      <c r="AX43" s="1">
        <f t="shared" si="144"/>
        <v>567.52824858757</v>
      </c>
      <c r="AY43" s="2">
        <f t="shared" si="12"/>
        <v>2837.64124293785</v>
      </c>
      <c r="AZ43" s="2" t="e">
        <f t="shared" si="13"/>
        <v>#REF!</v>
      </c>
      <c r="BA43" s="1" t="e">
        <f t="shared" si="163"/>
        <v>#REF!</v>
      </c>
      <c r="BB43" s="1" t="e">
        <f t="shared" si="164"/>
        <v>#REF!</v>
      </c>
      <c r="BD43" s="28" t="e">
        <f t="shared" si="145"/>
        <v>#REF!</v>
      </c>
      <c r="BE43" s="1">
        <f>VLOOKUP(C43,MOQ,3,FALSE())</f>
        <v>1008.0</v>
      </c>
      <c r="BG43" s="4" t="s">
        <v>212</v>
      </c>
      <c r="BH43" s="1" t="e">
        <f t="shared" si="147"/>
        <v>#REF!</v>
      </c>
      <c r="BI43" s="1">
        <f t="shared" si="148"/>
        <v>439.217514124293</v>
      </c>
      <c r="BJ43" s="1" t="e">
        <f t="shared" si="41"/>
        <v>#REF!</v>
      </c>
      <c r="BK43" s="3" t="e">
        <f t="shared" si="149"/>
        <v>#REF!</v>
      </c>
      <c r="BL43" s="1">
        <f t="shared" si="150"/>
        <v>360.257062146892</v>
      </c>
      <c r="BM43" s="1" t="e">
        <f t="shared" si="44"/>
        <v>#REF!</v>
      </c>
      <c r="BN43" s="3" t="e">
        <f t="shared" si="151"/>
        <v>#REF!</v>
      </c>
      <c r="BO43" s="1">
        <f t="shared" si="152"/>
        <v>281.296610169491</v>
      </c>
      <c r="BQ43" s="3" t="e">
        <f t="shared" si="153"/>
        <v>#REF!</v>
      </c>
      <c r="BR43" s="1">
        <f t="shared" si="154"/>
        <v>562.593220338983</v>
      </c>
      <c r="BT43" s="3" t="e">
        <f t="shared" si="155"/>
        <v>#REF!</v>
      </c>
      <c r="BU43" s="1">
        <f t="shared" si="156"/>
        <v>626.748587570621</v>
      </c>
      <c r="BW43" s="3" t="e">
        <f t="shared" si="157"/>
        <v>#REF!</v>
      </c>
      <c r="BX43" s="1">
        <f t="shared" si="158"/>
        <v>567.52824858757</v>
      </c>
      <c r="BZ43" s="3" t="e">
        <f t="shared" si="159"/>
        <v>#REF!</v>
      </c>
    </row>
    <row r="44" ht="14.0">
      <c r="A44" s="27" t="s">
        <v>28</v>
      </c>
      <c r="B44" s="27" t="s">
        <v>98</v>
      </c>
      <c r="C44" s="27" t="s">
        <v>109</v>
      </c>
      <c r="D44" s="27" t="s">
        <v>110</v>
      </c>
      <c r="E44" s="27">
        <v>90.0</v>
      </c>
      <c r="F44" s="27">
        <v>834.0</v>
      </c>
      <c r="G44" s="27">
        <v>456.0</v>
      </c>
      <c r="H44" s="27">
        <v>0.0</v>
      </c>
      <c r="I44" s="27">
        <v>222.0</v>
      </c>
      <c r="J44" s="27">
        <v>1014.0</v>
      </c>
      <c r="K44" s="27">
        <v>229.0</v>
      </c>
      <c r="L44" s="27">
        <v>444.0</v>
      </c>
      <c r="M44" s="27">
        <v>180.0</v>
      </c>
      <c r="N44" s="27">
        <v>690.0</v>
      </c>
      <c r="O44" s="27">
        <v>300.0</v>
      </c>
      <c r="P44" s="27">
        <v>362.0</v>
      </c>
      <c r="Q44" s="27">
        <v>450.0</v>
      </c>
      <c r="R44" s="27">
        <v>613.0</v>
      </c>
      <c r="S44" s="27">
        <v>303.0</v>
      </c>
      <c r="T44" s="27">
        <v>554.0</v>
      </c>
      <c r="U44" s="27">
        <v>594.0</v>
      </c>
      <c r="V44" s="27">
        <v>516.0</v>
      </c>
      <c r="W44" s="27">
        <v>318.0</v>
      </c>
      <c r="X44" s="27">
        <v>360.0</v>
      </c>
      <c r="Y44" s="27">
        <v>286.0</v>
      </c>
      <c r="Z44" s="27">
        <v>0.0</v>
      </c>
      <c r="AA44" s="27">
        <v>658.0</v>
      </c>
      <c r="AB44" s="27">
        <v>222.0</v>
      </c>
      <c r="AC44" s="27">
        <v>258.0</v>
      </c>
      <c r="AD44" s="27">
        <v>234.0</v>
      </c>
      <c r="AE44" s="27">
        <v>270.0</v>
      </c>
      <c r="AF44" s="27">
        <v>528.0</v>
      </c>
      <c r="AG44" s="27">
        <v>618.0</v>
      </c>
      <c r="AH44" s="27">
        <v>366.0</v>
      </c>
      <c r="AI44" s="27">
        <v>359.0</v>
      </c>
      <c r="AJ44" s="27">
        <v>288.0</v>
      </c>
      <c r="AK44" s="27">
        <v>284.0</v>
      </c>
      <c r="AL44" s="27">
        <v>246.0</v>
      </c>
      <c r="AM44" s="27">
        <v>234.0</v>
      </c>
      <c r="AN44" s="27">
        <v>258.0</v>
      </c>
      <c r="AO44" s="28"/>
      <c r="AP44" s="28">
        <f t="shared" si="3"/>
        <v>3943.0</v>
      </c>
      <c r="AQ44" s="28">
        <f t="shared" si="4"/>
        <v>1669.0</v>
      </c>
      <c r="AR44" s="28">
        <f t="shared" si="5"/>
        <v>1835.9</v>
      </c>
      <c r="AS44" s="1">
        <f t="shared" si="139"/>
        <v>419.607344632768</v>
      </c>
      <c r="AT44" s="1">
        <f t="shared" si="140"/>
        <v>344.17231638418</v>
      </c>
      <c r="AU44" s="1">
        <f t="shared" si="141"/>
        <v>268.737288135593</v>
      </c>
      <c r="AV44" s="1">
        <f t="shared" si="142"/>
        <v>537.474576271186</v>
      </c>
      <c r="AW44" s="1">
        <f t="shared" si="143"/>
        <v>598.765536723163</v>
      </c>
      <c r="AX44" s="1">
        <f t="shared" si="144"/>
        <v>542.189265536723</v>
      </c>
      <c r="AY44" s="2">
        <f t="shared" si="12"/>
        <v>2710.94632768361</v>
      </c>
      <c r="AZ44" s="2" t="e">
        <f t="shared" si="13"/>
        <v>#REF!</v>
      </c>
      <c r="BA44" s="1" t="e">
        <f t="shared" si="163"/>
        <v>#REF!</v>
      </c>
      <c r="BB44" s="1" t="e">
        <f t="shared" si="164"/>
        <v>#REF!</v>
      </c>
      <c r="BD44" s="28" t="e">
        <f t="shared" si="145"/>
        <v>#REF!</v>
      </c>
      <c r="BE44" s="1">
        <f>VLOOKUP(C44,MOQ,3,FALSE())</f>
        <v>1008.0</v>
      </c>
      <c r="BH44" s="1" t="e">
        <f t="shared" si="147"/>
        <v>#REF!</v>
      </c>
      <c r="BI44" s="1">
        <f t="shared" si="148"/>
        <v>419.607344632768</v>
      </c>
      <c r="BJ44" s="1" t="e">
        <f t="shared" si="41"/>
        <v>#REF!</v>
      </c>
      <c r="BK44" s="3" t="e">
        <f t="shared" si="149"/>
        <v>#REF!</v>
      </c>
      <c r="BL44" s="1">
        <f t="shared" si="150"/>
        <v>344.17231638418</v>
      </c>
      <c r="BM44" s="1" t="e">
        <f t="shared" si="44"/>
        <v>#REF!</v>
      </c>
      <c r="BN44" s="3" t="e">
        <f t="shared" si="151"/>
        <v>#REF!</v>
      </c>
      <c r="BO44" s="1">
        <f t="shared" si="152"/>
        <v>268.737288135593</v>
      </c>
      <c r="BQ44" s="3" t="e">
        <f t="shared" si="153"/>
        <v>#REF!</v>
      </c>
      <c r="BR44" s="1">
        <f t="shared" si="154"/>
        <v>537.474576271186</v>
      </c>
      <c r="BT44" s="3" t="e">
        <f t="shared" si="155"/>
        <v>#REF!</v>
      </c>
      <c r="BU44" s="1">
        <f t="shared" si="156"/>
        <v>598.765536723163</v>
      </c>
      <c r="BW44" s="3" t="e">
        <f t="shared" si="157"/>
        <v>#REF!</v>
      </c>
      <c r="BX44" s="1">
        <f t="shared" si="158"/>
        <v>542.189265536723</v>
      </c>
      <c r="BZ44" s="3" t="e">
        <f t="shared" si="159"/>
        <v>#REF!</v>
      </c>
    </row>
    <row r="45" ht="14.0">
      <c r="A45" s="27" t="s">
        <v>28</v>
      </c>
      <c r="B45" s="27" t="s">
        <v>98</v>
      </c>
      <c r="C45" s="27" t="s">
        <v>111</v>
      </c>
      <c r="D45" s="27" t="s">
        <v>112</v>
      </c>
      <c r="E45" s="27">
        <v>120.0</v>
      </c>
      <c r="F45" s="27">
        <v>188.0</v>
      </c>
      <c r="G45" s="27">
        <v>354.0</v>
      </c>
      <c r="H45" s="27">
        <v>223.0</v>
      </c>
      <c r="I45" s="27">
        <v>324.0</v>
      </c>
      <c r="J45" s="27">
        <v>181.0</v>
      </c>
      <c r="K45" s="27">
        <v>295.0</v>
      </c>
      <c r="L45" s="27">
        <v>137.0</v>
      </c>
      <c r="M45" s="27">
        <v>151.0</v>
      </c>
      <c r="N45" s="27">
        <v>150.0</v>
      </c>
      <c r="O45" s="27">
        <v>144.0</v>
      </c>
      <c r="P45" s="27">
        <v>152.0</v>
      </c>
      <c r="Q45" s="27">
        <v>114.0</v>
      </c>
      <c r="R45" s="27">
        <v>105.0</v>
      </c>
      <c r="S45" s="27">
        <v>187.0</v>
      </c>
      <c r="T45" s="27">
        <v>182.0</v>
      </c>
      <c r="U45" s="27">
        <v>124.0</v>
      </c>
      <c r="V45" s="27">
        <v>170.0</v>
      </c>
      <c r="W45" s="27">
        <v>108.0</v>
      </c>
      <c r="X45" s="27">
        <v>102.0</v>
      </c>
      <c r="Y45" s="27">
        <v>168.0</v>
      </c>
      <c r="Z45" s="27">
        <v>142.0</v>
      </c>
      <c r="AA45" s="27">
        <v>138.0</v>
      </c>
      <c r="AB45" s="27">
        <v>78.0</v>
      </c>
      <c r="AC45" s="27">
        <v>48.0</v>
      </c>
      <c r="AD45" s="27">
        <v>132.0</v>
      </c>
      <c r="AE45" s="27">
        <v>102.0</v>
      </c>
      <c r="AF45" s="27">
        <v>132.0</v>
      </c>
      <c r="AG45" s="27">
        <v>193.0</v>
      </c>
      <c r="AH45" s="27">
        <v>84.0</v>
      </c>
      <c r="AI45" s="27">
        <v>96.0</v>
      </c>
      <c r="AJ45" s="27">
        <v>78.0</v>
      </c>
      <c r="AK45" s="27">
        <v>66.0</v>
      </c>
      <c r="AL45" s="27">
        <v>6.0</v>
      </c>
      <c r="AM45" s="27">
        <v>72.0</v>
      </c>
      <c r="AN45" s="27">
        <v>31.0</v>
      </c>
      <c r="AO45" s="28"/>
      <c r="AP45" s="28">
        <f t="shared" si="3"/>
        <v>1040.0</v>
      </c>
      <c r="AQ45" s="28">
        <f t="shared" si="4"/>
        <v>349.0</v>
      </c>
      <c r="AR45" s="28">
        <f t="shared" si="5"/>
        <v>383.9</v>
      </c>
      <c r="AS45" s="1">
        <f t="shared" si="139"/>
        <v>87.7429378531073</v>
      </c>
      <c r="AT45" s="1">
        <f t="shared" si="140"/>
        <v>71.9689265536723</v>
      </c>
      <c r="AU45" s="1">
        <f t="shared" si="141"/>
        <v>56.1949152542372</v>
      </c>
      <c r="AV45" s="1">
        <f t="shared" si="142"/>
        <v>112.389830508474</v>
      </c>
      <c r="AW45" s="1">
        <f t="shared" si="143"/>
        <v>125.20621468927</v>
      </c>
      <c r="AX45" s="1">
        <f t="shared" si="144"/>
        <v>113.375706214689</v>
      </c>
      <c r="AY45" s="2">
        <f t="shared" si="12"/>
        <v>566.87853107345</v>
      </c>
      <c r="AZ45" s="2" t="e">
        <f t="shared" si="13"/>
        <v>#REF!</v>
      </c>
      <c r="BD45" s="28" t="e">
        <f t="shared" si="145"/>
        <v>#REF!</v>
      </c>
      <c r="BE45" s="1">
        <f>VLOOKUP(C45,MOQ,3,FALSE())</f>
        <v>1008.0</v>
      </c>
      <c r="BF45" s="168" t="s">
        <v>32</v>
      </c>
      <c r="BH45" s="1" t="e">
        <f t="shared" si="147"/>
        <v>#REF!</v>
      </c>
      <c r="BI45" s="1">
        <f t="shared" si="148"/>
        <v>87.7429378531073</v>
      </c>
      <c r="BJ45" s="1">
        <f t="shared" si="41"/>
      </c>
      <c r="BK45" s="3" t="e">
        <f t="shared" si="149"/>
        <v>#REF!</v>
      </c>
      <c r="BL45" s="1">
        <f t="shared" si="150"/>
        <v>71.9689265536723</v>
      </c>
      <c r="BM45" s="1">
        <f t="shared" si="44"/>
      </c>
      <c r="BN45" s="3" t="e">
        <f t="shared" si="151"/>
        <v>#REF!</v>
      </c>
      <c r="BO45" s="1">
        <f t="shared" si="152"/>
        <v>56.1949152542372</v>
      </c>
      <c r="BQ45" s="3" t="e">
        <f t="shared" si="153"/>
        <v>#REF!</v>
      </c>
      <c r="BR45" s="1">
        <f t="shared" si="154"/>
        <v>112.389830508474</v>
      </c>
      <c r="BT45" s="3" t="e">
        <f t="shared" si="155"/>
        <v>#REF!</v>
      </c>
      <c r="BU45" s="1">
        <f t="shared" si="156"/>
        <v>125.20621468927</v>
      </c>
      <c r="BW45" s="3" t="e">
        <f t="shared" si="157"/>
        <v>#REF!</v>
      </c>
      <c r="BX45" s="1">
        <f t="shared" si="158"/>
        <v>113.375706214689</v>
      </c>
      <c r="BZ45" s="3" t="e">
        <f t="shared" si="159"/>
        <v>#REF!</v>
      </c>
    </row>
    <row r="46" ht="14.0">
      <c r="A46" s="27" t="s">
        <v>28</v>
      </c>
      <c r="B46" s="27" t="s">
        <v>98</v>
      </c>
      <c r="C46" s="27" t="s">
        <v>113</v>
      </c>
      <c r="D46" s="27" t="s">
        <v>114</v>
      </c>
      <c r="E46" s="27">
        <v>18.0</v>
      </c>
      <c r="F46" s="27">
        <v>53.0</v>
      </c>
      <c r="G46" s="27">
        <v>54.0</v>
      </c>
      <c r="H46" s="27">
        <v>30.0</v>
      </c>
      <c r="I46" s="27">
        <v>54.0</v>
      </c>
      <c r="J46" s="27">
        <v>18.0</v>
      </c>
      <c r="K46" s="27">
        <v>24.0</v>
      </c>
      <c r="L46" s="27">
        <v>12.0</v>
      </c>
      <c r="M46" s="27">
        <v>30.0</v>
      </c>
      <c r="N46" s="27">
        <v>36.0</v>
      </c>
      <c r="O46" s="27">
        <v>54.0</v>
      </c>
      <c r="P46" s="27">
        <v>24.0</v>
      </c>
      <c r="Q46" s="27">
        <v>12.0</v>
      </c>
      <c r="R46" s="27">
        <v>25.0</v>
      </c>
      <c r="S46" s="27">
        <v>39.0</v>
      </c>
      <c r="T46" s="27">
        <v>30.0</v>
      </c>
      <c r="U46" s="27">
        <v>25.0</v>
      </c>
      <c r="V46" s="27">
        <v>31.0</v>
      </c>
      <c r="W46" s="27">
        <v>39.0</v>
      </c>
      <c r="X46" s="27">
        <v>44.0</v>
      </c>
      <c r="Y46" s="27">
        <v>24.0</v>
      </c>
      <c r="Z46" s="27">
        <v>12.0</v>
      </c>
      <c r="AA46" s="27">
        <v>30.0</v>
      </c>
      <c r="AB46" s="27">
        <v>30.0</v>
      </c>
      <c r="AC46" s="27">
        <v>6.0</v>
      </c>
      <c r="AD46" s="27">
        <v>60.0</v>
      </c>
      <c r="AE46" s="27">
        <v>18.0</v>
      </c>
      <c r="AF46" s="27">
        <v>18.0</v>
      </c>
      <c r="AG46" s="27">
        <v>36.0</v>
      </c>
      <c r="AH46" s="27">
        <v>18.0</v>
      </c>
      <c r="AI46" s="27">
        <v>18.0</v>
      </c>
      <c r="AJ46" s="27">
        <v>48.0</v>
      </c>
      <c r="AK46" s="27">
        <v>42.0</v>
      </c>
      <c r="AL46" s="27">
        <v>18.0</v>
      </c>
      <c r="AM46" s="27">
        <v>7.0</v>
      </c>
      <c r="AN46" s="27">
        <v>12.0</v>
      </c>
      <c r="AO46" s="28"/>
      <c r="AP46" s="28">
        <f t="shared" si="3"/>
        <v>301.0</v>
      </c>
      <c r="AQ46" s="28">
        <f t="shared" si="4"/>
        <v>145.0</v>
      </c>
      <c r="AR46" s="28">
        <f t="shared" si="5"/>
        <v>159.5</v>
      </c>
      <c r="AS46" s="1">
        <f t="shared" si="139"/>
        <v>36.454802259887</v>
      </c>
      <c r="AT46" s="1">
        <f t="shared" si="140"/>
        <v>29.9011299435028</v>
      </c>
      <c r="AU46" s="1">
        <f t="shared" si="141"/>
        <v>23.3474576271186</v>
      </c>
      <c r="AV46" s="1">
        <f t="shared" si="142"/>
        <v>46.6949152542372</v>
      </c>
      <c r="AW46" s="1">
        <f t="shared" si="143"/>
        <v>52.0197740112994</v>
      </c>
      <c r="AX46" s="1">
        <f t="shared" si="144"/>
        <v>47.1045197740113</v>
      </c>
      <c r="AY46" s="2">
        <f t="shared" si="12"/>
        <v>235.522598870056</v>
      </c>
      <c r="AZ46" s="2" t="e">
        <f t="shared" si="13"/>
        <v>#REF!</v>
      </c>
      <c r="BD46" s="28" t="e">
        <f t="shared" si="145"/>
        <v>#REF!</v>
      </c>
      <c r="BE46" s="1">
        <f>VLOOKUP(C46,MOQ,3,FALSE())</f>
        <v>1008.0</v>
      </c>
      <c r="BF46" s="168" t="s">
        <v>32</v>
      </c>
      <c r="BH46" s="1" t="e">
        <f t="shared" si="147"/>
        <v>#REF!</v>
      </c>
      <c r="BI46" s="1">
        <f t="shared" si="148"/>
        <v>36.454802259887</v>
      </c>
      <c r="BJ46" s="1">
        <f t="shared" si="41"/>
      </c>
      <c r="BK46" s="3" t="e">
        <f t="shared" si="149"/>
        <v>#REF!</v>
      </c>
      <c r="BL46" s="1">
        <f t="shared" si="150"/>
        <v>29.9011299435028</v>
      </c>
      <c r="BM46" s="1">
        <f t="shared" si="44"/>
      </c>
      <c r="BN46" s="3" t="e">
        <f t="shared" si="151"/>
        <v>#REF!</v>
      </c>
      <c r="BO46" s="1">
        <f t="shared" si="152"/>
        <v>23.3474576271186</v>
      </c>
      <c r="BQ46" s="3" t="e">
        <f t="shared" si="153"/>
        <v>#REF!</v>
      </c>
      <c r="BR46" s="1">
        <f t="shared" si="154"/>
        <v>46.6949152542372</v>
      </c>
      <c r="BT46" s="3" t="e">
        <f t="shared" si="155"/>
        <v>#REF!</v>
      </c>
      <c r="BU46" s="1">
        <f t="shared" si="156"/>
        <v>52.0197740112994</v>
      </c>
      <c r="BW46" s="3" t="e">
        <f t="shared" si="157"/>
        <v>#REF!</v>
      </c>
      <c r="BX46" s="1">
        <f t="shared" si="158"/>
        <v>47.1045197740113</v>
      </c>
      <c r="BZ46" s="3" t="e">
        <f t="shared" si="159"/>
        <v>#REF!</v>
      </c>
    </row>
    <row r="47" ht="14.0">
      <c r="A47" s="27" t="s">
        <v>28</v>
      </c>
      <c r="B47" s="27" t="s">
        <v>98</v>
      </c>
      <c r="C47" s="27" t="s">
        <v>115</v>
      </c>
      <c r="D47" s="27" t="s">
        <v>116</v>
      </c>
      <c r="E47" s="27">
        <v>210.0</v>
      </c>
      <c r="F47" s="27">
        <v>204.0</v>
      </c>
      <c r="G47" s="27">
        <v>450.0</v>
      </c>
      <c r="H47" s="27">
        <v>288.0</v>
      </c>
      <c r="I47" s="27">
        <v>444.0</v>
      </c>
      <c r="J47" s="27">
        <v>197.0</v>
      </c>
      <c r="K47" s="27">
        <v>258.0</v>
      </c>
      <c r="L47" s="27">
        <v>186.0</v>
      </c>
      <c r="M47" s="27">
        <v>210.0</v>
      </c>
      <c r="N47" s="27">
        <v>198.0</v>
      </c>
      <c r="O47" s="27">
        <v>187.0</v>
      </c>
      <c r="P47" s="27">
        <v>120.0</v>
      </c>
      <c r="Q47" s="27">
        <v>162.0</v>
      </c>
      <c r="R47" s="27">
        <v>163.0</v>
      </c>
      <c r="S47" s="27">
        <v>150.0</v>
      </c>
      <c r="T47" s="27">
        <v>177.0</v>
      </c>
      <c r="U47" s="27">
        <v>178.0</v>
      </c>
      <c r="V47" s="27">
        <v>274.0</v>
      </c>
      <c r="W47" s="27">
        <v>120.0</v>
      </c>
      <c r="X47" s="27">
        <v>126.0</v>
      </c>
      <c r="Y47" s="27">
        <v>228.0</v>
      </c>
      <c r="Z47" s="27">
        <v>102.0</v>
      </c>
      <c r="AA47" s="27">
        <v>222.0</v>
      </c>
      <c r="AB47" s="27">
        <v>168.0</v>
      </c>
      <c r="AC47" s="27">
        <v>108.0</v>
      </c>
      <c r="AD47" s="27">
        <v>120.0</v>
      </c>
      <c r="AE47" s="27">
        <v>180.0</v>
      </c>
      <c r="AF47" s="27">
        <v>216.0</v>
      </c>
      <c r="AG47" s="27">
        <v>258.0</v>
      </c>
      <c r="AH47" s="27">
        <v>180.0</v>
      </c>
      <c r="AI47" s="27">
        <v>120.0</v>
      </c>
      <c r="AJ47" s="27">
        <v>66.0</v>
      </c>
      <c r="AK47" s="27">
        <v>108.0</v>
      </c>
      <c r="AL47" s="27">
        <v>114.0</v>
      </c>
      <c r="AM47" s="27">
        <v>90.0</v>
      </c>
      <c r="AN47" s="27">
        <v>102.0</v>
      </c>
      <c r="AO47" s="28"/>
      <c r="AP47" s="28">
        <f t="shared" si="3"/>
        <v>1662.0</v>
      </c>
      <c r="AQ47" s="28">
        <f t="shared" si="4"/>
        <v>600.0</v>
      </c>
      <c r="AR47" s="28">
        <f t="shared" si="5"/>
        <v>660.0</v>
      </c>
      <c r="AS47" s="1">
        <f t="shared" si="139"/>
        <v>150.84745762711</v>
      </c>
      <c r="AT47" s="1">
        <f t="shared" si="140"/>
        <v>123.728813559322</v>
      </c>
      <c r="AU47" s="1">
        <f t="shared" si="141"/>
        <v>96.6101694915254</v>
      </c>
      <c r="AV47" s="1">
        <f t="shared" si="142"/>
        <v>193.22033898305</v>
      </c>
      <c r="AW47" s="1">
        <f t="shared" si="143"/>
        <v>215.25423728813</v>
      </c>
      <c r="AX47" s="1">
        <f t="shared" si="144"/>
        <v>194.915254237288</v>
      </c>
      <c r="AY47" s="2">
        <f t="shared" si="12"/>
        <v>974.576271186426</v>
      </c>
      <c r="AZ47" s="2" t="e">
        <f t="shared" si="13"/>
        <v>#REF!</v>
      </c>
      <c r="BD47" s="28" t="e">
        <f t="shared" si="145"/>
        <v>#REF!</v>
      </c>
      <c r="BE47" s="1">
        <f>VLOOKUP(C47,MOQ,3,FALSE())</f>
        <v>1008.0</v>
      </c>
      <c r="BH47" s="1" t="e">
        <f t="shared" si="147"/>
        <v>#REF!</v>
      </c>
      <c r="BI47" s="1">
        <f t="shared" si="148"/>
        <v>150.84745762711</v>
      </c>
      <c r="BJ47" s="1">
        <f t="shared" si="41"/>
      </c>
      <c r="BK47" s="3" t="e">
        <f t="shared" si="149"/>
        <v>#REF!</v>
      </c>
      <c r="BL47" s="1">
        <f t="shared" si="150"/>
        <v>123.728813559322</v>
      </c>
      <c r="BM47" s="1">
        <f t="shared" si="44"/>
      </c>
      <c r="BN47" s="3" t="e">
        <f t="shared" si="151"/>
        <v>#REF!</v>
      </c>
      <c r="BO47" s="1">
        <f t="shared" si="152"/>
        <v>96.6101694915254</v>
      </c>
      <c r="BQ47" s="3" t="e">
        <f t="shared" si="153"/>
        <v>#REF!</v>
      </c>
      <c r="BR47" s="1">
        <f t="shared" si="154"/>
        <v>193.22033898305</v>
      </c>
      <c r="BT47" s="3" t="e">
        <f t="shared" si="155"/>
        <v>#REF!</v>
      </c>
      <c r="BU47" s="1">
        <f t="shared" si="156"/>
        <v>215.25423728813</v>
      </c>
      <c r="BW47" s="3" t="e">
        <f t="shared" si="157"/>
        <v>#REF!</v>
      </c>
      <c r="BX47" s="1">
        <f t="shared" si="158"/>
        <v>194.915254237288</v>
      </c>
      <c r="BZ47" s="3" t="e">
        <f t="shared" si="159"/>
        <v>#REF!</v>
      </c>
    </row>
    <row r="48" ht="14.0">
      <c r="A48" s="27" t="s">
        <v>28</v>
      </c>
      <c r="B48" s="27" t="s">
        <v>98</v>
      </c>
      <c r="C48" s="27" t="s">
        <v>117</v>
      </c>
      <c r="D48" s="27" t="s">
        <v>118</v>
      </c>
      <c r="E48" s="27">
        <v>288.0</v>
      </c>
      <c r="F48" s="27">
        <v>1043.0</v>
      </c>
      <c r="G48" s="27">
        <v>1044.0</v>
      </c>
      <c r="H48" s="27">
        <v>402.0</v>
      </c>
      <c r="I48" s="27">
        <v>438.0</v>
      </c>
      <c r="J48" s="27">
        <v>1121.0</v>
      </c>
      <c r="K48" s="27">
        <v>0.0</v>
      </c>
      <c r="L48" s="27">
        <v>540.0</v>
      </c>
      <c r="M48" s="27">
        <v>396.0</v>
      </c>
      <c r="N48" s="27">
        <v>822.0</v>
      </c>
      <c r="O48" s="27">
        <v>372.0</v>
      </c>
      <c r="P48" s="27">
        <v>272.0</v>
      </c>
      <c r="Q48" s="27">
        <v>504.0</v>
      </c>
      <c r="R48" s="27">
        <v>649.0</v>
      </c>
      <c r="S48" s="27">
        <v>380.0</v>
      </c>
      <c r="T48" s="27">
        <v>836.0</v>
      </c>
      <c r="U48" s="27">
        <v>742.0</v>
      </c>
      <c r="V48" s="27">
        <v>919.0</v>
      </c>
      <c r="W48" s="27">
        <v>433.0</v>
      </c>
      <c r="X48" s="27">
        <v>313.0</v>
      </c>
      <c r="Y48" s="27">
        <v>276.0</v>
      </c>
      <c r="Z48" s="27">
        <v>0.0</v>
      </c>
      <c r="AA48" s="27">
        <v>937.0</v>
      </c>
      <c r="AB48" s="27">
        <v>259.0</v>
      </c>
      <c r="AC48" s="27">
        <v>552.0</v>
      </c>
      <c r="AD48" s="27">
        <v>354.0</v>
      </c>
      <c r="AE48" s="27">
        <v>408.0</v>
      </c>
      <c r="AF48" s="27">
        <v>732.0</v>
      </c>
      <c r="AG48" s="27">
        <v>804.0</v>
      </c>
      <c r="AH48" s="27">
        <v>564.0</v>
      </c>
      <c r="AI48" s="27">
        <v>459.0</v>
      </c>
      <c r="AJ48" s="27">
        <v>408.0</v>
      </c>
      <c r="AK48" s="27">
        <v>266.0</v>
      </c>
      <c r="AL48" s="27">
        <v>300.0</v>
      </c>
      <c r="AM48" s="27">
        <v>360.0</v>
      </c>
      <c r="AN48" s="27">
        <v>348.0</v>
      </c>
      <c r="AO48" s="28"/>
      <c r="AP48" s="28">
        <f t="shared" si="3"/>
        <v>5555.0</v>
      </c>
      <c r="AQ48" s="28">
        <f t="shared" si="4"/>
        <v>2141.0</v>
      </c>
      <c r="AR48" s="28">
        <f t="shared" si="5"/>
        <v>2355.1</v>
      </c>
      <c r="AS48" s="1">
        <f t="shared" si="139"/>
        <v>538.274011299435</v>
      </c>
      <c r="AT48" s="1">
        <f t="shared" si="140"/>
        <v>441.505649717514</v>
      </c>
      <c r="AU48" s="1">
        <f t="shared" si="141"/>
        <v>344.737288135593</v>
      </c>
      <c r="AV48" s="1">
        <f t="shared" si="142"/>
        <v>689.474576271186</v>
      </c>
      <c r="AW48" s="1">
        <f t="shared" si="143"/>
        <v>768.098870056497</v>
      </c>
      <c r="AX48" s="1">
        <f t="shared" si="144"/>
        <v>695.522598870056</v>
      </c>
      <c r="AY48" s="2">
        <f t="shared" si="12"/>
        <v>3477.61299435028</v>
      </c>
      <c r="AZ48" s="2" t="e">
        <f t="shared" si="13"/>
        <v>#REF!</v>
      </c>
      <c r="BA48" s="1" t="e">
        <f t="shared" ref="BA48:BA50" si="165">VLOOKUP(C48,JULY,3,false)</f>
        <v>#REF!</v>
      </c>
      <c r="BB48" s="1" t="e">
        <f t="shared" ref="BB48:BB50" si="166">VLOOKUP(C48,AUGUST,3,false)</f>
        <v>#REF!</v>
      </c>
      <c r="BD48" s="28" t="e">
        <f t="shared" si="145"/>
        <v>#REF!</v>
      </c>
      <c r="BE48" s="1">
        <f>VLOOKUP(C48,MOQ,3,FALSE())</f>
        <v>1008.0</v>
      </c>
      <c r="BF48" s="168" t="s">
        <v>32</v>
      </c>
      <c r="BG48" s="4" t="s">
        <v>212</v>
      </c>
      <c r="BH48" s="1" t="e">
        <f t="shared" si="147"/>
        <v>#REF!</v>
      </c>
      <c r="BI48" s="1">
        <f t="shared" si="148"/>
        <v>538.274011299435</v>
      </c>
      <c r="BJ48" s="1" t="e">
        <f t="shared" si="41"/>
        <v>#REF!</v>
      </c>
      <c r="BK48" s="3" t="e">
        <f t="shared" si="149"/>
        <v>#REF!</v>
      </c>
      <c r="BL48" s="1">
        <f t="shared" si="150"/>
        <v>441.505649717514</v>
      </c>
      <c r="BM48" s="1" t="e">
        <f t="shared" si="44"/>
        <v>#REF!</v>
      </c>
      <c r="BN48" s="3" t="e">
        <f t="shared" si="151"/>
        <v>#REF!</v>
      </c>
      <c r="BO48" s="1">
        <f t="shared" si="152"/>
        <v>344.737288135593</v>
      </c>
      <c r="BQ48" s="3" t="e">
        <f t="shared" si="153"/>
        <v>#REF!</v>
      </c>
      <c r="BR48" s="1">
        <f t="shared" si="154"/>
        <v>689.474576271186</v>
      </c>
      <c r="BT48" s="3" t="e">
        <f t="shared" si="155"/>
        <v>#REF!</v>
      </c>
      <c r="BU48" s="1">
        <f t="shared" si="156"/>
        <v>768.098870056497</v>
      </c>
      <c r="BW48" s="3" t="e">
        <f t="shared" si="157"/>
        <v>#REF!</v>
      </c>
      <c r="BX48" s="1">
        <f t="shared" si="158"/>
        <v>695.522598870056</v>
      </c>
      <c r="BZ48" s="3" t="e">
        <f t="shared" si="159"/>
        <v>#REF!</v>
      </c>
    </row>
    <row r="49" ht="14.0">
      <c r="A49" s="27" t="s">
        <v>28</v>
      </c>
      <c r="B49" s="27" t="s">
        <v>98</v>
      </c>
      <c r="C49" s="27" t="s">
        <v>119</v>
      </c>
      <c r="D49" s="27" t="s">
        <v>120</v>
      </c>
      <c r="E49" s="27">
        <v>258.0</v>
      </c>
      <c r="F49" s="27">
        <v>114.0</v>
      </c>
      <c r="G49" s="27">
        <v>0.0</v>
      </c>
      <c r="H49" s="27">
        <v>0.0</v>
      </c>
      <c r="I49" s="27">
        <v>854.0</v>
      </c>
      <c r="J49" s="27">
        <v>252.0</v>
      </c>
      <c r="K49" s="27">
        <v>216.0</v>
      </c>
      <c r="L49" s="27">
        <v>187.0</v>
      </c>
      <c r="M49" s="27">
        <v>252.0</v>
      </c>
      <c r="N49" s="27">
        <v>343.0</v>
      </c>
      <c r="O49" s="27">
        <v>186.0</v>
      </c>
      <c r="P49" s="27">
        <v>253.0</v>
      </c>
      <c r="Q49" s="27">
        <v>186.0</v>
      </c>
      <c r="R49" s="27">
        <v>258.0</v>
      </c>
      <c r="S49" s="27">
        <v>264.0</v>
      </c>
      <c r="T49" s="27">
        <v>348.0</v>
      </c>
      <c r="U49" s="27">
        <v>330.0</v>
      </c>
      <c r="V49" s="27">
        <v>367.0</v>
      </c>
      <c r="W49" s="27">
        <v>240.0</v>
      </c>
      <c r="X49" s="27">
        <v>192.0</v>
      </c>
      <c r="Y49" s="27">
        <v>162.0</v>
      </c>
      <c r="Z49" s="27">
        <v>12.0</v>
      </c>
      <c r="AA49" s="27">
        <v>258.0</v>
      </c>
      <c r="AB49" s="27">
        <v>180.0</v>
      </c>
      <c r="AC49" s="27">
        <v>198.0</v>
      </c>
      <c r="AD49" s="27">
        <v>240.0</v>
      </c>
      <c r="AE49" s="27">
        <v>174.0</v>
      </c>
      <c r="AF49" s="27">
        <v>211.0</v>
      </c>
      <c r="AG49" s="27">
        <v>423.0</v>
      </c>
      <c r="AH49" s="27">
        <v>162.0</v>
      </c>
      <c r="AI49" s="27">
        <v>150.0</v>
      </c>
      <c r="AJ49" s="27">
        <v>138.0</v>
      </c>
      <c r="AK49" s="27">
        <v>186.0</v>
      </c>
      <c r="AL49" s="27">
        <v>96.0</v>
      </c>
      <c r="AM49" s="27">
        <v>134.0</v>
      </c>
      <c r="AN49" s="27">
        <v>90.0</v>
      </c>
      <c r="AO49" s="28"/>
      <c r="AP49" s="28">
        <f t="shared" si="3"/>
        <v>2202.0</v>
      </c>
      <c r="AQ49" s="28">
        <f t="shared" si="4"/>
        <v>794.0</v>
      </c>
      <c r="AR49" s="28">
        <f t="shared" si="5"/>
        <v>873.4</v>
      </c>
      <c r="AS49" s="1">
        <f t="shared" si="139"/>
        <v>199.621468926553</v>
      </c>
      <c r="AT49" s="1">
        <f t="shared" si="140"/>
        <v>163.734463276836</v>
      </c>
      <c r="AU49" s="1">
        <f t="shared" si="141"/>
        <v>127.847457627119</v>
      </c>
      <c r="AV49" s="1">
        <f t="shared" si="142"/>
        <v>255.694915254237</v>
      </c>
      <c r="AW49" s="1">
        <f t="shared" si="143"/>
        <v>284.853107344632</v>
      </c>
      <c r="AX49" s="1">
        <f t="shared" si="144"/>
        <v>257.937853107344</v>
      </c>
      <c r="AY49" s="2">
        <f t="shared" si="12"/>
        <v>1289.68926553672</v>
      </c>
      <c r="AZ49" s="2" t="e">
        <f t="shared" si="13"/>
        <v>#REF!</v>
      </c>
      <c r="BA49" s="1" t="e">
        <f t="shared" si="165"/>
        <v>#REF!</v>
      </c>
      <c r="BB49" s="1" t="e">
        <f t="shared" si="166"/>
        <v>#REF!</v>
      </c>
      <c r="BD49" s="28" t="e">
        <f t="shared" si="145"/>
        <v>#REF!</v>
      </c>
      <c r="BE49" s="1">
        <f>VLOOKUP(C49,MOQ,3,FALSE())</f>
        <v>1008.0</v>
      </c>
      <c r="BF49" s="168" t="s">
        <v>32</v>
      </c>
      <c r="BH49" s="1" t="e">
        <f t="shared" si="147"/>
        <v>#REF!</v>
      </c>
      <c r="BI49" s="1">
        <f t="shared" si="148"/>
        <v>199.621468926553</v>
      </c>
      <c r="BJ49" s="1" t="e">
        <f t="shared" si="41"/>
        <v>#REF!</v>
      </c>
      <c r="BK49" s="3" t="e">
        <f t="shared" si="149"/>
        <v>#REF!</v>
      </c>
      <c r="BL49" s="1">
        <f t="shared" si="150"/>
        <v>163.734463276836</v>
      </c>
      <c r="BM49" s="1" t="e">
        <f t="shared" si="44"/>
        <v>#REF!</v>
      </c>
      <c r="BN49" s="3" t="e">
        <f t="shared" si="151"/>
        <v>#REF!</v>
      </c>
      <c r="BO49" s="1">
        <f t="shared" si="152"/>
        <v>127.847457627119</v>
      </c>
      <c r="BQ49" s="3" t="e">
        <f t="shared" si="153"/>
        <v>#REF!</v>
      </c>
      <c r="BR49" s="1">
        <f t="shared" si="154"/>
        <v>255.694915254237</v>
      </c>
      <c r="BT49" s="3" t="e">
        <f t="shared" si="155"/>
        <v>#REF!</v>
      </c>
      <c r="BU49" s="1">
        <f t="shared" si="156"/>
        <v>284.853107344632</v>
      </c>
      <c r="BW49" s="3" t="e">
        <f t="shared" si="157"/>
        <v>#REF!</v>
      </c>
      <c r="BX49" s="1">
        <f t="shared" si="158"/>
        <v>257.937853107344</v>
      </c>
      <c r="BZ49" s="3" t="e">
        <f t="shared" si="159"/>
        <v>#REF!</v>
      </c>
    </row>
    <row r="50" ht="14.0">
      <c r="A50" s="27" t="s">
        <v>28</v>
      </c>
      <c r="B50" s="27" t="s">
        <v>98</v>
      </c>
      <c r="C50" s="27" t="s">
        <v>121</v>
      </c>
      <c r="D50" s="27" t="s">
        <v>122</v>
      </c>
      <c r="E50" s="27">
        <v>438.0</v>
      </c>
      <c r="F50" s="27">
        <v>84.0</v>
      </c>
      <c r="G50" s="27">
        <v>0.0</v>
      </c>
      <c r="H50" s="27">
        <v>0.0</v>
      </c>
      <c r="I50" s="27">
        <v>1095.0</v>
      </c>
      <c r="J50" s="27">
        <v>476.0</v>
      </c>
      <c r="K50" s="27">
        <v>331.0</v>
      </c>
      <c r="L50" s="27">
        <v>372.0</v>
      </c>
      <c r="M50" s="27">
        <v>168.0</v>
      </c>
      <c r="N50" s="27">
        <v>0.0</v>
      </c>
      <c r="O50" s="27">
        <v>187.0</v>
      </c>
      <c r="P50" s="27">
        <v>278.0</v>
      </c>
      <c r="Q50" s="27">
        <v>270.0</v>
      </c>
      <c r="R50" s="27">
        <v>301.0</v>
      </c>
      <c r="S50" s="27">
        <v>366.0</v>
      </c>
      <c r="T50" s="27">
        <v>283.0</v>
      </c>
      <c r="U50" s="27">
        <v>512.0</v>
      </c>
      <c r="V50" s="27">
        <v>583.0</v>
      </c>
      <c r="W50" s="27">
        <v>330.0</v>
      </c>
      <c r="X50" s="27">
        <v>410.0</v>
      </c>
      <c r="Y50" s="27">
        <v>82.0</v>
      </c>
      <c r="Z50" s="27">
        <v>0.0</v>
      </c>
      <c r="AA50" s="27">
        <v>510.0</v>
      </c>
      <c r="AB50" s="27">
        <v>198.0</v>
      </c>
      <c r="AC50" s="27">
        <v>276.0</v>
      </c>
      <c r="AD50" s="27">
        <v>312.0</v>
      </c>
      <c r="AE50" s="27">
        <v>246.0</v>
      </c>
      <c r="AF50" s="27">
        <v>318.0</v>
      </c>
      <c r="AG50" s="27">
        <v>450.0</v>
      </c>
      <c r="AH50" s="27">
        <v>187.0</v>
      </c>
      <c r="AI50" s="27">
        <v>253.0</v>
      </c>
      <c r="AJ50" s="27">
        <v>237.0</v>
      </c>
      <c r="AK50" s="27">
        <v>378.0</v>
      </c>
      <c r="AL50" s="27">
        <v>246.0</v>
      </c>
      <c r="AM50" s="27">
        <v>241.0</v>
      </c>
      <c r="AN50" s="27">
        <v>224.0</v>
      </c>
      <c r="AO50" s="28"/>
      <c r="AP50" s="28">
        <f t="shared" si="3"/>
        <v>3368.0</v>
      </c>
      <c r="AQ50" s="28">
        <f t="shared" si="4"/>
        <v>1579.0</v>
      </c>
      <c r="AR50" s="28">
        <f t="shared" si="5"/>
        <v>1736.9</v>
      </c>
      <c r="AS50" s="1">
        <f t="shared" si="139"/>
        <v>396.9802259887</v>
      </c>
      <c r="AT50" s="1">
        <f t="shared" si="140"/>
        <v>325.612994350282</v>
      </c>
      <c r="AU50" s="1">
        <f t="shared" si="141"/>
        <v>254.245762711864</v>
      </c>
      <c r="AV50" s="1">
        <f t="shared" si="142"/>
        <v>508.491525423729</v>
      </c>
      <c r="AW50" s="1">
        <f t="shared" si="143"/>
        <v>566.477401129943</v>
      </c>
      <c r="AX50" s="1">
        <f t="shared" si="144"/>
        <v>512.95197740113</v>
      </c>
      <c r="AY50" s="2">
        <f t="shared" si="12"/>
        <v>2564.75988700564</v>
      </c>
      <c r="AZ50" s="2" t="e">
        <f t="shared" si="13"/>
        <v>#REF!</v>
      </c>
      <c r="BA50" s="1" t="e">
        <f t="shared" si="165"/>
        <v>#REF!</v>
      </c>
      <c r="BB50" s="1" t="e">
        <f t="shared" si="166"/>
        <v>#REF!</v>
      </c>
      <c r="BD50" s="28" t="e">
        <f t="shared" si="145"/>
        <v>#REF!</v>
      </c>
      <c r="BE50" s="1">
        <f>VLOOKUP(C50,MOQ,3,FALSE())</f>
        <v>1008.0</v>
      </c>
      <c r="BF50" s="168" t="s">
        <v>32</v>
      </c>
      <c r="BG50" s="4" t="s">
        <v>212</v>
      </c>
      <c r="BH50" s="1" t="e">
        <f t="shared" si="147"/>
        <v>#REF!</v>
      </c>
      <c r="BI50" s="1">
        <f t="shared" si="148"/>
        <v>396.9802259887</v>
      </c>
      <c r="BJ50" s="1" t="e">
        <f t="shared" si="41"/>
        <v>#REF!</v>
      </c>
      <c r="BK50" s="3" t="e">
        <f t="shared" si="149"/>
        <v>#REF!</v>
      </c>
      <c r="BL50" s="1">
        <f t="shared" si="150"/>
        <v>325.612994350282</v>
      </c>
      <c r="BM50" s="1" t="e">
        <f t="shared" si="44"/>
        <v>#REF!</v>
      </c>
      <c r="BN50" s="3" t="e">
        <f t="shared" si="151"/>
        <v>#REF!</v>
      </c>
      <c r="BO50" s="1">
        <f t="shared" si="152"/>
        <v>254.245762711864</v>
      </c>
      <c r="BQ50" s="3" t="e">
        <f t="shared" si="153"/>
        <v>#REF!</v>
      </c>
      <c r="BR50" s="1">
        <f t="shared" si="154"/>
        <v>508.491525423729</v>
      </c>
      <c r="BT50" s="3" t="e">
        <f t="shared" si="155"/>
        <v>#REF!</v>
      </c>
      <c r="BU50" s="1">
        <f t="shared" si="156"/>
        <v>566.477401129943</v>
      </c>
      <c r="BW50" s="3" t="e">
        <f t="shared" si="157"/>
        <v>#REF!</v>
      </c>
      <c r="BX50" s="1">
        <f t="shared" si="158"/>
        <v>512.95197740113</v>
      </c>
      <c r="BZ50" s="3" t="e">
        <f t="shared" si="159"/>
        <v>#REF!</v>
      </c>
    </row>
    <row r="51" ht="14.0">
      <c r="A51" s="27" t="s">
        <v>28</v>
      </c>
      <c r="B51" s="27" t="s">
        <v>98</v>
      </c>
      <c r="C51" s="27" t="s">
        <v>123</v>
      </c>
      <c r="D51" s="27" t="s">
        <v>124</v>
      </c>
      <c r="E51" s="27">
        <v>306.0</v>
      </c>
      <c r="F51" s="27">
        <v>246.0</v>
      </c>
      <c r="G51" s="27">
        <v>156.0</v>
      </c>
      <c r="H51" s="27">
        <v>0.0</v>
      </c>
      <c r="I51" s="27">
        <v>661.0</v>
      </c>
      <c r="J51" s="27">
        <v>295.0</v>
      </c>
      <c r="K51" s="27">
        <v>192.0</v>
      </c>
      <c r="L51" s="27">
        <v>108.0</v>
      </c>
      <c r="M51" s="27">
        <v>186.0</v>
      </c>
      <c r="N51" s="27">
        <v>138.0</v>
      </c>
      <c r="O51" s="27">
        <v>174.0</v>
      </c>
      <c r="P51" s="27">
        <v>103.0</v>
      </c>
      <c r="Q51" s="27">
        <v>150.0</v>
      </c>
      <c r="R51" s="27">
        <v>180.0</v>
      </c>
      <c r="S51" s="27">
        <v>168.0</v>
      </c>
      <c r="T51" s="27">
        <v>162.0</v>
      </c>
      <c r="U51" s="27">
        <v>118.0</v>
      </c>
      <c r="V51" s="27">
        <v>193.0</v>
      </c>
      <c r="W51" s="27">
        <v>194.0</v>
      </c>
      <c r="X51" s="27">
        <v>132.0</v>
      </c>
      <c r="Y51" s="27">
        <v>162.0</v>
      </c>
      <c r="Z51" s="27">
        <v>84.0</v>
      </c>
      <c r="AA51" s="27">
        <v>114.0</v>
      </c>
      <c r="AB51" s="27">
        <v>42.0</v>
      </c>
      <c r="AC51" s="27">
        <v>66.0</v>
      </c>
      <c r="AD51" s="27">
        <v>120.0</v>
      </c>
      <c r="AE51" s="27">
        <v>120.0</v>
      </c>
      <c r="AF51" s="27">
        <v>90.0</v>
      </c>
      <c r="AG51" s="27">
        <v>198.0</v>
      </c>
      <c r="AH51" s="27">
        <v>90.0</v>
      </c>
      <c r="AI51" s="27">
        <v>114.0</v>
      </c>
      <c r="AJ51" s="27">
        <v>102.0</v>
      </c>
      <c r="AK51" s="27">
        <v>126.0</v>
      </c>
      <c r="AL51" s="27">
        <v>54.0</v>
      </c>
      <c r="AM51" s="27">
        <v>73.0</v>
      </c>
      <c r="AN51" s="27">
        <v>97.0</v>
      </c>
      <c r="AO51" s="28"/>
      <c r="AP51" s="28">
        <f t="shared" si="3"/>
        <v>1250.0</v>
      </c>
      <c r="AQ51" s="28">
        <f t="shared" si="4"/>
        <v>566.0</v>
      </c>
      <c r="AR51" s="28">
        <f t="shared" si="5"/>
        <v>622.6</v>
      </c>
      <c r="AS51" s="1">
        <f t="shared" si="139"/>
        <v>142.299435028249</v>
      </c>
      <c r="AT51" s="1">
        <f t="shared" si="140"/>
        <v>116.717514124293</v>
      </c>
      <c r="AU51" s="1">
        <f t="shared" si="141"/>
        <v>91.135593220339</v>
      </c>
      <c r="AV51" s="1">
        <f t="shared" si="142"/>
        <v>182.271186440678</v>
      </c>
      <c r="AW51" s="1">
        <f t="shared" si="143"/>
        <v>203.056497175141</v>
      </c>
      <c r="AX51" s="1">
        <f t="shared" si="144"/>
        <v>183.870056497175</v>
      </c>
      <c r="AY51" s="2">
        <f t="shared" si="12"/>
        <v>919.350282485875</v>
      </c>
      <c r="AZ51" s="2" t="e">
        <f t="shared" si="13"/>
        <v>#REF!</v>
      </c>
      <c r="BD51" s="28" t="e">
        <f t="shared" si="145"/>
        <v>#REF!</v>
      </c>
      <c r="BE51" s="1">
        <f>VLOOKUP(C51,MOQ,3,FALSE())</f>
        <v>1008.0</v>
      </c>
      <c r="BH51" s="1" t="e">
        <f t="shared" si="147"/>
        <v>#REF!</v>
      </c>
      <c r="BI51" s="1">
        <f t="shared" si="148"/>
        <v>142.299435028249</v>
      </c>
      <c r="BJ51" s="1">
        <f t="shared" si="41"/>
      </c>
      <c r="BK51" s="3" t="e">
        <f t="shared" si="149"/>
        <v>#REF!</v>
      </c>
      <c r="BL51" s="1">
        <f t="shared" si="150"/>
        <v>116.717514124293</v>
      </c>
      <c r="BM51" s="1">
        <f t="shared" si="44"/>
      </c>
      <c r="BN51" s="3" t="e">
        <f t="shared" si="151"/>
        <v>#REF!</v>
      </c>
      <c r="BO51" s="1">
        <f t="shared" si="152"/>
        <v>91.135593220339</v>
      </c>
      <c r="BQ51" s="3" t="e">
        <f t="shared" si="153"/>
        <v>#REF!</v>
      </c>
      <c r="BR51" s="1">
        <f t="shared" si="154"/>
        <v>182.271186440678</v>
      </c>
      <c r="BT51" s="3" t="e">
        <f t="shared" si="155"/>
        <v>#REF!</v>
      </c>
      <c r="BU51" s="1">
        <f t="shared" si="156"/>
        <v>203.056497175141</v>
      </c>
      <c r="BW51" s="3" t="e">
        <f t="shared" si="157"/>
        <v>#REF!</v>
      </c>
      <c r="BX51" s="1">
        <f t="shared" si="158"/>
        <v>183.870056497175</v>
      </c>
      <c r="BZ51" s="3" t="e">
        <f t="shared" si="159"/>
        <v>#REF!</v>
      </c>
    </row>
    <row r="52" ht="14.0">
      <c r="A52" s="27" t="s">
        <v>28</v>
      </c>
      <c r="B52" s="27" t="s">
        <v>98</v>
      </c>
      <c r="C52" s="27" t="s">
        <v>125</v>
      </c>
      <c r="D52" s="27" t="s">
        <v>126</v>
      </c>
      <c r="E52" s="27">
        <v>336.0</v>
      </c>
      <c r="F52" s="27">
        <v>276.0</v>
      </c>
      <c r="G52" s="27">
        <v>89.0</v>
      </c>
      <c r="H52" s="27">
        <v>0.0</v>
      </c>
      <c r="I52" s="27">
        <v>733.0</v>
      </c>
      <c r="J52" s="27">
        <v>228.0</v>
      </c>
      <c r="K52" s="27">
        <v>132.0</v>
      </c>
      <c r="L52" s="27">
        <v>140.0</v>
      </c>
      <c r="M52" s="27">
        <v>140.0</v>
      </c>
      <c r="N52" s="27">
        <v>146.0</v>
      </c>
      <c r="O52" s="27">
        <v>186.0</v>
      </c>
      <c r="P52" s="27">
        <v>114.0</v>
      </c>
      <c r="Q52" s="27">
        <v>126.0</v>
      </c>
      <c r="R52" s="27">
        <v>138.0</v>
      </c>
      <c r="S52" s="27">
        <v>144.0</v>
      </c>
      <c r="T52" s="27">
        <v>132.0</v>
      </c>
      <c r="U52" s="27">
        <v>150.0</v>
      </c>
      <c r="V52" s="27">
        <v>103.0</v>
      </c>
      <c r="W52" s="27">
        <v>144.0</v>
      </c>
      <c r="X52" s="27">
        <v>156.0</v>
      </c>
      <c r="Y52" s="27">
        <v>168.0</v>
      </c>
      <c r="Z52" s="27">
        <v>77.0</v>
      </c>
      <c r="AA52" s="27">
        <v>72.0</v>
      </c>
      <c r="AB52" s="27">
        <v>60.0</v>
      </c>
      <c r="AC52" s="27">
        <v>48.0</v>
      </c>
      <c r="AD52" s="27">
        <v>48.0</v>
      </c>
      <c r="AE52" s="27">
        <v>96.0</v>
      </c>
      <c r="AF52" s="27">
        <v>138.0</v>
      </c>
      <c r="AG52" s="27">
        <v>180.0</v>
      </c>
      <c r="AH52" s="27">
        <v>72.0</v>
      </c>
      <c r="AI52" s="27">
        <v>61.0</v>
      </c>
      <c r="AJ52" s="27">
        <v>42.0</v>
      </c>
      <c r="AK52" s="27">
        <v>90.0</v>
      </c>
      <c r="AL52" s="27">
        <v>54.0</v>
      </c>
      <c r="AM52" s="27">
        <v>61.0</v>
      </c>
      <c r="AN52" s="27">
        <v>30.0</v>
      </c>
      <c r="AO52" s="28"/>
      <c r="AP52" s="28">
        <f t="shared" si="3"/>
        <v>920.0</v>
      </c>
      <c r="AQ52" s="28">
        <f t="shared" si="4"/>
        <v>338.0</v>
      </c>
      <c r="AR52" s="28">
        <f t="shared" si="5"/>
        <v>371.8</v>
      </c>
      <c r="AS52" s="1">
        <f t="shared" si="139"/>
        <v>84.9774011299435</v>
      </c>
      <c r="AT52" s="1">
        <f t="shared" si="140"/>
        <v>69.7005649717514</v>
      </c>
      <c r="AU52" s="1">
        <f t="shared" si="141"/>
        <v>54.4237288135593</v>
      </c>
      <c r="AV52" s="1">
        <f t="shared" si="142"/>
        <v>108.847457627119</v>
      </c>
      <c r="AW52" s="1">
        <f t="shared" si="143"/>
        <v>121.25988700565</v>
      </c>
      <c r="AX52" s="1">
        <f t="shared" si="144"/>
        <v>109.802259887</v>
      </c>
      <c r="AY52" s="2">
        <f t="shared" si="12"/>
        <v>549.011299435023</v>
      </c>
      <c r="AZ52" s="2" t="e">
        <f t="shared" si="13"/>
        <v>#REF!</v>
      </c>
      <c r="BD52" s="28" t="e">
        <f t="shared" si="145"/>
        <v>#REF!</v>
      </c>
      <c r="BE52" s="1">
        <f>VLOOKUP(C52,MOQ,3,FALSE())</f>
        <v>1008.0</v>
      </c>
      <c r="BH52" s="1" t="e">
        <f t="shared" si="147"/>
        <v>#REF!</v>
      </c>
      <c r="BI52" s="1">
        <f t="shared" si="148"/>
        <v>84.9774011299435</v>
      </c>
      <c r="BJ52" s="1">
        <f t="shared" si="41"/>
      </c>
      <c r="BK52" s="3" t="e">
        <f t="shared" si="149"/>
        <v>#REF!</v>
      </c>
      <c r="BL52" s="1">
        <f t="shared" si="150"/>
        <v>69.7005649717514</v>
      </c>
      <c r="BM52" s="1">
        <f t="shared" si="44"/>
      </c>
      <c r="BN52" s="3" t="e">
        <f t="shared" si="151"/>
        <v>#REF!</v>
      </c>
      <c r="BO52" s="1">
        <f t="shared" si="152"/>
        <v>54.4237288135593</v>
      </c>
      <c r="BQ52" s="3" t="e">
        <f t="shared" si="153"/>
        <v>#REF!</v>
      </c>
      <c r="BR52" s="1">
        <f t="shared" si="154"/>
        <v>108.847457627119</v>
      </c>
      <c r="BT52" s="3" t="e">
        <f t="shared" si="155"/>
        <v>#REF!</v>
      </c>
      <c r="BU52" s="1">
        <f t="shared" si="156"/>
        <v>121.25988700565</v>
      </c>
      <c r="BW52" s="3" t="e">
        <f t="shared" si="157"/>
        <v>#REF!</v>
      </c>
      <c r="BX52" s="1">
        <f t="shared" si="158"/>
        <v>109.802259887</v>
      </c>
      <c r="BZ52" s="3" t="e">
        <f t="shared" si="159"/>
        <v>#REF!</v>
      </c>
    </row>
    <row r="53" ht="14.0">
      <c r="A53" s="27" t="s">
        <v>28</v>
      </c>
      <c r="B53" s="27" t="s">
        <v>98</v>
      </c>
      <c r="C53" s="27" t="s">
        <v>127</v>
      </c>
      <c r="D53" s="27" t="s">
        <v>128</v>
      </c>
      <c r="E53" s="27">
        <v>0.0</v>
      </c>
      <c r="F53" s="27">
        <v>0.0</v>
      </c>
      <c r="G53" s="27">
        <v>0.0</v>
      </c>
      <c r="H53" s="27">
        <v>0.0</v>
      </c>
      <c r="I53" s="27">
        <v>0.0</v>
      </c>
      <c r="J53" s="27">
        <v>0.0</v>
      </c>
      <c r="K53" s="27">
        <v>0.0</v>
      </c>
      <c r="L53" s="27">
        <v>0.0</v>
      </c>
      <c r="M53" s="27">
        <v>0.0</v>
      </c>
      <c r="N53" s="27">
        <v>0.0</v>
      </c>
      <c r="O53" s="27">
        <v>0.0</v>
      </c>
      <c r="P53" s="27">
        <v>222.0</v>
      </c>
      <c r="Q53" s="27">
        <v>366.0</v>
      </c>
      <c r="R53" s="27">
        <v>266.0</v>
      </c>
      <c r="S53" s="27">
        <v>381.0</v>
      </c>
      <c r="T53" s="27">
        <v>324.0</v>
      </c>
      <c r="U53" s="27">
        <v>306.0</v>
      </c>
      <c r="V53" s="27">
        <v>354.0</v>
      </c>
      <c r="W53" s="27">
        <v>240.0</v>
      </c>
      <c r="X53" s="27">
        <v>246.0</v>
      </c>
      <c r="Y53" s="27">
        <v>136.0</v>
      </c>
      <c r="Z53" s="27">
        <v>0.0</v>
      </c>
      <c r="AA53" s="27">
        <v>270.0</v>
      </c>
      <c r="AB53" s="27">
        <v>132.0</v>
      </c>
      <c r="AC53" s="27">
        <v>150.0</v>
      </c>
      <c r="AD53" s="27">
        <v>192.0</v>
      </c>
      <c r="AE53" s="27">
        <v>192.0</v>
      </c>
      <c r="AF53" s="27">
        <v>198.0</v>
      </c>
      <c r="AG53" s="27">
        <v>336.0</v>
      </c>
      <c r="AH53" s="27">
        <v>180.0</v>
      </c>
      <c r="AI53" s="27">
        <v>180.0</v>
      </c>
      <c r="AJ53" s="27">
        <v>138.0</v>
      </c>
      <c r="AK53" s="27">
        <v>174.0</v>
      </c>
      <c r="AL53" s="27">
        <v>120.0</v>
      </c>
      <c r="AM53" s="27">
        <v>144.0</v>
      </c>
      <c r="AN53" s="27">
        <v>120.0</v>
      </c>
      <c r="AO53" s="28"/>
      <c r="AP53" s="28">
        <f t="shared" si="3"/>
        <v>2124.0</v>
      </c>
      <c r="AQ53" s="28">
        <f t="shared" si="4"/>
        <v>876.0</v>
      </c>
      <c r="AR53" s="28">
        <f t="shared" si="5"/>
        <v>963.6</v>
      </c>
      <c r="AS53" s="1">
        <f t="shared" si="139"/>
        <v>220.237288135593</v>
      </c>
      <c r="AT53" s="1">
        <f t="shared" si="140"/>
        <v>180.64406779661</v>
      </c>
      <c r="AU53" s="1">
        <f t="shared" si="141"/>
        <v>141.050847457627</v>
      </c>
      <c r="AV53" s="1">
        <f t="shared" si="142"/>
        <v>282.101694915254</v>
      </c>
      <c r="AW53" s="1">
        <f t="shared" si="143"/>
        <v>314.271186440678</v>
      </c>
      <c r="AX53" s="1">
        <f t="shared" si="144"/>
        <v>284.57627118644</v>
      </c>
      <c r="AY53" s="2">
        <f t="shared" si="12"/>
        <v>1422.8813559322</v>
      </c>
      <c r="AZ53" s="2" t="e">
        <f t="shared" si="13"/>
        <v>#REF!</v>
      </c>
      <c r="BA53" s="1" t="e">
        <f>VLOOKUP(C53,JULY,3,false)</f>
        <v>#REF!</v>
      </c>
      <c r="BD53" s="28" t="e">
        <f t="shared" si="145"/>
        <v>#REF!</v>
      </c>
      <c r="BE53" s="1">
        <f>VLOOKUP(C53,MOQ,3,FALSE())</f>
        <v>1008.0</v>
      </c>
      <c r="BH53" s="1" t="e">
        <f t="shared" si="147"/>
        <v>#REF!</v>
      </c>
      <c r="BI53" s="1">
        <f t="shared" si="148"/>
        <v>220.237288135593</v>
      </c>
      <c r="BJ53" s="1" t="e">
        <f t="shared" si="41"/>
        <v>#REF!</v>
      </c>
      <c r="BK53" s="3" t="e">
        <f t="shared" si="149"/>
        <v>#REF!</v>
      </c>
      <c r="BL53" s="1">
        <f t="shared" si="150"/>
        <v>180.64406779661</v>
      </c>
      <c r="BM53" s="1">
        <f t="shared" si="44"/>
      </c>
      <c r="BN53" s="3" t="e">
        <f t="shared" si="151"/>
        <v>#REF!</v>
      </c>
      <c r="BO53" s="1">
        <f t="shared" si="152"/>
        <v>141.050847457627</v>
      </c>
      <c r="BQ53" s="3" t="e">
        <f t="shared" si="153"/>
        <v>#REF!</v>
      </c>
      <c r="BR53" s="1">
        <f t="shared" si="154"/>
        <v>282.101694915254</v>
      </c>
      <c r="BT53" s="3" t="e">
        <f t="shared" si="155"/>
        <v>#REF!</v>
      </c>
      <c r="BU53" s="1">
        <f t="shared" si="156"/>
        <v>314.271186440678</v>
      </c>
      <c r="BW53" s="3" t="e">
        <f t="shared" si="157"/>
        <v>#REF!</v>
      </c>
      <c r="BX53" s="1">
        <f t="shared" si="158"/>
        <v>284.57627118644</v>
      </c>
      <c r="BZ53" s="3" t="e">
        <f t="shared" si="159"/>
        <v>#REF!</v>
      </c>
    </row>
    <row r="54" ht="14.0">
      <c r="A54" s="27" t="s">
        <v>28</v>
      </c>
      <c r="B54" s="27" t="s">
        <v>98</v>
      </c>
      <c r="C54" s="27" t="s">
        <v>129</v>
      </c>
      <c r="D54" s="27" t="s">
        <v>130</v>
      </c>
      <c r="E54" s="27">
        <v>0.0</v>
      </c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204.0</v>
      </c>
      <c r="Q54" s="27">
        <v>294.0</v>
      </c>
      <c r="R54" s="27">
        <v>211.0</v>
      </c>
      <c r="S54" s="27">
        <v>298.0</v>
      </c>
      <c r="T54" s="27">
        <v>300.0</v>
      </c>
      <c r="U54" s="27">
        <v>252.0</v>
      </c>
      <c r="V54" s="27">
        <v>313.0</v>
      </c>
      <c r="W54" s="27">
        <v>174.0</v>
      </c>
      <c r="X54" s="27">
        <v>168.0</v>
      </c>
      <c r="Y54" s="27">
        <v>288.0</v>
      </c>
      <c r="Z54" s="27">
        <v>180.0</v>
      </c>
      <c r="AA54" s="27">
        <v>156.0</v>
      </c>
      <c r="AB54" s="27">
        <v>102.0</v>
      </c>
      <c r="AC54" s="27">
        <v>114.0</v>
      </c>
      <c r="AD54" s="27">
        <v>156.0</v>
      </c>
      <c r="AE54" s="27">
        <v>120.0</v>
      </c>
      <c r="AF54" s="27">
        <v>192.0</v>
      </c>
      <c r="AG54" s="27">
        <v>264.0</v>
      </c>
      <c r="AH54" s="27">
        <v>156.0</v>
      </c>
      <c r="AI54" s="27">
        <v>78.0</v>
      </c>
      <c r="AJ54" s="27">
        <v>120.0</v>
      </c>
      <c r="AK54" s="27">
        <v>132.0</v>
      </c>
      <c r="AL54" s="27">
        <v>138.0</v>
      </c>
      <c r="AM54" s="27">
        <v>132.0</v>
      </c>
      <c r="AN54" s="27">
        <v>78.0</v>
      </c>
      <c r="AO54" s="28"/>
      <c r="AP54" s="28">
        <f t="shared" si="3"/>
        <v>1680.0</v>
      </c>
      <c r="AQ54" s="28">
        <f t="shared" si="4"/>
        <v>678.0</v>
      </c>
      <c r="AR54" s="28">
        <f t="shared" si="5"/>
        <v>745.8</v>
      </c>
      <c r="AS54" s="1">
        <f t="shared" si="139"/>
        <v>170.457627118644</v>
      </c>
      <c r="AT54" s="1">
        <f t="shared" si="140"/>
        <v>139.813559322033</v>
      </c>
      <c r="AU54" s="1">
        <f t="shared" si="141"/>
        <v>109.169491525423</v>
      </c>
      <c r="AV54" s="1">
        <f t="shared" si="142"/>
        <v>218.338983050847</v>
      </c>
      <c r="AW54" s="1">
        <f t="shared" si="143"/>
        <v>243.237288135593</v>
      </c>
      <c r="AX54" s="1">
        <f t="shared" si="144"/>
        <v>220.25423728813</v>
      </c>
      <c r="AY54" s="2">
        <f t="shared" si="12"/>
        <v>1101.27118644067</v>
      </c>
      <c r="AZ54" s="2" t="e">
        <f t="shared" si="13"/>
        <v>#REF!</v>
      </c>
      <c r="BD54" s="28" t="e">
        <f t="shared" si="145"/>
        <v>#REF!</v>
      </c>
      <c r="BE54" s="1">
        <f>VLOOKUP(C54,MOQ,3,FALSE())</f>
        <v>1008.0</v>
      </c>
      <c r="BG54" s="4" t="s">
        <v>212</v>
      </c>
      <c r="BH54" s="1" t="e">
        <f t="shared" si="147"/>
        <v>#REF!</v>
      </c>
      <c r="BI54" s="1">
        <f t="shared" si="148"/>
        <v>170.457627118644</v>
      </c>
      <c r="BJ54" s="1">
        <f t="shared" si="41"/>
      </c>
      <c r="BK54" s="3" t="e">
        <f t="shared" si="149"/>
        <v>#REF!</v>
      </c>
      <c r="BL54" s="1">
        <f t="shared" si="150"/>
        <v>139.813559322033</v>
      </c>
      <c r="BM54" s="1">
        <f t="shared" si="44"/>
      </c>
      <c r="BN54" s="3" t="e">
        <f t="shared" si="151"/>
        <v>#REF!</v>
      </c>
      <c r="BO54" s="1">
        <f t="shared" si="152"/>
        <v>109.169491525423</v>
      </c>
      <c r="BQ54" s="3" t="e">
        <f t="shared" si="153"/>
        <v>#REF!</v>
      </c>
      <c r="BR54" s="1">
        <f t="shared" si="154"/>
        <v>218.338983050847</v>
      </c>
      <c r="BT54" s="3" t="e">
        <f t="shared" si="155"/>
        <v>#REF!</v>
      </c>
      <c r="BU54" s="1">
        <f t="shared" si="156"/>
        <v>243.237288135593</v>
      </c>
      <c r="BW54" s="3" t="e">
        <f t="shared" si="157"/>
        <v>#REF!</v>
      </c>
      <c r="BX54" s="1">
        <f t="shared" si="158"/>
        <v>220.25423728813</v>
      </c>
      <c r="BZ54" s="3" t="e">
        <f t="shared" si="159"/>
        <v>#REF!</v>
      </c>
    </row>
    <row r="55" ht="14.0">
      <c r="A55" s="27" t="s">
        <v>28</v>
      </c>
      <c r="B55" s="27" t="s">
        <v>98</v>
      </c>
      <c r="C55" s="27" t="s">
        <v>131</v>
      </c>
      <c r="D55" s="27" t="s">
        <v>132</v>
      </c>
      <c r="E55" s="27">
        <v>0.0</v>
      </c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114.0</v>
      </c>
      <c r="Q55" s="27">
        <v>216.0</v>
      </c>
      <c r="R55" s="27">
        <v>156.0</v>
      </c>
      <c r="S55" s="27">
        <v>230.0</v>
      </c>
      <c r="T55" s="27">
        <v>241.0</v>
      </c>
      <c r="U55" s="27">
        <v>217.0</v>
      </c>
      <c r="V55" s="27">
        <v>248.0</v>
      </c>
      <c r="W55" s="27">
        <v>204.0</v>
      </c>
      <c r="X55" s="27">
        <v>180.0</v>
      </c>
      <c r="Y55" s="27">
        <v>33.0</v>
      </c>
      <c r="Z55" s="27">
        <v>0.0</v>
      </c>
      <c r="AA55" s="27">
        <v>252.0</v>
      </c>
      <c r="AB55" s="27">
        <v>96.0</v>
      </c>
      <c r="AC55" s="27">
        <v>84.0</v>
      </c>
      <c r="AD55" s="27">
        <v>126.0</v>
      </c>
      <c r="AE55" s="27">
        <v>126.0</v>
      </c>
      <c r="AF55" s="27">
        <v>246.0</v>
      </c>
      <c r="AG55" s="27">
        <v>221.0</v>
      </c>
      <c r="AH55" s="27">
        <v>126.0</v>
      </c>
      <c r="AI55" s="27">
        <v>96.0</v>
      </c>
      <c r="AJ55" s="27">
        <v>114.0</v>
      </c>
      <c r="AK55" s="27">
        <v>138.0</v>
      </c>
      <c r="AL55" s="27">
        <v>66.0</v>
      </c>
      <c r="AM55" s="27">
        <v>102.0</v>
      </c>
      <c r="AN55" s="27">
        <v>42.0</v>
      </c>
      <c r="AO55" s="28"/>
      <c r="AP55" s="28">
        <f t="shared" si="3"/>
        <v>1487.0</v>
      </c>
      <c r="AQ55" s="28">
        <f t="shared" si="4"/>
        <v>558.0</v>
      </c>
      <c r="AR55" s="28">
        <f t="shared" si="5"/>
        <v>613.8</v>
      </c>
      <c r="AS55" s="1">
        <f t="shared" si="139"/>
        <v>140.28813559322</v>
      </c>
      <c r="AT55" s="1">
        <f t="shared" si="140"/>
        <v>115.067796610169</v>
      </c>
      <c r="AU55" s="1">
        <f t="shared" si="141"/>
        <v>89.8474576271186</v>
      </c>
      <c r="AV55" s="1">
        <f t="shared" si="142"/>
        <v>179.694915254237</v>
      </c>
      <c r="AW55" s="1">
        <f t="shared" si="143"/>
        <v>200.186440677966</v>
      </c>
      <c r="AX55" s="1">
        <f t="shared" si="144"/>
        <v>181.271186440678</v>
      </c>
      <c r="AY55" s="2">
        <f t="shared" si="12"/>
        <v>906.355932203389</v>
      </c>
      <c r="AZ55" s="2" t="e">
        <f t="shared" si="13"/>
        <v>#REF!</v>
      </c>
      <c r="BD55" s="28" t="e">
        <f t="shared" si="145"/>
        <v>#REF!</v>
      </c>
      <c r="BE55" s="1">
        <f>VLOOKUP(C55,MOQ,3,FALSE())</f>
        <v>1008.0</v>
      </c>
      <c r="BH55" s="1" t="e">
        <f t="shared" si="147"/>
        <v>#REF!</v>
      </c>
      <c r="BI55" s="1">
        <f t="shared" si="148"/>
        <v>140.28813559322</v>
      </c>
      <c r="BJ55" s="1">
        <f t="shared" si="41"/>
      </c>
      <c r="BK55" s="3" t="e">
        <f t="shared" si="149"/>
        <v>#REF!</v>
      </c>
      <c r="BL55" s="1">
        <f t="shared" si="150"/>
        <v>115.067796610169</v>
      </c>
      <c r="BM55" s="1">
        <f t="shared" si="44"/>
      </c>
      <c r="BN55" s="3" t="e">
        <f t="shared" si="151"/>
        <v>#REF!</v>
      </c>
      <c r="BO55" s="1">
        <f t="shared" si="152"/>
        <v>89.8474576271186</v>
      </c>
      <c r="BQ55" s="3" t="e">
        <f t="shared" si="153"/>
        <v>#REF!</v>
      </c>
      <c r="BR55" s="1">
        <f t="shared" si="154"/>
        <v>179.694915254237</v>
      </c>
      <c r="BT55" s="3" t="e">
        <f t="shared" si="155"/>
        <v>#REF!</v>
      </c>
      <c r="BU55" s="1">
        <f t="shared" si="156"/>
        <v>200.186440677966</v>
      </c>
      <c r="BW55" s="3" t="e">
        <f t="shared" si="157"/>
        <v>#REF!</v>
      </c>
      <c r="BX55" s="1">
        <f t="shared" si="158"/>
        <v>181.271186440678</v>
      </c>
      <c r="BZ55" s="3" t="e">
        <f t="shared" si="159"/>
        <v>#REF!</v>
      </c>
    </row>
    <row r="56" ht="14.0">
      <c r="A56" s="27" t="s">
        <v>28</v>
      </c>
      <c r="B56" s="27" t="s">
        <v>98</v>
      </c>
      <c r="C56" s="27" t="s">
        <v>133</v>
      </c>
      <c r="D56" s="27" t="s">
        <v>134</v>
      </c>
      <c r="E56" s="27">
        <v>0.0</v>
      </c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0.0</v>
      </c>
      <c r="S56" s="27">
        <v>0.0</v>
      </c>
      <c r="T56" s="27">
        <v>0.0</v>
      </c>
      <c r="U56" s="27">
        <v>0.0</v>
      </c>
      <c r="V56" s="27">
        <v>0.0</v>
      </c>
      <c r="W56" s="27">
        <v>0.0</v>
      </c>
      <c r="X56" s="27">
        <v>0.0</v>
      </c>
      <c r="Y56" s="27">
        <v>0.0</v>
      </c>
      <c r="Z56" s="27">
        <v>0.0</v>
      </c>
      <c r="AA56" s="27">
        <v>0.0</v>
      </c>
      <c r="AB56" s="27">
        <v>0.0</v>
      </c>
      <c r="AC56" s="27">
        <v>0.0</v>
      </c>
      <c r="AD56" s="27">
        <v>0.0</v>
      </c>
      <c r="AE56" s="27">
        <v>252.0</v>
      </c>
      <c r="AF56" s="27">
        <v>336.0</v>
      </c>
      <c r="AG56" s="27">
        <v>420.0</v>
      </c>
      <c r="AH56" s="27">
        <v>0.0</v>
      </c>
      <c r="AI56" s="27">
        <v>0.0</v>
      </c>
      <c r="AJ56" s="27">
        <v>0.0</v>
      </c>
      <c r="AK56" s="27">
        <v>90.0</v>
      </c>
      <c r="AL56" s="27">
        <v>126.0</v>
      </c>
      <c r="AM56" s="27">
        <v>108.0</v>
      </c>
      <c r="AN56" s="27">
        <v>78.0</v>
      </c>
      <c r="AO56" s="28"/>
      <c r="AP56" s="28">
        <f t="shared" si="3"/>
        <v>1410.0</v>
      </c>
      <c r="AQ56" s="28">
        <f t="shared" si="4"/>
        <v>402.0</v>
      </c>
      <c r="AR56" s="28">
        <f t="shared" si="5"/>
        <v>442.2</v>
      </c>
      <c r="AS56" s="1">
        <f t="shared" si="139"/>
        <v>101.06779661017</v>
      </c>
      <c r="AT56" s="1">
        <f t="shared" si="140"/>
        <v>82.8983050847458</v>
      </c>
      <c r="AU56" s="1">
        <f t="shared" si="141"/>
        <v>64.728813559322</v>
      </c>
      <c r="AV56" s="1">
        <f t="shared" si="142"/>
        <v>129.457627118644</v>
      </c>
      <c r="AW56" s="1">
        <f t="shared" si="143"/>
        <v>144.22033898305</v>
      </c>
      <c r="AX56" s="1">
        <f t="shared" si="144"/>
        <v>130.593220338983</v>
      </c>
      <c r="AY56" s="2">
        <f t="shared" si="12"/>
        <v>652.966101694914</v>
      </c>
      <c r="AZ56" s="2" t="e">
        <f t="shared" si="13"/>
        <v>#REF!</v>
      </c>
      <c r="BB56" s="1" t="e">
        <f>VLOOKUP(C56,AUGUST,3,false)</f>
        <v>#REF!</v>
      </c>
      <c r="BD56" s="28" t="e">
        <f t="shared" si="145"/>
        <v>#REF!</v>
      </c>
      <c r="BE56" s="1">
        <v>1008.0</v>
      </c>
      <c r="BH56" s="1" t="e">
        <f t="shared" si="147"/>
        <v>#REF!</v>
      </c>
      <c r="BI56" s="1">
        <f t="shared" si="148"/>
        <v>101.06779661017</v>
      </c>
      <c r="BJ56" s="1">
        <f t="shared" si="41"/>
      </c>
      <c r="BK56" s="3" t="e">
        <f t="shared" si="149"/>
        <v>#REF!</v>
      </c>
      <c r="BL56" s="1">
        <f t="shared" si="150"/>
        <v>82.8983050847458</v>
      </c>
      <c r="BM56" s="1" t="e">
        <f t="shared" si="44"/>
        <v>#REF!</v>
      </c>
      <c r="BN56" s="3" t="e">
        <f t="shared" si="151"/>
        <v>#REF!</v>
      </c>
      <c r="BO56" s="1">
        <f t="shared" si="152"/>
        <v>64.728813559322</v>
      </c>
      <c r="BQ56" s="3" t="e">
        <f t="shared" si="153"/>
        <v>#REF!</v>
      </c>
      <c r="BR56" s="1">
        <f t="shared" si="154"/>
        <v>129.457627118644</v>
      </c>
      <c r="BT56" s="3" t="e">
        <f t="shared" si="155"/>
        <v>#REF!</v>
      </c>
      <c r="BU56" s="1">
        <f t="shared" si="156"/>
        <v>144.22033898305</v>
      </c>
      <c r="BW56" s="3" t="e">
        <f t="shared" si="157"/>
        <v>#REF!</v>
      </c>
      <c r="BX56" s="1">
        <f t="shared" si="158"/>
        <v>130.593220338983</v>
      </c>
      <c r="BZ56" s="3" t="e">
        <f t="shared" si="159"/>
        <v>#REF!</v>
      </c>
    </row>
    <row r="57" customHeight="1" ht="12.0">
      <c r="A57" s="27" t="s">
        <v>28</v>
      </c>
      <c r="B57" s="27" t="s">
        <v>98</v>
      </c>
      <c r="C57" s="27" t="s">
        <v>135</v>
      </c>
      <c r="D57" s="27" t="s">
        <v>136</v>
      </c>
      <c r="E57" s="27">
        <v>0.0</v>
      </c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0.0</v>
      </c>
      <c r="AH57" s="27">
        <v>0.0</v>
      </c>
      <c r="AI57" s="27">
        <v>0.0</v>
      </c>
      <c r="AJ57" s="27">
        <v>0.0</v>
      </c>
      <c r="AK57" s="27">
        <v>102.0</v>
      </c>
      <c r="AL57" s="27">
        <v>144.0</v>
      </c>
      <c r="AM57" s="27">
        <v>168.0</v>
      </c>
      <c r="AN57" s="27">
        <v>92.0</v>
      </c>
      <c r="AO57" s="28"/>
      <c r="AP57" s="28">
        <f t="shared" si="3"/>
        <v>506.0</v>
      </c>
      <c r="AQ57" s="28">
        <f t="shared" si="4"/>
        <v>506.0</v>
      </c>
      <c r="AR57" s="28">
        <f t="shared" si="5"/>
        <v>556.6</v>
      </c>
      <c r="AS57" s="1">
        <f t="shared" si="139"/>
        <v>127.21468926553</v>
      </c>
      <c r="AT57" s="1">
        <f t="shared" si="140"/>
        <v>104.344632768361</v>
      </c>
      <c r="AU57" s="1">
        <f t="shared" si="141"/>
        <v>81.4745762711864</v>
      </c>
      <c r="AV57" s="1">
        <f t="shared" si="142"/>
        <v>162.949152542372</v>
      </c>
      <c r="AW57" s="1">
        <f t="shared" si="143"/>
        <v>181.531073446328</v>
      </c>
      <c r="AX57" s="1">
        <f t="shared" si="144"/>
        <v>164.378531073446</v>
      </c>
      <c r="AY57" s="2">
        <f t="shared" si="12"/>
        <v>821.892655367223</v>
      </c>
      <c r="AZ57" s="2" t="e">
        <f t="shared" si="13"/>
        <v>#REF!</v>
      </c>
      <c r="BD57" s="28" t="e">
        <f t="shared" si="145"/>
        <v>#REF!</v>
      </c>
      <c r="BE57" s="1">
        <v>1008.0</v>
      </c>
      <c r="BG57" s="4" t="s">
        <v>227</v>
      </c>
      <c r="BH57" s="1" t="e">
        <f t="shared" si="147"/>
        <v>#REF!</v>
      </c>
      <c r="BI57" s="1">
        <f t="shared" si="148"/>
        <v>127.21468926553</v>
      </c>
      <c r="BJ57" s="1">
        <f t="shared" si="41"/>
      </c>
      <c r="BK57" s="3" t="e">
        <f t="shared" si="149"/>
        <v>#REF!</v>
      </c>
      <c r="BL57" s="1">
        <f t="shared" si="150"/>
        <v>104.344632768361</v>
      </c>
      <c r="BM57" s="1">
        <f t="shared" si="44"/>
      </c>
      <c r="BN57" s="3" t="e">
        <f t="shared" si="151"/>
        <v>#REF!</v>
      </c>
      <c r="BO57" s="1">
        <f t="shared" si="152"/>
        <v>81.4745762711864</v>
      </c>
      <c r="BQ57" s="3" t="e">
        <f t="shared" si="153"/>
        <v>#REF!</v>
      </c>
      <c r="BR57" s="1">
        <f t="shared" si="154"/>
        <v>162.949152542372</v>
      </c>
      <c r="BT57" s="3" t="e">
        <f t="shared" si="155"/>
        <v>#REF!</v>
      </c>
      <c r="BU57" s="1">
        <f t="shared" si="156"/>
        <v>181.531073446328</v>
      </c>
      <c r="BW57" s="3" t="e">
        <f t="shared" si="157"/>
        <v>#REF!</v>
      </c>
      <c r="BX57" s="1">
        <f t="shared" si="158"/>
        <v>164.378531073446</v>
      </c>
      <c r="BZ57" s="3" t="e">
        <f t="shared" si="159"/>
        <v>#REF!</v>
      </c>
    </row>
    <row r="58" customHeight="1" ht="12.0">
      <c r="A58" s="27" t="s">
        <v>28</v>
      </c>
      <c r="B58" s="27" t="s">
        <v>98</v>
      </c>
      <c r="C58" s="27" t="s">
        <v>137</v>
      </c>
      <c r="D58" s="27" t="s">
        <v>138</v>
      </c>
      <c r="E58" s="27">
        <v>0.0</v>
      </c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126.0</v>
      </c>
      <c r="AL58" s="27">
        <v>168.0</v>
      </c>
      <c r="AM58" s="27">
        <v>180.0</v>
      </c>
      <c r="AN58" s="27">
        <v>104.0</v>
      </c>
      <c r="AO58" s="28"/>
      <c r="AP58" s="28">
        <f t="shared" si="3"/>
        <v>578.0</v>
      </c>
      <c r="AQ58" s="28">
        <f t="shared" si="4"/>
        <v>578.0</v>
      </c>
      <c r="AR58" s="28">
        <f t="shared" si="5"/>
        <v>635.8</v>
      </c>
      <c r="AS58" s="1">
        <f t="shared" si="139"/>
        <v>145.31638418079</v>
      </c>
      <c r="AT58" s="1">
        <f t="shared" si="140"/>
        <v>119.19209039548</v>
      </c>
      <c r="AU58" s="1">
        <f t="shared" si="141"/>
        <v>93.0677966101694</v>
      </c>
      <c r="AV58" s="1">
        <f t="shared" si="142"/>
        <v>186.135593220339</v>
      </c>
      <c r="AW58" s="1">
        <f t="shared" si="143"/>
        <v>207.361581920903</v>
      </c>
      <c r="AX58" s="1">
        <f t="shared" si="144"/>
        <v>187.76836158192</v>
      </c>
      <c r="AY58" s="2">
        <f t="shared" si="12"/>
        <v>938.841807909601</v>
      </c>
      <c r="AZ58" s="2" t="e">
        <f t="shared" si="13"/>
        <v>#REF!</v>
      </c>
      <c r="BD58" s="28" t="e">
        <f t="shared" si="145"/>
        <v>#REF!</v>
      </c>
      <c r="BE58" s="1">
        <v>1008.0</v>
      </c>
      <c r="BG58" s="4" t="s">
        <v>10</v>
      </c>
      <c r="BH58" s="1" t="e">
        <f t="shared" si="147"/>
        <v>#REF!</v>
      </c>
      <c r="BI58" s="1">
        <f t="shared" si="148"/>
        <v>145.31638418079</v>
      </c>
      <c r="BJ58" s="1">
        <f t="shared" si="41"/>
      </c>
      <c r="BK58" s="3" t="e">
        <f t="shared" si="149"/>
        <v>#REF!</v>
      </c>
      <c r="BL58" s="1">
        <f t="shared" si="150"/>
        <v>119.19209039548</v>
      </c>
      <c r="BM58" s="1">
        <f t="shared" si="44"/>
      </c>
      <c r="BN58" s="3" t="e">
        <f t="shared" si="151"/>
        <v>#REF!</v>
      </c>
      <c r="BO58" s="1">
        <f t="shared" si="152"/>
        <v>93.0677966101694</v>
      </c>
      <c r="BQ58" s="3" t="e">
        <f t="shared" si="153"/>
        <v>#REF!</v>
      </c>
      <c r="BR58" s="1">
        <f t="shared" si="154"/>
        <v>186.135593220339</v>
      </c>
      <c r="BT58" s="3" t="e">
        <f t="shared" si="155"/>
        <v>#REF!</v>
      </c>
      <c r="BU58" s="1">
        <f t="shared" si="156"/>
        <v>207.361581920903</v>
      </c>
      <c r="BW58" s="3" t="e">
        <f t="shared" si="157"/>
        <v>#REF!</v>
      </c>
      <c r="BX58" s="1">
        <f t="shared" si="158"/>
        <v>187.76836158192</v>
      </c>
      <c r="BZ58" s="3" t="e">
        <f t="shared" si="159"/>
        <v>#REF!</v>
      </c>
    </row>
    <row r="59" customHeight="1" ht="12.0">
      <c r="A59" s="27" t="s">
        <v>28</v>
      </c>
      <c r="B59" s="27" t="s">
        <v>98</v>
      </c>
      <c r="C59" s="27" t="s">
        <v>139</v>
      </c>
      <c r="D59" s="27" t="s">
        <v>140</v>
      </c>
      <c r="E59" s="27">
        <v>0.0</v>
      </c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114.0</v>
      </c>
      <c r="AL59" s="27">
        <v>156.0</v>
      </c>
      <c r="AM59" s="27">
        <v>216.0</v>
      </c>
      <c r="AN59" s="27">
        <v>146.0</v>
      </c>
      <c r="AO59" s="28"/>
      <c r="AP59" s="28">
        <f t="shared" si="3"/>
        <v>632.0</v>
      </c>
      <c r="AQ59" s="28">
        <f t="shared" si="4"/>
        <v>632.0</v>
      </c>
      <c r="AR59" s="28">
        <f t="shared" si="5"/>
        <v>695.2</v>
      </c>
      <c r="AS59" s="1">
        <f t="shared" si="139"/>
        <v>158.892655367231</v>
      </c>
      <c r="AT59" s="1">
        <f t="shared" si="140"/>
        <v>130.327683615819</v>
      </c>
      <c r="AU59" s="1">
        <f t="shared" si="141"/>
        <v>101.762711864407</v>
      </c>
      <c r="AV59" s="1">
        <f t="shared" si="142"/>
        <v>203.525423728813</v>
      </c>
      <c r="AW59" s="1">
        <f t="shared" si="143"/>
        <v>226.734463276836</v>
      </c>
      <c r="AX59" s="1">
        <f t="shared" si="144"/>
        <v>205.310734463277</v>
      </c>
      <c r="AY59" s="2">
        <f t="shared" si="12"/>
        <v>1026.55367231638</v>
      </c>
      <c r="AZ59" s="2" t="e">
        <f t="shared" si="13"/>
        <v>#REF!</v>
      </c>
      <c r="BD59" s="28" t="e">
        <f t="shared" si="145"/>
        <v>#REF!</v>
      </c>
      <c r="BE59" s="1">
        <v>1008.0</v>
      </c>
      <c r="BG59" s="4" t="s">
        <v>9</v>
      </c>
      <c r="BH59" s="1" t="e">
        <f t="shared" si="147"/>
        <v>#REF!</v>
      </c>
      <c r="BI59" s="1">
        <f t="shared" si="148"/>
        <v>158.892655367231</v>
      </c>
      <c r="BJ59" s="1">
        <f t="shared" si="41"/>
      </c>
      <c r="BK59" s="3" t="e">
        <f t="shared" si="149"/>
        <v>#REF!</v>
      </c>
      <c r="BL59" s="1">
        <f t="shared" si="150"/>
        <v>130.327683615819</v>
      </c>
      <c r="BM59" s="1">
        <f t="shared" si="44"/>
      </c>
      <c r="BN59" s="3" t="e">
        <f t="shared" si="151"/>
        <v>#REF!</v>
      </c>
      <c r="BO59" s="1">
        <f t="shared" si="152"/>
        <v>101.762711864407</v>
      </c>
      <c r="BQ59" s="3" t="e">
        <f t="shared" si="153"/>
        <v>#REF!</v>
      </c>
      <c r="BR59" s="1">
        <f t="shared" si="154"/>
        <v>203.525423728813</v>
      </c>
      <c r="BT59" s="3" t="e">
        <f t="shared" si="155"/>
        <v>#REF!</v>
      </c>
      <c r="BU59" s="1">
        <f t="shared" si="156"/>
        <v>226.734463276836</v>
      </c>
      <c r="BW59" s="3" t="e">
        <f t="shared" si="157"/>
        <v>#REF!</v>
      </c>
      <c r="BX59" s="1">
        <f t="shared" si="158"/>
        <v>205.310734463277</v>
      </c>
      <c r="BZ59" s="3" t="e">
        <f t="shared" si="159"/>
        <v>#REF!</v>
      </c>
    </row>
    <row r="60" customHeight="1" ht="12.0">
      <c r="A60" s="27" t="s">
        <v>28</v>
      </c>
      <c r="B60" s="27" t="s">
        <v>98</v>
      </c>
      <c r="C60" s="27" t="s">
        <v>141</v>
      </c>
      <c r="D60" s="27" t="s">
        <v>142</v>
      </c>
      <c r="E60" s="27">
        <v>0.0</v>
      </c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120.0</v>
      </c>
      <c r="AL60" s="27">
        <v>216.0</v>
      </c>
      <c r="AM60" s="27">
        <v>240.0</v>
      </c>
      <c r="AN60" s="27">
        <v>128.0</v>
      </c>
      <c r="AO60" s="28"/>
      <c r="AP60" s="28">
        <f t="shared" si="3"/>
        <v>704.0</v>
      </c>
      <c r="AQ60" s="28">
        <f t="shared" si="4"/>
        <v>704.0</v>
      </c>
      <c r="AR60" s="28">
        <f t="shared" si="5"/>
        <v>774.4</v>
      </c>
      <c r="AS60" s="1">
        <f t="shared" si="139"/>
        <v>176.9943502824</v>
      </c>
      <c r="AT60" s="1">
        <f t="shared" si="140"/>
        <v>145.175141242938</v>
      </c>
      <c r="AU60" s="1">
        <f t="shared" si="141"/>
        <v>113.35593220339</v>
      </c>
      <c r="AV60" s="1">
        <f t="shared" si="142"/>
        <v>226.71186440678</v>
      </c>
      <c r="AW60" s="1">
        <f t="shared" si="143"/>
        <v>252.564971751412</v>
      </c>
      <c r="AX60" s="1">
        <f t="shared" si="144"/>
        <v>228.700564971751</v>
      </c>
      <c r="AY60" s="2">
        <f t="shared" si="12"/>
        <v>1143.50282485867</v>
      </c>
      <c r="AZ60" s="2" t="e">
        <f t="shared" si="13"/>
        <v>#REF!</v>
      </c>
      <c r="BD60" s="28" t="e">
        <f t="shared" si="145"/>
        <v>#REF!</v>
      </c>
      <c r="BE60" s="1">
        <v>1008.0</v>
      </c>
      <c r="BG60" s="4" t="s">
        <v>8</v>
      </c>
      <c r="BH60" s="1" t="e">
        <f t="shared" si="147"/>
        <v>#REF!</v>
      </c>
      <c r="BI60" s="1">
        <f t="shared" si="148"/>
        <v>176.9943502824</v>
      </c>
      <c r="BJ60" s="1">
        <f t="shared" si="41"/>
      </c>
      <c r="BK60" s="3" t="e">
        <f t="shared" si="149"/>
        <v>#REF!</v>
      </c>
      <c r="BL60" s="1">
        <f t="shared" si="150"/>
        <v>145.175141242938</v>
      </c>
      <c r="BM60" s="1">
        <f t="shared" si="44"/>
      </c>
      <c r="BN60" s="3" t="e">
        <f t="shared" si="151"/>
        <v>#REF!</v>
      </c>
      <c r="BO60" s="1">
        <f t="shared" si="152"/>
        <v>113.35593220339</v>
      </c>
      <c r="BQ60" s="3" t="e">
        <f t="shared" si="153"/>
        <v>#REF!</v>
      </c>
      <c r="BR60" s="1">
        <f t="shared" si="154"/>
        <v>226.71186440678</v>
      </c>
      <c r="BT60" s="3" t="e">
        <f t="shared" si="155"/>
        <v>#REF!</v>
      </c>
      <c r="BU60" s="1">
        <f t="shared" si="156"/>
        <v>252.564971751412</v>
      </c>
      <c r="BW60" s="3" t="e">
        <f t="shared" si="157"/>
        <v>#REF!</v>
      </c>
      <c r="BX60" s="1">
        <f t="shared" si="158"/>
        <v>228.700564971751</v>
      </c>
      <c r="BZ60" s="3" t="e">
        <f t="shared" si="159"/>
        <v>#REF!</v>
      </c>
    </row>
    <row r="61" ht="14.0">
      <c r="A61" s="27" t="s">
        <v>28</v>
      </c>
      <c r="B61" s="27" t="s">
        <v>98</v>
      </c>
      <c r="C61" s="27" t="s">
        <v>143</v>
      </c>
      <c r="D61" s="27" t="s">
        <v>144</v>
      </c>
      <c r="E61" s="27">
        <v>4.0</v>
      </c>
      <c r="F61" s="27">
        <v>4.0</v>
      </c>
      <c r="G61" s="27">
        <v>4.0</v>
      </c>
      <c r="H61" s="27">
        <v>0.0</v>
      </c>
      <c r="I61" s="27">
        <v>2.0</v>
      </c>
      <c r="J61" s="27">
        <v>2.0</v>
      </c>
      <c r="K61" s="27">
        <v>1.0</v>
      </c>
      <c r="L61" s="27">
        <v>3.0</v>
      </c>
      <c r="M61" s="27">
        <v>1.0</v>
      </c>
      <c r="N61" s="27">
        <v>3.0</v>
      </c>
      <c r="O61" s="27">
        <v>4.0</v>
      </c>
      <c r="P61" s="27">
        <v>4.0</v>
      </c>
      <c r="Q61" s="27">
        <v>3.0</v>
      </c>
      <c r="R61" s="27">
        <v>5.0</v>
      </c>
      <c r="S61" s="27">
        <v>2.0</v>
      </c>
      <c r="T61" s="27">
        <v>5.0</v>
      </c>
      <c r="U61" s="27">
        <v>1.0</v>
      </c>
      <c r="V61" s="27">
        <v>0.0</v>
      </c>
      <c r="W61" s="27">
        <v>2.0</v>
      </c>
      <c r="X61" s="27">
        <v>1.0</v>
      </c>
      <c r="Y61" s="27">
        <v>7.0</v>
      </c>
      <c r="Z61" s="27">
        <v>3.0</v>
      </c>
      <c r="AA61" s="27">
        <v>4.0</v>
      </c>
      <c r="AB61" s="27">
        <v>0.0</v>
      </c>
      <c r="AC61" s="27">
        <v>4.0</v>
      </c>
      <c r="AD61" s="27">
        <v>6.0</v>
      </c>
      <c r="AE61" s="27">
        <v>2.0</v>
      </c>
      <c r="AF61" s="27">
        <v>8.0</v>
      </c>
      <c r="AG61" s="27">
        <v>8.0</v>
      </c>
      <c r="AH61" s="27">
        <v>2.0</v>
      </c>
      <c r="AI61" s="27">
        <v>1.0</v>
      </c>
      <c r="AJ61" s="27">
        <v>2.0</v>
      </c>
      <c r="AK61" s="27">
        <v>3.0</v>
      </c>
      <c r="AL61" s="27">
        <v>2.0</v>
      </c>
      <c r="AM61" s="27">
        <v>0.0</v>
      </c>
      <c r="AN61" s="27">
        <v>2.0</v>
      </c>
      <c r="AO61" s="28"/>
      <c r="AP61" s="28">
        <f t="shared" si="3"/>
        <v>40.0</v>
      </c>
      <c r="AQ61" s="28">
        <f t="shared" si="4"/>
        <v>10.0</v>
      </c>
      <c r="AR61" s="32">
        <f t="shared" si="5"/>
        <v>11.0</v>
      </c>
      <c r="AS61" s="167">
        <v>2.0</v>
      </c>
      <c r="AT61" s="167">
        <v>4.0</v>
      </c>
      <c r="AU61" s="167">
        <v>3.0</v>
      </c>
      <c r="AV61" s="167">
        <v>2.0</v>
      </c>
      <c r="AW61" s="167">
        <v>5.0</v>
      </c>
      <c r="AX61" s="167">
        <v>5.0</v>
      </c>
      <c r="AY61" s="2">
        <f t="shared" si="12"/>
        <v>21.0</v>
      </c>
      <c r="AZ61" s="2" t="e">
        <f t="shared" si="13"/>
        <v>#REF!</v>
      </c>
      <c r="BD61" s="28"/>
      <c r="BK61" s="3"/>
      <c r="BN61" s="3"/>
      <c r="BQ61" s="3"/>
      <c r="BT61" s="3"/>
      <c r="BW61" s="3"/>
      <c r="BZ61" s="3"/>
    </row>
    <row r="62" ht="14.0">
      <c r="A62" s="27" t="s">
        <v>28</v>
      </c>
      <c r="B62" s="27" t="s">
        <v>98</v>
      </c>
      <c r="C62" s="27" t="s">
        <v>145</v>
      </c>
      <c r="D62" s="27" t="s">
        <v>146</v>
      </c>
      <c r="E62" s="27">
        <v>0.0</v>
      </c>
      <c r="F62" s="27">
        <v>1.0</v>
      </c>
      <c r="G62" s="27">
        <v>0.0</v>
      </c>
      <c r="H62" s="27">
        <v>0.0</v>
      </c>
      <c r="I62" s="27">
        <v>0.0</v>
      </c>
      <c r="J62" s="27">
        <v>0.0</v>
      </c>
      <c r="K62" s="27">
        <v>0.0</v>
      </c>
      <c r="L62" s="27">
        <v>0.0</v>
      </c>
      <c r="M62" s="27">
        <v>2.0</v>
      </c>
      <c r="N62" s="27">
        <v>1.0</v>
      </c>
      <c r="O62" s="27">
        <v>1.0</v>
      </c>
      <c r="P62" s="27">
        <v>3.0</v>
      </c>
      <c r="Q62" s="27">
        <v>0.0</v>
      </c>
      <c r="R62" s="27">
        <v>0.0</v>
      </c>
      <c r="S62" s="27">
        <v>1.0</v>
      </c>
      <c r="T62" s="27">
        <v>0.0</v>
      </c>
      <c r="U62" s="27">
        <v>1.0</v>
      </c>
      <c r="V62" s="27">
        <v>1.0</v>
      </c>
      <c r="W62" s="27">
        <v>1.0</v>
      </c>
      <c r="X62" s="27">
        <v>1.0</v>
      </c>
      <c r="Y62" s="27">
        <v>0.0</v>
      </c>
      <c r="Z62" s="27">
        <v>2.0</v>
      </c>
      <c r="AA62" s="27">
        <v>0.0</v>
      </c>
      <c r="AB62" s="27">
        <v>2.0</v>
      </c>
      <c r="AC62" s="27">
        <v>0.0</v>
      </c>
      <c r="AD62" s="27">
        <v>0.0</v>
      </c>
      <c r="AE62" s="27">
        <v>0.0</v>
      </c>
      <c r="AF62" s="27">
        <v>1.0</v>
      </c>
      <c r="AG62" s="27">
        <v>1.0</v>
      </c>
      <c r="AH62" s="27">
        <v>0.0</v>
      </c>
      <c r="AI62" s="27">
        <v>0.0</v>
      </c>
      <c r="AJ62" s="27">
        <v>1.0</v>
      </c>
      <c r="AK62" s="27">
        <v>0.0</v>
      </c>
      <c r="AL62" s="27">
        <v>0.0</v>
      </c>
      <c r="AM62" s="27">
        <v>0.0</v>
      </c>
      <c r="AN62" s="27">
        <v>0.0</v>
      </c>
      <c r="AO62" s="28"/>
      <c r="AP62" s="28">
        <f t="shared" si="3"/>
        <v>3.0</v>
      </c>
      <c r="AQ62" s="28">
        <f t="shared" si="4"/>
        <v>1.0</v>
      </c>
      <c r="AR62" s="32">
        <f t="shared" si="5"/>
        <v>1.1</v>
      </c>
      <c r="AS62" s="167">
        <v>0.0</v>
      </c>
      <c r="AT62" s="167">
        <v>0.0</v>
      </c>
      <c r="AU62" s="167">
        <v>0.0</v>
      </c>
      <c r="AV62" s="167">
        <v>0.0</v>
      </c>
      <c r="AW62" s="167">
        <v>1.0</v>
      </c>
      <c r="AX62" s="167">
        <v>1.0</v>
      </c>
      <c r="AY62" s="2">
        <f t="shared" si="12"/>
        <v>2.0</v>
      </c>
      <c r="AZ62" s="2" t="e">
        <f t="shared" si="13"/>
        <v>#REF!</v>
      </c>
      <c r="BD62" s="28"/>
      <c r="BK62" s="3"/>
      <c r="BN62" s="3"/>
      <c r="BQ62" s="3"/>
      <c r="BT62" s="3"/>
      <c r="BW62" s="3"/>
      <c r="BZ62" s="3"/>
      <c r="AMH62" s="126"/>
      <c r="AMI62" s="126"/>
      <c r="AMJ62" s="126"/>
      <c r="AMK62" s="126"/>
    </row>
    <row r="63">
      <c r="AQ63" s="2">
        <f>SUM(AQ39:AQ62)</f>
        <v>21629.0</v>
      </c>
      <c r="BD63" s="28"/>
      <c r="AMH63" s="126"/>
      <c r="AMI63" s="126"/>
      <c r="AMJ63" s="126"/>
      <c r="AMK63" s="126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BD64" s="28"/>
    </row>
    <row r="65" ht="14.0">
      <c r="A65" s="27"/>
      <c r="B65" s="27"/>
      <c r="C65" s="27"/>
      <c r="D65" s="27"/>
      <c r="E65" s="44">
        <v>0.079</v>
      </c>
      <c r="F65" s="44">
        <v>0.069</v>
      </c>
      <c r="G65" s="44">
        <v>0.065</v>
      </c>
      <c r="H65" s="44">
        <v>0.066</v>
      </c>
      <c r="I65" s="44">
        <v>0.052</v>
      </c>
      <c r="J65" s="44">
        <v>0.106</v>
      </c>
      <c r="K65" s="44">
        <v>0.153</v>
      </c>
      <c r="L65" s="44">
        <v>0.054</v>
      </c>
      <c r="M65" s="44">
        <v>0.073</v>
      </c>
      <c r="N65" s="44">
        <v>0.058</v>
      </c>
      <c r="O65" s="44">
        <v>0.122</v>
      </c>
      <c r="P65" s="44">
        <v>0.103</v>
      </c>
      <c r="Q65" s="44">
        <v>0.079</v>
      </c>
      <c r="R65" s="44">
        <v>0.069</v>
      </c>
      <c r="S65" s="44">
        <v>0.065</v>
      </c>
      <c r="T65" s="44">
        <v>0.066</v>
      </c>
      <c r="U65" s="44">
        <v>0.052</v>
      </c>
      <c r="V65" s="44">
        <v>0.106</v>
      </c>
      <c r="W65" s="44">
        <v>0.153</v>
      </c>
      <c r="X65" s="44">
        <v>0.054</v>
      </c>
      <c r="Y65" s="44">
        <v>0.073</v>
      </c>
      <c r="Z65" s="44">
        <v>0.058</v>
      </c>
      <c r="AA65" s="44">
        <v>0.122</v>
      </c>
      <c r="AB65" s="44">
        <v>0.103</v>
      </c>
      <c r="AC65" s="44">
        <v>0.079</v>
      </c>
      <c r="AD65" s="44">
        <v>0.069</v>
      </c>
      <c r="AE65" s="44">
        <v>0.065</v>
      </c>
      <c r="AF65" s="44">
        <v>0.066</v>
      </c>
      <c r="AG65" s="44">
        <v>0.052</v>
      </c>
      <c r="AH65" s="44">
        <v>0.106</v>
      </c>
      <c r="AI65" s="44">
        <v>0.153</v>
      </c>
      <c r="AJ65" s="44">
        <v>0.054</v>
      </c>
      <c r="AK65" s="44">
        <v>0.073</v>
      </c>
      <c r="AL65" s="44">
        <v>0.058</v>
      </c>
      <c r="AM65" s="44">
        <v>0.122</v>
      </c>
      <c r="AN65" s="44">
        <v>0.103</v>
      </c>
      <c r="AO65" s="5"/>
      <c r="AP65" s="5">
        <f>SUM(AC65:AN65)</f>
        <v>1.0</v>
      </c>
      <c r="AQ65" s="8">
        <f>SUM(AI65:AN65)</f>
        <v>0.563</v>
      </c>
      <c r="AR65" s="8">
        <f>AQ65*1.1</f>
        <v>0.6193</v>
      </c>
      <c r="AS65" s="44">
        <v>0.079</v>
      </c>
      <c r="AT65" s="44">
        <v>0.069</v>
      </c>
      <c r="AU65" s="44">
        <v>0.065</v>
      </c>
      <c r="AV65" s="44">
        <v>0.066</v>
      </c>
      <c r="AW65" s="44">
        <v>0.052</v>
      </c>
      <c r="AX65" s="44">
        <v>0.106</v>
      </c>
      <c r="AY65" s="44"/>
      <c r="BD65" s="28"/>
    </row>
    <row r="66" customHeight="1" ht="13.0">
      <c r="A66" s="169" t="s">
        <v>210</v>
      </c>
      <c r="B66" s="153"/>
      <c r="C66" s="153"/>
      <c r="D66" s="153"/>
      <c r="E66" s="154">
        <v>45860</v>
      </c>
      <c r="F66" s="154">
        <v>45891</v>
      </c>
      <c r="G66" s="154">
        <v>45922</v>
      </c>
      <c r="H66" s="154">
        <v>45952</v>
      </c>
      <c r="I66" s="154">
        <v>45983</v>
      </c>
      <c r="J66" s="154">
        <v>46013</v>
      </c>
      <c r="K66" s="154">
        <v>45680</v>
      </c>
      <c r="L66" s="154">
        <v>45711</v>
      </c>
      <c r="M66" s="154">
        <v>45739</v>
      </c>
      <c r="N66" s="154">
        <v>45770</v>
      </c>
      <c r="O66" s="154">
        <v>45800</v>
      </c>
      <c r="P66" s="154">
        <v>45831</v>
      </c>
      <c r="Q66" s="155">
        <v>45861</v>
      </c>
      <c r="R66" s="155">
        <v>45892</v>
      </c>
      <c r="S66" s="155">
        <v>45923</v>
      </c>
      <c r="T66" s="155">
        <v>45953</v>
      </c>
      <c r="U66" s="155">
        <v>45984</v>
      </c>
      <c r="V66" s="155">
        <v>46014</v>
      </c>
      <c r="W66" s="155">
        <v>45681</v>
      </c>
      <c r="X66" s="155">
        <v>45712</v>
      </c>
      <c r="Y66" s="155">
        <v>45740</v>
      </c>
      <c r="Z66" s="155">
        <v>45771</v>
      </c>
      <c r="AA66" s="155">
        <v>45801</v>
      </c>
      <c r="AB66" s="155">
        <v>45832</v>
      </c>
      <c r="AC66" s="158">
        <v>45862</v>
      </c>
      <c r="AD66" s="158">
        <v>45893</v>
      </c>
      <c r="AE66" s="158">
        <v>45924</v>
      </c>
      <c r="AF66" s="158">
        <v>45954</v>
      </c>
      <c r="AG66" s="158">
        <v>45985</v>
      </c>
      <c r="AH66" s="158">
        <v>46015</v>
      </c>
      <c r="AI66" s="156">
        <v>45682</v>
      </c>
      <c r="AJ66" s="156">
        <v>45713</v>
      </c>
      <c r="AK66" s="156">
        <v>45741</v>
      </c>
      <c r="AL66" s="156">
        <v>45772</v>
      </c>
      <c r="AM66" s="156">
        <v>45802</v>
      </c>
      <c r="AN66" s="156">
        <v>45833</v>
      </c>
      <c r="AO66" s="157"/>
      <c r="AP66" s="157" t="s">
        <v>1</v>
      </c>
      <c r="AQ66" s="157" t="s">
        <v>232</v>
      </c>
      <c r="AR66" s="157" t="s">
        <v>232</v>
      </c>
      <c r="AS66" s="158">
        <v>45863</v>
      </c>
      <c r="AT66" s="158">
        <v>45894</v>
      </c>
      <c r="AU66" s="158">
        <v>45925</v>
      </c>
      <c r="AV66" s="158">
        <v>45955</v>
      </c>
      <c r="AW66" s="158">
        <v>45986</v>
      </c>
      <c r="AX66" s="158">
        <v>46016</v>
      </c>
      <c r="AY66" s="153" t="s">
        <v>3</v>
      </c>
      <c r="AZ66" s="153" t="s">
        <v>3</v>
      </c>
      <c r="BA66" s="153" t="s">
        <v>3</v>
      </c>
      <c r="BB66" s="153" t="s">
        <v>3</v>
      </c>
      <c r="BC66" s="153" t="s">
        <v>3</v>
      </c>
      <c r="BD66" s="159" t="s">
        <v>3</v>
      </c>
      <c r="BE66" s="153" t="s">
        <v>3</v>
      </c>
      <c r="BF66" s="160" t="s">
        <v>3</v>
      </c>
      <c r="BG66" s="161"/>
      <c r="BH66" s="153" t="s">
        <v>6</v>
      </c>
      <c r="BI66" s="153" t="s">
        <v>7</v>
      </c>
      <c r="BJ66" s="153"/>
      <c r="BK66" s="153"/>
      <c r="BL66" s="153" t="s">
        <v>8</v>
      </c>
      <c r="BM66" s="153"/>
      <c r="BN66" s="153"/>
      <c r="BO66" s="153" t="s">
        <v>9</v>
      </c>
      <c r="BP66" s="153"/>
      <c r="BQ66" s="153"/>
      <c r="BR66" s="153" t="s">
        <v>10</v>
      </c>
      <c r="BS66" s="153"/>
      <c r="BT66" s="153"/>
      <c r="BU66" s="153" t="s">
        <v>227</v>
      </c>
      <c r="BV66" s="153"/>
      <c r="BW66" s="153"/>
      <c r="BX66" s="153" t="s">
        <v>212</v>
      </c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AMD66" s="162"/>
      <c r="AME66" s="162"/>
      <c r="AMF66" s="162"/>
      <c r="AMG66" s="162"/>
      <c r="AMH66" s="163"/>
      <c r="AMI66" s="126"/>
      <c r="AMJ66" s="126"/>
      <c r="AMK66" s="126"/>
      <c r="AML66" s="126"/>
    </row>
    <row r="67" ht="29.0">
      <c r="A67" s="16" t="s">
        <v>11</v>
      </c>
      <c r="B67" s="16" t="s">
        <v>12</v>
      </c>
      <c r="C67" s="16" t="s">
        <v>13</v>
      </c>
      <c r="D67" s="17" t="s">
        <v>14</v>
      </c>
      <c r="E67" s="18" t="s">
        <v>15</v>
      </c>
      <c r="F67" s="18" t="s">
        <v>15</v>
      </c>
      <c r="G67" s="18" t="s">
        <v>15</v>
      </c>
      <c r="H67" s="18" t="s">
        <v>15</v>
      </c>
      <c r="I67" s="18" t="s">
        <v>15</v>
      </c>
      <c r="J67" s="18" t="s">
        <v>15</v>
      </c>
      <c r="K67" s="18" t="s">
        <v>15</v>
      </c>
      <c r="L67" s="18" t="s">
        <v>15</v>
      </c>
      <c r="M67" s="18" t="s">
        <v>15</v>
      </c>
      <c r="N67" s="18" t="s">
        <v>15</v>
      </c>
      <c r="O67" s="18" t="s">
        <v>15</v>
      </c>
      <c r="P67" s="18" t="s">
        <v>15</v>
      </c>
      <c r="Q67" s="18" t="s">
        <v>15</v>
      </c>
      <c r="R67" s="18" t="s">
        <v>15</v>
      </c>
      <c r="S67" s="18" t="s">
        <v>15</v>
      </c>
      <c r="T67" s="18" t="s">
        <v>15</v>
      </c>
      <c r="U67" s="18" t="s">
        <v>15</v>
      </c>
      <c r="V67" s="18" t="s">
        <v>15</v>
      </c>
      <c r="W67" s="18" t="s">
        <v>15</v>
      </c>
      <c r="X67" s="18" t="s">
        <v>15</v>
      </c>
      <c r="Y67" s="18" t="s">
        <v>15</v>
      </c>
      <c r="Z67" s="18" t="s">
        <v>15</v>
      </c>
      <c r="AA67" s="18" t="s">
        <v>15</v>
      </c>
      <c r="AB67" s="18" t="s">
        <v>15</v>
      </c>
      <c r="AC67" s="18" t="s">
        <v>15</v>
      </c>
      <c r="AD67" s="18" t="s">
        <v>15</v>
      </c>
      <c r="AE67" s="18" t="s">
        <v>15</v>
      </c>
      <c r="AF67" s="18" t="s">
        <v>15</v>
      </c>
      <c r="AG67" s="18" t="s">
        <v>15</v>
      </c>
      <c r="AH67" s="18" t="s">
        <v>15</v>
      </c>
      <c r="AI67" s="18" t="s">
        <v>15</v>
      </c>
      <c r="AJ67" s="18" t="s">
        <v>15</v>
      </c>
      <c r="AK67" s="18" t="s">
        <v>15</v>
      </c>
      <c r="AL67" s="18" t="s">
        <v>15</v>
      </c>
      <c r="AM67" s="18" t="s">
        <v>15</v>
      </c>
      <c r="AN67" s="18" t="s">
        <v>15</v>
      </c>
      <c r="AO67" s="19"/>
      <c r="AP67" s="19" t="s">
        <v>3</v>
      </c>
      <c r="AQ67" s="19" t="s">
        <v>3</v>
      </c>
      <c r="AR67" s="19" t="s">
        <v>16</v>
      </c>
      <c r="AS67" s="164" t="s">
        <v>17</v>
      </c>
      <c r="AT67" s="164" t="s">
        <v>17</v>
      </c>
      <c r="AU67" s="164" t="s">
        <v>17</v>
      </c>
      <c r="AV67" s="164" t="s">
        <v>17</v>
      </c>
      <c r="AW67" s="164" t="s">
        <v>17</v>
      </c>
      <c r="AX67" s="164" t="s">
        <v>17</v>
      </c>
      <c r="AY67" s="21" t="s">
        <v>17</v>
      </c>
      <c r="AZ67" s="18" t="s">
        <v>233</v>
      </c>
      <c r="BA67" s="22" t="s">
        <v>234</v>
      </c>
      <c r="BB67" s="22" t="s">
        <v>229</v>
      </c>
      <c r="BC67" s="22" t="s">
        <v>235</v>
      </c>
      <c r="BD67" s="165" t="s">
        <v>21</v>
      </c>
      <c r="BE67" s="18" t="s">
        <v>22</v>
      </c>
      <c r="BF67" s="24" t="s">
        <v>23</v>
      </c>
      <c r="BG67" s="25" t="s">
        <v>236</v>
      </c>
      <c r="BH67" s="18" t="s">
        <v>25</v>
      </c>
      <c r="BI67" s="18" t="s">
        <v>17</v>
      </c>
      <c r="BJ67" s="18" t="s">
        <v>26</v>
      </c>
      <c r="BK67" s="18" t="s">
        <v>27</v>
      </c>
      <c r="BL67" s="18" t="s">
        <v>17</v>
      </c>
      <c r="BM67" s="18" t="s">
        <v>26</v>
      </c>
      <c r="BN67" s="18" t="s">
        <v>27</v>
      </c>
      <c r="BO67" s="18" t="s">
        <v>17</v>
      </c>
      <c r="BP67" s="18" t="s">
        <v>26</v>
      </c>
      <c r="BQ67" s="18" t="s">
        <v>27</v>
      </c>
      <c r="BR67" s="18" t="s">
        <v>17</v>
      </c>
      <c r="BS67" s="18" t="s">
        <v>26</v>
      </c>
      <c r="BT67" s="18" t="s">
        <v>27</v>
      </c>
      <c r="BU67" s="18" t="s">
        <v>17</v>
      </c>
      <c r="BV67" s="18" t="s">
        <v>26</v>
      </c>
      <c r="BW67" s="18" t="s">
        <v>27</v>
      </c>
      <c r="BX67" s="18" t="s">
        <v>17</v>
      </c>
      <c r="BY67" s="18" t="s">
        <v>26</v>
      </c>
      <c r="BZ67" s="18" t="s">
        <v>27</v>
      </c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AMD67" s="126"/>
      <c r="AME67" s="126"/>
      <c r="AMF67" s="126"/>
      <c r="AMG67" s="126"/>
      <c r="AMH67" s="126"/>
      <c r="AMI67" s="126"/>
      <c r="AMJ67" s="126"/>
      <c r="AMK67" s="126"/>
    </row>
    <row r="68" ht="14.0">
      <c r="A68" s="27" t="s">
        <v>28</v>
      </c>
      <c r="B68" s="27" t="s">
        <v>98</v>
      </c>
      <c r="C68" s="27" t="s">
        <v>99</v>
      </c>
      <c r="D68" s="27" t="s">
        <v>100</v>
      </c>
      <c r="E68" s="27">
        <v>84.0</v>
      </c>
      <c r="F68" s="27">
        <v>126.0</v>
      </c>
      <c r="G68" s="27">
        <v>84.0</v>
      </c>
      <c r="H68" s="27">
        <v>84.0</v>
      </c>
      <c r="I68" s="27">
        <v>168.0</v>
      </c>
      <c r="J68" s="27">
        <v>126.0</v>
      </c>
      <c r="K68" s="27">
        <v>252.0</v>
      </c>
      <c r="L68" s="27">
        <v>42.0</v>
      </c>
      <c r="M68" s="27">
        <v>42.0</v>
      </c>
      <c r="N68" s="27">
        <v>84.0</v>
      </c>
      <c r="O68" s="27">
        <v>126.0</v>
      </c>
      <c r="P68" s="27">
        <v>126.0</v>
      </c>
      <c r="Q68" s="27">
        <v>126.0</v>
      </c>
      <c r="R68" s="27">
        <v>42.0</v>
      </c>
      <c r="S68" s="27">
        <v>84.0</v>
      </c>
      <c r="T68" s="27">
        <v>42.0</v>
      </c>
      <c r="U68" s="27">
        <v>84.0</v>
      </c>
      <c r="V68" s="27">
        <v>252.0</v>
      </c>
      <c r="W68" s="27">
        <v>84.0</v>
      </c>
      <c r="X68" s="27">
        <v>0.0</v>
      </c>
      <c r="Y68" s="27">
        <v>42.0</v>
      </c>
      <c r="Z68" s="27">
        <v>0.0</v>
      </c>
      <c r="AA68" s="27">
        <v>42.0</v>
      </c>
      <c r="AB68" s="27">
        <v>336.0</v>
      </c>
      <c r="AC68" s="27">
        <v>42.0</v>
      </c>
      <c r="AD68" s="27">
        <v>84.0</v>
      </c>
      <c r="AE68" s="27">
        <v>42.0</v>
      </c>
      <c r="AF68" s="27">
        <v>42.0</v>
      </c>
      <c r="AG68" s="27">
        <v>42.0</v>
      </c>
      <c r="AH68" s="27">
        <v>84.0</v>
      </c>
      <c r="AI68" s="27">
        <v>168.0</v>
      </c>
      <c r="AJ68" s="27">
        <v>42.0</v>
      </c>
      <c r="AK68" s="27">
        <v>42.0</v>
      </c>
      <c r="AL68" s="27">
        <v>0.0</v>
      </c>
      <c r="AM68" s="27">
        <v>84.0</v>
      </c>
      <c r="AN68" s="27">
        <v>42.0</v>
      </c>
      <c r="AO68" s="28"/>
      <c r="AP68" s="28">
        <f t="shared" ref="AP68:AP94" si="173">SUM(AC68:AN68)</f>
        <v>714.0</v>
      </c>
      <c r="AQ68" s="28">
        <f t="shared" ref="AQ68:AQ94" si="174">SUM(AI68:AN68)</f>
        <v>378.0</v>
      </c>
      <c r="AR68" s="28">
        <f t="shared" ref="AR68:AR94" si="175">AQ68*1.1</f>
        <v>415.8</v>
      </c>
      <c r="AS68" s="3">
        <f t="shared" ref="AS68:AS94" si="176">AC68*1.1</f>
        <v>46.2</v>
      </c>
      <c r="AT68" s="3">
        <f t="shared" ref="AT68:AT94" si="177">AD68*1.1</f>
        <v>92.4</v>
      </c>
      <c r="AU68" s="3">
        <f t="shared" ref="AU68:AU94" si="178">AE68*1.1</f>
        <v>46.2</v>
      </c>
      <c r="AV68" s="3">
        <f t="shared" ref="AV68:AV94" si="179">AF68*1.1</f>
        <v>46.2</v>
      </c>
      <c r="AW68" s="3">
        <f t="shared" ref="AW68:AW94" si="180">AG68*1.1</f>
        <v>46.2</v>
      </c>
      <c r="AX68" s="3">
        <f t="shared" ref="AX68:AX94" si="181">AH68*1.1</f>
        <v>92.4</v>
      </c>
      <c r="AY68" s="28">
        <f t="shared" ref="AY68:AY94" si="182">SUM(AS68:AX68)</f>
        <v>369.6</v>
      </c>
      <c r="AZ68" s="2" t="e">
        <f t="shared" ref="AZ68:AZ94" si="183">VLOOKUP(D68,SOHJUNE30,3,false)</f>
        <v>#REF!</v>
      </c>
      <c r="BA68" s="1" t="e">
        <f t="shared" ref="BA68:BA69" si="184">VLOOKUP(C68,JULY,3,false)</f>
        <v>#REF!</v>
      </c>
      <c r="BB68" s="1" t="e">
        <f t="shared" ref="BB68:BB69" si="185">VLOOKUP(C68,AUGUST,3,false)</f>
        <v>#REF!</v>
      </c>
      <c r="BD68" s="28" t="e">
        <f>AZ68+BB68+BC68-AY68+BA68-AY39</f>
        <v>#REF!</v>
      </c>
      <c r="BE68" s="1">
        <f>VLOOKUP(C68,MOQ,3,FALSE())</f>
        <v>1008.0</v>
      </c>
      <c r="BF68" s="15">
        <f t="shared" ref="BF68:BF69" si="188">BE68</f>
        <v>1008.0</v>
      </c>
      <c r="BG68" s="4" t="s">
        <v>212</v>
      </c>
      <c r="BH68" s="1" t="e">
        <f t="shared" ref="BH68:BH94" si="189">AZ68</f>
        <v>#REF!</v>
      </c>
      <c r="BI68" s="1">
        <f>AS68+BI39</f>
        <v>674.22824858757</v>
      </c>
      <c r="BJ68" s="1" t="e">
        <f t="shared" ref="BJ68:BJ94" si="191">BA68</f>
        <v>#REF!</v>
      </c>
      <c r="BK68" s="3" t="e">
        <f t="shared" ref="BK68:BK94" si="192">BH68+BJ68-BI68</f>
        <v>#REF!</v>
      </c>
      <c r="BL68" s="1">
        <f>AT68+BL39</f>
        <v>607.52429378531</v>
      </c>
      <c r="BM68" s="1" t="e">
        <f t="shared" ref="BM68:BM93" si="194">BB68</f>
        <v>#REF!</v>
      </c>
      <c r="BN68" s="3" t="e">
        <f t="shared" ref="BN68:BN94" si="195">BK68+BM68-BL68</f>
        <v>#REF!</v>
      </c>
      <c r="BO68" s="1">
        <f>AU68+BO39</f>
        <v>448.42033898305</v>
      </c>
      <c r="BQ68" s="3" t="e">
        <f t="shared" ref="BQ68:BQ94" si="197">BN68+BP68-BO68</f>
        <v>#REF!</v>
      </c>
      <c r="BR68" s="1">
        <f>AV68+BR39</f>
        <v>850.640677966101</v>
      </c>
      <c r="BT68" s="3" t="e">
        <f t="shared" ref="BT68:BT94" si="199">BQ68+BS68-BR68</f>
        <v>#REF!</v>
      </c>
      <c r="BU68" s="1">
        <f>AW68+BU39</f>
        <v>942.375141242938</v>
      </c>
      <c r="BW68" s="3" t="e">
        <f t="shared" ref="BW68:BW94" si="201">BT68+BV68-BU68</f>
        <v>#REF!</v>
      </c>
      <c r="BX68" s="1">
        <f>AX68+BX39</f>
        <v>903.897175141242</v>
      </c>
      <c r="BZ68" s="3" t="e">
        <f t="shared" ref="BZ68:BZ94" si="203">BW68+BY68-BX68</f>
        <v>#REF!</v>
      </c>
    </row>
    <row r="69" ht="14.0">
      <c r="A69" s="27" t="s">
        <v>28</v>
      </c>
      <c r="B69" s="27" t="s">
        <v>98</v>
      </c>
      <c r="C69" s="27" t="s">
        <v>103</v>
      </c>
      <c r="D69" s="27" t="s">
        <v>104</v>
      </c>
      <c r="E69" s="27">
        <v>0.0</v>
      </c>
      <c r="F69" s="27">
        <v>42.0</v>
      </c>
      <c r="G69" s="27">
        <v>84.0</v>
      </c>
      <c r="H69" s="27">
        <v>126.0</v>
      </c>
      <c r="I69" s="27">
        <v>84.0</v>
      </c>
      <c r="J69" s="27">
        <v>210.0</v>
      </c>
      <c r="K69" s="27">
        <v>0.0</v>
      </c>
      <c r="L69" s="27">
        <v>420.0</v>
      </c>
      <c r="M69" s="27">
        <v>42.0</v>
      </c>
      <c r="N69" s="27">
        <v>126.0</v>
      </c>
      <c r="O69" s="27">
        <v>126.0</v>
      </c>
      <c r="P69" s="27">
        <v>84.0</v>
      </c>
      <c r="Q69" s="27">
        <v>126.0</v>
      </c>
      <c r="R69" s="27">
        <v>126.0</v>
      </c>
      <c r="S69" s="27">
        <v>84.0</v>
      </c>
      <c r="T69" s="27">
        <v>126.0</v>
      </c>
      <c r="U69" s="27">
        <v>126.0</v>
      </c>
      <c r="V69" s="27">
        <v>168.0</v>
      </c>
      <c r="W69" s="27">
        <v>252.0</v>
      </c>
      <c r="X69" s="27">
        <v>42.0</v>
      </c>
      <c r="Y69" s="27">
        <v>42.0</v>
      </c>
      <c r="Z69" s="27">
        <v>0.0</v>
      </c>
      <c r="AA69" s="27">
        <v>336.0</v>
      </c>
      <c r="AB69" s="27">
        <v>0.0</v>
      </c>
      <c r="AC69" s="27">
        <v>168.0</v>
      </c>
      <c r="AD69" s="27">
        <v>42.0</v>
      </c>
      <c r="AE69" s="27">
        <v>42.0</v>
      </c>
      <c r="AF69" s="27">
        <v>84.0</v>
      </c>
      <c r="AG69" s="27">
        <v>84.0</v>
      </c>
      <c r="AH69" s="27">
        <v>84.0</v>
      </c>
      <c r="AI69" s="27">
        <v>210.0</v>
      </c>
      <c r="AJ69" s="27">
        <v>42.0</v>
      </c>
      <c r="AK69" s="27">
        <v>42.0</v>
      </c>
      <c r="AL69" s="27">
        <v>84.0</v>
      </c>
      <c r="AM69" s="27">
        <v>84.0</v>
      </c>
      <c r="AN69" s="27">
        <v>126.0</v>
      </c>
      <c r="AO69" s="28"/>
      <c r="AP69" s="28">
        <f t="shared" si="173"/>
        <v>1092.0</v>
      </c>
      <c r="AQ69" s="28">
        <f t="shared" si="174"/>
        <v>588.0</v>
      </c>
      <c r="AR69" s="28">
        <f t="shared" si="175"/>
        <v>646.8</v>
      </c>
      <c r="AS69" s="3">
        <f t="shared" si="176"/>
        <v>184.8</v>
      </c>
      <c r="AT69" s="3">
        <f t="shared" si="177"/>
        <v>46.2</v>
      </c>
      <c r="AU69" s="3">
        <f t="shared" si="178"/>
        <v>46.2</v>
      </c>
      <c r="AV69" s="3">
        <f t="shared" si="179"/>
        <v>92.4</v>
      </c>
      <c r="AW69" s="3">
        <f t="shared" si="180"/>
        <v>92.4</v>
      </c>
      <c r="AX69" s="3">
        <f t="shared" si="181"/>
        <v>92.4</v>
      </c>
      <c r="AY69" s="28">
        <f t="shared" si="182"/>
        <v>554.4</v>
      </c>
      <c r="AZ69" s="2" t="e">
        <f t="shared" si="183"/>
        <v>#REF!</v>
      </c>
      <c r="BA69" s="1" t="e">
        <f t="shared" si="184"/>
        <v>#REF!</v>
      </c>
      <c r="BB69" s="1" t="e">
        <f t="shared" si="185"/>
        <v>#REF!</v>
      </c>
      <c r="BD69" s="28" t="e">
        <f>AZ69+BB69+BC69-AY69+BA69-AY41</f>
        <v>#REF!</v>
      </c>
      <c r="BE69" s="1">
        <f>VLOOKUP(C69,MOQ,3,FALSE())</f>
        <v>1008.0</v>
      </c>
      <c r="BF69" s="15">
        <f t="shared" si="188"/>
        <v>1008.0</v>
      </c>
      <c r="BG69" s="4" t="s">
        <v>212</v>
      </c>
      <c r="BH69" s="1" t="e">
        <f t="shared" si="189"/>
        <v>#REF!</v>
      </c>
      <c r="BI69" s="1">
        <f>AS69+BI41</f>
        <v>746.455367231638</v>
      </c>
      <c r="BJ69" s="1" t="e">
        <f t="shared" si="191"/>
        <v>#REF!</v>
      </c>
      <c r="BK69" s="3" t="e">
        <f t="shared" si="192"/>
        <v>#REF!</v>
      </c>
      <c r="BL69" s="1">
        <f>AT69+BL41</f>
        <v>506.883615819209</v>
      </c>
      <c r="BM69" s="1" t="e">
        <f t="shared" si="194"/>
        <v>#REF!</v>
      </c>
      <c r="BN69" s="3" t="e">
        <f t="shared" si="195"/>
        <v>#REF!</v>
      </c>
      <c r="BO69" s="1">
        <f>AU69+BO41</f>
        <v>405.91186440678</v>
      </c>
      <c r="BQ69" s="3" t="e">
        <f t="shared" si="197"/>
        <v>#REF!</v>
      </c>
      <c r="BR69" s="1">
        <f>AV69+BR41</f>
        <v>811.823728813559</v>
      </c>
      <c r="BT69" s="3" t="e">
        <f t="shared" si="199"/>
        <v>#REF!</v>
      </c>
      <c r="BU69" s="1">
        <f>AW69+BU41</f>
        <v>893.863276836158</v>
      </c>
      <c r="BW69" s="3" t="e">
        <f t="shared" si="201"/>
        <v>#REF!</v>
      </c>
      <c r="BX69" s="1">
        <f>AX69+BX41</f>
        <v>818.134463276836</v>
      </c>
      <c r="BZ69" s="3" t="e">
        <f t="shared" si="203"/>
        <v>#REF!</v>
      </c>
    </row>
    <row r="70" ht="14.0">
      <c r="A70" s="27" t="s">
        <v>28</v>
      </c>
      <c r="B70" s="27" t="s">
        <v>98</v>
      </c>
      <c r="C70" s="27" t="s">
        <v>113</v>
      </c>
      <c r="D70" s="27" t="s">
        <v>114</v>
      </c>
      <c r="E70" s="27">
        <v>0.0</v>
      </c>
      <c r="F70" s="27">
        <v>210.0</v>
      </c>
      <c r="G70" s="27">
        <v>42.0</v>
      </c>
      <c r="H70" s="27">
        <v>0.0</v>
      </c>
      <c r="I70" s="27">
        <v>84.0</v>
      </c>
      <c r="J70" s="27">
        <v>84.0</v>
      </c>
      <c r="K70" s="27">
        <v>126.0</v>
      </c>
      <c r="L70" s="27">
        <v>0.0</v>
      </c>
      <c r="M70" s="27">
        <v>84.0</v>
      </c>
      <c r="N70" s="27">
        <v>42.0</v>
      </c>
      <c r="O70" s="27">
        <v>42.0</v>
      </c>
      <c r="P70" s="27">
        <v>42.0</v>
      </c>
      <c r="Q70" s="27">
        <v>42.0</v>
      </c>
      <c r="R70" s="27">
        <v>42.0</v>
      </c>
      <c r="S70" s="27">
        <v>0.0</v>
      </c>
      <c r="T70" s="27">
        <v>126.0</v>
      </c>
      <c r="U70" s="27">
        <v>0.0</v>
      </c>
      <c r="V70" s="27">
        <v>84.0</v>
      </c>
      <c r="W70" s="27">
        <v>126.0</v>
      </c>
      <c r="X70" s="27">
        <v>42.0</v>
      </c>
      <c r="Y70" s="27">
        <v>42.0</v>
      </c>
      <c r="Z70" s="27">
        <v>42.0</v>
      </c>
      <c r="AA70" s="27">
        <v>42.0</v>
      </c>
      <c r="AB70" s="27">
        <v>42.0</v>
      </c>
      <c r="AC70" s="27">
        <v>42.0</v>
      </c>
      <c r="AD70" s="27">
        <v>42.0</v>
      </c>
      <c r="AE70" s="27">
        <v>0.0</v>
      </c>
      <c r="AF70" s="27">
        <v>42.0</v>
      </c>
      <c r="AG70" s="27">
        <v>42.0</v>
      </c>
      <c r="AH70" s="27">
        <v>0.0</v>
      </c>
      <c r="AI70" s="27">
        <v>84.0</v>
      </c>
      <c r="AJ70" s="27">
        <v>42.0</v>
      </c>
      <c r="AK70" s="27">
        <v>0.0</v>
      </c>
      <c r="AL70" s="27">
        <v>84.0</v>
      </c>
      <c r="AM70" s="27">
        <v>42.0</v>
      </c>
      <c r="AN70" s="27">
        <v>0.0</v>
      </c>
      <c r="AO70" s="28"/>
      <c r="AP70" s="28">
        <f t="shared" si="173"/>
        <v>420.0</v>
      </c>
      <c r="AQ70" s="28">
        <f t="shared" si="174"/>
        <v>252.0</v>
      </c>
      <c r="AR70" s="28">
        <f t="shared" si="175"/>
        <v>277.2</v>
      </c>
      <c r="AS70" s="3">
        <f t="shared" si="176"/>
        <v>46.2</v>
      </c>
      <c r="AT70" s="3">
        <f t="shared" si="177"/>
        <v>46.2</v>
      </c>
      <c r="AU70" s="3">
        <f t="shared" si="178"/>
        <v>0.0</v>
      </c>
      <c r="AV70" s="3">
        <f t="shared" si="179"/>
        <v>46.2</v>
      </c>
      <c r="AW70" s="3">
        <f t="shared" si="180"/>
        <v>46.2</v>
      </c>
      <c r="AX70" s="3">
        <f t="shared" si="181"/>
        <v>0.0</v>
      </c>
      <c r="AY70" s="28">
        <f t="shared" si="182"/>
        <v>184.8</v>
      </c>
      <c r="AZ70" s="2" t="e">
        <f t="shared" si="183"/>
        <v>#REF!</v>
      </c>
      <c r="BD70" s="28" t="e">
        <f>AZ70+BB70+BC70-AY70+BA70-AY46</f>
        <v>#REF!</v>
      </c>
      <c r="BE70" s="1">
        <f>VLOOKUP(C70,MOQ,3,FALSE())</f>
        <v>1008.0</v>
      </c>
      <c r="BH70" s="1" t="e">
        <f t="shared" si="189"/>
        <v>#REF!</v>
      </c>
      <c r="BI70" s="1">
        <f>AS70+BI46</f>
        <v>82.654802259887</v>
      </c>
      <c r="BJ70" s="1">
        <f t="shared" si="191"/>
      </c>
      <c r="BK70" s="3" t="e">
        <f t="shared" si="192"/>
        <v>#REF!</v>
      </c>
      <c r="BL70" s="1">
        <f>AT70+BL46</f>
        <v>76.1011299435028</v>
      </c>
      <c r="BM70" s="1">
        <f t="shared" si="194"/>
      </c>
      <c r="BN70" s="3" t="e">
        <f t="shared" si="195"/>
        <v>#REF!</v>
      </c>
      <c r="BO70" s="1">
        <f>AU70+BO46</f>
        <v>23.3474576271186</v>
      </c>
      <c r="BQ70" s="3" t="e">
        <f t="shared" si="197"/>
        <v>#REF!</v>
      </c>
      <c r="BR70" s="1">
        <f>AV70+BR46</f>
        <v>92.8949152542372</v>
      </c>
      <c r="BT70" s="3" t="e">
        <f t="shared" si="199"/>
        <v>#REF!</v>
      </c>
      <c r="BU70" s="1">
        <f>AW70+BU46</f>
        <v>98.2197740112993</v>
      </c>
      <c r="BW70" s="3" t="e">
        <f t="shared" si="201"/>
        <v>#REF!</v>
      </c>
      <c r="BX70" s="1">
        <f>AX70+BX46</f>
        <v>47.1045197740113</v>
      </c>
      <c r="BZ70" s="3" t="e">
        <f t="shared" si="203"/>
        <v>#REF!</v>
      </c>
    </row>
    <row r="71" ht="14.0">
      <c r="A71" s="27" t="s">
        <v>28</v>
      </c>
      <c r="B71" s="27" t="s">
        <v>98</v>
      </c>
      <c r="C71" s="27" t="s">
        <v>117</v>
      </c>
      <c r="D71" s="27" t="s">
        <v>118</v>
      </c>
      <c r="E71" s="27">
        <v>84.0</v>
      </c>
      <c r="F71" s="27">
        <v>84.0</v>
      </c>
      <c r="G71" s="27">
        <v>126.0</v>
      </c>
      <c r="H71" s="27">
        <v>42.0</v>
      </c>
      <c r="I71" s="27">
        <v>42.0</v>
      </c>
      <c r="J71" s="27">
        <v>168.0</v>
      </c>
      <c r="K71" s="27">
        <v>0.0</v>
      </c>
      <c r="L71" s="27">
        <v>462.0</v>
      </c>
      <c r="M71" s="27">
        <v>0.0</v>
      </c>
      <c r="N71" s="27">
        <v>84.0</v>
      </c>
      <c r="O71" s="27">
        <v>42.0</v>
      </c>
      <c r="P71" s="27">
        <v>42.0</v>
      </c>
      <c r="Q71" s="27">
        <v>84.0</v>
      </c>
      <c r="R71" s="27">
        <v>84.0</v>
      </c>
      <c r="S71" s="27">
        <v>84.0</v>
      </c>
      <c r="T71" s="27">
        <v>126.0</v>
      </c>
      <c r="U71" s="27">
        <v>42.0</v>
      </c>
      <c r="V71" s="27">
        <v>168.0</v>
      </c>
      <c r="W71" s="27">
        <v>84.0</v>
      </c>
      <c r="X71" s="27">
        <v>84.0</v>
      </c>
      <c r="Y71" s="27">
        <v>42.0</v>
      </c>
      <c r="Z71" s="27">
        <v>0.0</v>
      </c>
      <c r="AA71" s="27">
        <v>210.0</v>
      </c>
      <c r="AB71" s="27">
        <v>42.0</v>
      </c>
      <c r="AC71" s="27">
        <v>84.0</v>
      </c>
      <c r="AD71" s="27">
        <v>84.0</v>
      </c>
      <c r="AE71" s="27">
        <v>42.0</v>
      </c>
      <c r="AF71" s="27">
        <v>0.0</v>
      </c>
      <c r="AG71" s="27">
        <v>84.0</v>
      </c>
      <c r="AH71" s="27">
        <v>42.0</v>
      </c>
      <c r="AI71" s="27">
        <v>252.0</v>
      </c>
      <c r="AJ71" s="27">
        <v>42.0</v>
      </c>
      <c r="AK71" s="27">
        <v>0.0</v>
      </c>
      <c r="AL71" s="27">
        <v>42.0</v>
      </c>
      <c r="AM71" s="27">
        <v>84.0</v>
      </c>
      <c r="AN71" s="27">
        <v>42.0</v>
      </c>
      <c r="AO71" s="28"/>
      <c r="AP71" s="28">
        <f t="shared" si="173"/>
        <v>798.0</v>
      </c>
      <c r="AQ71" s="28">
        <f t="shared" si="174"/>
        <v>462.0</v>
      </c>
      <c r="AR71" s="28">
        <f t="shared" si="175"/>
        <v>508.2</v>
      </c>
      <c r="AS71" s="3">
        <f t="shared" si="176"/>
        <v>92.4</v>
      </c>
      <c r="AT71" s="3">
        <f t="shared" si="177"/>
        <v>92.4</v>
      </c>
      <c r="AU71" s="3">
        <f t="shared" si="178"/>
        <v>46.2</v>
      </c>
      <c r="AV71" s="3">
        <f t="shared" si="179"/>
        <v>0.0</v>
      </c>
      <c r="AW71" s="3">
        <f t="shared" si="180"/>
        <v>92.4</v>
      </c>
      <c r="AX71" s="3">
        <f t="shared" si="181"/>
        <v>46.2</v>
      </c>
      <c r="AY71" s="28">
        <f t="shared" si="182"/>
        <v>369.6</v>
      </c>
      <c r="AZ71" s="2" t="e">
        <f t="shared" si="183"/>
        <v>#REF!</v>
      </c>
      <c r="BA71" s="1" t="e">
        <f t="shared" ref="BA71:BA73" si="218">VLOOKUP(C71,JULY,3,false)</f>
        <v>#REF!</v>
      </c>
      <c r="BB71" s="1" t="e">
        <f t="shared" ref="BB71:BB73" si="219">VLOOKUP(C71,AUGUST,3,false)</f>
        <v>#REF!</v>
      </c>
      <c r="BD71" s="28" t="e">
        <f t="shared" ref="BD71:BD73" si="220">AZ71+BB71+BC71-AY71+BA71-AY48</f>
        <v>#REF!</v>
      </c>
      <c r="BE71" s="1">
        <f>VLOOKUP(C71,MOQ,3,FALSE())</f>
        <v>1008.0</v>
      </c>
      <c r="BF71" s="15">
        <f>BE71</f>
        <v>1008.0</v>
      </c>
      <c r="BG71" s="4" t="s">
        <v>212</v>
      </c>
      <c r="BH71" s="1" t="e">
        <f t="shared" si="189"/>
        <v>#REF!</v>
      </c>
      <c r="BI71" s="1">
        <f t="shared" ref="BI71:BI73" si="222">AS71+BI48</f>
        <v>630.674011299434</v>
      </c>
      <c r="BJ71" s="1" t="e">
        <f t="shared" si="191"/>
        <v>#REF!</v>
      </c>
      <c r="BK71" s="3" t="e">
        <f t="shared" si="192"/>
        <v>#REF!</v>
      </c>
      <c r="BL71" s="1">
        <f t="shared" ref="BL71:BL73" si="223">AT71+BL48</f>
        <v>533.905649717514</v>
      </c>
      <c r="BM71" s="1" t="e">
        <f t="shared" si="194"/>
        <v>#REF!</v>
      </c>
      <c r="BN71" s="3" t="e">
        <f t="shared" si="195"/>
        <v>#REF!</v>
      </c>
      <c r="BO71" s="1">
        <f t="shared" ref="BO71:BO73" si="224">AU71+BO48</f>
        <v>390.937288135593</v>
      </c>
      <c r="BQ71" s="3" t="e">
        <f t="shared" si="197"/>
        <v>#REF!</v>
      </c>
      <c r="BR71" s="1">
        <f t="shared" ref="BR71:BR73" si="225">AV71+BR48</f>
        <v>689.474576271186</v>
      </c>
      <c r="BT71" s="3" t="e">
        <f t="shared" si="199"/>
        <v>#REF!</v>
      </c>
      <c r="BU71" s="1">
        <f t="shared" ref="BU71:BU73" si="226">AW71+BU48</f>
        <v>860.498870056497</v>
      </c>
      <c r="BW71" s="3" t="e">
        <f t="shared" si="201"/>
        <v>#REF!</v>
      </c>
      <c r="BX71" s="1">
        <f t="shared" ref="BX71:BX73" si="227">AX71+BX48</f>
        <v>741.722598870056</v>
      </c>
      <c r="BZ71" s="3" t="e">
        <f t="shared" si="203"/>
        <v>#REF!</v>
      </c>
    </row>
    <row r="72" ht="14.0">
      <c r="A72" s="27" t="s">
        <v>28</v>
      </c>
      <c r="B72" s="27" t="s">
        <v>98</v>
      </c>
      <c r="C72" s="27" t="s">
        <v>119</v>
      </c>
      <c r="D72" s="27" t="s">
        <v>120</v>
      </c>
      <c r="E72" s="27">
        <v>0.0</v>
      </c>
      <c r="F72" s="27">
        <v>0.0</v>
      </c>
      <c r="G72" s="27">
        <v>0.0</v>
      </c>
      <c r="H72" s="27">
        <v>0.0</v>
      </c>
      <c r="I72" s="27">
        <v>252.0</v>
      </c>
      <c r="J72" s="27">
        <v>252.0</v>
      </c>
      <c r="K72" s="27">
        <v>0.0</v>
      </c>
      <c r="L72" s="27">
        <v>252.0</v>
      </c>
      <c r="M72" s="27">
        <v>0.0</v>
      </c>
      <c r="N72" s="27">
        <v>0.0</v>
      </c>
      <c r="O72" s="27">
        <v>252.0</v>
      </c>
      <c r="P72" s="27">
        <v>0.0</v>
      </c>
      <c r="Q72" s="27">
        <v>0.0</v>
      </c>
      <c r="R72" s="27">
        <v>252.0</v>
      </c>
      <c r="S72" s="27">
        <v>0.0</v>
      </c>
      <c r="T72" s="27">
        <v>252.0</v>
      </c>
      <c r="U72" s="27">
        <v>0.0</v>
      </c>
      <c r="V72" s="27">
        <v>252.0</v>
      </c>
      <c r="W72" s="27">
        <v>0.0</v>
      </c>
      <c r="X72" s="27">
        <v>0.0</v>
      </c>
      <c r="Y72" s="27">
        <v>252.0</v>
      </c>
      <c r="Z72" s="27">
        <v>0.0</v>
      </c>
      <c r="AA72" s="27">
        <v>0.0</v>
      </c>
      <c r="AB72" s="27">
        <v>0.0</v>
      </c>
      <c r="AC72" s="27">
        <v>252.0</v>
      </c>
      <c r="AD72" s="27">
        <v>0.0</v>
      </c>
      <c r="AE72" s="27">
        <v>0.0</v>
      </c>
      <c r="AF72" s="27">
        <v>0.0</v>
      </c>
      <c r="AG72" s="27">
        <v>0.0</v>
      </c>
      <c r="AH72" s="27">
        <v>252.0</v>
      </c>
      <c r="AI72" s="27">
        <v>0.0</v>
      </c>
      <c r="AJ72" s="27">
        <v>252.0</v>
      </c>
      <c r="AK72" s="27">
        <v>0.0</v>
      </c>
      <c r="AL72" s="27">
        <v>0.0</v>
      </c>
      <c r="AM72" s="27">
        <v>0.0</v>
      </c>
      <c r="AN72" s="27">
        <v>0.0</v>
      </c>
      <c r="AO72" s="28"/>
      <c r="AP72" s="28">
        <f t="shared" si="173"/>
        <v>756.0</v>
      </c>
      <c r="AQ72" s="28">
        <f t="shared" si="174"/>
        <v>252.0</v>
      </c>
      <c r="AR72" s="28">
        <f t="shared" si="175"/>
        <v>277.2</v>
      </c>
      <c r="AS72" s="3">
        <f t="shared" si="176"/>
        <v>277.2</v>
      </c>
      <c r="AT72" s="3">
        <f t="shared" si="177"/>
        <v>0.0</v>
      </c>
      <c r="AU72" s="3">
        <f t="shared" si="178"/>
        <v>0.0</v>
      </c>
      <c r="AV72" s="3">
        <f t="shared" si="179"/>
        <v>0.0</v>
      </c>
      <c r="AW72" s="3">
        <f t="shared" si="180"/>
        <v>0.0</v>
      </c>
      <c r="AX72" s="3">
        <f t="shared" si="181"/>
        <v>277.2</v>
      </c>
      <c r="AY72" s="28">
        <f t="shared" si="182"/>
        <v>554.4</v>
      </c>
      <c r="AZ72" s="2" t="e">
        <f t="shared" si="183"/>
        <v>#REF!</v>
      </c>
      <c r="BA72" s="1" t="e">
        <f t="shared" si="218"/>
        <v>#REF!</v>
      </c>
      <c r="BB72" s="1" t="e">
        <f t="shared" si="219"/>
        <v>#REF!</v>
      </c>
      <c r="BD72" s="28" t="e">
        <f t="shared" si="220"/>
        <v>#REF!</v>
      </c>
      <c r="BE72" s="1">
        <f>VLOOKUP(C72,MOQ,3,FALSE())</f>
        <v>1008.0</v>
      </c>
      <c r="BH72" s="1" t="e">
        <f t="shared" si="189"/>
        <v>#REF!</v>
      </c>
      <c r="BI72" s="1">
        <f t="shared" si="222"/>
        <v>476.821468926553</v>
      </c>
      <c r="BJ72" s="1" t="e">
        <f t="shared" si="191"/>
        <v>#REF!</v>
      </c>
      <c r="BK72" s="3" t="e">
        <f t="shared" si="192"/>
        <v>#REF!</v>
      </c>
      <c r="BL72" s="1">
        <f t="shared" si="223"/>
        <v>163.734463276836</v>
      </c>
      <c r="BM72" s="1" t="e">
        <f t="shared" si="194"/>
        <v>#REF!</v>
      </c>
      <c r="BN72" s="3" t="e">
        <f t="shared" si="195"/>
        <v>#REF!</v>
      </c>
      <c r="BO72" s="1">
        <f t="shared" si="224"/>
        <v>127.847457627119</v>
      </c>
      <c r="BQ72" s="3" t="e">
        <f t="shared" si="197"/>
        <v>#REF!</v>
      </c>
      <c r="BR72" s="1">
        <f t="shared" si="225"/>
        <v>255.694915254237</v>
      </c>
      <c r="BT72" s="3" t="e">
        <f t="shared" si="199"/>
        <v>#REF!</v>
      </c>
      <c r="BU72" s="1">
        <f t="shared" si="226"/>
        <v>284.853107344632</v>
      </c>
      <c r="BW72" s="3" t="e">
        <f t="shared" si="201"/>
        <v>#REF!</v>
      </c>
      <c r="BX72" s="1">
        <f t="shared" si="227"/>
        <v>535.137853107344</v>
      </c>
      <c r="BZ72" s="3" t="e">
        <f t="shared" si="203"/>
        <v>#REF!</v>
      </c>
    </row>
    <row r="73" ht="14.0">
      <c r="A73" s="27" t="s">
        <v>28</v>
      </c>
      <c r="B73" s="27" t="s">
        <v>98</v>
      </c>
      <c r="C73" s="27" t="s">
        <v>121</v>
      </c>
      <c r="D73" s="27" t="s">
        <v>122</v>
      </c>
      <c r="E73" s="27">
        <v>0.0</v>
      </c>
      <c r="F73" s="27">
        <v>0.0</v>
      </c>
      <c r="G73" s="27">
        <v>0.0</v>
      </c>
      <c r="H73" s="27">
        <v>0.0</v>
      </c>
      <c r="I73" s="27">
        <v>252.0</v>
      </c>
      <c r="J73" s="27">
        <v>252.0</v>
      </c>
      <c r="K73" s="27">
        <v>0.0</v>
      </c>
      <c r="L73" s="27">
        <v>0.0</v>
      </c>
      <c r="M73" s="27">
        <v>0.0</v>
      </c>
      <c r="N73" s="27">
        <v>0.0</v>
      </c>
      <c r="O73" s="27">
        <v>252.0</v>
      </c>
      <c r="P73" s="27">
        <v>0.0</v>
      </c>
      <c r="Q73" s="27">
        <v>252.0</v>
      </c>
      <c r="R73" s="27">
        <v>0.0</v>
      </c>
      <c r="S73" s="27">
        <v>0.0</v>
      </c>
      <c r="T73" s="27">
        <v>252.0</v>
      </c>
      <c r="U73" s="27">
        <v>0.0</v>
      </c>
      <c r="V73" s="27">
        <v>252.0</v>
      </c>
      <c r="W73" s="27">
        <v>0.0</v>
      </c>
      <c r="X73" s="27">
        <v>0.0</v>
      </c>
      <c r="Y73" s="27">
        <v>246.0</v>
      </c>
      <c r="Z73" s="27">
        <v>0.0</v>
      </c>
      <c r="AA73" s="27">
        <v>0.0</v>
      </c>
      <c r="AB73" s="27">
        <v>252.0</v>
      </c>
      <c r="AC73" s="27">
        <v>0.0</v>
      </c>
      <c r="AD73" s="27">
        <v>0.0</v>
      </c>
      <c r="AE73" s="27">
        <v>0.0</v>
      </c>
      <c r="AF73" s="27">
        <v>0.0</v>
      </c>
      <c r="AG73" s="27">
        <v>0.0</v>
      </c>
      <c r="AH73" s="27">
        <v>252.0</v>
      </c>
      <c r="AI73" s="27">
        <v>0.0</v>
      </c>
      <c r="AJ73" s="27">
        <v>240.0</v>
      </c>
      <c r="AK73" s="27">
        <v>0.0</v>
      </c>
      <c r="AL73" s="27">
        <v>0.0</v>
      </c>
      <c r="AM73" s="27">
        <v>0.0</v>
      </c>
      <c r="AN73" s="27">
        <v>252.0</v>
      </c>
      <c r="AO73" s="28"/>
      <c r="AP73" s="28">
        <f t="shared" si="173"/>
        <v>744.0</v>
      </c>
      <c r="AQ73" s="28">
        <f t="shared" si="174"/>
        <v>492.0</v>
      </c>
      <c r="AR73" s="28">
        <f t="shared" si="175"/>
        <v>541.2</v>
      </c>
      <c r="AS73" s="3">
        <f t="shared" si="176"/>
        <v>0.0</v>
      </c>
      <c r="AT73" s="3">
        <f t="shared" si="177"/>
        <v>0.0</v>
      </c>
      <c r="AU73" s="3">
        <f t="shared" si="178"/>
        <v>0.0</v>
      </c>
      <c r="AV73" s="3">
        <f t="shared" si="179"/>
        <v>0.0</v>
      </c>
      <c r="AW73" s="3">
        <f t="shared" si="180"/>
        <v>0.0</v>
      </c>
      <c r="AX73" s="3">
        <f t="shared" si="181"/>
        <v>277.2</v>
      </c>
      <c r="AY73" s="28">
        <f t="shared" si="182"/>
        <v>277.2</v>
      </c>
      <c r="AZ73" s="2" t="e">
        <f t="shared" si="183"/>
        <v>#REF!</v>
      </c>
      <c r="BA73" s="1" t="e">
        <f t="shared" si="218"/>
        <v>#REF!</v>
      </c>
      <c r="BB73" s="1" t="e">
        <f t="shared" si="219"/>
        <v>#REF!</v>
      </c>
      <c r="BD73" s="28" t="e">
        <f t="shared" si="220"/>
        <v>#REF!</v>
      </c>
      <c r="BE73" s="1">
        <f>VLOOKUP(C73,MOQ,3,FALSE())</f>
        <v>1008.0</v>
      </c>
      <c r="BF73" s="15">
        <f>BE73</f>
        <v>1008.0</v>
      </c>
      <c r="BG73" s="4" t="s">
        <v>212</v>
      </c>
      <c r="BH73" s="1" t="e">
        <f t="shared" si="189"/>
        <v>#REF!</v>
      </c>
      <c r="BI73" s="1">
        <f t="shared" si="222"/>
        <v>396.9802259887</v>
      </c>
      <c r="BJ73" s="1" t="e">
        <f t="shared" si="191"/>
        <v>#REF!</v>
      </c>
      <c r="BK73" s="3" t="e">
        <f t="shared" si="192"/>
        <v>#REF!</v>
      </c>
      <c r="BL73" s="1">
        <f t="shared" si="223"/>
        <v>325.612994350282</v>
      </c>
      <c r="BM73" s="1" t="e">
        <f t="shared" si="194"/>
        <v>#REF!</v>
      </c>
      <c r="BN73" s="3" t="e">
        <f t="shared" si="195"/>
        <v>#REF!</v>
      </c>
      <c r="BO73" s="1">
        <f t="shared" si="224"/>
        <v>254.245762711864</v>
      </c>
      <c r="BQ73" s="3" t="e">
        <f t="shared" si="197"/>
        <v>#REF!</v>
      </c>
      <c r="BR73" s="1">
        <f t="shared" si="225"/>
        <v>508.491525423729</v>
      </c>
      <c r="BT73" s="3" t="e">
        <f t="shared" si="199"/>
        <v>#REF!</v>
      </c>
      <c r="BU73" s="1">
        <f t="shared" si="226"/>
        <v>566.477401129943</v>
      </c>
      <c r="BW73" s="3" t="e">
        <f t="shared" si="201"/>
        <v>#REF!</v>
      </c>
      <c r="BX73" s="1">
        <f t="shared" si="227"/>
        <v>790.15197740113</v>
      </c>
      <c r="BZ73" s="3" t="e">
        <f t="shared" si="203"/>
        <v>#REF!</v>
      </c>
    </row>
    <row hidden="1" r="74" ht="14.0" outlineLevel="1">
      <c r="A74" s="166" t="s">
        <v>45</v>
      </c>
      <c r="B74" s="27" t="s">
        <v>29</v>
      </c>
      <c r="C74" s="27" t="s">
        <v>30</v>
      </c>
      <c r="D74" s="27" t="s">
        <v>31</v>
      </c>
      <c r="E74" s="27">
        <v>180.0</v>
      </c>
      <c r="F74" s="27">
        <v>239.0</v>
      </c>
      <c r="G74" s="27">
        <v>240.0</v>
      </c>
      <c r="H74" s="27">
        <v>179.0</v>
      </c>
      <c r="I74" s="27">
        <v>180.0</v>
      </c>
      <c r="J74" s="27">
        <v>600.0</v>
      </c>
      <c r="K74" s="27">
        <v>60.0</v>
      </c>
      <c r="L74" s="27">
        <v>300.0</v>
      </c>
      <c r="M74" s="27">
        <v>420.0</v>
      </c>
      <c r="N74" s="27">
        <v>359.0</v>
      </c>
      <c r="O74" s="27">
        <v>419.0</v>
      </c>
      <c r="P74" s="27">
        <v>180.0</v>
      </c>
      <c r="Q74" s="27">
        <v>240.0</v>
      </c>
      <c r="R74" s="27">
        <v>359.0</v>
      </c>
      <c r="S74" s="27">
        <v>360.0</v>
      </c>
      <c r="T74" s="27">
        <v>240.0</v>
      </c>
      <c r="U74" s="27">
        <v>120.0</v>
      </c>
      <c r="V74" s="27">
        <v>420.0</v>
      </c>
      <c r="W74" s="27">
        <v>600.0</v>
      </c>
      <c r="X74" s="27">
        <v>240.0</v>
      </c>
      <c r="Y74" s="27">
        <v>240.0</v>
      </c>
      <c r="Z74" s="27">
        <v>240.0</v>
      </c>
      <c r="AA74" s="27">
        <v>240.0</v>
      </c>
      <c r="AB74" s="27">
        <v>240.0</v>
      </c>
      <c r="AC74" s="27">
        <v>179.0</v>
      </c>
      <c r="AD74" s="27">
        <v>238.0</v>
      </c>
      <c r="AE74" s="27">
        <v>180.0</v>
      </c>
      <c r="AF74" s="27">
        <v>120.0</v>
      </c>
      <c r="AG74" s="27">
        <v>180.0</v>
      </c>
      <c r="AH74" s="27">
        <v>120.0</v>
      </c>
      <c r="AI74" s="27">
        <v>720.0</v>
      </c>
      <c r="AJ74" s="27">
        <v>180.0</v>
      </c>
      <c r="AK74" s="27">
        <v>60.0</v>
      </c>
      <c r="AL74" s="27">
        <v>240.0</v>
      </c>
      <c r="AM74" s="27">
        <v>240.0</v>
      </c>
      <c r="AN74" s="27">
        <v>119.0</v>
      </c>
      <c r="AO74" s="28"/>
      <c r="AP74" s="28">
        <f t="shared" si="173"/>
        <v>2576.0</v>
      </c>
      <c r="AQ74" s="28">
        <f t="shared" si="174"/>
        <v>1559.0</v>
      </c>
      <c r="AR74" s="28">
        <f t="shared" si="175"/>
        <v>1714.9</v>
      </c>
      <c r="AS74" s="3">
        <f t="shared" si="176"/>
        <v>196.9</v>
      </c>
      <c r="AT74" s="3">
        <f t="shared" si="177"/>
        <v>261.8</v>
      </c>
      <c r="AU74" s="3">
        <f t="shared" si="178"/>
        <v>198.0</v>
      </c>
      <c r="AV74" s="3">
        <f t="shared" si="179"/>
        <v>132.0</v>
      </c>
      <c r="AW74" s="3">
        <f t="shared" si="180"/>
        <v>198.0</v>
      </c>
      <c r="AX74" s="3">
        <f t="shared" si="181"/>
        <v>132.0</v>
      </c>
      <c r="AY74" s="28">
        <f t="shared" si="182"/>
        <v>1118.7</v>
      </c>
      <c r="AZ74" s="2" t="e">
        <f t="shared" si="183"/>
        <v>#REF!</v>
      </c>
      <c r="BD74" s="28" t="e">
        <f t="shared" ref="BD74:BD75" si="229">AZ74+BB74+BC74-AY74+BA74-AY7</f>
        <v>#REF!</v>
      </c>
      <c r="BE74" s="1">
        <f>VLOOKUP(C74,MOQ,3,FALSE())</f>
        <v>504.0</v>
      </c>
      <c r="BF74" s="30"/>
      <c r="BG74" s="31" t="s">
        <v>7</v>
      </c>
      <c r="BH74" s="1" t="e">
        <f t="shared" si="189"/>
        <v>#REF!</v>
      </c>
      <c r="BI74" s="1">
        <f t="shared" ref="BI74:BI75" si="230">AS74+BI7</f>
        <v>645.67118644068</v>
      </c>
      <c r="BJ74" s="1">
        <f t="shared" si="191"/>
      </c>
      <c r="BK74" s="3" t="e">
        <f t="shared" si="192"/>
        <v>#REF!</v>
      </c>
      <c r="BL74" s="1">
        <f t="shared" ref="BL74:BL75" si="231">AT74+BL7</f>
        <v>635.893220338982</v>
      </c>
      <c r="BM74" s="1">
        <f t="shared" si="194"/>
      </c>
      <c r="BN74" s="3" t="e">
        <f t="shared" si="195"/>
        <v>#REF!</v>
      </c>
      <c r="BO74" s="1">
        <f t="shared" ref="BO74:BO75" si="232">AU74+BO7</f>
        <v>491.415254237288</v>
      </c>
      <c r="BQ74" s="3" t="e">
        <f t="shared" si="197"/>
        <v>#REF!</v>
      </c>
      <c r="BR74" s="1">
        <f t="shared" ref="BR74:BR75" si="233">AV74+BR7</f>
        <v>706.830508474576</v>
      </c>
      <c r="BT74" s="3" t="e">
        <f t="shared" si="199"/>
        <v>#REF!</v>
      </c>
      <c r="BU74" s="1">
        <f t="shared" ref="BU74:BU75" si="234">AW74+BU7</f>
        <v>844.381355932203</v>
      </c>
      <c r="BW74" s="3" t="e">
        <f t="shared" si="201"/>
        <v>#REF!</v>
      </c>
      <c r="BX74" s="1">
        <f t="shared" ref="BX74:BX75" si="235">AX74+BX7</f>
        <v>717.872881355932</v>
      </c>
      <c r="BZ74" s="3" t="e">
        <f t="shared" si="203"/>
        <v>#REF!</v>
      </c>
    </row>
    <row hidden="1" r="75" ht="14.0" outlineLevel="1">
      <c r="A75" s="166" t="s">
        <v>28</v>
      </c>
      <c r="B75" s="27" t="s">
        <v>29</v>
      </c>
      <c r="C75" s="27" t="s">
        <v>33</v>
      </c>
      <c r="D75" s="27" t="s">
        <v>34</v>
      </c>
      <c r="E75" s="27">
        <v>0.0</v>
      </c>
      <c r="F75" s="27">
        <v>0.0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7">
        <v>0.0</v>
      </c>
      <c r="N75" s="27">
        <v>0.0</v>
      </c>
      <c r="O75" s="27">
        <v>0.0</v>
      </c>
      <c r="P75" s="27">
        <v>0.0</v>
      </c>
      <c r="Q75" s="27">
        <v>0.0</v>
      </c>
      <c r="R75" s="27">
        <v>0.0</v>
      </c>
      <c r="S75" s="27">
        <v>0.0</v>
      </c>
      <c r="T75" s="27">
        <v>0.0</v>
      </c>
      <c r="U75" s="27">
        <v>0.0</v>
      </c>
      <c r="V75" s="27">
        <v>0.0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B75" s="27">
        <v>336.0</v>
      </c>
      <c r="AC75" s="27">
        <v>24.0</v>
      </c>
      <c r="AD75" s="27">
        <v>0.0</v>
      </c>
      <c r="AE75" s="27">
        <v>72.0</v>
      </c>
      <c r="AF75" s="27">
        <v>72.0</v>
      </c>
      <c r="AG75" s="27">
        <v>72.0</v>
      </c>
      <c r="AH75" s="27">
        <v>0.0</v>
      </c>
      <c r="AI75" s="27">
        <v>216.0</v>
      </c>
      <c r="AJ75" s="27">
        <v>78.0</v>
      </c>
      <c r="AK75" s="27">
        <v>0.0</v>
      </c>
      <c r="AL75" s="27">
        <v>72.0</v>
      </c>
      <c r="AM75" s="27">
        <v>144.0</v>
      </c>
      <c r="AN75" s="27">
        <v>72.0</v>
      </c>
      <c r="AO75" s="28"/>
      <c r="AP75" s="28">
        <f t="shared" si="173"/>
        <v>822.0</v>
      </c>
      <c r="AQ75" s="28">
        <f t="shared" si="174"/>
        <v>582.0</v>
      </c>
      <c r="AR75" s="28">
        <f t="shared" si="175"/>
        <v>640.2</v>
      </c>
      <c r="AS75" s="3">
        <f t="shared" si="176"/>
        <v>26.4</v>
      </c>
      <c r="AT75" s="3">
        <f t="shared" si="177"/>
        <v>0.0</v>
      </c>
      <c r="AU75" s="3">
        <f t="shared" si="178"/>
        <v>79.2</v>
      </c>
      <c r="AV75" s="3">
        <f t="shared" si="179"/>
        <v>79.2</v>
      </c>
      <c r="AW75" s="3">
        <f t="shared" si="180"/>
        <v>79.2</v>
      </c>
      <c r="AX75" s="3">
        <f t="shared" si="181"/>
        <v>0.0</v>
      </c>
      <c r="AY75" s="28">
        <f t="shared" si="182"/>
        <v>264.0</v>
      </c>
      <c r="AZ75" s="2" t="e">
        <f t="shared" si="183"/>
        <v>#REF!</v>
      </c>
      <c r="BD75" s="28" t="e">
        <f t="shared" si="229"/>
        <v>#REF!</v>
      </c>
      <c r="BE75" s="1">
        <f>VLOOKUP(C75,MOQ,3,FALSE())</f>
        <v>504.0</v>
      </c>
      <c r="BF75" s="30"/>
      <c r="BG75" s="31" t="s">
        <v>9</v>
      </c>
      <c r="BH75" s="1" t="e">
        <f t="shared" si="189"/>
        <v>#REF!</v>
      </c>
      <c r="BI75" s="1">
        <f t="shared" si="230"/>
        <v>393.210734463277</v>
      </c>
      <c r="BJ75" s="1">
        <f t="shared" si="191"/>
      </c>
      <c r="BK75" s="3" t="e">
        <f t="shared" si="192"/>
        <v>#REF!</v>
      </c>
      <c r="BL75" s="1">
        <f t="shared" si="231"/>
        <v>306.867231638418</v>
      </c>
      <c r="BM75" s="1">
        <f t="shared" si="194"/>
      </c>
      <c r="BN75" s="3" t="e">
        <f t="shared" si="195"/>
        <v>#REF!</v>
      </c>
      <c r="BO75" s="1">
        <f t="shared" si="232"/>
        <v>320.123728813559</v>
      </c>
      <c r="BQ75" s="3" t="e">
        <f t="shared" si="197"/>
        <v>#REF!</v>
      </c>
      <c r="BR75" s="1">
        <f t="shared" si="233"/>
        <v>549.047457627119</v>
      </c>
      <c r="BT75" s="3" t="e">
        <f t="shared" si="199"/>
        <v>#REF!</v>
      </c>
      <c r="BU75" s="1">
        <f t="shared" si="234"/>
        <v>608.626553672316</v>
      </c>
      <c r="BW75" s="3" t="e">
        <f t="shared" si="201"/>
        <v>#REF!</v>
      </c>
      <c r="BX75" s="1">
        <f t="shared" si="235"/>
        <v>479.968926553672</v>
      </c>
      <c r="BZ75" s="3" t="e">
        <f t="shared" si="203"/>
        <v>#REF!</v>
      </c>
    </row>
    <row hidden="1" r="76" ht="14.0" outlineLevel="1">
      <c r="A76" s="27" t="s">
        <v>28</v>
      </c>
      <c r="B76" s="27" t="s">
        <v>29</v>
      </c>
      <c r="C76" s="27" t="s">
        <v>60</v>
      </c>
      <c r="D76" s="27" t="s">
        <v>61</v>
      </c>
      <c r="E76" s="27">
        <v>0.0</v>
      </c>
      <c r="F76" s="27">
        <v>0.0</v>
      </c>
      <c r="G76" s="27">
        <v>0.0</v>
      </c>
      <c r="H76" s="27">
        <v>0.0</v>
      </c>
      <c r="I76" s="27">
        <v>0.0</v>
      </c>
      <c r="J76" s="27">
        <v>0.0</v>
      </c>
      <c r="K76" s="27">
        <v>0.0</v>
      </c>
      <c r="L76" s="27">
        <v>0.0</v>
      </c>
      <c r="M76" s="27">
        <v>0.0</v>
      </c>
      <c r="N76" s="27">
        <v>0.0</v>
      </c>
      <c r="O76" s="27">
        <v>0.0</v>
      </c>
      <c r="P76" s="27">
        <v>0.0</v>
      </c>
      <c r="Q76" s="27">
        <v>0.0</v>
      </c>
      <c r="R76" s="27">
        <v>0.0</v>
      </c>
      <c r="S76" s="27">
        <v>0.0</v>
      </c>
      <c r="T76" s="27">
        <v>0.0</v>
      </c>
      <c r="U76" s="27">
        <v>0.0</v>
      </c>
      <c r="V76" s="27">
        <v>0.0</v>
      </c>
      <c r="W76" s="27">
        <v>0.0</v>
      </c>
      <c r="X76" s="27">
        <v>0.0</v>
      </c>
      <c r="Y76" s="27">
        <v>0.0</v>
      </c>
      <c r="Z76" s="27">
        <v>0.0</v>
      </c>
      <c r="AA76" s="27">
        <v>0.0</v>
      </c>
      <c r="AB76" s="27">
        <v>120.0</v>
      </c>
      <c r="AC76" s="27">
        <v>0.0</v>
      </c>
      <c r="AD76" s="27">
        <v>0.0</v>
      </c>
      <c r="AE76" s="27">
        <v>0.0</v>
      </c>
      <c r="AF76" s="27">
        <v>0.0</v>
      </c>
      <c r="AG76" s="27">
        <v>0.0</v>
      </c>
      <c r="AH76" s="27">
        <v>0.0</v>
      </c>
      <c r="AI76" s="27">
        <v>59.0</v>
      </c>
      <c r="AJ76" s="27">
        <v>0.0</v>
      </c>
      <c r="AK76" s="27">
        <v>0.0</v>
      </c>
      <c r="AL76" s="27">
        <v>60.0</v>
      </c>
      <c r="AM76" s="27">
        <v>-1.0</v>
      </c>
      <c r="AN76" s="27">
        <v>120.0</v>
      </c>
      <c r="AO76" s="28"/>
      <c r="AP76" s="28">
        <f t="shared" si="173"/>
        <v>238.0</v>
      </c>
      <c r="AQ76" s="28">
        <f t="shared" si="174"/>
        <v>238.0</v>
      </c>
      <c r="AR76" s="28">
        <f t="shared" si="175"/>
        <v>261.8</v>
      </c>
      <c r="AS76" s="3">
        <f t="shared" si="176"/>
        <v>0.0</v>
      </c>
      <c r="AT76" s="3">
        <f t="shared" si="177"/>
        <v>0.0</v>
      </c>
      <c r="AU76" s="3">
        <f t="shared" si="178"/>
        <v>0.0</v>
      </c>
      <c r="AV76" s="3">
        <f t="shared" si="179"/>
        <v>0.0</v>
      </c>
      <c r="AW76" s="3">
        <f t="shared" si="180"/>
        <v>0.0</v>
      </c>
      <c r="AX76" s="3">
        <f t="shared" si="181"/>
        <v>0.0</v>
      </c>
      <c r="AY76" s="28">
        <f t="shared" si="182"/>
        <v>0.0</v>
      </c>
      <c r="AZ76" s="2" t="e">
        <f t="shared" si="183"/>
        <v>#REF!</v>
      </c>
      <c r="BA76" s="1" t="e">
        <f t="shared" ref="BA76:BA77" si="236">VLOOKUP(C76,JULY,3,false)</f>
        <v>#REF!</v>
      </c>
      <c r="BB76" s="1" t="e">
        <f t="shared" ref="BB76:BB77" si="237">VLOOKUP(C76,AUGUST,3,false)</f>
        <v>#REF!</v>
      </c>
      <c r="BD76" s="28" t="e">
        <f>AZ76+BB76+BC76-AY76+BA76-AY20</f>
        <v>#REF!</v>
      </c>
      <c r="BE76" s="1">
        <f>VLOOKUP(C76,MOQ,3,FALSE())</f>
        <v>3000.0</v>
      </c>
      <c r="BH76" s="1" t="e">
        <f t="shared" si="189"/>
        <v>#REF!</v>
      </c>
      <c r="BI76" s="1">
        <f>AS76+BI20</f>
        <v>759.65197740113</v>
      </c>
      <c r="BJ76" s="1" t="e">
        <f t="shared" si="191"/>
        <v>#REF!</v>
      </c>
      <c r="BK76" s="3" t="e">
        <f t="shared" si="192"/>
        <v>#REF!</v>
      </c>
      <c r="BL76" s="1">
        <f>AT76+BL20</f>
        <v>649.188700564971</v>
      </c>
      <c r="BM76" s="1" t="e">
        <f t="shared" si="194"/>
        <v>#REF!</v>
      </c>
      <c r="BN76" s="3" t="e">
        <f t="shared" si="195"/>
        <v>#REF!</v>
      </c>
      <c r="BO76" s="1">
        <f>AU76+BO20</f>
        <v>538.725423728813</v>
      </c>
      <c r="BQ76" s="3" t="e">
        <f t="shared" si="197"/>
        <v>#REF!</v>
      </c>
      <c r="BR76" s="1">
        <f>AV76+BR20</f>
        <v>932.250847457627</v>
      </c>
      <c r="BT76" s="3" t="e">
        <f t="shared" si="199"/>
        <v>#REF!</v>
      </c>
      <c r="BU76" s="1">
        <f>AW76+BU20</f>
        <v>1022.002259887</v>
      </c>
      <c r="BW76" s="3" t="e">
        <f t="shared" si="201"/>
        <v>#REF!</v>
      </c>
      <c r="BX76" s="1">
        <f>AX76+BX20</f>
        <v>939.154802259887</v>
      </c>
      <c r="BZ76" s="3" t="e">
        <f t="shared" si="203"/>
        <v>#REF!</v>
      </c>
    </row>
    <row hidden="1" r="77" ht="14.0" outlineLevel="1">
      <c r="A77" s="27" t="s">
        <v>28</v>
      </c>
      <c r="B77" s="27" t="s">
        <v>29</v>
      </c>
      <c r="C77" s="27" t="s">
        <v>65</v>
      </c>
      <c r="D77" s="27" t="s">
        <v>66</v>
      </c>
      <c r="E77" s="27">
        <v>0.0</v>
      </c>
      <c r="F77" s="27">
        <v>0.0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27">
        <v>0.0</v>
      </c>
      <c r="M77" s="27">
        <v>0.0</v>
      </c>
      <c r="N77" s="27">
        <v>0.0</v>
      </c>
      <c r="O77" s="27">
        <v>0.0</v>
      </c>
      <c r="P77" s="27">
        <v>0.0</v>
      </c>
      <c r="Q77" s="27">
        <v>0.0</v>
      </c>
      <c r="R77" s="27">
        <v>0.0</v>
      </c>
      <c r="S77" s="27">
        <v>0.0</v>
      </c>
      <c r="T77" s="27">
        <v>0.0</v>
      </c>
      <c r="U77" s="27">
        <v>0.0</v>
      </c>
      <c r="V77" s="27">
        <v>0.0</v>
      </c>
      <c r="W77" s="27">
        <v>0.0</v>
      </c>
      <c r="X77" s="27">
        <v>0.0</v>
      </c>
      <c r="Y77" s="27">
        <v>0.0</v>
      </c>
      <c r="Z77" s="27">
        <v>0.0</v>
      </c>
      <c r="AA77" s="27">
        <v>0.0</v>
      </c>
      <c r="AB77" s="27">
        <v>120.0</v>
      </c>
      <c r="AC77" s="27">
        <v>0.0</v>
      </c>
      <c r="AD77" s="27">
        <v>60.0</v>
      </c>
      <c r="AE77" s="27">
        <v>0.0</v>
      </c>
      <c r="AF77" s="27">
        <v>60.0</v>
      </c>
      <c r="AG77" s="27">
        <v>59.0</v>
      </c>
      <c r="AH77" s="27">
        <v>0.0</v>
      </c>
      <c r="AI77" s="27">
        <v>-2.0</v>
      </c>
      <c r="AJ77" s="27">
        <v>11.0</v>
      </c>
      <c r="AK77" s="27">
        <v>0.0</v>
      </c>
      <c r="AL77" s="27">
        <v>0.0</v>
      </c>
      <c r="AM77" s="27">
        <v>0.0</v>
      </c>
      <c r="AN77" s="27">
        <v>60.0</v>
      </c>
      <c r="AO77" s="28"/>
      <c r="AP77" s="28">
        <f t="shared" si="173"/>
        <v>248.0</v>
      </c>
      <c r="AQ77" s="28">
        <f t="shared" si="174"/>
        <v>69.0</v>
      </c>
      <c r="AR77" s="28">
        <f t="shared" si="175"/>
        <v>75.9</v>
      </c>
      <c r="AS77" s="3">
        <f t="shared" si="176"/>
        <v>0.0</v>
      </c>
      <c r="AT77" s="3">
        <f t="shared" si="177"/>
        <v>66.0</v>
      </c>
      <c r="AU77" s="3">
        <f t="shared" si="178"/>
        <v>0.0</v>
      </c>
      <c r="AV77" s="3">
        <f t="shared" si="179"/>
        <v>66.0</v>
      </c>
      <c r="AW77" s="3">
        <f t="shared" si="180"/>
        <v>64.9</v>
      </c>
      <c r="AX77" s="3">
        <f t="shared" si="181"/>
        <v>0.0</v>
      </c>
      <c r="AY77" s="28">
        <f t="shared" si="182"/>
        <v>196.9</v>
      </c>
      <c r="AZ77" s="2" t="e">
        <f t="shared" si="183"/>
        <v>#REF!</v>
      </c>
      <c r="BA77" s="1" t="e">
        <f t="shared" si="236"/>
        <v>#REF!</v>
      </c>
      <c r="BB77" s="1" t="e">
        <f t="shared" si="237"/>
        <v>#REF!</v>
      </c>
      <c r="BD77" s="28" t="e">
        <f>AZ77+BB77+BC77-AY77+BA77-AY22</f>
        <v>#REF!</v>
      </c>
      <c r="BE77" s="1">
        <f>VLOOKUP(C77,MOQ,3,FALSE())</f>
        <v>3000.0</v>
      </c>
      <c r="BG77" s="4" t="s">
        <v>212</v>
      </c>
      <c r="BH77" s="1" t="e">
        <f t="shared" si="189"/>
        <v>#REF!</v>
      </c>
      <c r="BI77" s="1">
        <f>AS77+BI22</f>
        <v>640.985310734462</v>
      </c>
      <c r="BJ77" s="1" t="e">
        <f t="shared" si="191"/>
        <v>#REF!</v>
      </c>
      <c r="BK77" s="3" t="e">
        <f t="shared" si="192"/>
        <v>#REF!</v>
      </c>
      <c r="BL77" s="1">
        <f>AT77+BL22</f>
        <v>617.855367231638</v>
      </c>
      <c r="BM77" s="1" t="e">
        <f t="shared" si="194"/>
        <v>#REF!</v>
      </c>
      <c r="BN77" s="3" t="e">
        <f t="shared" si="195"/>
        <v>#REF!</v>
      </c>
      <c r="BO77" s="1">
        <f>AU77+BO22</f>
        <v>462.725423728813</v>
      </c>
      <c r="BQ77" s="3" t="e">
        <f t="shared" si="197"/>
        <v>#REF!</v>
      </c>
      <c r="BR77" s="1">
        <f>AV77+BR22</f>
        <v>846.250847457627</v>
      </c>
      <c r="BT77" s="3" t="e">
        <f t="shared" si="199"/>
        <v>#REF!</v>
      </c>
      <c r="BU77" s="1">
        <f>AW77+BU22</f>
        <v>917.568926553672</v>
      </c>
      <c r="BW77" s="3" t="e">
        <f t="shared" si="201"/>
        <v>#REF!</v>
      </c>
      <c r="BX77" s="1">
        <f>AX77+BX22</f>
        <v>785.821468926553</v>
      </c>
      <c r="BZ77" s="3" t="e">
        <f t="shared" si="203"/>
        <v>#REF!</v>
      </c>
    </row>
    <row hidden="1" r="78" ht="14.0" outlineLevel="1">
      <c r="A78" s="166" t="s">
        <v>45</v>
      </c>
      <c r="B78" s="27" t="s">
        <v>29</v>
      </c>
      <c r="C78" s="27" t="s">
        <v>69</v>
      </c>
      <c r="D78" s="27" t="s">
        <v>70</v>
      </c>
      <c r="E78" s="27">
        <v>144.0</v>
      </c>
      <c r="F78" s="27">
        <v>240.0</v>
      </c>
      <c r="G78" s="27">
        <v>240.0</v>
      </c>
      <c r="H78" s="27">
        <v>96.0</v>
      </c>
      <c r="I78" s="27">
        <v>192.0</v>
      </c>
      <c r="J78" s="27">
        <v>768.0</v>
      </c>
      <c r="K78" s="27">
        <v>143.0</v>
      </c>
      <c r="L78" s="27">
        <v>144.0</v>
      </c>
      <c r="M78" s="27">
        <v>144.0</v>
      </c>
      <c r="N78" s="27">
        <v>286.0</v>
      </c>
      <c r="O78" s="27">
        <v>288.0</v>
      </c>
      <c r="P78" s="27">
        <v>144.0</v>
      </c>
      <c r="Q78" s="27">
        <v>192.0</v>
      </c>
      <c r="R78" s="27">
        <v>240.0</v>
      </c>
      <c r="S78" s="27">
        <v>240.0</v>
      </c>
      <c r="T78" s="27">
        <v>192.0</v>
      </c>
      <c r="U78" s="27">
        <v>144.0</v>
      </c>
      <c r="V78" s="27">
        <v>278.0</v>
      </c>
      <c r="W78" s="27">
        <v>528.0</v>
      </c>
      <c r="X78" s="27">
        <v>0.0</v>
      </c>
      <c r="Y78" s="27">
        <v>336.0</v>
      </c>
      <c r="Z78" s="27">
        <v>96.0</v>
      </c>
      <c r="AA78" s="27">
        <v>192.0</v>
      </c>
      <c r="AB78" s="27">
        <v>192.0</v>
      </c>
      <c r="AC78" s="27">
        <v>240.0</v>
      </c>
      <c r="AD78" s="27">
        <v>87.0</v>
      </c>
      <c r="AE78" s="27">
        <v>192.0</v>
      </c>
      <c r="AF78" s="27">
        <v>96.0</v>
      </c>
      <c r="AG78" s="27">
        <v>191.0</v>
      </c>
      <c r="AH78" s="27">
        <v>144.0</v>
      </c>
      <c r="AI78" s="27">
        <v>575.0</v>
      </c>
      <c r="AJ78" s="27">
        <v>48.0</v>
      </c>
      <c r="AK78" s="27">
        <v>96.0</v>
      </c>
      <c r="AL78" s="27">
        <v>144.0</v>
      </c>
      <c r="AM78" s="27">
        <v>240.0</v>
      </c>
      <c r="AN78" s="27">
        <v>143.0</v>
      </c>
      <c r="AO78" s="28"/>
      <c r="AP78" s="28">
        <f t="shared" si="173"/>
        <v>2196.0</v>
      </c>
      <c r="AQ78" s="28">
        <f t="shared" si="174"/>
        <v>1246.0</v>
      </c>
      <c r="AR78" s="28">
        <f t="shared" si="175"/>
        <v>1370.6</v>
      </c>
      <c r="AS78" s="3">
        <f t="shared" si="176"/>
        <v>264.0</v>
      </c>
      <c r="AT78" s="3">
        <f t="shared" si="177"/>
        <v>95.7</v>
      </c>
      <c r="AU78" s="3">
        <f t="shared" si="178"/>
        <v>211.2</v>
      </c>
      <c r="AV78" s="3">
        <f t="shared" si="179"/>
        <v>105.6</v>
      </c>
      <c r="AW78" s="3">
        <f t="shared" si="180"/>
        <v>210.1</v>
      </c>
      <c r="AX78" s="3">
        <f t="shared" si="181"/>
        <v>158.4</v>
      </c>
      <c r="AY78" s="28">
        <f t="shared" si="182"/>
        <v>1045.0</v>
      </c>
      <c r="AZ78" s="2" t="e">
        <f t="shared" si="183"/>
        <v>#REF!</v>
      </c>
      <c r="BD78" s="28" t="e">
        <f>AZ78+BB78+BC78-AY78+BA78-AY25</f>
        <v>#REF!</v>
      </c>
      <c r="BE78" s="1">
        <f>VLOOKUP(C78,MOQ,3,FALSE())</f>
        <v>1620.0</v>
      </c>
      <c r="BF78" s="30"/>
      <c r="BG78" s="31" t="s">
        <v>7</v>
      </c>
      <c r="BH78" s="1" t="e">
        <f t="shared" si="189"/>
        <v>#REF!</v>
      </c>
      <c r="BI78" s="1">
        <f>AS78+BI25</f>
        <v>627.59039548022</v>
      </c>
      <c r="BJ78" s="1">
        <f t="shared" si="191"/>
      </c>
      <c r="BK78" s="3" t="e">
        <f t="shared" si="192"/>
        <v>#REF!</v>
      </c>
      <c r="BL78" s="1">
        <f>AT78+BL25</f>
        <v>424.397740112994</v>
      </c>
      <c r="BM78" s="1">
        <f t="shared" si="194"/>
      </c>
      <c r="BN78" s="3" t="e">
        <f t="shared" si="195"/>
        <v>#REF!</v>
      </c>
      <c r="BO78" s="1">
        <f>AU78+BO25</f>
        <v>469.005084745761</v>
      </c>
      <c r="BQ78" s="3" t="e">
        <f t="shared" si="197"/>
        <v>#REF!</v>
      </c>
      <c r="BR78" s="1">
        <f>AV78+BR25</f>
        <v>561.210169491525</v>
      </c>
      <c r="BT78" s="3" t="e">
        <f t="shared" si="199"/>
        <v>#REF!</v>
      </c>
      <c r="BU78" s="1">
        <f>AW78+BU25</f>
        <v>749.560451977401</v>
      </c>
      <c r="BW78" s="3" t="e">
        <f t="shared" si="201"/>
        <v>#REF!</v>
      </c>
      <c r="BX78" s="1">
        <f>AX78+BX25</f>
        <v>665.690960451977</v>
      </c>
      <c r="BZ78" s="3" t="e">
        <f t="shared" si="203"/>
        <v>#REF!</v>
      </c>
    </row>
    <row r="79" ht="14.0" collapsed="1">
      <c r="A79" s="27" t="s">
        <v>28</v>
      </c>
      <c r="B79" s="27" t="s">
        <v>29</v>
      </c>
      <c r="C79" s="27" t="s">
        <v>80</v>
      </c>
      <c r="D79" s="27" t="s">
        <v>81</v>
      </c>
      <c r="E79" s="27">
        <v>0.0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0.0</v>
      </c>
      <c r="L79" s="27">
        <v>0.0</v>
      </c>
      <c r="M79" s="27">
        <v>0.0</v>
      </c>
      <c r="N79" s="27">
        <v>0.0</v>
      </c>
      <c r="O79" s="27">
        <v>0.0</v>
      </c>
      <c r="P79" s="27">
        <v>0.0</v>
      </c>
      <c r="Q79" s="27">
        <v>0.0</v>
      </c>
      <c r="R79" s="27">
        <v>0.0</v>
      </c>
      <c r="S79" s="27">
        <v>0.0</v>
      </c>
      <c r="T79" s="27">
        <v>0.0</v>
      </c>
      <c r="U79" s="27">
        <v>0.0</v>
      </c>
      <c r="V79" s="27">
        <v>0.0</v>
      </c>
      <c r="W79" s="27">
        <v>0.0</v>
      </c>
      <c r="X79" s="27">
        <v>0.0</v>
      </c>
      <c r="Y79" s="27">
        <v>0.0</v>
      </c>
      <c r="Z79" s="27">
        <v>0.0</v>
      </c>
      <c r="AA79" s="27">
        <v>0.0</v>
      </c>
      <c r="AB79" s="27">
        <v>324.0</v>
      </c>
      <c r="AC79" s="27">
        <v>0.0</v>
      </c>
      <c r="AD79" s="27">
        <v>60.0</v>
      </c>
      <c r="AE79" s="27">
        <v>60.0</v>
      </c>
      <c r="AF79" s="27">
        <v>60.0</v>
      </c>
      <c r="AG79" s="27">
        <v>60.0</v>
      </c>
      <c r="AH79" s="27">
        <v>60.0</v>
      </c>
      <c r="AI79" s="27">
        <v>240.0</v>
      </c>
      <c r="AJ79" s="27">
        <v>60.0</v>
      </c>
      <c r="AK79" s="27">
        <v>60.0</v>
      </c>
      <c r="AL79" s="27">
        <v>60.0</v>
      </c>
      <c r="AM79" s="27">
        <v>120.0</v>
      </c>
      <c r="AN79" s="27">
        <v>60.0</v>
      </c>
      <c r="AO79" s="28"/>
      <c r="AP79" s="28">
        <f t="shared" si="173"/>
        <v>900.0</v>
      </c>
      <c r="AQ79" s="28">
        <f t="shared" si="174"/>
        <v>600.0</v>
      </c>
      <c r="AR79" s="28">
        <f t="shared" si="175"/>
        <v>660.0</v>
      </c>
      <c r="AS79" s="3">
        <f t="shared" si="176"/>
        <v>0.0</v>
      </c>
      <c r="AT79" s="3">
        <f t="shared" si="177"/>
        <v>66.0</v>
      </c>
      <c r="AU79" s="3">
        <f t="shared" si="178"/>
        <v>66.0</v>
      </c>
      <c r="AV79" s="3">
        <f t="shared" si="179"/>
        <v>66.0</v>
      </c>
      <c r="AW79" s="3">
        <f t="shared" si="180"/>
        <v>66.0</v>
      </c>
      <c r="AX79" s="3">
        <f t="shared" si="181"/>
        <v>66.0</v>
      </c>
      <c r="AY79" s="28">
        <f t="shared" si="182"/>
        <v>330.0</v>
      </c>
      <c r="AZ79" s="2" t="e">
        <f t="shared" si="183"/>
        <v>#REF!</v>
      </c>
      <c r="BB79" s="1" t="e">
        <f t="shared" ref="BB79:BB80" si="259">VLOOKUP(C79,AUGUST,3,false)</f>
        <v>#REF!</v>
      </c>
      <c r="BD79" s="28" t="e">
        <f>AZ79+BB79+BC79-AY79+BA79-AY30</f>
        <v>#REF!</v>
      </c>
      <c r="BE79" s="1">
        <f>VLOOKUP(C79,MOQ,3,FALSE())</f>
        <v>3000.0</v>
      </c>
      <c r="BH79" s="1" t="e">
        <f t="shared" si="189"/>
        <v>#REF!</v>
      </c>
      <c r="BI79" s="1">
        <f>AS79+BI30</f>
        <v>585.539548022598</v>
      </c>
      <c r="BJ79" s="1">
        <f t="shared" si="191"/>
      </c>
      <c r="BK79" s="3" t="e">
        <f t="shared" si="192"/>
        <v>#REF!</v>
      </c>
      <c r="BL79" s="1">
        <f>AT79+BL30</f>
        <v>556.782485875706</v>
      </c>
      <c r="BM79" s="1" t="e">
        <f t="shared" si="194"/>
        <v>#REF!</v>
      </c>
      <c r="BN79" s="3" t="e">
        <f t="shared" si="195"/>
        <v>#REF!</v>
      </c>
      <c r="BO79" s="1">
        <f>AU79+BO30</f>
        <v>450.364406779661</v>
      </c>
      <c r="BQ79" s="3" t="e">
        <f t="shared" si="197"/>
        <v>#REF!</v>
      </c>
      <c r="BR79" s="1">
        <f>AV79+BR30</f>
        <v>774.728813559322</v>
      </c>
      <c r="BT79" s="3" t="e">
        <f t="shared" si="199"/>
        <v>#REF!</v>
      </c>
      <c r="BU79" s="1">
        <f>AW79+BU30</f>
        <v>899.443502824859</v>
      </c>
      <c r="BW79" s="3" t="e">
        <f t="shared" si="201"/>
        <v>#REF!</v>
      </c>
      <c r="BX79" s="1">
        <f>AX79+BX30</f>
        <v>840.629943502824</v>
      </c>
      <c r="BZ79" s="3" t="e">
        <f t="shared" si="203"/>
        <v>#REF!</v>
      </c>
    </row>
    <row r="80" ht="14.0">
      <c r="A80" s="27" t="s">
        <v>28</v>
      </c>
      <c r="B80" s="27" t="s">
        <v>29</v>
      </c>
      <c r="C80" s="27" t="s">
        <v>86</v>
      </c>
      <c r="D80" s="27" t="s">
        <v>87</v>
      </c>
      <c r="E80" s="27">
        <v>0.0</v>
      </c>
      <c r="F80" s="27">
        <v>0.0</v>
      </c>
      <c r="G80" s="27">
        <v>0.0</v>
      </c>
      <c r="H80" s="27">
        <v>0.0</v>
      </c>
      <c r="I80" s="27">
        <v>0.0</v>
      </c>
      <c r="J80" s="27">
        <v>0.0</v>
      </c>
      <c r="K80" s="27">
        <v>0.0</v>
      </c>
      <c r="L80" s="27">
        <v>0.0</v>
      </c>
      <c r="M80" s="27">
        <v>0.0</v>
      </c>
      <c r="N80" s="27">
        <v>0.0</v>
      </c>
      <c r="O80" s="27">
        <v>0.0</v>
      </c>
      <c r="P80" s="27">
        <v>0.0</v>
      </c>
      <c r="Q80" s="27">
        <v>0.0</v>
      </c>
      <c r="R80" s="27">
        <v>0.0</v>
      </c>
      <c r="S80" s="27">
        <v>0.0</v>
      </c>
      <c r="T80" s="27">
        <v>0.0</v>
      </c>
      <c r="U80" s="27">
        <v>0.0</v>
      </c>
      <c r="V80" s="27">
        <v>0.0</v>
      </c>
      <c r="W80" s="27">
        <v>0.0</v>
      </c>
      <c r="X80" s="27">
        <v>0.0</v>
      </c>
      <c r="Y80" s="27">
        <v>0.0</v>
      </c>
      <c r="Z80" s="27">
        <v>0.0</v>
      </c>
      <c r="AA80" s="27">
        <v>0.0</v>
      </c>
      <c r="AB80" s="27">
        <v>324.0</v>
      </c>
      <c r="AC80" s="27">
        <v>0.0</v>
      </c>
      <c r="AD80" s="27">
        <v>0.0</v>
      </c>
      <c r="AE80" s="27">
        <v>0.0</v>
      </c>
      <c r="AF80" s="27">
        <v>60.0</v>
      </c>
      <c r="AG80" s="27">
        <v>120.0</v>
      </c>
      <c r="AH80" s="27">
        <v>60.0</v>
      </c>
      <c r="AI80" s="27">
        <v>120.0</v>
      </c>
      <c r="AJ80" s="27">
        <v>60.0</v>
      </c>
      <c r="AK80" s="27">
        <v>66.0</v>
      </c>
      <c r="AL80" s="27">
        <v>60.0</v>
      </c>
      <c r="AM80" s="27">
        <v>42.0</v>
      </c>
      <c r="AN80" s="27">
        <v>0.0</v>
      </c>
      <c r="AO80" s="28"/>
      <c r="AP80" s="28">
        <f t="shared" si="173"/>
        <v>588.0</v>
      </c>
      <c r="AQ80" s="28">
        <f t="shared" si="174"/>
        <v>348.0</v>
      </c>
      <c r="AR80" s="28">
        <f t="shared" si="175"/>
        <v>382.8</v>
      </c>
      <c r="AS80" s="3">
        <f t="shared" si="176"/>
        <v>0.0</v>
      </c>
      <c r="AT80" s="3">
        <f t="shared" si="177"/>
        <v>0.0</v>
      </c>
      <c r="AU80" s="3">
        <f t="shared" si="178"/>
        <v>0.0</v>
      </c>
      <c r="AV80" s="3">
        <f t="shared" si="179"/>
        <v>66.0</v>
      </c>
      <c r="AW80" s="3">
        <f t="shared" si="180"/>
        <v>132.0</v>
      </c>
      <c r="AX80" s="3">
        <f t="shared" si="181"/>
        <v>66.0</v>
      </c>
      <c r="AY80" s="28">
        <f t="shared" si="182"/>
        <v>264.0</v>
      </c>
      <c r="AZ80" s="2" t="e">
        <f t="shared" si="183"/>
        <v>#REF!</v>
      </c>
      <c r="BB80" s="1" t="e">
        <f t="shared" si="259"/>
        <v>#REF!</v>
      </c>
      <c r="BD80" s="28" t="e">
        <f t="shared" ref="BD80:BD81" si="267">AZ80+BB80+BC80-AY80+BA80-AY33</f>
        <v>#REF!</v>
      </c>
      <c r="BE80" s="1">
        <f>VLOOKUP(C80,MOQ,3,FALSE())</f>
        <v>3000.0</v>
      </c>
      <c r="BH80" s="1" t="e">
        <f t="shared" si="189"/>
        <v>#REF!</v>
      </c>
      <c r="BI80" s="1">
        <f t="shared" ref="BI80:BI81" si="268">AS80+BI33</f>
        <v>447.765536723163</v>
      </c>
      <c r="BJ80" s="1">
        <f t="shared" si="191"/>
      </c>
      <c r="BK80" s="3" t="e">
        <f t="shared" si="192"/>
        <v>#REF!</v>
      </c>
      <c r="BL80" s="1">
        <f t="shared" ref="BL80:BL81" si="269">AT80+BL33</f>
        <v>372.522598870056</v>
      </c>
      <c r="BM80" s="1" t="e">
        <f t="shared" si="194"/>
        <v>#REF!</v>
      </c>
      <c r="BN80" s="3" t="e">
        <f t="shared" si="195"/>
        <v>#REF!</v>
      </c>
      <c r="BO80" s="1">
        <f t="shared" ref="BO80:BO81" si="270">AU80+BO33</f>
        <v>291.449152542372</v>
      </c>
      <c r="BQ80" s="3" t="e">
        <f t="shared" si="197"/>
        <v>#REF!</v>
      </c>
      <c r="BR80" s="1">
        <f t="shared" ref="BR80:BR81" si="271">AV80+BR33</f>
        <v>618.898305084746</v>
      </c>
      <c r="BT80" s="3" t="e">
        <f t="shared" si="199"/>
        <v>#REF!</v>
      </c>
      <c r="BU80" s="1">
        <f t="shared" ref="BU80:BU81" si="272">AW80+BU33</f>
        <v>769.895480225989</v>
      </c>
      <c r="BW80" s="3" t="e">
        <f t="shared" si="201"/>
        <v>#REF!</v>
      </c>
      <c r="BX80" s="1">
        <f t="shared" ref="BX80:BX81" si="273">AX80+BX33</f>
        <v>653.590395480226</v>
      </c>
      <c r="BZ80" s="3" t="e">
        <f t="shared" si="203"/>
        <v>#REF!</v>
      </c>
    </row>
    <row r="81" ht="14.0">
      <c r="A81" s="27" t="s">
        <v>28</v>
      </c>
      <c r="B81" s="27" t="s">
        <v>29</v>
      </c>
      <c r="C81" s="27" t="s">
        <v>88</v>
      </c>
      <c r="D81" s="27" t="s">
        <v>89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360.0</v>
      </c>
      <c r="AC81" s="27">
        <v>0.0</v>
      </c>
      <c r="AD81" s="27">
        <v>60.0</v>
      </c>
      <c r="AE81" s="27">
        <v>60.0</v>
      </c>
      <c r="AF81" s="27">
        <v>60.0</v>
      </c>
      <c r="AG81" s="27">
        <v>120.0</v>
      </c>
      <c r="AH81" s="27">
        <v>60.0</v>
      </c>
      <c r="AI81" s="27">
        <v>180.0</v>
      </c>
      <c r="AJ81" s="27">
        <v>120.0</v>
      </c>
      <c r="AK81" s="27">
        <v>60.0</v>
      </c>
      <c r="AL81" s="27">
        <v>120.0</v>
      </c>
      <c r="AM81" s="27">
        <v>120.0</v>
      </c>
      <c r="AN81" s="27">
        <v>90.0</v>
      </c>
      <c r="AO81" s="28"/>
      <c r="AP81" s="28">
        <f t="shared" si="173"/>
        <v>1050.0</v>
      </c>
      <c r="AQ81" s="28">
        <f t="shared" si="174"/>
        <v>690.0</v>
      </c>
      <c r="AR81" s="28">
        <f t="shared" si="175"/>
        <v>759.0</v>
      </c>
      <c r="AS81" s="3">
        <f t="shared" si="176"/>
        <v>0.0</v>
      </c>
      <c r="AT81" s="3">
        <f t="shared" si="177"/>
        <v>66.0</v>
      </c>
      <c r="AU81" s="3">
        <f t="shared" si="178"/>
        <v>66.0</v>
      </c>
      <c r="AV81" s="3">
        <f t="shared" si="179"/>
        <v>66.0</v>
      </c>
      <c r="AW81" s="3">
        <f t="shared" si="180"/>
        <v>132.0</v>
      </c>
      <c r="AX81" s="3">
        <f t="shared" si="181"/>
        <v>66.0</v>
      </c>
      <c r="AY81" s="28">
        <f t="shared" si="182"/>
        <v>396.0</v>
      </c>
      <c r="AZ81" s="2" t="e">
        <f t="shared" si="183"/>
        <v>#REF!</v>
      </c>
      <c r="BD81" s="28" t="e">
        <f t="shared" si="267"/>
        <v>#REF!</v>
      </c>
      <c r="BE81" s="1">
        <f>VLOOKUP(C81,MOQ,3,FALSE())</f>
        <v>3000.0</v>
      </c>
      <c r="BH81" s="1" t="e">
        <f t="shared" si="189"/>
        <v>#REF!</v>
      </c>
      <c r="BI81" s="1">
        <f t="shared" si="268"/>
        <v>334.629943502824</v>
      </c>
      <c r="BJ81" s="1">
        <f t="shared" si="191"/>
      </c>
      <c r="BK81" s="3" t="e">
        <f t="shared" si="192"/>
        <v>#REF!</v>
      </c>
      <c r="BL81" s="1">
        <f t="shared" si="269"/>
        <v>345.725988700564</v>
      </c>
      <c r="BM81" s="1">
        <f t="shared" si="194"/>
      </c>
      <c r="BN81" s="3" t="e">
        <f t="shared" si="195"/>
        <v>#REF!</v>
      </c>
      <c r="BO81" s="1">
        <f t="shared" si="270"/>
        <v>284.991525423729</v>
      </c>
      <c r="BQ81" s="3" t="e">
        <f t="shared" si="197"/>
        <v>#REF!</v>
      </c>
      <c r="BR81" s="1">
        <f t="shared" si="271"/>
        <v>473.983050847458</v>
      </c>
      <c r="BT81" s="3" t="e">
        <f t="shared" si="199"/>
        <v>#REF!</v>
      </c>
      <c r="BU81" s="1">
        <f t="shared" si="272"/>
        <v>608.454802259887</v>
      </c>
      <c r="BW81" s="3" t="e">
        <f t="shared" si="201"/>
        <v>#REF!</v>
      </c>
      <c r="BX81" s="1">
        <f t="shared" si="273"/>
        <v>507.40395480226</v>
      </c>
      <c r="BZ81" s="3" t="e">
        <f t="shared" si="203"/>
        <v>#REF!</v>
      </c>
    </row>
    <row r="82" ht="14.0">
      <c r="A82" s="27" t="s">
        <v>28</v>
      </c>
      <c r="B82" s="27" t="s">
        <v>29</v>
      </c>
      <c r="C82" s="27" t="s">
        <v>94</v>
      </c>
      <c r="D82" s="27" t="s">
        <v>95</v>
      </c>
      <c r="E82" s="27">
        <v>0.0</v>
      </c>
      <c r="F82" s="27">
        <v>0.0</v>
      </c>
      <c r="G82" s="27">
        <v>0.0</v>
      </c>
      <c r="H82" s="27">
        <v>0.0</v>
      </c>
      <c r="I82" s="27">
        <v>0.0</v>
      </c>
      <c r="J82" s="27">
        <v>0.0</v>
      </c>
      <c r="K82" s="27">
        <v>0.0</v>
      </c>
      <c r="L82" s="27">
        <v>0.0</v>
      </c>
      <c r="M82" s="27">
        <v>0.0</v>
      </c>
      <c r="N82" s="27">
        <v>0.0</v>
      </c>
      <c r="O82" s="27">
        <v>0.0</v>
      </c>
      <c r="P82" s="27">
        <v>0.0</v>
      </c>
      <c r="Q82" s="27">
        <v>0.0</v>
      </c>
      <c r="R82" s="27">
        <v>0.0</v>
      </c>
      <c r="S82" s="27">
        <v>0.0</v>
      </c>
      <c r="T82" s="27">
        <v>0.0</v>
      </c>
      <c r="U82" s="27">
        <v>0.0</v>
      </c>
      <c r="V82" s="27">
        <v>0.0</v>
      </c>
      <c r="W82" s="27">
        <v>0.0</v>
      </c>
      <c r="X82" s="27">
        <v>0.0</v>
      </c>
      <c r="Y82" s="27">
        <v>0.0</v>
      </c>
      <c r="Z82" s="27">
        <v>0.0</v>
      </c>
      <c r="AA82" s="27">
        <v>0.0</v>
      </c>
      <c r="AB82" s="27">
        <v>36.0</v>
      </c>
      <c r="AC82" s="27">
        <v>0.0</v>
      </c>
      <c r="AD82" s="27">
        <v>0.0</v>
      </c>
      <c r="AE82" s="27">
        <v>0.0</v>
      </c>
      <c r="AF82" s="27">
        <v>0.0</v>
      </c>
      <c r="AG82" s="27">
        <v>0.0</v>
      </c>
      <c r="AH82" s="27">
        <v>0.0</v>
      </c>
      <c r="AI82" s="27">
        <v>120.0</v>
      </c>
      <c r="AJ82" s="27">
        <v>0.0</v>
      </c>
      <c r="AK82" s="27">
        <v>0.0</v>
      </c>
      <c r="AL82" s="27">
        <v>0.0</v>
      </c>
      <c r="AM82" s="27">
        <v>0.0</v>
      </c>
      <c r="AN82" s="27">
        <v>0.0</v>
      </c>
      <c r="AO82" s="28"/>
      <c r="AP82" s="28">
        <f t="shared" si="173"/>
        <v>120.0</v>
      </c>
      <c r="AQ82" s="28">
        <f t="shared" si="174"/>
        <v>120.0</v>
      </c>
      <c r="AR82" s="28">
        <f t="shared" si="175"/>
        <v>132.0</v>
      </c>
      <c r="AS82" s="3">
        <f t="shared" si="176"/>
        <v>0.0</v>
      </c>
      <c r="AT82" s="3">
        <f t="shared" si="177"/>
        <v>0.0</v>
      </c>
      <c r="AU82" s="3">
        <f t="shared" si="178"/>
        <v>0.0</v>
      </c>
      <c r="AV82" s="3">
        <f t="shared" si="179"/>
        <v>0.0</v>
      </c>
      <c r="AW82" s="3">
        <f t="shared" si="180"/>
        <v>0.0</v>
      </c>
      <c r="AX82" s="3">
        <f t="shared" si="181"/>
        <v>0.0</v>
      </c>
      <c r="AY82" s="28">
        <f t="shared" si="182"/>
        <v>0.0</v>
      </c>
      <c r="AZ82" s="2" t="e">
        <f t="shared" si="183"/>
        <v>#REF!</v>
      </c>
      <c r="BA82" s="1" t="e">
        <f>VLOOKUP(C82,JULY,3,false)</f>
        <v>#REF!</v>
      </c>
      <c r="BD82" s="28" t="e">
        <f>AZ82+BB82+BC82-AY82+BA82-AY37</f>
        <v>#REF!</v>
      </c>
      <c r="BE82" s="1">
        <f>VLOOKUP(C82,MOQ,3,FALSE())</f>
        <v>480.0</v>
      </c>
      <c r="BH82" s="1" t="e">
        <f t="shared" si="189"/>
        <v>#REF!</v>
      </c>
      <c r="BI82" s="1">
        <f>AS82+BI37</f>
        <v>111.878531073446</v>
      </c>
      <c r="BJ82" s="1" t="e">
        <f t="shared" si="191"/>
        <v>#REF!</v>
      </c>
      <c r="BK82" s="3" t="e">
        <f t="shared" si="192"/>
        <v>#REF!</v>
      </c>
      <c r="BL82" s="1">
        <f>AT82+BL37</f>
        <v>91.7655367231638</v>
      </c>
      <c r="BM82" s="1">
        <f t="shared" si="194"/>
      </c>
      <c r="BN82" s="3" t="e">
        <f t="shared" si="195"/>
        <v>#REF!</v>
      </c>
      <c r="BO82" s="1">
        <f>AU82+BO37</f>
        <v>71.6525423728813</v>
      </c>
      <c r="BQ82" s="3" t="e">
        <f t="shared" si="197"/>
        <v>#REF!</v>
      </c>
      <c r="BR82" s="1">
        <f>AV82+BR37</f>
        <v>143.305084745762</v>
      </c>
      <c r="BT82" s="3" t="e">
        <f t="shared" si="199"/>
        <v>#REF!</v>
      </c>
      <c r="BU82" s="1">
        <f>AW82+BU37</f>
        <v>159.646892655367</v>
      </c>
      <c r="BW82" s="3" t="e">
        <f t="shared" si="201"/>
        <v>#REF!</v>
      </c>
      <c r="BX82" s="1">
        <f>AX82+BX37</f>
        <v>144.562146892655</v>
      </c>
      <c r="BZ82" s="3" t="e">
        <f t="shared" si="203"/>
        <v>#REF!</v>
      </c>
    </row>
    <row r="83" ht="14.0">
      <c r="A83" s="27" t="s">
        <v>150</v>
      </c>
      <c r="B83" s="27" t="s">
        <v>151</v>
      </c>
      <c r="C83" s="27" t="s">
        <v>152</v>
      </c>
      <c r="D83" s="27" t="s">
        <v>153</v>
      </c>
      <c r="E83" s="27">
        <v>0.0</v>
      </c>
      <c r="F83" s="27">
        <v>0.0</v>
      </c>
      <c r="G83" s="27">
        <v>0.0</v>
      </c>
      <c r="H83" s="27">
        <v>0.0</v>
      </c>
      <c r="I83" s="27">
        <v>0.0</v>
      </c>
      <c r="J83" s="27">
        <v>0.0</v>
      </c>
      <c r="K83" s="27">
        <v>0.0</v>
      </c>
      <c r="L83" s="27">
        <v>0.0</v>
      </c>
      <c r="M83" s="27">
        <v>0.0</v>
      </c>
      <c r="N83" s="27">
        <v>0.0</v>
      </c>
      <c r="O83" s="27">
        <v>400.0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0.0</v>
      </c>
      <c r="V83" s="27">
        <v>0.0</v>
      </c>
      <c r="W83" s="27">
        <v>0.0</v>
      </c>
      <c r="X83" s="27">
        <v>0.0</v>
      </c>
      <c r="Y83" s="27">
        <v>0.0</v>
      </c>
      <c r="Z83" s="27">
        <v>0.0</v>
      </c>
      <c r="AA83" s="27">
        <v>0.0</v>
      </c>
      <c r="AB83" s="27">
        <v>0.0</v>
      </c>
      <c r="AC83" s="27">
        <v>0.0</v>
      </c>
      <c r="AD83" s="27">
        <v>0.0</v>
      </c>
      <c r="AE83" s="27">
        <v>0.0</v>
      </c>
      <c r="AF83" s="27">
        <v>0.0</v>
      </c>
      <c r="AG83" s="27">
        <v>0.0</v>
      </c>
      <c r="AH83" s="27">
        <v>0.0</v>
      </c>
      <c r="AI83" s="27">
        <v>0.0</v>
      </c>
      <c r="AJ83" s="27">
        <v>0.0</v>
      </c>
      <c r="AK83" s="27">
        <v>0.0</v>
      </c>
      <c r="AL83" s="27">
        <v>0.0</v>
      </c>
      <c r="AM83" s="27">
        <v>0.0</v>
      </c>
      <c r="AN83" s="27">
        <v>0.0</v>
      </c>
      <c r="AO83" s="28"/>
      <c r="AP83" s="28">
        <f t="shared" si="173"/>
        <v>0.0</v>
      </c>
      <c r="AQ83" s="28">
        <f t="shared" si="174"/>
        <v>0.0</v>
      </c>
      <c r="AR83" s="28">
        <f t="shared" si="175"/>
        <v>0.0</v>
      </c>
      <c r="AS83" s="3">
        <f t="shared" si="176"/>
        <v>0.0</v>
      </c>
      <c r="AT83" s="3">
        <f t="shared" si="177"/>
        <v>0.0</v>
      </c>
      <c r="AU83" s="3">
        <f t="shared" si="178"/>
        <v>0.0</v>
      </c>
      <c r="AV83" s="3">
        <f t="shared" si="179"/>
        <v>0.0</v>
      </c>
      <c r="AW83" s="3">
        <f t="shared" si="180"/>
        <v>0.0</v>
      </c>
      <c r="AX83" s="3">
        <f t="shared" si="181"/>
        <v>0.0</v>
      </c>
      <c r="AY83" s="28">
        <f t="shared" si="182"/>
        <v>0.0</v>
      </c>
      <c r="AZ83" s="2" t="e">
        <f t="shared" si="183"/>
        <v>#REF!</v>
      </c>
      <c r="BD83" s="28" t="e">
        <f t="shared" ref="BD83:BD94" si="282">AZ83+BB83+BC83-AY83+BA83</f>
        <v>#REF!</v>
      </c>
      <c r="BE83" s="1">
        <f>VLOOKUP(C83,MOQ,3,FALSE())</f>
        <v>1000.0</v>
      </c>
      <c r="BH83" s="1" t="e">
        <f t="shared" si="189"/>
        <v>#REF!</v>
      </c>
      <c r="BI83" s="1">
        <f t="shared" ref="BI83:BI94" si="283">AS83</f>
        <v>0.0</v>
      </c>
      <c r="BJ83" s="1">
        <f t="shared" si="191"/>
      </c>
      <c r="BK83" s="3" t="e">
        <f t="shared" si="192"/>
        <v>#REF!</v>
      </c>
      <c r="BL83" s="1">
        <f t="shared" ref="BL83:BL94" si="284">AT83</f>
        <v>0.0</v>
      </c>
      <c r="BM83" s="1">
        <f t="shared" si="194"/>
      </c>
      <c r="BN83" s="3" t="e">
        <f t="shared" si="195"/>
        <v>#REF!</v>
      </c>
      <c r="BO83" s="1">
        <f t="shared" ref="BO83:BO94" si="285">AU83</f>
        <v>0.0</v>
      </c>
      <c r="BQ83" s="3" t="e">
        <f t="shared" si="197"/>
        <v>#REF!</v>
      </c>
      <c r="BR83" s="1">
        <f t="shared" ref="BR83:BR94" si="286">AV83</f>
        <v>0.0</v>
      </c>
      <c r="BT83" s="3" t="e">
        <f t="shared" si="199"/>
        <v>#REF!</v>
      </c>
      <c r="BU83" s="1">
        <f t="shared" ref="BU83:BU94" si="287">AW83</f>
        <v>0.0</v>
      </c>
      <c r="BW83" s="3" t="e">
        <f t="shared" si="201"/>
        <v>#REF!</v>
      </c>
      <c r="BX83" s="1">
        <f t="shared" ref="BX83:BX94" si="288">AX83</f>
        <v>0.0</v>
      </c>
      <c r="BZ83" s="3" t="e">
        <f t="shared" si="203"/>
        <v>#REF!</v>
      </c>
    </row>
    <row r="84" ht="14.0">
      <c r="A84" s="166" t="s">
        <v>45</v>
      </c>
      <c r="B84" s="27" t="s">
        <v>151</v>
      </c>
      <c r="C84" s="27" t="s">
        <v>154</v>
      </c>
      <c r="D84" s="27" t="s">
        <v>155</v>
      </c>
      <c r="E84" s="27">
        <v>0.0</v>
      </c>
      <c r="F84" s="27">
        <v>0.0</v>
      </c>
      <c r="G84" s="27">
        <v>0.0</v>
      </c>
      <c r="H84" s="27">
        <v>0.0</v>
      </c>
      <c r="I84" s="27">
        <v>0.0</v>
      </c>
      <c r="J84" s="27">
        <v>0.0</v>
      </c>
      <c r="K84" s="27">
        <v>0.0</v>
      </c>
      <c r="L84" s="27">
        <v>0.0</v>
      </c>
      <c r="M84" s="27">
        <v>0.0</v>
      </c>
      <c r="N84" s="27">
        <v>0.0</v>
      </c>
      <c r="O84" s="27">
        <v>192.0</v>
      </c>
      <c r="P84" s="27">
        <v>0.0</v>
      </c>
      <c r="Q84" s="27">
        <v>0.0</v>
      </c>
      <c r="R84" s="27">
        <v>0.0</v>
      </c>
      <c r="S84" s="27">
        <v>0.0</v>
      </c>
      <c r="T84" s="27">
        <v>0.0</v>
      </c>
      <c r="U84" s="27">
        <v>0.0</v>
      </c>
      <c r="V84" s="27">
        <v>0.0</v>
      </c>
      <c r="W84" s="27">
        <v>0.0</v>
      </c>
      <c r="X84" s="27">
        <v>0.0</v>
      </c>
      <c r="Y84" s="27">
        <v>0.0</v>
      </c>
      <c r="Z84" s="27">
        <v>0.0</v>
      </c>
      <c r="AA84" s="27">
        <v>0.0</v>
      </c>
      <c r="AB84" s="27">
        <v>0.0</v>
      </c>
      <c r="AC84" s="27">
        <v>0.0</v>
      </c>
      <c r="AD84" s="27">
        <v>0.0</v>
      </c>
      <c r="AE84" s="27">
        <v>0.0</v>
      </c>
      <c r="AF84" s="27">
        <v>0.0</v>
      </c>
      <c r="AG84" s="27">
        <v>0.0</v>
      </c>
      <c r="AH84" s="27">
        <v>0.0</v>
      </c>
      <c r="AI84" s="27">
        <v>0.0</v>
      </c>
      <c r="AJ84" s="27">
        <v>0.0</v>
      </c>
      <c r="AK84" s="27">
        <v>0.0</v>
      </c>
      <c r="AL84" s="27">
        <v>0.0</v>
      </c>
      <c r="AM84" s="27">
        <v>0.0</v>
      </c>
      <c r="AN84" s="27">
        <v>0.0</v>
      </c>
      <c r="AO84" s="28"/>
      <c r="AP84" s="28">
        <f t="shared" si="173"/>
        <v>0.0</v>
      </c>
      <c r="AQ84" s="28">
        <f t="shared" si="174"/>
        <v>0.0</v>
      </c>
      <c r="AR84" s="28">
        <f t="shared" si="175"/>
        <v>0.0</v>
      </c>
      <c r="AS84" s="3">
        <f t="shared" si="176"/>
        <v>0.0</v>
      </c>
      <c r="AT84" s="3">
        <f t="shared" si="177"/>
        <v>0.0</v>
      </c>
      <c r="AU84" s="3">
        <f t="shared" si="178"/>
        <v>0.0</v>
      </c>
      <c r="AV84" s="3">
        <f t="shared" si="179"/>
        <v>0.0</v>
      </c>
      <c r="AW84" s="3">
        <f t="shared" si="180"/>
        <v>0.0</v>
      </c>
      <c r="AX84" s="3">
        <f t="shared" si="181"/>
        <v>0.0</v>
      </c>
      <c r="AY84" s="28">
        <f t="shared" si="182"/>
        <v>0.0</v>
      </c>
      <c r="AZ84" s="2" t="e">
        <f t="shared" si="183"/>
        <v>#REF!</v>
      </c>
      <c r="BD84" s="28" t="e">
        <f t="shared" si="282"/>
        <v>#REF!</v>
      </c>
      <c r="BE84" s="1">
        <f>VLOOKUP(C84,MOQ,3,FALSE())</f>
        <v>1008.0</v>
      </c>
      <c r="BF84" s="30"/>
      <c r="BG84" s="31"/>
      <c r="BH84" s="1" t="e">
        <f t="shared" si="189"/>
        <v>#REF!</v>
      </c>
      <c r="BI84" s="1">
        <f t="shared" si="283"/>
        <v>0.0</v>
      </c>
      <c r="BJ84" s="1">
        <f t="shared" si="191"/>
      </c>
      <c r="BK84" s="3" t="e">
        <f t="shared" si="192"/>
        <v>#REF!</v>
      </c>
      <c r="BL84" s="1">
        <f t="shared" si="284"/>
        <v>0.0</v>
      </c>
      <c r="BM84" s="1">
        <f t="shared" si="194"/>
      </c>
      <c r="BN84" s="3" t="e">
        <f t="shared" si="195"/>
        <v>#REF!</v>
      </c>
      <c r="BO84" s="1">
        <f t="shared" si="285"/>
        <v>0.0</v>
      </c>
      <c r="BQ84" s="3" t="e">
        <f t="shared" si="197"/>
        <v>#REF!</v>
      </c>
      <c r="BR84" s="1">
        <f t="shared" si="286"/>
        <v>0.0</v>
      </c>
      <c r="BT84" s="3" t="e">
        <f t="shared" si="199"/>
        <v>#REF!</v>
      </c>
      <c r="BU84" s="1">
        <f t="shared" si="287"/>
        <v>0.0</v>
      </c>
      <c r="BW84" s="3" t="e">
        <f t="shared" si="201"/>
        <v>#REF!</v>
      </c>
      <c r="BX84" s="1">
        <f t="shared" si="288"/>
        <v>0.0</v>
      </c>
      <c r="BZ84" s="3" t="e">
        <f t="shared" si="203"/>
        <v>#REF!</v>
      </c>
    </row>
    <row r="85" ht="14.0">
      <c r="A85" s="166" t="s">
        <v>45</v>
      </c>
      <c r="B85" s="27" t="s">
        <v>151</v>
      </c>
      <c r="C85" s="27" t="s">
        <v>156</v>
      </c>
      <c r="D85" s="27" t="s">
        <v>157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240.0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168.0</v>
      </c>
      <c r="AC85" s="27">
        <v>0.0</v>
      </c>
      <c r="AD85" s="27">
        <v>48.0</v>
      </c>
      <c r="AE85" s="27">
        <v>0.0</v>
      </c>
      <c r="AF85" s="27">
        <v>0.0</v>
      </c>
      <c r="AG85" s="27">
        <v>0.0</v>
      </c>
      <c r="AH85" s="27">
        <v>0.0</v>
      </c>
      <c r="AI85" s="27">
        <v>0.0</v>
      </c>
      <c r="AJ85" s="27">
        <v>0.0</v>
      </c>
      <c r="AK85" s="27">
        <v>0.0</v>
      </c>
      <c r="AL85" s="27">
        <v>0.0</v>
      </c>
      <c r="AM85" s="27">
        <v>0.0</v>
      </c>
      <c r="AN85" s="27">
        <v>0.0</v>
      </c>
      <c r="AO85" s="28"/>
      <c r="AP85" s="28">
        <f t="shared" si="173"/>
        <v>48.0</v>
      </c>
      <c r="AQ85" s="28">
        <f t="shared" si="174"/>
        <v>0.0</v>
      </c>
      <c r="AR85" s="28">
        <f t="shared" si="175"/>
        <v>0.0</v>
      </c>
      <c r="AS85" s="3">
        <f t="shared" si="176"/>
        <v>0.0</v>
      </c>
      <c r="AT85" s="3">
        <f t="shared" si="177"/>
        <v>52.8</v>
      </c>
      <c r="AU85" s="3">
        <f t="shared" si="178"/>
        <v>0.0</v>
      </c>
      <c r="AV85" s="3">
        <f t="shared" si="179"/>
        <v>0.0</v>
      </c>
      <c r="AW85" s="3">
        <f t="shared" si="180"/>
        <v>0.0</v>
      </c>
      <c r="AX85" s="3">
        <f t="shared" si="181"/>
        <v>0.0</v>
      </c>
      <c r="AY85" s="28">
        <f t="shared" si="182"/>
        <v>52.8</v>
      </c>
      <c r="AZ85" s="2" t="e">
        <f t="shared" si="183"/>
        <v>#REF!</v>
      </c>
      <c r="BD85" s="28" t="e">
        <f t="shared" si="282"/>
        <v>#REF!</v>
      </c>
      <c r="BE85" s="1">
        <f>VLOOKUP(C85,MOQ,3,FALSE())</f>
        <v>1008.0</v>
      </c>
      <c r="BF85" s="30"/>
      <c r="BG85" s="31" t="s">
        <v>8</v>
      </c>
      <c r="BH85" s="1" t="e">
        <f t="shared" si="189"/>
        <v>#REF!</v>
      </c>
      <c r="BI85" s="1">
        <f t="shared" si="283"/>
        <v>0.0</v>
      </c>
      <c r="BJ85" s="1">
        <f t="shared" si="191"/>
      </c>
      <c r="BK85" s="3" t="e">
        <f t="shared" si="192"/>
        <v>#REF!</v>
      </c>
      <c r="BL85" s="1">
        <f t="shared" si="284"/>
        <v>52.8</v>
      </c>
      <c r="BM85" s="1">
        <f t="shared" si="194"/>
      </c>
      <c r="BN85" s="3" t="e">
        <f t="shared" si="195"/>
        <v>#REF!</v>
      </c>
      <c r="BO85" s="1">
        <f t="shared" si="285"/>
        <v>0.0</v>
      </c>
      <c r="BQ85" s="3" t="e">
        <f t="shared" si="197"/>
        <v>#REF!</v>
      </c>
      <c r="BR85" s="1">
        <f t="shared" si="286"/>
        <v>0.0</v>
      </c>
      <c r="BT85" s="3" t="e">
        <f t="shared" si="199"/>
        <v>#REF!</v>
      </c>
      <c r="BU85" s="1">
        <f t="shared" si="287"/>
        <v>0.0</v>
      </c>
      <c r="BW85" s="3" t="e">
        <f t="shared" si="201"/>
        <v>#REF!</v>
      </c>
      <c r="BX85" s="1">
        <f t="shared" si="288"/>
        <v>0.0</v>
      </c>
      <c r="BZ85" s="3" t="e">
        <f t="shared" si="203"/>
        <v>#REF!</v>
      </c>
    </row>
    <row r="86" ht="14.0">
      <c r="A86" s="166" t="s">
        <v>45</v>
      </c>
      <c r="B86" s="27" t="s">
        <v>151</v>
      </c>
      <c r="C86" s="27" t="s">
        <v>158</v>
      </c>
      <c r="D86" s="27" t="s">
        <v>159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144.0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0.0</v>
      </c>
      <c r="AE86" s="27">
        <v>0.0</v>
      </c>
      <c r="AF86" s="27">
        <v>0.0</v>
      </c>
      <c r="AG86" s="27">
        <v>0.0</v>
      </c>
      <c r="AH86" s="27">
        <v>0.0</v>
      </c>
      <c r="AI86" s="27">
        <v>0.0</v>
      </c>
      <c r="AJ86" s="27">
        <v>0.0</v>
      </c>
      <c r="AK86" s="27">
        <v>0.0</v>
      </c>
      <c r="AL86" s="27">
        <v>0.0</v>
      </c>
      <c r="AM86" s="27">
        <v>0.0</v>
      </c>
      <c r="AN86" s="27">
        <v>0.0</v>
      </c>
      <c r="AO86" s="28"/>
      <c r="AP86" s="28">
        <f t="shared" si="173"/>
        <v>0.0</v>
      </c>
      <c r="AQ86" s="28">
        <f t="shared" si="174"/>
        <v>0.0</v>
      </c>
      <c r="AR86" s="28">
        <f t="shared" si="175"/>
        <v>0.0</v>
      </c>
      <c r="AS86" s="3">
        <f t="shared" si="176"/>
        <v>0.0</v>
      </c>
      <c r="AT86" s="3">
        <f t="shared" si="177"/>
        <v>0.0</v>
      </c>
      <c r="AU86" s="3">
        <f t="shared" si="178"/>
        <v>0.0</v>
      </c>
      <c r="AV86" s="3">
        <f t="shared" si="179"/>
        <v>0.0</v>
      </c>
      <c r="AW86" s="3">
        <f t="shared" si="180"/>
        <v>0.0</v>
      </c>
      <c r="AX86" s="3">
        <f t="shared" si="181"/>
        <v>0.0</v>
      </c>
      <c r="AY86" s="28">
        <f t="shared" si="182"/>
        <v>0.0</v>
      </c>
      <c r="AZ86" s="2" t="e">
        <f t="shared" si="183"/>
        <v>#REF!</v>
      </c>
      <c r="BD86" s="28" t="e">
        <f t="shared" si="282"/>
        <v>#REF!</v>
      </c>
      <c r="BE86" s="1">
        <v>1008.0</v>
      </c>
      <c r="BF86" s="30"/>
      <c r="BG86" s="31"/>
      <c r="BH86" s="1" t="e">
        <f t="shared" si="189"/>
        <v>#REF!</v>
      </c>
      <c r="BI86" s="1">
        <f t="shared" si="283"/>
        <v>0.0</v>
      </c>
      <c r="BJ86" s="1">
        <f t="shared" si="191"/>
      </c>
      <c r="BK86" s="3" t="e">
        <f t="shared" si="192"/>
        <v>#REF!</v>
      </c>
      <c r="BL86" s="1">
        <f t="shared" si="284"/>
        <v>0.0</v>
      </c>
      <c r="BM86" s="1">
        <f t="shared" si="194"/>
      </c>
      <c r="BN86" s="3" t="e">
        <f t="shared" si="195"/>
        <v>#REF!</v>
      </c>
      <c r="BO86" s="1">
        <f t="shared" si="285"/>
        <v>0.0</v>
      </c>
      <c r="BQ86" s="3" t="e">
        <f t="shared" si="197"/>
        <v>#REF!</v>
      </c>
      <c r="BR86" s="1">
        <f t="shared" si="286"/>
        <v>0.0</v>
      </c>
      <c r="BT86" s="3" t="e">
        <f t="shared" si="199"/>
        <v>#REF!</v>
      </c>
      <c r="BU86" s="1">
        <f t="shared" si="287"/>
        <v>0.0</v>
      </c>
      <c r="BW86" s="3" t="e">
        <f t="shared" si="201"/>
        <v>#REF!</v>
      </c>
      <c r="BX86" s="1">
        <f t="shared" si="288"/>
        <v>0.0</v>
      </c>
      <c r="BZ86" s="3" t="e">
        <f t="shared" si="203"/>
        <v>#REF!</v>
      </c>
    </row>
    <row r="87" ht="14.0">
      <c r="A87" s="166" t="s">
        <v>45</v>
      </c>
      <c r="B87" s="27" t="s">
        <v>151</v>
      </c>
      <c r="C87" s="27" t="s">
        <v>160</v>
      </c>
      <c r="D87" s="27" t="s">
        <v>161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144.0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47.0</v>
      </c>
      <c r="AD87" s="27">
        <v>-1.0</v>
      </c>
      <c r="AE87" s="27">
        <v>0.0</v>
      </c>
      <c r="AF87" s="27">
        <v>16.0</v>
      </c>
      <c r="AG87" s="27">
        <v>16.0</v>
      </c>
      <c r="AH87" s="27">
        <v>0.0</v>
      </c>
      <c r="AI87" s="27">
        <v>0.0</v>
      </c>
      <c r="AJ87" s="27">
        <v>0.0</v>
      </c>
      <c r="AK87" s="27">
        <v>0.0</v>
      </c>
      <c r="AL87" s="27">
        <v>0.0</v>
      </c>
      <c r="AM87" s="27">
        <v>0.0</v>
      </c>
      <c r="AN87" s="27">
        <v>0.0</v>
      </c>
      <c r="AO87" s="28"/>
      <c r="AP87" s="28">
        <f t="shared" si="173"/>
        <v>78.0</v>
      </c>
      <c r="AQ87" s="28">
        <f t="shared" si="174"/>
        <v>0.0</v>
      </c>
      <c r="AR87" s="28">
        <f t="shared" si="175"/>
        <v>0.0</v>
      </c>
      <c r="AS87" s="3">
        <f t="shared" si="176"/>
        <v>51.7</v>
      </c>
      <c r="AT87" s="3">
        <f t="shared" si="177"/>
        <v>-1.1</v>
      </c>
      <c r="AU87" s="3">
        <f t="shared" si="178"/>
        <v>0.0</v>
      </c>
      <c r="AV87" s="3">
        <f t="shared" si="179"/>
        <v>17.6</v>
      </c>
      <c r="AW87" s="3">
        <f t="shared" si="180"/>
        <v>17.6</v>
      </c>
      <c r="AX87" s="3">
        <f t="shared" si="181"/>
        <v>0.0</v>
      </c>
      <c r="AY87" s="28">
        <f t="shared" si="182"/>
        <v>85.8</v>
      </c>
      <c r="AZ87" s="2" t="e">
        <f t="shared" si="183"/>
        <v>#REF!</v>
      </c>
      <c r="BD87" s="28" t="e">
        <f t="shared" si="282"/>
        <v>#REF!</v>
      </c>
      <c r="BE87" s="1">
        <f>VLOOKUP(C87,MOQ,3,FALSE())</f>
        <v>1000.0</v>
      </c>
      <c r="BF87" s="30"/>
      <c r="BG87" s="31" t="s">
        <v>7</v>
      </c>
      <c r="BH87" s="1" t="e">
        <f t="shared" si="189"/>
        <v>#REF!</v>
      </c>
      <c r="BI87" s="1">
        <f t="shared" si="283"/>
        <v>51.7</v>
      </c>
      <c r="BJ87" s="1">
        <f t="shared" si="191"/>
      </c>
      <c r="BK87" s="3" t="e">
        <f t="shared" si="192"/>
        <v>#REF!</v>
      </c>
      <c r="BL87" s="1">
        <f t="shared" si="284"/>
        <v>-1.1</v>
      </c>
      <c r="BM87" s="1">
        <f t="shared" si="194"/>
      </c>
      <c r="BN87" s="3" t="e">
        <f t="shared" si="195"/>
        <v>#REF!</v>
      </c>
      <c r="BO87" s="1">
        <f t="shared" si="285"/>
        <v>0.0</v>
      </c>
      <c r="BQ87" s="3" t="e">
        <f t="shared" si="197"/>
        <v>#REF!</v>
      </c>
      <c r="BR87" s="1">
        <f t="shared" si="286"/>
        <v>17.6</v>
      </c>
      <c r="BT87" s="3" t="e">
        <f t="shared" si="199"/>
        <v>#REF!</v>
      </c>
      <c r="BU87" s="1">
        <f t="shared" si="287"/>
        <v>17.6</v>
      </c>
      <c r="BW87" s="3" t="e">
        <f t="shared" si="201"/>
        <v>#REF!</v>
      </c>
      <c r="BX87" s="1">
        <f t="shared" si="288"/>
        <v>0.0</v>
      </c>
      <c r="BZ87" s="3" t="e">
        <f t="shared" si="203"/>
        <v>#REF!</v>
      </c>
    </row>
    <row r="88" ht="14.0">
      <c r="A88" s="27" t="s">
        <v>150</v>
      </c>
      <c r="B88" s="27" t="s">
        <v>151</v>
      </c>
      <c r="C88" s="27" t="s">
        <v>162</v>
      </c>
      <c r="D88" s="27" t="s">
        <v>163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144.0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31.0</v>
      </c>
      <c r="AD88" s="27">
        <v>0.0</v>
      </c>
      <c r="AE88" s="27">
        <v>0.0</v>
      </c>
      <c r="AF88" s="27">
        <v>0.0</v>
      </c>
      <c r="AG88" s="27">
        <v>8.0</v>
      </c>
      <c r="AH88" s="27">
        <v>8.0</v>
      </c>
      <c r="AI88" s="27">
        <v>24.0</v>
      </c>
      <c r="AJ88" s="27">
        <v>0.0</v>
      </c>
      <c r="AK88" s="27">
        <v>0.0</v>
      </c>
      <c r="AL88" s="27">
        <v>0.0</v>
      </c>
      <c r="AM88" s="27">
        <v>0.0</v>
      </c>
      <c r="AN88" s="27">
        <v>0.0</v>
      </c>
      <c r="AO88" s="28"/>
      <c r="AP88" s="28">
        <f t="shared" si="173"/>
        <v>71.0</v>
      </c>
      <c r="AQ88" s="28">
        <f t="shared" si="174"/>
        <v>24.0</v>
      </c>
      <c r="AR88" s="28">
        <f t="shared" si="175"/>
        <v>26.4</v>
      </c>
      <c r="AS88" s="3">
        <f t="shared" si="176"/>
        <v>34.1</v>
      </c>
      <c r="AT88" s="3">
        <f t="shared" si="177"/>
        <v>0.0</v>
      </c>
      <c r="AU88" s="3">
        <f t="shared" si="178"/>
        <v>0.0</v>
      </c>
      <c r="AV88" s="3">
        <f t="shared" si="179"/>
        <v>0.0</v>
      </c>
      <c r="AW88" s="3">
        <f t="shared" si="180"/>
        <v>8.8</v>
      </c>
      <c r="AX88" s="3">
        <f t="shared" si="181"/>
        <v>8.8</v>
      </c>
      <c r="AY88" s="28">
        <f t="shared" si="182"/>
        <v>51.7</v>
      </c>
      <c r="AZ88" s="2" t="e">
        <f t="shared" si="183"/>
        <v>#REF!</v>
      </c>
      <c r="BD88" s="28" t="e">
        <f t="shared" si="282"/>
        <v>#REF!</v>
      </c>
      <c r="BE88" s="1">
        <f>VLOOKUP(C88,MOQ,3,FALSE())</f>
        <v>1008.0</v>
      </c>
      <c r="BH88" s="1" t="e">
        <f t="shared" si="189"/>
        <v>#REF!</v>
      </c>
      <c r="BI88" s="1">
        <f t="shared" si="283"/>
        <v>34.1</v>
      </c>
      <c r="BJ88" s="1">
        <f t="shared" si="191"/>
      </c>
      <c r="BK88" s="3" t="e">
        <f t="shared" si="192"/>
        <v>#REF!</v>
      </c>
      <c r="BL88" s="1">
        <f t="shared" si="284"/>
        <v>0.0</v>
      </c>
      <c r="BM88" s="1">
        <f t="shared" si="194"/>
      </c>
      <c r="BN88" s="3" t="e">
        <f t="shared" si="195"/>
        <v>#REF!</v>
      </c>
      <c r="BO88" s="1">
        <f t="shared" si="285"/>
        <v>0.0</v>
      </c>
      <c r="BQ88" s="3" t="e">
        <f t="shared" si="197"/>
        <v>#REF!</v>
      </c>
      <c r="BR88" s="1">
        <f t="shared" si="286"/>
        <v>0.0</v>
      </c>
      <c r="BT88" s="3" t="e">
        <f t="shared" si="199"/>
        <v>#REF!</v>
      </c>
      <c r="BU88" s="1">
        <f t="shared" si="287"/>
        <v>8.8</v>
      </c>
      <c r="BW88" s="3" t="e">
        <f t="shared" si="201"/>
        <v>#REF!</v>
      </c>
      <c r="BX88" s="1">
        <f t="shared" si="288"/>
        <v>8.8</v>
      </c>
      <c r="BZ88" s="3" t="e">
        <f t="shared" si="203"/>
        <v>#REF!</v>
      </c>
    </row>
    <row r="89" ht="14.0">
      <c r="A89" s="166" t="s">
        <v>45</v>
      </c>
      <c r="B89" s="27" t="s">
        <v>151</v>
      </c>
      <c r="C89" s="27" t="s">
        <v>164</v>
      </c>
      <c r="D89" s="27" t="s">
        <v>165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1.0</v>
      </c>
      <c r="AE89" s="27">
        <v>224.0</v>
      </c>
      <c r="AF89" s="27">
        <v>0.0</v>
      </c>
      <c r="AG89" s="27">
        <v>0.0</v>
      </c>
      <c r="AH89" s="27">
        <v>0.0</v>
      </c>
      <c r="AI89" s="27">
        <v>0.0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8"/>
      <c r="AP89" s="28">
        <f t="shared" si="173"/>
        <v>225.0</v>
      </c>
      <c r="AQ89" s="28">
        <f t="shared" si="174"/>
        <v>0.0</v>
      </c>
      <c r="AR89" s="28">
        <f t="shared" si="175"/>
        <v>0.0</v>
      </c>
      <c r="AS89" s="3">
        <f t="shared" si="176"/>
        <v>0.0</v>
      </c>
      <c r="AT89" s="3">
        <f t="shared" si="177"/>
        <v>1.1</v>
      </c>
      <c r="AU89" s="3">
        <f t="shared" si="178"/>
        <v>246.4</v>
      </c>
      <c r="AV89" s="3">
        <f t="shared" si="179"/>
        <v>0.0</v>
      </c>
      <c r="AW89" s="3">
        <f t="shared" si="180"/>
        <v>0.0</v>
      </c>
      <c r="AX89" s="3">
        <f t="shared" si="181"/>
        <v>0.0</v>
      </c>
      <c r="AY89" s="28">
        <f t="shared" si="182"/>
        <v>247.5</v>
      </c>
      <c r="AZ89" s="2" t="e">
        <f t="shared" si="183"/>
        <v>#REF!</v>
      </c>
      <c r="BD89" s="28" t="e">
        <f t="shared" si="282"/>
        <v>#REF!</v>
      </c>
      <c r="BE89" s="1">
        <f>VLOOKUP(C89,MOQ,3,FALSE())</f>
        <v>1002.0</v>
      </c>
      <c r="BF89" s="30"/>
      <c r="BG89" s="31" t="s">
        <v>9</v>
      </c>
      <c r="BH89" s="1" t="e">
        <f t="shared" si="189"/>
        <v>#REF!</v>
      </c>
      <c r="BI89" s="1">
        <f t="shared" si="283"/>
        <v>0.0</v>
      </c>
      <c r="BJ89" s="1">
        <f t="shared" si="191"/>
      </c>
      <c r="BK89" s="3" t="e">
        <f t="shared" si="192"/>
        <v>#REF!</v>
      </c>
      <c r="BL89" s="1">
        <f t="shared" si="284"/>
        <v>1.1</v>
      </c>
      <c r="BM89" s="1">
        <f t="shared" si="194"/>
      </c>
      <c r="BN89" s="3" t="e">
        <f t="shared" si="195"/>
        <v>#REF!</v>
      </c>
      <c r="BO89" s="1">
        <f t="shared" si="285"/>
        <v>246.4</v>
      </c>
      <c r="BQ89" s="3" t="e">
        <f t="shared" si="197"/>
        <v>#REF!</v>
      </c>
      <c r="BR89" s="1">
        <f t="shared" si="286"/>
        <v>0.0</v>
      </c>
      <c r="BT89" s="3" t="e">
        <f t="shared" si="199"/>
        <v>#REF!</v>
      </c>
      <c r="BU89" s="1">
        <f t="shared" si="287"/>
        <v>0.0</v>
      </c>
      <c r="BW89" s="3" t="e">
        <f t="shared" si="201"/>
        <v>#REF!</v>
      </c>
      <c r="BX89" s="1">
        <f t="shared" si="288"/>
        <v>0.0</v>
      </c>
      <c r="BZ89" s="3" t="e">
        <f t="shared" si="203"/>
        <v>#REF!</v>
      </c>
    </row>
    <row r="90" ht="14.0">
      <c r="A90" s="27" t="s">
        <v>150</v>
      </c>
      <c r="B90" s="27" t="s">
        <v>166</v>
      </c>
      <c r="C90" s="27" t="s">
        <v>167</v>
      </c>
      <c r="D90" s="27" t="s">
        <v>168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0.0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1.0</v>
      </c>
      <c r="AE90" s="27">
        <v>60.0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8"/>
      <c r="AP90" s="28">
        <f t="shared" si="173"/>
        <v>61.0</v>
      </c>
      <c r="AQ90" s="28">
        <f t="shared" si="174"/>
        <v>0.0</v>
      </c>
      <c r="AR90" s="28">
        <f t="shared" si="175"/>
        <v>0.0</v>
      </c>
      <c r="AS90" s="3">
        <f t="shared" si="176"/>
        <v>0.0</v>
      </c>
      <c r="AT90" s="3">
        <f t="shared" si="177"/>
        <v>1.1</v>
      </c>
      <c r="AU90" s="3">
        <f t="shared" si="178"/>
        <v>66.0</v>
      </c>
      <c r="AV90" s="3">
        <f t="shared" si="179"/>
        <v>0.0</v>
      </c>
      <c r="AW90" s="3">
        <f t="shared" si="180"/>
        <v>0.0</v>
      </c>
      <c r="AX90" s="3">
        <f t="shared" si="181"/>
        <v>0.0</v>
      </c>
      <c r="AY90" s="28">
        <f t="shared" si="182"/>
        <v>67.1</v>
      </c>
      <c r="AZ90" s="2" t="e">
        <f t="shared" si="183"/>
        <v>#REF!</v>
      </c>
      <c r="BD90" s="28" t="e">
        <f t="shared" si="282"/>
        <v>#REF!</v>
      </c>
      <c r="BE90" s="1">
        <v>1002.0</v>
      </c>
      <c r="BH90" s="1" t="e">
        <f t="shared" si="189"/>
        <v>#REF!</v>
      </c>
      <c r="BI90" s="1">
        <f t="shared" si="283"/>
        <v>0.0</v>
      </c>
      <c r="BJ90" s="1">
        <f t="shared" si="191"/>
      </c>
      <c r="BK90" s="3" t="e">
        <f t="shared" si="192"/>
        <v>#REF!</v>
      </c>
      <c r="BL90" s="1">
        <f t="shared" si="284"/>
        <v>1.1</v>
      </c>
      <c r="BM90" s="1">
        <f t="shared" si="194"/>
      </c>
      <c r="BN90" s="3" t="e">
        <f t="shared" si="195"/>
        <v>#REF!</v>
      </c>
      <c r="BO90" s="1">
        <f t="shared" si="285"/>
        <v>66.0</v>
      </c>
      <c r="BQ90" s="3" t="e">
        <f t="shared" si="197"/>
        <v>#REF!</v>
      </c>
      <c r="BR90" s="1">
        <f t="shared" si="286"/>
        <v>0.0</v>
      </c>
      <c r="BT90" s="3" t="e">
        <f t="shared" si="199"/>
        <v>#REF!</v>
      </c>
      <c r="BU90" s="1">
        <f t="shared" si="287"/>
        <v>0.0</v>
      </c>
      <c r="BW90" s="3" t="e">
        <f t="shared" si="201"/>
        <v>#REF!</v>
      </c>
      <c r="BX90" s="1">
        <f t="shared" si="288"/>
        <v>0.0</v>
      </c>
      <c r="BZ90" s="3" t="e">
        <f t="shared" si="203"/>
        <v>#REF!</v>
      </c>
    </row>
    <row r="91" ht="14.0">
      <c r="A91" s="27" t="s">
        <v>169</v>
      </c>
      <c r="B91" s="27" t="s">
        <v>170</v>
      </c>
      <c r="C91" s="27" t="s">
        <v>171</v>
      </c>
      <c r="D91" s="27" t="s">
        <v>172</v>
      </c>
      <c r="E91" s="27">
        <v>0.0</v>
      </c>
      <c r="F91" s="27">
        <v>24.0</v>
      </c>
      <c r="G91" s="27">
        <v>24.0</v>
      </c>
      <c r="H91" s="27">
        <v>24.0</v>
      </c>
      <c r="I91" s="27">
        <v>24.0</v>
      </c>
      <c r="J91" s="27">
        <v>72.0</v>
      </c>
      <c r="K91" s="27">
        <v>48.0</v>
      </c>
      <c r="L91" s="27">
        <v>48.0</v>
      </c>
      <c r="M91" s="27">
        <v>24.0</v>
      </c>
      <c r="N91" s="27">
        <v>240.0</v>
      </c>
      <c r="O91" s="27">
        <v>48.0</v>
      </c>
      <c r="P91" s="27">
        <v>24.0</v>
      </c>
      <c r="Q91" s="27">
        <v>24.0</v>
      </c>
      <c r="R91" s="27">
        <v>24.0</v>
      </c>
      <c r="S91" s="27">
        <v>48.0</v>
      </c>
      <c r="T91" s="27">
        <v>24.0</v>
      </c>
      <c r="U91" s="27">
        <v>0.0</v>
      </c>
      <c r="V91" s="27">
        <v>72.0</v>
      </c>
      <c r="W91" s="27">
        <v>48.0</v>
      </c>
      <c r="X91" s="27">
        <v>72.0</v>
      </c>
      <c r="Y91" s="27">
        <v>240.0</v>
      </c>
      <c r="Z91" s="27">
        <v>0.0</v>
      </c>
      <c r="AA91" s="27">
        <v>24.0</v>
      </c>
      <c r="AB91" s="27">
        <v>0.0</v>
      </c>
      <c r="AC91" s="27">
        <v>48.0</v>
      </c>
      <c r="AD91" s="27">
        <v>24.0</v>
      </c>
      <c r="AE91" s="27">
        <v>72.0</v>
      </c>
      <c r="AF91" s="27">
        <v>24.0</v>
      </c>
      <c r="AG91" s="27">
        <v>48.0</v>
      </c>
      <c r="AH91" s="27">
        <v>120.0</v>
      </c>
      <c r="AI91" s="27">
        <v>120.0</v>
      </c>
      <c r="AJ91" s="27">
        <v>72.0</v>
      </c>
      <c r="AK91" s="27">
        <v>0.0</v>
      </c>
      <c r="AL91" s="27">
        <v>264.0</v>
      </c>
      <c r="AM91" s="27">
        <v>100.0</v>
      </c>
      <c r="AN91" s="27">
        <v>24.0</v>
      </c>
      <c r="AO91" s="28"/>
      <c r="AP91" s="28">
        <f t="shared" si="173"/>
        <v>916.0</v>
      </c>
      <c r="AQ91" s="28">
        <f t="shared" si="174"/>
        <v>580.0</v>
      </c>
      <c r="AR91" s="28">
        <f t="shared" si="175"/>
        <v>638.0</v>
      </c>
      <c r="AS91" s="3">
        <f t="shared" si="176"/>
        <v>52.8</v>
      </c>
      <c r="AT91" s="3">
        <f t="shared" si="177"/>
        <v>26.4</v>
      </c>
      <c r="AU91" s="3">
        <f t="shared" si="178"/>
        <v>79.2</v>
      </c>
      <c r="AV91" s="3">
        <f t="shared" si="179"/>
        <v>26.4</v>
      </c>
      <c r="AW91" s="3">
        <f t="shared" si="180"/>
        <v>52.8</v>
      </c>
      <c r="AX91" s="3">
        <f t="shared" si="181"/>
        <v>132.0</v>
      </c>
      <c r="AY91" s="28">
        <f t="shared" si="182"/>
        <v>369.6</v>
      </c>
      <c r="AZ91" s="2" t="e">
        <f t="shared" si="183"/>
        <v>#REF!</v>
      </c>
      <c r="BD91" s="28" t="e">
        <f t="shared" si="282"/>
        <v>#REF!</v>
      </c>
      <c r="BE91" s="1">
        <f>VLOOKUP(C91,MOQ,3,FALSE())</f>
        <v>200.0</v>
      </c>
      <c r="BH91" s="1" t="e">
        <f t="shared" si="189"/>
        <v>#REF!</v>
      </c>
      <c r="BI91" s="1">
        <f t="shared" si="283"/>
        <v>52.8</v>
      </c>
      <c r="BJ91" s="1">
        <f t="shared" si="191"/>
      </c>
      <c r="BK91" s="3" t="e">
        <f t="shared" si="192"/>
        <v>#REF!</v>
      </c>
      <c r="BL91" s="1">
        <f t="shared" si="284"/>
        <v>26.4</v>
      </c>
      <c r="BM91" s="1">
        <f t="shared" si="194"/>
      </c>
      <c r="BN91" s="3" t="e">
        <f t="shared" si="195"/>
        <v>#REF!</v>
      </c>
      <c r="BO91" s="1">
        <f t="shared" si="285"/>
        <v>79.2</v>
      </c>
      <c r="BQ91" s="3" t="e">
        <f t="shared" si="197"/>
        <v>#REF!</v>
      </c>
      <c r="BR91" s="1">
        <f t="shared" si="286"/>
        <v>26.4</v>
      </c>
      <c r="BT91" s="3" t="e">
        <f t="shared" si="199"/>
        <v>#REF!</v>
      </c>
      <c r="BU91" s="1">
        <f t="shared" si="287"/>
        <v>52.8</v>
      </c>
      <c r="BW91" s="3" t="e">
        <f t="shared" si="201"/>
        <v>#REF!</v>
      </c>
      <c r="BX91" s="1">
        <f t="shared" si="288"/>
        <v>132.0</v>
      </c>
      <c r="BZ91" s="3" t="e">
        <f t="shared" si="203"/>
        <v>#REF!</v>
      </c>
    </row>
    <row r="92" ht="14.0">
      <c r="A92" s="27" t="s">
        <v>169</v>
      </c>
      <c r="B92" s="27" t="s">
        <v>170</v>
      </c>
      <c r="C92" s="27" t="s">
        <v>173</v>
      </c>
      <c r="D92" s="27" t="s">
        <v>174</v>
      </c>
      <c r="E92" s="27">
        <v>24.0</v>
      </c>
      <c r="F92" s="27">
        <v>24.0</v>
      </c>
      <c r="G92" s="27">
        <v>24.0</v>
      </c>
      <c r="H92" s="27">
        <v>24.0</v>
      </c>
      <c r="I92" s="27">
        <v>0.0</v>
      </c>
      <c r="J92" s="27">
        <v>96.0</v>
      </c>
      <c r="K92" s="27">
        <v>24.0</v>
      </c>
      <c r="L92" s="27">
        <v>48.0</v>
      </c>
      <c r="M92" s="27">
        <v>24.0</v>
      </c>
      <c r="N92" s="27">
        <v>216.0</v>
      </c>
      <c r="O92" s="27">
        <v>24.0</v>
      </c>
      <c r="P92" s="27">
        <v>24.0</v>
      </c>
      <c r="Q92" s="27">
        <v>24.0</v>
      </c>
      <c r="R92" s="27">
        <v>24.0</v>
      </c>
      <c r="S92" s="27">
        <v>24.0</v>
      </c>
      <c r="T92" s="27">
        <v>24.0</v>
      </c>
      <c r="U92" s="27">
        <v>24.0</v>
      </c>
      <c r="V92" s="27">
        <v>96.0</v>
      </c>
      <c r="W92" s="27">
        <v>48.0</v>
      </c>
      <c r="X92" s="27">
        <v>24.0</v>
      </c>
      <c r="Y92" s="27">
        <v>240.0</v>
      </c>
      <c r="Z92" s="27">
        <v>0.0</v>
      </c>
      <c r="AA92" s="27">
        <v>0.0</v>
      </c>
      <c r="AB92" s="27">
        <v>24.0</v>
      </c>
      <c r="AC92" s="27">
        <v>0.0</v>
      </c>
      <c r="AD92" s="27">
        <v>48.0</v>
      </c>
      <c r="AE92" s="27">
        <v>24.0</v>
      </c>
      <c r="AF92" s="27">
        <v>24.0</v>
      </c>
      <c r="AG92" s="27">
        <v>24.0</v>
      </c>
      <c r="AH92" s="27">
        <v>72.0</v>
      </c>
      <c r="AI92" s="27">
        <v>144.0</v>
      </c>
      <c r="AJ92" s="27">
        <v>12.0</v>
      </c>
      <c r="AK92" s="27">
        <v>24.0</v>
      </c>
      <c r="AL92" s="27">
        <v>216.0</v>
      </c>
      <c r="AM92" s="27">
        <v>24.0</v>
      </c>
      <c r="AN92" s="27">
        <v>24.0</v>
      </c>
      <c r="AO92" s="28"/>
      <c r="AP92" s="28">
        <f t="shared" si="173"/>
        <v>636.0</v>
      </c>
      <c r="AQ92" s="28">
        <f t="shared" si="174"/>
        <v>444.0</v>
      </c>
      <c r="AR92" s="28">
        <f t="shared" si="175"/>
        <v>488.4</v>
      </c>
      <c r="AS92" s="3">
        <f t="shared" si="176"/>
        <v>0.0</v>
      </c>
      <c r="AT92" s="3">
        <f t="shared" si="177"/>
        <v>52.8</v>
      </c>
      <c r="AU92" s="3">
        <f t="shared" si="178"/>
        <v>26.4</v>
      </c>
      <c r="AV92" s="3">
        <f t="shared" si="179"/>
        <v>26.4</v>
      </c>
      <c r="AW92" s="3">
        <f t="shared" si="180"/>
        <v>26.4</v>
      </c>
      <c r="AX92" s="3">
        <f t="shared" si="181"/>
        <v>79.2</v>
      </c>
      <c r="AY92" s="28">
        <f t="shared" si="182"/>
        <v>211.2</v>
      </c>
      <c r="AZ92" s="2" t="e">
        <f t="shared" si="183"/>
        <v>#REF!</v>
      </c>
      <c r="BD92" s="28" t="e">
        <f t="shared" si="282"/>
        <v>#REF!</v>
      </c>
      <c r="BE92" s="1">
        <f>VLOOKUP(C92,MOQ,3,FALSE())</f>
        <v>200.0</v>
      </c>
      <c r="BH92" s="1" t="e">
        <f t="shared" si="189"/>
        <v>#REF!</v>
      </c>
      <c r="BI92" s="1">
        <f t="shared" si="283"/>
        <v>0.0</v>
      </c>
      <c r="BJ92" s="1">
        <f t="shared" si="191"/>
      </c>
      <c r="BK92" s="3" t="e">
        <f t="shared" si="192"/>
        <v>#REF!</v>
      </c>
      <c r="BL92" s="1">
        <f t="shared" si="284"/>
        <v>52.8</v>
      </c>
      <c r="BM92" s="1">
        <f t="shared" si="194"/>
      </c>
      <c r="BN92" s="3" t="e">
        <f t="shared" si="195"/>
        <v>#REF!</v>
      </c>
      <c r="BO92" s="1">
        <f t="shared" si="285"/>
        <v>26.4</v>
      </c>
      <c r="BQ92" s="3" t="e">
        <f t="shared" si="197"/>
        <v>#REF!</v>
      </c>
      <c r="BR92" s="1">
        <f t="shared" si="286"/>
        <v>26.4</v>
      </c>
      <c r="BT92" s="3" t="e">
        <f t="shared" si="199"/>
        <v>#REF!</v>
      </c>
      <c r="BU92" s="1">
        <f t="shared" si="287"/>
        <v>26.4</v>
      </c>
      <c r="BW92" s="3" t="e">
        <f t="shared" si="201"/>
        <v>#REF!</v>
      </c>
      <c r="BX92" s="1">
        <f t="shared" si="288"/>
        <v>79.2</v>
      </c>
      <c r="BZ92" s="3" t="e">
        <f t="shared" si="203"/>
        <v>#REF!</v>
      </c>
    </row>
    <row r="93" ht="14.0">
      <c r="A93" s="27" t="s">
        <v>169</v>
      </c>
      <c r="B93" s="27" t="s">
        <v>170</v>
      </c>
      <c r="C93" s="27" t="s">
        <v>175</v>
      </c>
      <c r="D93" s="27" t="s">
        <v>176</v>
      </c>
      <c r="E93" s="27">
        <v>192.0</v>
      </c>
      <c r="F93" s="27">
        <v>0.0</v>
      </c>
      <c r="G93" s="27">
        <v>24.0</v>
      </c>
      <c r="H93" s="27">
        <v>0.0</v>
      </c>
      <c r="I93" s="27">
        <v>24.0</v>
      </c>
      <c r="J93" s="27">
        <v>72.0</v>
      </c>
      <c r="K93" s="27">
        <v>24.0</v>
      </c>
      <c r="L93" s="27">
        <v>24.0</v>
      </c>
      <c r="M93" s="27">
        <v>24.0</v>
      </c>
      <c r="N93" s="27">
        <v>24.0</v>
      </c>
      <c r="O93" s="27">
        <v>24.0</v>
      </c>
      <c r="P93" s="27">
        <v>24.0</v>
      </c>
      <c r="Q93" s="27">
        <v>192.0</v>
      </c>
      <c r="R93" s="27">
        <v>0.0</v>
      </c>
      <c r="S93" s="27">
        <v>24.0</v>
      </c>
      <c r="T93" s="27">
        <v>0.0</v>
      </c>
      <c r="U93" s="27">
        <v>24.0</v>
      </c>
      <c r="V93" s="27">
        <v>24.0</v>
      </c>
      <c r="W93" s="27">
        <v>48.0</v>
      </c>
      <c r="X93" s="27">
        <v>24.0</v>
      </c>
      <c r="Y93" s="27">
        <v>0.0</v>
      </c>
      <c r="Z93" s="27">
        <v>24.0</v>
      </c>
      <c r="AA93" s="27">
        <v>24.0</v>
      </c>
      <c r="AB93" s="27">
        <v>24.0</v>
      </c>
      <c r="AC93" s="27">
        <v>0.0</v>
      </c>
      <c r="AD93" s="27">
        <v>120.0</v>
      </c>
      <c r="AE93" s="27">
        <v>48.0</v>
      </c>
      <c r="AF93" s="27">
        <v>24.0</v>
      </c>
      <c r="AG93" s="27">
        <v>24.0</v>
      </c>
      <c r="AH93" s="27">
        <v>48.0</v>
      </c>
      <c r="AI93" s="27">
        <v>96.0</v>
      </c>
      <c r="AJ93" s="27">
        <v>0.0</v>
      </c>
      <c r="AK93" s="27">
        <v>24.0</v>
      </c>
      <c r="AL93" s="27">
        <v>0.0</v>
      </c>
      <c r="AM93" s="27">
        <v>48.0</v>
      </c>
      <c r="AN93" s="27">
        <v>0.0</v>
      </c>
      <c r="AO93" s="28"/>
      <c r="AP93" s="28">
        <f t="shared" si="173"/>
        <v>432.0</v>
      </c>
      <c r="AQ93" s="28">
        <f t="shared" si="174"/>
        <v>168.0</v>
      </c>
      <c r="AR93" s="28">
        <f t="shared" si="175"/>
        <v>184.8</v>
      </c>
      <c r="AS93" s="3">
        <f t="shared" si="176"/>
        <v>0.0</v>
      </c>
      <c r="AT93" s="3">
        <f t="shared" si="177"/>
        <v>132.0</v>
      </c>
      <c r="AU93" s="3">
        <f t="shared" si="178"/>
        <v>52.8</v>
      </c>
      <c r="AV93" s="3">
        <f t="shared" si="179"/>
        <v>26.4</v>
      </c>
      <c r="AW93" s="3">
        <f t="shared" si="180"/>
        <v>26.4</v>
      </c>
      <c r="AX93" s="3">
        <f t="shared" si="181"/>
        <v>52.8</v>
      </c>
      <c r="AY93" s="28">
        <f t="shared" si="182"/>
        <v>290.4</v>
      </c>
      <c r="AZ93" s="2" t="e">
        <f t="shared" si="183"/>
        <v>#REF!</v>
      </c>
      <c r="BD93" s="28" t="e">
        <f t="shared" si="282"/>
        <v>#REF!</v>
      </c>
      <c r="BE93" s="1">
        <f>VLOOKUP(C93,MOQ,3,FALSE())</f>
        <v>120.0</v>
      </c>
      <c r="BF93" s="15">
        <f>BE93</f>
        <v>120.0</v>
      </c>
      <c r="BG93" s="4" t="s">
        <v>227</v>
      </c>
      <c r="BH93" s="1" t="e">
        <f t="shared" si="189"/>
        <v>#REF!</v>
      </c>
      <c r="BI93" s="1">
        <f t="shared" si="283"/>
        <v>0.0</v>
      </c>
      <c r="BJ93" s="1">
        <f t="shared" si="191"/>
      </c>
      <c r="BK93" s="3" t="e">
        <f t="shared" si="192"/>
        <v>#REF!</v>
      </c>
      <c r="BL93" s="1">
        <f t="shared" si="284"/>
        <v>132.0</v>
      </c>
      <c r="BM93" s="1">
        <f t="shared" si="194"/>
      </c>
      <c r="BN93" s="3" t="e">
        <f t="shared" si="195"/>
        <v>#REF!</v>
      </c>
      <c r="BO93" s="1">
        <f t="shared" si="285"/>
        <v>52.8</v>
      </c>
      <c r="BQ93" s="3" t="e">
        <f t="shared" si="197"/>
        <v>#REF!</v>
      </c>
      <c r="BR93" s="1">
        <f t="shared" si="286"/>
        <v>26.4</v>
      </c>
      <c r="BT93" s="3" t="e">
        <f t="shared" si="199"/>
        <v>#REF!</v>
      </c>
      <c r="BU93" s="1">
        <f t="shared" si="287"/>
        <v>26.4</v>
      </c>
      <c r="BW93" s="3" t="e">
        <f t="shared" si="201"/>
        <v>#REF!</v>
      </c>
      <c r="BX93" s="1">
        <f t="shared" si="288"/>
        <v>52.8</v>
      </c>
      <c r="BZ93" s="3" t="e">
        <f t="shared" si="203"/>
        <v>#REF!</v>
      </c>
    </row>
    <row r="94" ht="14.0">
      <c r="A94" s="27" t="s">
        <v>169</v>
      </c>
      <c r="B94" s="27" t="s">
        <v>170</v>
      </c>
      <c r="C94" s="27" t="s">
        <v>177</v>
      </c>
      <c r="D94" s="27" t="s">
        <v>178</v>
      </c>
      <c r="E94" s="1">
        <v>192.0</v>
      </c>
      <c r="F94" s="1">
        <v>21.0</v>
      </c>
      <c r="G94" s="1">
        <v>24.0</v>
      </c>
      <c r="H94" s="1">
        <v>0.0</v>
      </c>
      <c r="I94" s="1">
        <v>24.0</v>
      </c>
      <c r="J94" s="1">
        <v>24.0</v>
      </c>
      <c r="K94" s="1">
        <v>48.0</v>
      </c>
      <c r="L94" s="1">
        <v>24.0</v>
      </c>
      <c r="M94" s="1">
        <v>0.0</v>
      </c>
      <c r="N94" s="1">
        <v>24.0</v>
      </c>
      <c r="O94" s="1">
        <v>24.0</v>
      </c>
      <c r="P94" s="1">
        <v>24.0</v>
      </c>
      <c r="Q94" s="1">
        <v>192.0</v>
      </c>
      <c r="R94" s="1">
        <v>0.0</v>
      </c>
      <c r="S94" s="1">
        <v>48.0</v>
      </c>
      <c r="T94" s="1">
        <v>0.0</v>
      </c>
      <c r="U94" s="1">
        <v>24.0</v>
      </c>
      <c r="V94" s="1">
        <v>24.0</v>
      </c>
      <c r="W94" s="1">
        <v>24.0</v>
      </c>
      <c r="X94" s="1">
        <v>24.0</v>
      </c>
      <c r="Y94" s="1">
        <v>0.0</v>
      </c>
      <c r="Z94" s="1">
        <v>24.0</v>
      </c>
      <c r="AA94" s="1">
        <v>24.0</v>
      </c>
      <c r="AB94" s="1">
        <v>0.0</v>
      </c>
      <c r="AC94" s="1">
        <v>24.0</v>
      </c>
      <c r="AD94" s="1">
        <v>168.0</v>
      </c>
      <c r="AE94" s="1">
        <v>120.0</v>
      </c>
      <c r="AF94" s="1">
        <v>24.0</v>
      </c>
      <c r="AG94" s="1">
        <v>48.0</v>
      </c>
      <c r="AH94" s="1">
        <v>72.0</v>
      </c>
      <c r="AI94" s="1">
        <v>144.0</v>
      </c>
      <c r="AJ94" s="1">
        <v>24.0</v>
      </c>
      <c r="AK94" s="1">
        <v>24.0</v>
      </c>
      <c r="AL94" s="1">
        <v>24.0</v>
      </c>
      <c r="AM94" s="1">
        <v>72.0</v>
      </c>
      <c r="AN94" s="1">
        <v>48.0</v>
      </c>
      <c r="AO94" s="28"/>
      <c r="AP94" s="28">
        <f t="shared" si="173"/>
        <v>792.0</v>
      </c>
      <c r="AQ94" s="28">
        <f t="shared" si="174"/>
        <v>336.0</v>
      </c>
      <c r="AR94" s="28">
        <f t="shared" si="175"/>
        <v>369.6</v>
      </c>
      <c r="AS94" s="3">
        <f t="shared" si="176"/>
        <v>26.4</v>
      </c>
      <c r="AT94" s="3">
        <f t="shared" si="177"/>
        <v>184.8</v>
      </c>
      <c r="AU94" s="3">
        <f t="shared" si="178"/>
        <v>132.0</v>
      </c>
      <c r="AV94" s="3">
        <f t="shared" si="179"/>
        <v>26.4</v>
      </c>
      <c r="AW94" s="3">
        <f t="shared" si="180"/>
        <v>52.8</v>
      </c>
      <c r="AX94" s="3">
        <f t="shared" si="181"/>
        <v>79.2</v>
      </c>
      <c r="AY94" s="28">
        <f t="shared" si="182"/>
        <v>501.6</v>
      </c>
      <c r="AZ94" s="2" t="e">
        <f t="shared" si="183"/>
        <v>#REF!</v>
      </c>
      <c r="BC94" s="1" t="e">
        <f>VLOOKUP(C94,TBA,3,false)</f>
        <v>#REF!</v>
      </c>
      <c r="BD94" s="28" t="e">
        <f t="shared" si="282"/>
        <v>#REF!</v>
      </c>
      <c r="BE94" s="1">
        <f>VLOOKUP(C94,MOQ,3,FALSE())</f>
        <v>120.0</v>
      </c>
      <c r="BH94" s="1" t="e">
        <f t="shared" si="189"/>
        <v>#REF!</v>
      </c>
      <c r="BI94" s="1">
        <f t="shared" si="283"/>
        <v>26.4</v>
      </c>
      <c r="BJ94" s="1">
        <f t="shared" si="191"/>
      </c>
      <c r="BK94" s="3" t="e">
        <f t="shared" si="192"/>
        <v>#REF!</v>
      </c>
      <c r="BL94" s="1">
        <f t="shared" si="284"/>
        <v>184.8</v>
      </c>
      <c r="BM94" s="1" t="e">
        <f>BC94</f>
        <v>#REF!</v>
      </c>
      <c r="BN94" s="3" t="e">
        <f t="shared" si="195"/>
        <v>#REF!</v>
      </c>
      <c r="BO94" s="1">
        <f t="shared" si="285"/>
        <v>132.0</v>
      </c>
      <c r="BQ94" s="3" t="e">
        <f t="shared" si="197"/>
        <v>#REF!</v>
      </c>
      <c r="BR94" s="1">
        <f t="shared" si="286"/>
        <v>26.4</v>
      </c>
      <c r="BT94" s="3" t="e">
        <f t="shared" si="199"/>
        <v>#REF!</v>
      </c>
      <c r="BU94" s="1">
        <f t="shared" si="287"/>
        <v>52.8</v>
      </c>
      <c r="BW94" s="3" t="e">
        <f t="shared" si="201"/>
        <v>#REF!</v>
      </c>
      <c r="BX94" s="1">
        <f t="shared" si="288"/>
        <v>79.2</v>
      </c>
      <c r="BZ94" s="3" t="e">
        <f t="shared" si="203"/>
        <v>#REF!</v>
      </c>
    </row>
    <row r="95">
      <c r="BD95" s="28"/>
    </row>
    <row r="96">
      <c r="BD96" s="28"/>
    </row>
    <row r="97">
      <c r="BD97" s="28"/>
    </row>
    <row r="262136">
      <c r="BD262136" s="28"/>
    </row>
    <row r="262137">
      <c r="BD262137" s="28"/>
    </row>
    <row r="262138">
      <c r="BD262138" s="28"/>
    </row>
    <row r="262139">
      <c r="BD262139" s="28"/>
    </row>
    <row r="262140">
      <c r="BD262140" s="28"/>
    </row>
    <row r="262141">
      <c r="BD262141" s="28"/>
    </row>
    <row r="262142">
      <c r="BD262142" s="28"/>
    </row>
  </sheetData>
  <mergeCells count="12">
    <mergeCell ref="BO66:BQ66"/>
    <mergeCell ref="BO5:BQ5"/>
    <mergeCell ref="BR5:BT5"/>
    <mergeCell ref="BR66:BT66"/>
    <mergeCell ref="BU5:BW5"/>
    <mergeCell ref="BX66:BZ66"/>
    <mergeCell ref="BU66:BW66"/>
    <mergeCell ref="BX5:BZ5"/>
    <mergeCell ref="BI5:BK5"/>
    <mergeCell ref="BL66:BN66"/>
    <mergeCell ref="BI66:BK66"/>
    <mergeCell ref="BL5:BN5"/>
  </mergeCells>
  <conditionalFormatting sqref="E25:AN62 E7:AN23">
    <cfRule dxfId="0" operator="equal" type="cellIs" priority="1">
      <formula>0</formula>
    </cfRule>
  </conditionalFormatting>
  <conditionalFormatting sqref="C68:AN69 E70:AN94 C70:D95">
    <cfRule dxfId="0" operator="equal" type="cellIs" priority="2">
      <formula>0</formula>
    </cfRule>
  </conditionalFormatting>
  <conditionalFormatting sqref="C1:C4 C7:C65 C68:C262136">
    <cfRule dxfId="1" operator="containsText" type="containsText" priority="3" text="set up">
      <formula>NOT(ISERROR(SEARCH("set up",C1)))</formula>
    </cfRule>
  </conditionalFormatting>
  <conditionalFormatting sqref="BD1:BD4 BD7:BD65 BD68:BD262136">
    <cfRule dxfId="2" operator="lessThan" type="cellIs" priority="4">
      <formula>0</formula>
    </cfRule>
  </conditionalFormatting>
  <conditionalFormatting sqref="BJ61:BZ62 BH25:BI62 BJ24:BJ60 BK25:BL60 BN25:BZ60 BH7:BZ23 BM24:BM60">
    <cfRule dxfId="3" operator="lessThan" type="cellIs" priority="5">
      <formula>0</formula>
    </cfRule>
  </conditionalFormatting>
  <conditionalFormatting sqref="BH68:BI95 BK68:BL95 BN68:BZ95">
    <cfRule dxfId="3" operator="lessThan" type="cellIs" priority="6">
      <formula>0</formula>
    </cfRule>
  </conditionalFormatting>
  <conditionalFormatting sqref="C5:C6">
    <cfRule dxfId="1" operator="containsText" type="containsText" priority="7" text="set up">
      <formula>NOT(ISERROR(SEARCH("set up",C5)))</formula>
    </cfRule>
  </conditionalFormatting>
  <conditionalFormatting sqref="BD5:BD6">
    <cfRule dxfId="2" operator="lessThan" type="cellIs" priority="8">
      <formula>0</formula>
    </cfRule>
  </conditionalFormatting>
  <conditionalFormatting sqref="C5:C6">
    <cfRule dxfId="1" operator="containsText" type="containsText" priority="9" text="SET UP">
      <formula>NOT(ISERROR(SEARCH("SET UP",C5)))</formula>
    </cfRule>
  </conditionalFormatting>
  <conditionalFormatting sqref="C5:C6">
    <cfRule dxfId="1" operator="containsText" type="containsText" priority="10" text="starter pack">
      <formula>NOT(ISERROR(SEARCH("starter pack",C5)))</formula>
    </cfRule>
  </conditionalFormatting>
  <conditionalFormatting sqref="C5:C6">
    <cfRule dxfId="1" operator="containsText" type="containsText" priority="11" text="set up">
      <formula>NOT(ISERROR(SEARCH("set up",C5)))</formula>
    </cfRule>
  </conditionalFormatting>
  <conditionalFormatting sqref="C5:C6">
    <cfRule dxfId="1" operator="containsText" type="containsText" priority="12" text="setup">
      <formula>NOT(ISERROR(SEARCH("setup",C5)))</formula>
    </cfRule>
  </conditionalFormatting>
  <conditionalFormatting sqref="C66:C67">
    <cfRule dxfId="1" operator="containsText" type="containsText" priority="13" text="set up">
      <formula>NOT(ISERROR(SEARCH("set up",C66)))</formula>
    </cfRule>
  </conditionalFormatting>
  <conditionalFormatting sqref="BD66:BD67">
    <cfRule dxfId="2" operator="lessThan" type="cellIs" priority="14">
      <formula>0</formula>
    </cfRule>
  </conditionalFormatting>
  <conditionalFormatting sqref="C66:C67">
    <cfRule dxfId="1" operator="containsText" type="containsText" priority="15" text="SET UP">
      <formula>NOT(ISERROR(SEARCH("SET UP",C66)))</formula>
    </cfRule>
  </conditionalFormatting>
  <conditionalFormatting sqref="C66:C67">
    <cfRule dxfId="1" operator="containsText" type="containsText" priority="16" text="starter pack">
      <formula>NOT(ISERROR(SEARCH("starter pack",C66)))</formula>
    </cfRule>
  </conditionalFormatting>
  <conditionalFormatting sqref="C66:C67">
    <cfRule dxfId="1" operator="containsText" type="containsText" priority="17" text="set up">
      <formula>NOT(ISERROR(SEARCH("set up",C66)))</formula>
    </cfRule>
  </conditionalFormatting>
  <conditionalFormatting sqref="C66:C67">
    <cfRule dxfId="1" operator="containsText" type="containsText" priority="18" text="setup">
      <formula>NOT(ISERROR(SEARCH("setup",C66)))</formula>
    </cfRule>
  </conditionalFormatting>
  <conditionalFormatting sqref="BJ68:BJ95">
    <cfRule dxfId="3" operator="lessThan" type="cellIs" priority="19">
      <formula>0</formula>
    </cfRule>
  </conditionalFormatting>
  <conditionalFormatting sqref="BM68:BM95">
    <cfRule dxfId="3" operator="lessThan" type="cellIs" priority="20">
      <formula>0</formula>
    </cfRule>
  </conditionalFormatting>
  <conditionalFormatting sqref="AZ7:AZ62">
    <cfRule dxfId="3" operator="lessThanOrEqual" type="cellIs" priority="21">
      <formula>0</formula>
    </cfRule>
  </conditionalFormatting>
  <conditionalFormatting sqref="AO26:AO28">
    <cfRule dxfId="0" operator="equal" type="cellIs" priority="22">
      <formula>0</formula>
    </cfRule>
  </conditionalFormatting>
  <conditionalFormatting sqref="AZ68:AZ94">
    <cfRule dxfId="3" operator="lessThanOrEqual" type="cellIs" priority="23">
      <formula>0</formula>
    </cfRule>
  </conditionalFormatting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G100"/>
  <sheetViews>
    <sheetView workbookViewId="0">
      <pane xSplit="4" ySplit="7" topLeftCell="E8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style="1" width="8.47" collapsed="1"/>
    <col min="30" max="30" style="1" width="7.28"/>
    <col min="31" max="31" style="1" width="6.49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39" style="1" width="8.21"/>
    <col min="40" max="40" style="1" width="8.21"/>
    <col min="41" max="41" style="2" width="7.68"/>
    <col min="42" max="42" style="2" width="9.8"/>
    <col min="43" max="43" style="2" width="12.45"/>
    <col min="44" max="44" style="1" width="6.49"/>
    <col min="45" max="45" style="1" width="7.81"/>
    <col min="46" max="46" style="1" width="8.47"/>
    <col min="47" max="47" style="1" width="7.28"/>
    <col min="48" max="50" style="1" width="11.12"/>
    <col min="51" max="52" style="2" width="11.12"/>
    <col min="53" max="53" style="2" width="9.67"/>
    <col min="54" max="54" style="2" width="9.67"/>
    <col min="55" max="55" style="1" width="13.24"/>
    <col min="56" max="56" style="1" width="13.24"/>
    <col min="57" max="57" style="3" width="10.06"/>
    <col min="58" max="58" style="1" width="6.62"/>
    <col min="59" max="59" style="4" width="12.05"/>
    <col min="60" max="60" style="1" width="11.52"/>
    <col min="61" max="61" style="1" width="8.87"/>
    <col min="62" max="79" style="1" width="8.87"/>
    <col min="80" max="1022" style="1" width="13.24"/>
    <col min="1023" max="1026" width="13.24"/>
    <col min="1027" max="1027" width="13.24"/>
  </cols>
  <sheetData>
    <row r="1">
      <c r="AO1" s="5"/>
      <c r="AP1" s="5"/>
      <c r="AQ1" s="5"/>
      <c r="AS1" s="170" t="s">
        <v>237</v>
      </c>
      <c r="AT1" s="171"/>
      <c r="BE1" s="3">
        <v>0.0</v>
      </c>
      <c r="BH1" s="6"/>
    </row>
    <row r="2">
      <c r="AO2" s="5"/>
      <c r="AP2" s="5"/>
      <c r="AQ2" s="5"/>
      <c r="AS2" s="172" t="s">
        <v>238</v>
      </c>
      <c r="AT2" s="172" t="s">
        <v>238</v>
      </c>
      <c r="AU2" s="172" t="s">
        <v>238</v>
      </c>
      <c r="AV2" s="173" t="s">
        <v>222</v>
      </c>
      <c r="AW2" s="172" t="s">
        <v>223</v>
      </c>
      <c r="AX2" s="172" t="s">
        <v>223</v>
      </c>
      <c r="AY2" s="172" t="s">
        <v>223</v>
      </c>
      <c r="AZ2" s="172" t="s">
        <v>223</v>
      </c>
      <c r="BH2" s="6"/>
    </row>
    <row r="3">
      <c r="AO3" s="5"/>
      <c r="AP3" s="5"/>
      <c r="AQ3" s="5"/>
      <c r="AV3" s="174" t="s">
        <v>224</v>
      </c>
      <c r="AW3" s="174" t="s">
        <v>225</v>
      </c>
      <c r="AX3" s="174" t="s">
        <v>225</v>
      </c>
      <c r="AY3" s="174" t="s">
        <v>225</v>
      </c>
      <c r="AZ3" s="174" t="s">
        <v>225</v>
      </c>
      <c r="BH3" s="6"/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L4" s="7"/>
      <c r="AM4" s="7"/>
      <c r="AN4" s="7"/>
      <c r="AO4" s="5"/>
      <c r="AP4" s="8"/>
      <c r="AQ4" s="8"/>
      <c r="AS4" s="7"/>
      <c r="AT4" s="7"/>
      <c r="AU4" s="7"/>
      <c r="AV4" s="7"/>
      <c r="AW4" s="7"/>
      <c r="AX4" s="7"/>
      <c r="AY4" s="7"/>
      <c r="AZ4" s="7"/>
      <c r="BH4" s="6"/>
    </row>
    <row r="5">
      <c r="E5" s="7">
        <v>0.097</v>
      </c>
      <c r="F5" s="7">
        <v>0.046</v>
      </c>
      <c r="G5" s="7">
        <v>0.089</v>
      </c>
      <c r="H5" s="7">
        <v>0.073</v>
      </c>
      <c r="I5" s="7">
        <v>0.057</v>
      </c>
      <c r="J5" s="7">
        <v>0.114</v>
      </c>
      <c r="K5" s="7">
        <v>0.127</v>
      </c>
      <c r="L5" s="7">
        <v>0.115</v>
      </c>
      <c r="M5" s="7">
        <v>0.094</v>
      </c>
      <c r="N5" s="7">
        <v>0.052</v>
      </c>
      <c r="O5" s="7">
        <v>0.065</v>
      </c>
      <c r="P5" s="7">
        <v>0.07</v>
      </c>
      <c r="Q5" s="7">
        <v>0.097</v>
      </c>
      <c r="R5" s="7">
        <v>0.046</v>
      </c>
      <c r="S5" s="7">
        <v>0.089</v>
      </c>
      <c r="T5" s="7">
        <v>0.073</v>
      </c>
      <c r="U5" s="7">
        <v>0.057</v>
      </c>
      <c r="V5" s="7">
        <v>0.114</v>
      </c>
      <c r="W5" s="7">
        <v>0.127</v>
      </c>
      <c r="X5" s="7">
        <v>0.115</v>
      </c>
      <c r="Y5" s="7">
        <v>0.094</v>
      </c>
      <c r="Z5" s="7">
        <v>0.052</v>
      </c>
      <c r="AA5" s="7">
        <v>0.065</v>
      </c>
      <c r="AB5" s="7">
        <v>0.07</v>
      </c>
      <c r="AC5" s="7">
        <v>0.097</v>
      </c>
      <c r="AD5" s="7">
        <v>0.046</v>
      </c>
      <c r="AE5" s="7">
        <v>0.089</v>
      </c>
      <c r="AF5" s="7">
        <v>0.073</v>
      </c>
      <c r="AG5" s="7">
        <v>0.057</v>
      </c>
      <c r="AH5" s="7">
        <v>0.114</v>
      </c>
      <c r="AI5" s="7">
        <v>0.127</v>
      </c>
      <c r="AJ5" s="7">
        <v>0.115</v>
      </c>
      <c r="AK5" s="7">
        <v>0.094</v>
      </c>
      <c r="AL5" s="7">
        <v>0.052</v>
      </c>
      <c r="AM5" s="7">
        <v>0.065</v>
      </c>
      <c r="AN5" s="7" t="s">
        <v>0</v>
      </c>
      <c r="AO5" s="5">
        <f>SUM(AC5:AN5)</f>
        <v>0.929</v>
      </c>
      <c r="AP5" s="8">
        <f>SUM(AI5:AN5)</f>
        <v>0.453</v>
      </c>
      <c r="AQ5" s="8">
        <f>AP5*1.1</f>
        <v>0.4983</v>
      </c>
      <c r="AS5" s="7">
        <v>0.097</v>
      </c>
      <c r="AT5" s="7">
        <v>0.046</v>
      </c>
      <c r="AU5" s="7">
        <v>0.089</v>
      </c>
      <c r="AV5" s="7">
        <v>0.073</v>
      </c>
      <c r="AW5" s="7">
        <v>0.057</v>
      </c>
      <c r="AX5" s="7">
        <v>0.114</v>
      </c>
      <c r="AY5" s="7">
        <v>0.127</v>
      </c>
      <c r="AZ5" s="7">
        <v>0.115</v>
      </c>
      <c r="BH5" s="6"/>
    </row>
    <row r="6" ht="14.0">
      <c r="A6" s="6"/>
      <c r="B6" s="6"/>
      <c r="C6" s="6"/>
      <c r="D6" s="6"/>
      <c r="E6" s="9">
        <v>45799</v>
      </c>
      <c r="F6" s="9">
        <v>45830</v>
      </c>
      <c r="G6" s="9">
        <v>45860</v>
      </c>
      <c r="H6" s="9">
        <v>45891</v>
      </c>
      <c r="I6" s="9">
        <v>45922</v>
      </c>
      <c r="J6" s="9">
        <v>45952</v>
      </c>
      <c r="K6" s="9">
        <v>45983</v>
      </c>
      <c r="L6" s="9">
        <v>46013</v>
      </c>
      <c r="M6" s="9">
        <v>45680</v>
      </c>
      <c r="N6" s="9">
        <v>45711</v>
      </c>
      <c r="O6" s="9">
        <v>45739</v>
      </c>
      <c r="P6" s="9">
        <v>45770</v>
      </c>
      <c r="Q6" s="10">
        <v>45800</v>
      </c>
      <c r="R6" s="10">
        <v>45831</v>
      </c>
      <c r="S6" s="10">
        <v>45861</v>
      </c>
      <c r="T6" s="10">
        <v>45892</v>
      </c>
      <c r="U6" s="10">
        <v>45923</v>
      </c>
      <c r="V6" s="10">
        <v>45953</v>
      </c>
      <c r="W6" s="10">
        <v>45984</v>
      </c>
      <c r="X6" s="10">
        <v>46014</v>
      </c>
      <c r="Y6" s="10">
        <v>45681</v>
      </c>
      <c r="Z6" s="10">
        <v>45712</v>
      </c>
      <c r="AA6" s="10">
        <v>45740</v>
      </c>
      <c r="AB6" s="10">
        <v>45771</v>
      </c>
      <c r="AC6" s="11">
        <v>45801</v>
      </c>
      <c r="AD6" s="11">
        <v>45832</v>
      </c>
      <c r="AE6" s="11">
        <v>45862</v>
      </c>
      <c r="AF6" s="11">
        <v>45893</v>
      </c>
      <c r="AG6" s="11">
        <v>45924</v>
      </c>
      <c r="AH6" s="11">
        <v>45954</v>
      </c>
      <c r="AI6" s="11">
        <v>45985</v>
      </c>
      <c r="AJ6" s="11">
        <v>46015</v>
      </c>
      <c r="AK6" s="11">
        <v>45682</v>
      </c>
      <c r="AL6" s="11">
        <v>45713</v>
      </c>
      <c r="AM6" s="11">
        <v>45741</v>
      </c>
      <c r="AN6" s="11">
        <v>45772</v>
      </c>
      <c r="AO6" s="12" t="s">
        <v>1</v>
      </c>
      <c r="AP6" s="12" t="s">
        <v>2</v>
      </c>
      <c r="AQ6" s="12" t="s">
        <v>2</v>
      </c>
      <c r="AR6" s="13"/>
      <c r="AS6" s="11">
        <v>45801</v>
      </c>
      <c r="AT6" s="11">
        <v>45832</v>
      </c>
      <c r="AU6" s="11">
        <v>45862</v>
      </c>
      <c r="AV6" s="11">
        <v>45893</v>
      </c>
      <c r="AW6" s="11">
        <v>45924</v>
      </c>
      <c r="AX6" s="11">
        <v>45955</v>
      </c>
      <c r="AY6" s="11">
        <v>45986</v>
      </c>
      <c r="AZ6" s="11">
        <v>46016</v>
      </c>
      <c r="BA6" s="13" t="s">
        <v>3</v>
      </c>
      <c r="BB6" s="13" t="s">
        <v>3</v>
      </c>
      <c r="BC6" s="13" t="s">
        <v>3</v>
      </c>
      <c r="BD6" s="13" t="s">
        <v>3</v>
      </c>
      <c r="BE6" s="14" t="s">
        <v>3</v>
      </c>
      <c r="BF6" s="13" t="s">
        <v>3</v>
      </c>
      <c r="BG6" s="15" t="s">
        <v>3</v>
      </c>
      <c r="BH6" s="13"/>
      <c r="BI6" s="13" t="s">
        <v>4</v>
      </c>
      <c r="BJ6" s="13" t="s">
        <v>5</v>
      </c>
      <c r="BK6" s="13"/>
      <c r="BL6" s="13"/>
      <c r="BM6" s="13" t="s">
        <v>6</v>
      </c>
      <c r="BN6" s="13"/>
      <c r="BO6" s="13"/>
      <c r="BP6" s="13" t="s">
        <v>7</v>
      </c>
      <c r="BQ6" s="13"/>
      <c r="BR6" s="13"/>
      <c r="BS6" s="13" t="s">
        <v>8</v>
      </c>
      <c r="BT6" s="13"/>
      <c r="BU6" s="13"/>
      <c r="BV6" s="13" t="s">
        <v>9</v>
      </c>
      <c r="BW6" s="13"/>
      <c r="BX6" s="13"/>
      <c r="BY6" s="13" t="s">
        <v>10</v>
      </c>
      <c r="BZ6" s="13"/>
      <c r="CA6" s="13"/>
      <c r="CB6" s="13" t="s">
        <v>227</v>
      </c>
      <c r="CC6" s="13"/>
      <c r="CD6" s="13"/>
      <c r="CE6" s="13" t="s">
        <v>212</v>
      </c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</row>
    <row r="7" ht="29.0">
      <c r="A7" s="16" t="s">
        <v>11</v>
      </c>
      <c r="B7" s="16" t="s">
        <v>12</v>
      </c>
      <c r="C7" s="16" t="s">
        <v>13</v>
      </c>
      <c r="D7" s="17" t="s">
        <v>14</v>
      </c>
      <c r="E7" s="18" t="s">
        <v>15</v>
      </c>
      <c r="F7" s="18" t="s">
        <v>15</v>
      </c>
      <c r="G7" s="18" t="s">
        <v>15</v>
      </c>
      <c r="H7" s="18" t="s">
        <v>15</v>
      </c>
      <c r="I7" s="18" t="s">
        <v>15</v>
      </c>
      <c r="J7" s="18" t="s">
        <v>15</v>
      </c>
      <c r="K7" s="18" t="s">
        <v>15</v>
      </c>
      <c r="L7" s="18" t="s">
        <v>15</v>
      </c>
      <c r="M7" s="18" t="s">
        <v>15</v>
      </c>
      <c r="N7" s="18" t="s">
        <v>15</v>
      </c>
      <c r="O7" s="18" t="s">
        <v>15</v>
      </c>
      <c r="P7" s="18" t="s">
        <v>15</v>
      </c>
      <c r="Q7" s="18" t="s">
        <v>15</v>
      </c>
      <c r="R7" s="18" t="s">
        <v>15</v>
      </c>
      <c r="S7" s="18" t="s">
        <v>15</v>
      </c>
      <c r="T7" s="18" t="s">
        <v>15</v>
      </c>
      <c r="U7" s="18" t="s">
        <v>15</v>
      </c>
      <c r="V7" s="18" t="s">
        <v>15</v>
      </c>
      <c r="W7" s="18" t="s">
        <v>15</v>
      </c>
      <c r="X7" s="18" t="s">
        <v>15</v>
      </c>
      <c r="Y7" s="18" t="s">
        <v>15</v>
      </c>
      <c r="Z7" s="18" t="s">
        <v>15</v>
      </c>
      <c r="AA7" s="18" t="s">
        <v>15</v>
      </c>
      <c r="AB7" s="18" t="s">
        <v>15</v>
      </c>
      <c r="AC7" s="18" t="s">
        <v>15</v>
      </c>
      <c r="AD7" s="18" t="s">
        <v>15</v>
      </c>
      <c r="AE7" s="18" t="s">
        <v>15</v>
      </c>
      <c r="AF7" s="18" t="s">
        <v>15</v>
      </c>
      <c r="AG7" s="18" t="s">
        <v>15</v>
      </c>
      <c r="AH7" s="18" t="s">
        <v>15</v>
      </c>
      <c r="AI7" s="18" t="s">
        <v>15</v>
      </c>
      <c r="AJ7" s="18" t="s">
        <v>15</v>
      </c>
      <c r="AK7" s="18" t="s">
        <v>15</v>
      </c>
      <c r="AL7" s="18" t="s">
        <v>15</v>
      </c>
      <c r="AM7" s="18" t="s">
        <v>15</v>
      </c>
      <c r="AN7" s="18" t="s">
        <v>15</v>
      </c>
      <c r="AO7" s="19" t="s">
        <v>3</v>
      </c>
      <c r="AP7" s="19" t="s">
        <v>3</v>
      </c>
      <c r="AQ7" s="19" t="s">
        <v>16</v>
      </c>
      <c r="AR7" s="20"/>
      <c r="AS7" s="21" t="s">
        <v>17</v>
      </c>
      <c r="AT7" s="21" t="s">
        <v>17</v>
      </c>
      <c r="AU7" s="21" t="s">
        <v>17</v>
      </c>
      <c r="AV7" s="21" t="s">
        <v>17</v>
      </c>
      <c r="AW7" s="21" t="s">
        <v>17</v>
      </c>
      <c r="AX7" s="21" t="s">
        <v>17</v>
      </c>
      <c r="AY7" s="21" t="s">
        <v>17</v>
      </c>
      <c r="AZ7" s="21" t="s">
        <v>17</v>
      </c>
      <c r="BA7" s="21" t="s">
        <v>17</v>
      </c>
      <c r="BB7" s="18" t="s">
        <v>239</v>
      </c>
      <c r="BC7" s="22" t="s">
        <v>240</v>
      </c>
      <c r="BD7" s="22" t="s">
        <v>229</v>
      </c>
      <c r="BE7" s="23" t="s">
        <v>21</v>
      </c>
      <c r="BF7" s="18" t="s">
        <v>22</v>
      </c>
      <c r="BG7" s="24" t="s">
        <v>23</v>
      </c>
      <c r="BH7" s="25" t="s">
        <v>24</v>
      </c>
      <c r="BI7" s="18" t="s">
        <v>25</v>
      </c>
      <c r="BJ7" s="18" t="s">
        <v>17</v>
      </c>
      <c r="BK7" s="18" t="s">
        <v>26</v>
      </c>
      <c r="BL7" s="18" t="s">
        <v>27</v>
      </c>
      <c r="BM7" s="18" t="s">
        <v>17</v>
      </c>
      <c r="BN7" s="18" t="s">
        <v>26</v>
      </c>
      <c r="BO7" s="18" t="s">
        <v>27</v>
      </c>
      <c r="BP7" s="18" t="s">
        <v>17</v>
      </c>
      <c r="BQ7" s="18" t="s">
        <v>26</v>
      </c>
      <c r="BR7" s="18" t="s">
        <v>27</v>
      </c>
      <c r="BS7" s="18" t="s">
        <v>17</v>
      </c>
      <c r="BT7" s="18" t="s">
        <v>26</v>
      </c>
      <c r="BU7" s="18" t="s">
        <v>27</v>
      </c>
      <c r="BV7" s="18" t="s">
        <v>17</v>
      </c>
      <c r="BW7" s="18" t="s">
        <v>26</v>
      </c>
      <c r="BX7" s="18" t="s">
        <v>27</v>
      </c>
      <c r="BY7" s="18" t="s">
        <v>17</v>
      </c>
      <c r="BZ7" s="18" t="s">
        <v>26</v>
      </c>
      <c r="CA7" s="18" t="s">
        <v>27</v>
      </c>
      <c r="CB7" s="18" t="s">
        <v>17</v>
      </c>
      <c r="CC7" s="18" t="s">
        <v>26</v>
      </c>
      <c r="CD7" s="18" t="s">
        <v>27</v>
      </c>
      <c r="CE7" s="18" t="s">
        <v>17</v>
      </c>
      <c r="CF7" s="18" t="s">
        <v>26</v>
      </c>
      <c r="CG7" s="18" t="s">
        <v>27</v>
      </c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</row>
    <row r="8" ht="14.0">
      <c r="A8" s="27" t="s">
        <v>28</v>
      </c>
      <c r="B8" s="27" t="s">
        <v>29</v>
      </c>
      <c r="C8" s="27" t="s">
        <v>30</v>
      </c>
      <c r="D8" s="27" t="s">
        <v>31</v>
      </c>
      <c r="E8" s="27"/>
      <c r="F8" s="27">
        <v>571.0</v>
      </c>
      <c r="G8" s="27">
        <v>495.0</v>
      </c>
      <c r="H8" s="27">
        <v>826.0</v>
      </c>
      <c r="I8" s="27">
        <v>491.0</v>
      </c>
      <c r="J8" s="27">
        <v>372.0</v>
      </c>
      <c r="K8" s="27">
        <v>638.0</v>
      </c>
      <c r="L8" s="27">
        <v>765.0</v>
      </c>
      <c r="M8" s="27">
        <v>626.0</v>
      </c>
      <c r="N8" s="27">
        <v>646.0</v>
      </c>
      <c r="O8" s="27">
        <v>490.0</v>
      </c>
      <c r="P8" s="27">
        <v>880.0</v>
      </c>
      <c r="Q8" s="27">
        <v>456.0</v>
      </c>
      <c r="R8" s="27">
        <v>439.0</v>
      </c>
      <c r="S8" s="27">
        <v>396.0</v>
      </c>
      <c r="T8" s="27">
        <v>330.0</v>
      </c>
      <c r="U8" s="27">
        <v>377.0</v>
      </c>
      <c r="V8" s="27">
        <v>535.0</v>
      </c>
      <c r="W8" s="27">
        <v>489.0</v>
      </c>
      <c r="X8" s="27">
        <v>512.0</v>
      </c>
      <c r="Y8" s="27">
        <v>468.0</v>
      </c>
      <c r="Z8" s="27">
        <v>520.0</v>
      </c>
      <c r="AA8" s="27">
        <v>414.0</v>
      </c>
      <c r="AB8" s="27">
        <v>433.0</v>
      </c>
      <c r="AC8" s="27">
        <v>324.0</v>
      </c>
      <c r="AD8" s="27">
        <v>315.0</v>
      </c>
      <c r="AE8" s="27">
        <v>331.0</v>
      </c>
      <c r="AF8" s="27">
        <v>335.0</v>
      </c>
      <c r="AG8" s="27">
        <v>240.0</v>
      </c>
      <c r="AH8" s="27">
        <v>518.0</v>
      </c>
      <c r="AI8" s="27">
        <v>622.0</v>
      </c>
      <c r="AJ8" s="27">
        <v>496.0</v>
      </c>
      <c r="AK8" s="27">
        <v>325.0</v>
      </c>
      <c r="AL8" s="27">
        <v>355.0</v>
      </c>
      <c r="AM8" s="27">
        <v>415.0</v>
      </c>
      <c r="AN8" s="27">
        <v>240.0</v>
      </c>
      <c r="AO8" s="28">
        <f t="shared" ref="AO8:AO63" si="3">SUM(AA8:AM8)</f>
        <v>5123.0</v>
      </c>
      <c r="AP8" s="28">
        <f t="shared" ref="AP8:AP63" si="4">SUM(AH8:AM8)</f>
        <v>2731.0</v>
      </c>
      <c r="AQ8" s="28">
        <f t="shared" ref="AQ8:AQ63" si="5">AP8*1.1</f>
        <v>3004.1</v>
      </c>
      <c r="AS8" s="1">
        <f t="shared" ref="AS8:AS14" si="6">AQ8*$AS$5/$AQ$5+6*$AS$16</f>
        <v>590.783664459161</v>
      </c>
      <c r="AT8" s="171">
        <f t="shared" ref="AT8:AT14" si="7">AQ8*$AT$5/$AQ$5+6*$AT$16</f>
        <v>283.32008830022</v>
      </c>
      <c r="AU8" s="171">
        <f t="shared" ref="AU8:AU14" si="8">AQ8*$AU$5/$AQ$5+6*$AU$16</f>
        <v>542.55408388521</v>
      </c>
      <c r="AV8" s="171">
        <f t="shared" ref="AV8:AV14" si="9">AQ8*$AV$5/$AQ$5+6*$AV$16</f>
        <v>446.094922737307</v>
      </c>
      <c r="AW8" s="171">
        <f t="shared" ref="AW8:AW14" si="10">AQ8*$AW$5/$AQ$5+6*$AW$16</f>
        <v>349.635761589403</v>
      </c>
      <c r="AX8" s="171">
        <f t="shared" ref="AX8:AX14" si="11">AQ8*$AX$5/$AQ$5+6*$AX$16</f>
        <v>693.271523178808</v>
      </c>
      <c r="AY8" s="175">
        <f t="shared" ref="AY8:AY9" si="12">AQ8*$AY$5/$AQ$5+6*$AY$16</f>
        <v>771.644591611479</v>
      </c>
      <c r="AZ8" s="175">
        <f t="shared" ref="AZ8:AZ9" si="13">AQ8*$AZ$5/$AQ$5+6*$AZ$16</f>
        <v>699.300220750551</v>
      </c>
      <c r="BA8" s="2">
        <f t="shared" ref="BA8:BA9" si="14">SUM(AS8:AZ8)</f>
        <v>4376.60485651213</v>
      </c>
      <c r="BB8" s="2" t="e">
        <f t="shared" ref="BB8:BB9" si="15">VLOOKUP(D8,SOH,3,false)</f>
        <v>#REF!</v>
      </c>
      <c r="BD8" s="36"/>
      <c r="BE8" s="28" t="e">
        <f t="shared" ref="BE8:BE15" si="16">BB8+BC8+BD8-BA8</f>
        <v>#REF!</v>
      </c>
      <c r="BF8" s="29">
        <f>VLOOKUP(C8,MOQ,3,FALSE())</f>
        <v>504.0</v>
      </c>
      <c r="BG8" s="30" t="s">
        <v>32</v>
      </c>
      <c r="BH8" s="29" t="s">
        <v>77</v>
      </c>
      <c r="BI8" s="1" t="e">
        <f t="shared" ref="BI8:BI20" si="18">BB8</f>
        <v>#REF!</v>
      </c>
      <c r="BJ8" s="1">
        <f t="shared" ref="BJ8:BJ20" si="19">AS8</f>
        <v>590.783664459161</v>
      </c>
      <c r="BL8" s="3" t="e">
        <f t="shared" ref="BL8:BL20" si="20">BI8+BK8-BJ8</f>
        <v>#REF!</v>
      </c>
      <c r="BM8" s="1">
        <f t="shared" ref="BM8:BM20" si="21">AT8</f>
        <v>283.32008830022</v>
      </c>
      <c r="BO8" s="3" t="e">
        <f t="shared" ref="BO8:BO20" si="22">BL8+BN8-BM8</f>
        <v>#REF!</v>
      </c>
      <c r="BP8" s="1">
        <f t="shared" ref="BP8:BP20" si="23">AU8</f>
        <v>542.55408388521</v>
      </c>
      <c r="BQ8">
        <f t="shared" ref="BQ8:BQ9" si="24">BC8</f>
      </c>
      <c r="BR8" s="3" t="e">
        <f t="shared" ref="BR8:BR20" si="25">BO8+BQ8-BP8</f>
        <v>#REF!</v>
      </c>
      <c r="BS8" s="1">
        <f t="shared" ref="BS8:BS20" si="26">AV8</f>
        <v>446.094922737307</v>
      </c>
      <c r="BT8">
        <f t="shared" ref="BT8:BT9" si="27">BD8</f>
      </c>
      <c r="BU8" s="3" t="e">
        <f t="shared" ref="BU8:BU20" si="28">BR8+BT8-BS8</f>
        <v>#REF!</v>
      </c>
      <c r="BV8" s="1">
        <f t="shared" ref="BV8:BV20" si="29">AW8</f>
        <v>349.635761589403</v>
      </c>
      <c r="BX8" s="3" t="e">
        <f t="shared" ref="BX8:BX20" si="30">BU8+BW8-BV8</f>
        <v>#REF!</v>
      </c>
      <c r="BY8" s="1">
        <f t="shared" ref="BY8:BY20" si="31">AX8</f>
        <v>693.271523178808</v>
      </c>
      <c r="CA8" s="3" t="e">
        <f t="shared" ref="CA8:CA20" si="32">BX8+BZ8-BY8</f>
        <v>#REF!</v>
      </c>
      <c r="CB8" s="1">
        <f t="shared" ref="CB8:CB9" si="33">AY8</f>
        <v>771.644591611479</v>
      </c>
      <c r="CD8" s="3" t="e">
        <f t="shared" ref="CD8:CD9" si="34">CA8+CC8-CB8</f>
        <v>#REF!</v>
      </c>
      <c r="CE8" s="1">
        <f t="shared" ref="CE8:CE9" si="35">AZ8</f>
        <v>699.300220750551</v>
      </c>
      <c r="CG8" s="3" t="e">
        <f t="shared" ref="CG8:CG9" si="36">CD8+CF8-CE8</f>
        <v>#REF!</v>
      </c>
    </row>
    <row r="9" ht="14.0">
      <c r="A9" s="27" t="s">
        <v>28</v>
      </c>
      <c r="B9" s="27" t="s">
        <v>29</v>
      </c>
      <c r="C9" s="27" t="s">
        <v>33</v>
      </c>
      <c r="D9" s="27" t="s">
        <v>34</v>
      </c>
      <c r="E9" s="27"/>
      <c r="F9" s="27">
        <v>143.0</v>
      </c>
      <c r="G9" s="27">
        <v>257.0</v>
      </c>
      <c r="H9" s="27">
        <v>282.0</v>
      </c>
      <c r="I9" s="27">
        <v>353.0</v>
      </c>
      <c r="J9" s="27">
        <v>293.0</v>
      </c>
      <c r="K9" s="27">
        <v>447.0</v>
      </c>
      <c r="L9" s="27">
        <v>473.0</v>
      </c>
      <c r="M9" s="27">
        <v>257.0</v>
      </c>
      <c r="N9" s="27">
        <v>248.0</v>
      </c>
      <c r="O9" s="27">
        <v>237.0</v>
      </c>
      <c r="P9" s="27">
        <v>295.0</v>
      </c>
      <c r="Q9" s="27">
        <v>223.0</v>
      </c>
      <c r="R9" s="27">
        <v>180.0</v>
      </c>
      <c r="S9" s="27">
        <v>247.0</v>
      </c>
      <c r="T9" s="27">
        <v>250.0</v>
      </c>
      <c r="U9" s="27">
        <v>156.0</v>
      </c>
      <c r="V9" s="27">
        <v>155.0</v>
      </c>
      <c r="W9" s="27">
        <v>286.0</v>
      </c>
      <c r="X9" s="27">
        <v>305.0</v>
      </c>
      <c r="Y9" s="27">
        <v>297.0</v>
      </c>
      <c r="Z9" s="27">
        <v>264.0</v>
      </c>
      <c r="AA9" s="27">
        <v>196.0</v>
      </c>
      <c r="AB9" s="27">
        <v>262.0</v>
      </c>
      <c r="AC9" s="27">
        <v>180.0</v>
      </c>
      <c r="AD9" s="27">
        <v>126.0</v>
      </c>
      <c r="AE9" s="27">
        <v>185.0</v>
      </c>
      <c r="AF9" s="27">
        <v>156.0</v>
      </c>
      <c r="AG9" s="27">
        <v>186.0</v>
      </c>
      <c r="AH9" s="27">
        <v>344.0</v>
      </c>
      <c r="AI9" s="27">
        <v>397.0</v>
      </c>
      <c r="AJ9" s="27">
        <v>252.0</v>
      </c>
      <c r="AK9" s="27">
        <v>198.0</v>
      </c>
      <c r="AL9" s="27">
        <v>212.0</v>
      </c>
      <c r="AM9" s="27">
        <v>145.0</v>
      </c>
      <c r="AN9" s="27">
        <v>130.0</v>
      </c>
      <c r="AO9" s="28">
        <f t="shared" si="3"/>
        <v>2839.0</v>
      </c>
      <c r="AP9" s="28">
        <f t="shared" si="4"/>
        <v>1548.0</v>
      </c>
      <c r="AQ9" s="28">
        <f t="shared" si="5"/>
        <v>1702.8</v>
      </c>
      <c r="AS9" s="1">
        <f t="shared" si="6"/>
        <v>337.4701986755</v>
      </c>
      <c r="AT9" s="1">
        <f t="shared" si="7"/>
        <v>163.192052980132</v>
      </c>
      <c r="AU9" s="1">
        <f t="shared" si="8"/>
        <v>310.13245033112</v>
      </c>
      <c r="AV9" s="1">
        <f t="shared" si="9"/>
        <v>255.456953642384</v>
      </c>
      <c r="AW9" s="1">
        <f t="shared" si="10"/>
        <v>200.781456953642</v>
      </c>
      <c r="AX9" s="1">
        <f t="shared" si="11"/>
        <v>395.562913907284</v>
      </c>
      <c r="AY9" s="175">
        <f t="shared" si="12"/>
        <v>439.986754966887</v>
      </c>
      <c r="AZ9" s="175">
        <f t="shared" si="13"/>
        <v>398.980132450331</v>
      </c>
      <c r="BA9" s="2">
        <f t="shared" si="14"/>
        <v>2501.56291390728</v>
      </c>
      <c r="BB9" s="2" t="e">
        <f t="shared" si="15"/>
        <v>#REF!</v>
      </c>
      <c r="BD9" s="36"/>
      <c r="BE9" s="28" t="e">
        <f t="shared" si="16"/>
        <v>#REF!</v>
      </c>
      <c r="BF9" s="29">
        <f>VLOOKUP(C9,MOQ,3,FALSE())</f>
        <v>504.0</v>
      </c>
      <c r="BG9" s="30" t="s">
        <v>32</v>
      </c>
      <c r="BI9" s="1" t="e">
        <f t="shared" si="18"/>
        <v>#REF!</v>
      </c>
      <c r="BJ9" s="1">
        <f t="shared" si="19"/>
        <v>337.4701986755</v>
      </c>
      <c r="BL9" s="3" t="e">
        <f t="shared" si="20"/>
        <v>#REF!</v>
      </c>
      <c r="BM9" s="1">
        <f t="shared" si="21"/>
        <v>163.192052980132</v>
      </c>
      <c r="BO9" s="3" t="e">
        <f t="shared" si="22"/>
        <v>#REF!</v>
      </c>
      <c r="BP9" s="1">
        <f t="shared" si="23"/>
        <v>310.13245033112</v>
      </c>
      <c r="BQ9" s="1">
        <f t="shared" si="24"/>
      </c>
      <c r="BR9" s="3" t="e">
        <f t="shared" si="25"/>
        <v>#REF!</v>
      </c>
      <c r="BS9" s="1">
        <f t="shared" si="26"/>
        <v>255.456953642384</v>
      </c>
      <c r="BT9" s="1">
        <f t="shared" si="27"/>
      </c>
      <c r="BU9" s="3" t="e">
        <f t="shared" si="28"/>
        <v>#REF!</v>
      </c>
      <c r="BV9" s="1">
        <f t="shared" si="29"/>
        <v>200.781456953642</v>
      </c>
      <c r="BX9" s="3" t="e">
        <f t="shared" si="30"/>
        <v>#REF!</v>
      </c>
      <c r="BY9" s="1">
        <f t="shared" si="31"/>
        <v>395.562913907284</v>
      </c>
      <c r="CA9" s="3" t="e">
        <f t="shared" si="32"/>
        <v>#REF!</v>
      </c>
      <c r="CB9" s="1">
        <f t="shared" si="33"/>
        <v>439.986754966887</v>
      </c>
      <c r="CD9" s="3" t="e">
        <f t="shared" si="34"/>
        <v>#REF!</v>
      </c>
      <c r="CE9" s="1">
        <f t="shared" si="35"/>
        <v>398.980132450331</v>
      </c>
      <c r="CG9" s="3" t="e">
        <f t="shared" si="36"/>
        <v>#REF!</v>
      </c>
    </row>
    <row r="10" ht="14.0">
      <c r="A10" s="27" t="s">
        <v>28</v>
      </c>
      <c r="B10" s="27" t="s">
        <v>29</v>
      </c>
      <c r="C10" s="27" t="s">
        <v>35</v>
      </c>
      <c r="D10" s="27" t="s">
        <v>36</v>
      </c>
      <c r="E10" s="27"/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168.0</v>
      </c>
      <c r="AB10" s="27">
        <v>78.0</v>
      </c>
      <c r="AC10" s="27">
        <v>58.0</v>
      </c>
      <c r="AD10" s="27">
        <v>53.0</v>
      </c>
      <c r="AE10" s="27">
        <v>38.0</v>
      </c>
      <c r="AF10" s="27">
        <v>35.0</v>
      </c>
      <c r="AG10" s="27">
        <v>27.0</v>
      </c>
      <c r="AH10" s="27">
        <v>28.0</v>
      </c>
      <c r="AI10" s="27">
        <v>42.0</v>
      </c>
      <c r="AJ10" s="27">
        <v>95.0</v>
      </c>
      <c r="AK10" s="27">
        <v>65.0</v>
      </c>
      <c r="AL10" s="27">
        <v>31.0</v>
      </c>
      <c r="AM10" s="27">
        <v>34.0</v>
      </c>
      <c r="AN10" s="27">
        <v>47.0</v>
      </c>
      <c r="AO10" s="28">
        <f t="shared" si="3"/>
        <v>752.0</v>
      </c>
      <c r="AP10" s="28">
        <f t="shared" si="4"/>
        <v>295.0</v>
      </c>
      <c r="AQ10" s="28">
        <f t="shared" si="5"/>
        <v>324.5</v>
      </c>
      <c r="AS10" s="1">
        <f t="shared" si="6"/>
        <v>69.167770419426</v>
      </c>
      <c r="AT10" s="1">
        <f t="shared" si="7"/>
        <v>35.9558498896247</v>
      </c>
      <c r="AU10" s="1">
        <f t="shared" si="8"/>
        <v>63.9580573951434</v>
      </c>
      <c r="AV10" s="1">
        <f t="shared" si="9"/>
        <v>53.5386313465783</v>
      </c>
      <c r="AW10" s="1">
        <f t="shared" si="10"/>
        <v>43.1192052980132</v>
      </c>
      <c r="AX10" s="1">
        <f t="shared" si="11"/>
        <v>80.2384105960265</v>
      </c>
      <c r="BA10" s="2">
        <f t="shared" ref="BA10:BA21" si="37">SUM(AS10:AX10)</f>
        <v>345.977924944812</v>
      </c>
      <c r="BB10" s="2" t="e">
        <f t="shared" ref="BB10:BB21" si="38">VLOOKUP(D10,MAY1,3,false)</f>
        <v>#REF!</v>
      </c>
      <c r="BE10" s="3" t="e">
        <f t="shared" si="16"/>
        <v>#REF!</v>
      </c>
      <c r="BF10" s="1">
        <f>VLOOKUP(C10,MOQ,3,FALSE())</f>
        <v>1000.0</v>
      </c>
      <c r="BI10" s="1" t="e">
        <f t="shared" si="18"/>
        <v>#REF!</v>
      </c>
      <c r="BJ10" s="1">
        <f t="shared" si="19"/>
        <v>69.167770419426</v>
      </c>
      <c r="BK10" s="1">
        <f t="shared" ref="BK10:BK21" si="39">BC10</f>
      </c>
      <c r="BL10" s="3" t="e">
        <f t="shared" si="20"/>
        <v>#REF!</v>
      </c>
      <c r="BM10" s="1">
        <f t="shared" si="21"/>
        <v>35.9558498896247</v>
      </c>
      <c r="BN10" s="1">
        <f t="shared" ref="BN10:BN21" si="40">BD10</f>
      </c>
      <c r="BO10" s="3" t="e">
        <f t="shared" si="22"/>
        <v>#REF!</v>
      </c>
      <c r="BP10" s="1">
        <f t="shared" si="23"/>
        <v>63.9580573951434</v>
      </c>
      <c r="BR10" s="3" t="e">
        <f t="shared" si="25"/>
        <v>#REF!</v>
      </c>
      <c r="BS10" s="1">
        <f t="shared" si="26"/>
        <v>53.5386313465783</v>
      </c>
      <c r="BU10" s="3" t="e">
        <f t="shared" si="28"/>
        <v>#REF!</v>
      </c>
      <c r="BV10" s="1">
        <f t="shared" si="29"/>
        <v>43.1192052980132</v>
      </c>
      <c r="BX10" s="3" t="e">
        <f t="shared" si="30"/>
        <v>#REF!</v>
      </c>
      <c r="BY10" s="1">
        <f t="shared" si="31"/>
        <v>80.2384105960265</v>
      </c>
      <c r="CA10" s="3" t="e">
        <f t="shared" si="32"/>
        <v>#REF!</v>
      </c>
    </row>
    <row r="11" ht="14.0">
      <c r="A11" s="27" t="s">
        <v>28</v>
      </c>
      <c r="B11" s="27" t="s">
        <v>29</v>
      </c>
      <c r="C11" s="27" t="s">
        <v>37</v>
      </c>
      <c r="D11" s="27" t="s">
        <v>38</v>
      </c>
      <c r="E11" s="27"/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288.0</v>
      </c>
      <c r="AB11" s="27">
        <v>150.0</v>
      </c>
      <c r="AC11" s="27">
        <v>104.0</v>
      </c>
      <c r="AD11" s="27">
        <v>130.0</v>
      </c>
      <c r="AE11" s="27">
        <v>90.0</v>
      </c>
      <c r="AF11" s="27">
        <v>23.0</v>
      </c>
      <c r="AG11" s="27">
        <v>51.0</v>
      </c>
      <c r="AH11" s="27">
        <v>91.0</v>
      </c>
      <c r="AI11" s="27">
        <v>130.0</v>
      </c>
      <c r="AJ11" s="27">
        <v>74.0</v>
      </c>
      <c r="AK11" s="27">
        <v>53.0</v>
      </c>
      <c r="AL11" s="27">
        <v>36.0</v>
      </c>
      <c r="AM11" s="27">
        <v>53.0</v>
      </c>
      <c r="AN11" s="27">
        <v>69.0</v>
      </c>
      <c r="AO11" s="28">
        <f t="shared" si="3"/>
        <v>1273.0</v>
      </c>
      <c r="AP11" s="28">
        <f t="shared" si="4"/>
        <v>437.0</v>
      </c>
      <c r="AQ11" s="28">
        <f t="shared" si="5"/>
        <v>480.7</v>
      </c>
      <c r="AS11" s="1">
        <f t="shared" si="6"/>
        <v>99.5739514348786</v>
      </c>
      <c r="AT11" s="1">
        <f t="shared" si="7"/>
        <v>50.3752759381898</v>
      </c>
      <c r="AU11" s="1">
        <f t="shared" si="8"/>
        <v>91.8565121412803</v>
      </c>
      <c r="AV11" s="1">
        <f t="shared" si="9"/>
        <v>76.4216335540839</v>
      </c>
      <c r="AW11" s="1">
        <f t="shared" si="10"/>
        <v>60.9867549668874</v>
      </c>
      <c r="AX11" s="1">
        <f t="shared" si="11"/>
        <v>115.973509933774</v>
      </c>
      <c r="BA11" s="2">
        <f t="shared" si="37"/>
        <v>495.187637969094</v>
      </c>
      <c r="BB11" s="2" t="e">
        <f t="shared" si="38"/>
        <v>#REF!</v>
      </c>
      <c r="BE11" s="3" t="e">
        <f t="shared" si="16"/>
        <v>#REF!</v>
      </c>
      <c r="BF11" s="1">
        <f>VLOOKUP(C11,MOQ,3,FALSE())</f>
        <v>1000.0</v>
      </c>
      <c r="BI11" s="1" t="e">
        <f t="shared" si="18"/>
        <v>#REF!</v>
      </c>
      <c r="BJ11" s="1">
        <f t="shared" si="19"/>
        <v>99.5739514348786</v>
      </c>
      <c r="BK11" s="1">
        <f t="shared" si="39"/>
      </c>
      <c r="BL11" s="3" t="e">
        <f t="shared" si="20"/>
        <v>#REF!</v>
      </c>
      <c r="BM11" s="1">
        <f t="shared" si="21"/>
        <v>50.3752759381898</v>
      </c>
      <c r="BN11" s="1">
        <f t="shared" si="40"/>
      </c>
      <c r="BO11" s="3" t="e">
        <f t="shared" si="22"/>
        <v>#REF!</v>
      </c>
      <c r="BP11" s="1">
        <f t="shared" si="23"/>
        <v>91.8565121412803</v>
      </c>
      <c r="BR11" s="3" t="e">
        <f t="shared" si="25"/>
        <v>#REF!</v>
      </c>
      <c r="BS11" s="1">
        <f t="shared" si="26"/>
        <v>76.4216335540839</v>
      </c>
      <c r="BU11" s="3" t="e">
        <f t="shared" si="28"/>
        <v>#REF!</v>
      </c>
      <c r="BV11" s="1">
        <f t="shared" si="29"/>
        <v>60.9867549668874</v>
      </c>
      <c r="BX11" s="3" t="e">
        <f t="shared" si="30"/>
        <v>#REF!</v>
      </c>
      <c r="BY11" s="1">
        <f t="shared" si="31"/>
        <v>115.973509933774</v>
      </c>
      <c r="CA11" s="3" t="e">
        <f t="shared" si="32"/>
        <v>#REF!</v>
      </c>
    </row>
    <row r="12" ht="14.0">
      <c r="A12" s="27" t="s">
        <v>28</v>
      </c>
      <c r="B12" s="27" t="s">
        <v>29</v>
      </c>
      <c r="C12" s="27" t="s">
        <v>39</v>
      </c>
      <c r="D12" s="27" t="s">
        <v>40</v>
      </c>
      <c r="E12" s="27"/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175.0</v>
      </c>
      <c r="AB12" s="27">
        <v>102.0</v>
      </c>
      <c r="AC12" s="27">
        <v>58.0</v>
      </c>
      <c r="AD12" s="27">
        <v>63.0</v>
      </c>
      <c r="AE12" s="27">
        <v>30.0</v>
      </c>
      <c r="AF12" s="27">
        <v>50.0</v>
      </c>
      <c r="AG12" s="27">
        <v>42.0</v>
      </c>
      <c r="AH12" s="27">
        <v>73.0</v>
      </c>
      <c r="AI12" s="27">
        <v>101.0</v>
      </c>
      <c r="AJ12" s="27">
        <v>94.0</v>
      </c>
      <c r="AK12" s="27">
        <v>34.0</v>
      </c>
      <c r="AL12" s="27">
        <v>48.0</v>
      </c>
      <c r="AM12" s="27">
        <v>66.0</v>
      </c>
      <c r="AN12" s="27">
        <v>42.0</v>
      </c>
      <c r="AO12" s="28">
        <f t="shared" si="3"/>
        <v>936.0</v>
      </c>
      <c r="AP12" s="28">
        <f t="shared" si="4"/>
        <v>416.0</v>
      </c>
      <c r="AQ12" s="28">
        <f t="shared" si="5"/>
        <v>457.6</v>
      </c>
      <c r="AS12" s="1">
        <f t="shared" si="6"/>
        <v>95.0772626931567</v>
      </c>
      <c r="AT12" s="1">
        <f t="shared" si="7"/>
        <v>48.242825607064</v>
      </c>
      <c r="AU12" s="1">
        <f t="shared" si="8"/>
        <v>87.7306843267108</v>
      </c>
      <c r="AV12" s="1">
        <f t="shared" si="9"/>
        <v>73.037527593819</v>
      </c>
      <c r="AW12" s="1">
        <f t="shared" si="10"/>
        <v>58.3443708609271</v>
      </c>
      <c r="AX12" s="1">
        <f t="shared" si="11"/>
        <v>110.688741721854</v>
      </c>
      <c r="BA12" s="2">
        <f t="shared" si="37"/>
        <v>473.121412803531</v>
      </c>
      <c r="BB12" s="2" t="e">
        <f t="shared" si="38"/>
        <v>#REF!</v>
      </c>
      <c r="BE12" s="3" t="e">
        <f t="shared" si="16"/>
        <v>#REF!</v>
      </c>
      <c r="BF12" s="1">
        <f>VLOOKUP(C12,MOQ,3,FALSE())</f>
        <v>1000.0</v>
      </c>
      <c r="BG12" s="4">
        <f>BF12</f>
        <v>1000.0</v>
      </c>
      <c r="BH12" s="1" t="s">
        <v>10</v>
      </c>
      <c r="BI12" s="1" t="e">
        <f t="shared" si="18"/>
        <v>#REF!</v>
      </c>
      <c r="BJ12" s="1">
        <f t="shared" si="19"/>
        <v>95.0772626931567</v>
      </c>
      <c r="BK12" s="1">
        <f t="shared" si="39"/>
      </c>
      <c r="BL12" s="3" t="e">
        <f t="shared" si="20"/>
        <v>#REF!</v>
      </c>
      <c r="BM12" s="1">
        <f t="shared" si="21"/>
        <v>48.242825607064</v>
      </c>
      <c r="BN12" s="1">
        <f t="shared" si="40"/>
      </c>
      <c r="BO12" s="3" t="e">
        <f t="shared" si="22"/>
        <v>#REF!</v>
      </c>
      <c r="BP12" s="1">
        <f t="shared" si="23"/>
        <v>87.7306843267108</v>
      </c>
      <c r="BR12" s="3" t="e">
        <f t="shared" si="25"/>
        <v>#REF!</v>
      </c>
      <c r="BS12" s="1">
        <f t="shared" si="26"/>
        <v>73.037527593819</v>
      </c>
      <c r="BU12" s="3" t="e">
        <f t="shared" si="28"/>
        <v>#REF!</v>
      </c>
      <c r="BV12" s="1">
        <f t="shared" si="29"/>
        <v>58.3443708609271</v>
      </c>
      <c r="BX12" s="3" t="e">
        <f t="shared" si="30"/>
        <v>#REF!</v>
      </c>
      <c r="BY12" s="1">
        <f t="shared" si="31"/>
        <v>110.688741721854</v>
      </c>
      <c r="CA12" s="3" t="e">
        <f t="shared" si="32"/>
        <v>#REF!</v>
      </c>
    </row>
    <row r="13" ht="14.0">
      <c r="A13" s="27" t="s">
        <v>28</v>
      </c>
      <c r="B13" s="27" t="s">
        <v>29</v>
      </c>
      <c r="C13" s="27" t="s">
        <v>41</v>
      </c>
      <c r="D13" s="27" t="s">
        <v>42</v>
      </c>
      <c r="E13" s="27"/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168.0</v>
      </c>
      <c r="AB13" s="27">
        <v>69.0</v>
      </c>
      <c r="AC13" s="27">
        <v>43.0</v>
      </c>
      <c r="AD13" s="27">
        <v>30.0</v>
      </c>
      <c r="AE13" s="27">
        <v>19.0</v>
      </c>
      <c r="AF13" s="27">
        <v>19.0</v>
      </c>
      <c r="AG13" s="27">
        <v>12.0</v>
      </c>
      <c r="AH13" s="27">
        <v>27.0</v>
      </c>
      <c r="AI13" s="27">
        <v>30.0</v>
      </c>
      <c r="AJ13" s="27">
        <v>33.0</v>
      </c>
      <c r="AK13" s="27">
        <v>34.0</v>
      </c>
      <c r="AL13" s="27">
        <v>38.0</v>
      </c>
      <c r="AM13" s="27">
        <v>47.0</v>
      </c>
      <c r="AN13" s="27">
        <v>35.0</v>
      </c>
      <c r="AO13" s="28">
        <f t="shared" si="3"/>
        <v>569.0</v>
      </c>
      <c r="AP13" s="28">
        <f t="shared" si="4"/>
        <v>209.0</v>
      </c>
      <c r="AQ13" s="28">
        <f t="shared" si="5"/>
        <v>229.9</v>
      </c>
      <c r="AS13" s="1">
        <f t="shared" si="6"/>
        <v>50.7527593818984</v>
      </c>
      <c r="AT13" s="1">
        <f t="shared" si="7"/>
        <v>27.2229580573951</v>
      </c>
      <c r="AU13" s="1">
        <f t="shared" si="8"/>
        <v>47.0618101545253</v>
      </c>
      <c r="AV13" s="1">
        <f t="shared" si="9"/>
        <v>39.6799116997792</v>
      </c>
      <c r="AW13" s="1">
        <f t="shared" si="10"/>
        <v>32.2980132450331</v>
      </c>
      <c r="AX13" s="1">
        <f t="shared" si="11"/>
        <v>58.5960264900662</v>
      </c>
      <c r="BA13" s="2">
        <f t="shared" si="37"/>
        <v>255.611479028697</v>
      </c>
      <c r="BB13" s="2" t="e">
        <f t="shared" si="38"/>
        <v>#REF!</v>
      </c>
      <c r="BE13" s="3" t="e">
        <f t="shared" si="16"/>
        <v>#REF!</v>
      </c>
      <c r="BF13" s="1">
        <f>VLOOKUP(C13,MOQ,3,FALSE())</f>
        <v>1000.0</v>
      </c>
      <c r="BI13" s="1" t="e">
        <f t="shared" si="18"/>
        <v>#REF!</v>
      </c>
      <c r="BJ13" s="1">
        <f t="shared" si="19"/>
        <v>50.7527593818984</v>
      </c>
      <c r="BK13" s="1">
        <f t="shared" si="39"/>
      </c>
      <c r="BL13" s="3" t="e">
        <f t="shared" si="20"/>
        <v>#REF!</v>
      </c>
      <c r="BM13" s="1">
        <f t="shared" si="21"/>
        <v>27.2229580573951</v>
      </c>
      <c r="BN13" s="1">
        <f t="shared" si="40"/>
      </c>
      <c r="BO13" s="3" t="e">
        <f t="shared" si="22"/>
        <v>#REF!</v>
      </c>
      <c r="BP13" s="1">
        <f t="shared" si="23"/>
        <v>47.0618101545253</v>
      </c>
      <c r="BR13" s="3" t="e">
        <f t="shared" si="25"/>
        <v>#REF!</v>
      </c>
      <c r="BS13" s="1">
        <f t="shared" si="26"/>
        <v>39.6799116997792</v>
      </c>
      <c r="BU13" s="3" t="e">
        <f t="shared" si="28"/>
        <v>#REF!</v>
      </c>
      <c r="BV13" s="1">
        <f t="shared" si="29"/>
        <v>32.2980132450331</v>
      </c>
      <c r="BX13" s="3" t="e">
        <f t="shared" si="30"/>
        <v>#REF!</v>
      </c>
      <c r="BY13" s="1">
        <f t="shared" si="31"/>
        <v>58.5960264900662</v>
      </c>
      <c r="CA13" s="3" t="e">
        <f t="shared" si="32"/>
        <v>#REF!</v>
      </c>
    </row>
    <row r="14" ht="14.0">
      <c r="A14" s="27" t="s">
        <v>28</v>
      </c>
      <c r="B14" s="27" t="s">
        <v>29</v>
      </c>
      <c r="C14" s="27" t="s">
        <v>43</v>
      </c>
      <c r="D14" s="27" t="s">
        <v>44</v>
      </c>
      <c r="E14" s="27"/>
      <c r="F14" s="27">
        <v>0.0</v>
      </c>
      <c r="G14" s="27">
        <v>0.0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234.0</v>
      </c>
      <c r="AB14" s="27">
        <v>144.0</v>
      </c>
      <c r="AC14" s="27">
        <v>112.0</v>
      </c>
      <c r="AD14" s="27">
        <v>89.0</v>
      </c>
      <c r="AE14" s="27">
        <v>72.0</v>
      </c>
      <c r="AF14" s="27">
        <v>39.0</v>
      </c>
      <c r="AG14" s="27">
        <v>61.0</v>
      </c>
      <c r="AH14" s="27">
        <v>103.0</v>
      </c>
      <c r="AI14" s="27">
        <v>114.0</v>
      </c>
      <c r="AJ14" s="27">
        <v>146.0</v>
      </c>
      <c r="AK14" s="27">
        <v>74.0</v>
      </c>
      <c r="AL14" s="27">
        <v>45.0</v>
      </c>
      <c r="AM14" s="27">
        <v>82.0</v>
      </c>
      <c r="AN14" s="27">
        <v>59.0</v>
      </c>
      <c r="AO14" s="28">
        <f t="shared" si="3"/>
        <v>1315.0</v>
      </c>
      <c r="AP14" s="28">
        <f t="shared" si="4"/>
        <v>564.0</v>
      </c>
      <c r="AQ14" s="28">
        <f t="shared" si="5"/>
        <v>620.4</v>
      </c>
      <c r="AS14" s="1">
        <f t="shared" si="6"/>
        <v>126.76821192052</v>
      </c>
      <c r="AT14" s="1">
        <f t="shared" si="7"/>
        <v>63.2715231788079</v>
      </c>
      <c r="AU14" s="1">
        <f t="shared" si="8"/>
        <v>116.807947019868</v>
      </c>
      <c r="AV14" s="1">
        <f t="shared" si="9"/>
        <v>96.887417218543</v>
      </c>
      <c r="AW14" s="1">
        <f t="shared" si="10"/>
        <v>76.9668874172185</v>
      </c>
      <c r="AX14" s="1">
        <f t="shared" si="11"/>
        <v>147.933774834437</v>
      </c>
      <c r="BA14" s="2">
        <f t="shared" si="37"/>
        <v>628.635761589394</v>
      </c>
      <c r="BB14" s="2" t="e">
        <f t="shared" si="38"/>
        <v>#REF!</v>
      </c>
      <c r="BE14" s="3" t="e">
        <f t="shared" si="16"/>
        <v>#REF!</v>
      </c>
      <c r="BF14" s="1">
        <f>VLOOKUP(C14,MOQ,3,FALSE())</f>
        <v>1000.0</v>
      </c>
      <c r="BI14" s="1" t="e">
        <f t="shared" si="18"/>
        <v>#REF!</v>
      </c>
      <c r="BJ14" s="1">
        <f t="shared" si="19"/>
        <v>126.76821192052</v>
      </c>
      <c r="BK14" s="1">
        <f t="shared" si="39"/>
      </c>
      <c r="BL14" s="3" t="e">
        <f t="shared" si="20"/>
        <v>#REF!</v>
      </c>
      <c r="BM14" s="1">
        <f t="shared" si="21"/>
        <v>63.2715231788079</v>
      </c>
      <c r="BN14" s="1">
        <f t="shared" si="40"/>
      </c>
      <c r="BO14" s="3" t="e">
        <f t="shared" si="22"/>
        <v>#REF!</v>
      </c>
      <c r="BP14" s="1">
        <f t="shared" si="23"/>
        <v>116.807947019868</v>
      </c>
      <c r="BR14" s="3" t="e">
        <f t="shared" si="25"/>
        <v>#REF!</v>
      </c>
      <c r="BS14" s="1">
        <f t="shared" si="26"/>
        <v>96.887417218543</v>
      </c>
      <c r="BU14" s="3" t="e">
        <f t="shared" si="28"/>
        <v>#REF!</v>
      </c>
      <c r="BV14" s="1">
        <f t="shared" si="29"/>
        <v>76.9668874172185</v>
      </c>
      <c r="BX14" s="3" t="e">
        <f t="shared" si="30"/>
        <v>#REF!</v>
      </c>
      <c r="BY14" s="1">
        <f t="shared" si="31"/>
        <v>147.933774834437</v>
      </c>
      <c r="CA14" s="3" t="e">
        <f t="shared" si="32"/>
        <v>#REF!</v>
      </c>
    </row>
    <row r="15" ht="14.0">
      <c r="A15" s="27" t="s">
        <v>45</v>
      </c>
      <c r="B15" s="27" t="s">
        <v>29</v>
      </c>
      <c r="C15" s="27" t="s">
        <v>46</v>
      </c>
      <c r="D15" s="27" t="s">
        <v>47</v>
      </c>
      <c r="E15" s="27"/>
      <c r="F15" s="27">
        <v>0.0</v>
      </c>
      <c r="G15" s="27">
        <v>1.0</v>
      </c>
      <c r="H15" s="27">
        <v>0.0</v>
      </c>
      <c r="I15" s="27">
        <v>2.0</v>
      </c>
      <c r="J15" s="27">
        <v>0.0</v>
      </c>
      <c r="K15" s="27">
        <v>2.0</v>
      </c>
      <c r="L15" s="27">
        <v>1.0</v>
      </c>
      <c r="M15" s="27">
        <v>0.0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7">
        <v>0.0</v>
      </c>
      <c r="W15" s="27">
        <v>0.0</v>
      </c>
      <c r="X15" s="27">
        <v>0.0</v>
      </c>
      <c r="Y15" s="27">
        <v>0.0</v>
      </c>
      <c r="Z15" s="27">
        <v>0.0</v>
      </c>
      <c r="AA15" s="27">
        <v>1.0</v>
      </c>
      <c r="AB15" s="27">
        <v>0.0</v>
      </c>
      <c r="AC15" s="27">
        <v>0.0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0.0</v>
      </c>
      <c r="AK15" s="27">
        <v>0.0</v>
      </c>
      <c r="AL15" s="27">
        <v>0.0</v>
      </c>
      <c r="AM15" s="27">
        <v>0.0</v>
      </c>
      <c r="AN15" s="27"/>
      <c r="AO15" s="28">
        <f t="shared" si="3"/>
        <v>1.0</v>
      </c>
      <c r="AP15" s="28">
        <f t="shared" si="4"/>
        <v>0.0</v>
      </c>
      <c r="AQ15" s="28">
        <f t="shared" si="5"/>
        <v>0.0</v>
      </c>
      <c r="AS15" s="1">
        <f>AS16</f>
        <v>1.0</v>
      </c>
      <c r="AT15" s="1">
        <f>AT16</f>
        <v>1.0</v>
      </c>
      <c r="AU15" s="1">
        <f>AU16</f>
        <v>1.0</v>
      </c>
      <c r="AV15" s="1">
        <f>AV16</f>
        <v>1.0</v>
      </c>
      <c r="AW15" s="1">
        <f>AW16</f>
        <v>1.0</v>
      </c>
      <c r="AX15" s="1">
        <f>AX16</f>
        <v>1.0</v>
      </c>
      <c r="BA15" s="2">
        <f t="shared" si="37"/>
        <v>6.0</v>
      </c>
      <c r="BB15" s="2" t="e">
        <f t="shared" si="38"/>
        <v>#REF!</v>
      </c>
      <c r="BE15" s="3" t="e">
        <f t="shared" si="16"/>
        <v>#REF!</v>
      </c>
      <c r="BF15" s="1">
        <f>VLOOKUP(C15,MOQ,3,FALSE())</f>
        <v>300.0</v>
      </c>
      <c r="BG15" s="31"/>
      <c r="BH15" s="1" t="s">
        <v>5</v>
      </c>
      <c r="BI15" s="1" t="e">
        <f t="shared" si="18"/>
        <v>#REF!</v>
      </c>
      <c r="BJ15" s="1">
        <f t="shared" si="19"/>
        <v>1.0</v>
      </c>
      <c r="BK15" s="1">
        <f t="shared" si="39"/>
      </c>
      <c r="BL15" s="3" t="e">
        <f t="shared" si="20"/>
        <v>#REF!</v>
      </c>
      <c r="BM15" s="1">
        <f t="shared" si="21"/>
        <v>1.0</v>
      </c>
      <c r="BN15" s="1">
        <f t="shared" si="40"/>
      </c>
      <c r="BO15" s="3" t="e">
        <f t="shared" si="22"/>
        <v>#REF!</v>
      </c>
      <c r="BP15" s="1">
        <f t="shared" si="23"/>
        <v>1.0</v>
      </c>
      <c r="BR15" s="3" t="e">
        <f t="shared" si="25"/>
        <v>#REF!</v>
      </c>
      <c r="BS15" s="1">
        <f t="shared" si="26"/>
        <v>1.0</v>
      </c>
      <c r="BU15" s="3" t="e">
        <f t="shared" si="28"/>
        <v>#REF!</v>
      </c>
      <c r="BV15" s="1">
        <f t="shared" si="29"/>
        <v>1.0</v>
      </c>
      <c r="BX15" s="3" t="e">
        <f t="shared" si="30"/>
        <v>#REF!</v>
      </c>
      <c r="BY15" s="1">
        <f t="shared" si="31"/>
        <v>1.0</v>
      </c>
      <c r="CA15" s="3" t="e">
        <f t="shared" si="32"/>
        <v>#REF!</v>
      </c>
    </row>
    <row r="16" ht="14.0">
      <c r="A16" s="27" t="s">
        <v>28</v>
      </c>
      <c r="B16" s="27" t="s">
        <v>29</v>
      </c>
      <c r="C16" s="27" t="s">
        <v>48</v>
      </c>
      <c r="D16" s="27" t="s">
        <v>49</v>
      </c>
      <c r="E16" s="27"/>
      <c r="F16" s="27">
        <v>0.0</v>
      </c>
      <c r="G16" s="27">
        <v>0.0</v>
      </c>
      <c r="H16" s="27">
        <v>1.0</v>
      </c>
      <c r="I16" s="27">
        <v>1.0</v>
      </c>
      <c r="J16" s="27">
        <v>3.0</v>
      </c>
      <c r="K16" s="27">
        <v>5.0</v>
      </c>
      <c r="L16" s="27">
        <v>0.0</v>
      </c>
      <c r="M16" s="27">
        <v>1.0</v>
      </c>
      <c r="N16" s="27">
        <v>2.0</v>
      </c>
      <c r="O16" s="27">
        <v>4.0</v>
      </c>
      <c r="P16" s="27">
        <v>1.0</v>
      </c>
      <c r="Q16" s="27">
        <v>3.0</v>
      </c>
      <c r="R16" s="27">
        <v>0.0</v>
      </c>
      <c r="S16" s="27">
        <v>1.0</v>
      </c>
      <c r="T16" s="27">
        <v>2.0</v>
      </c>
      <c r="U16" s="27">
        <v>0.0</v>
      </c>
      <c r="V16" s="27">
        <v>1.0</v>
      </c>
      <c r="W16" s="27">
        <v>1.0</v>
      </c>
      <c r="X16" s="27">
        <v>0.0</v>
      </c>
      <c r="Y16" s="27">
        <v>0.0</v>
      </c>
      <c r="Z16" s="27">
        <v>0.0</v>
      </c>
      <c r="AA16" s="27">
        <v>0.0</v>
      </c>
      <c r="AB16" s="27">
        <v>1.0</v>
      </c>
      <c r="AC16" s="27">
        <v>0.0</v>
      </c>
      <c r="AD16" s="27">
        <v>0.0</v>
      </c>
      <c r="AE16" s="27">
        <v>2.0</v>
      </c>
      <c r="AF16" s="27">
        <v>0.0</v>
      </c>
      <c r="AG16" s="27">
        <v>0.0</v>
      </c>
      <c r="AH16" s="27">
        <v>2.0</v>
      </c>
      <c r="AI16" s="27">
        <v>4.0</v>
      </c>
      <c r="AJ16" s="27">
        <v>0.0</v>
      </c>
      <c r="AK16" s="27">
        <v>0.0</v>
      </c>
      <c r="AL16" s="27">
        <v>-1.0</v>
      </c>
      <c r="AM16" s="27">
        <v>0.0</v>
      </c>
      <c r="AN16" s="27">
        <v>0.0</v>
      </c>
      <c r="AO16" s="32">
        <f t="shared" si="3"/>
        <v>8.0</v>
      </c>
      <c r="AP16" s="32">
        <f t="shared" si="4"/>
        <v>5.0</v>
      </c>
      <c r="AQ16" s="32">
        <f t="shared" si="5"/>
        <v>5.5</v>
      </c>
      <c r="AR16" s="33"/>
      <c r="AS16" s="33">
        <v>1.0</v>
      </c>
      <c r="AT16" s="33">
        <v>1.0</v>
      </c>
      <c r="AU16" s="33">
        <v>1.0</v>
      </c>
      <c r="AV16" s="33">
        <v>1.0</v>
      </c>
      <c r="AW16" s="33">
        <v>1.0</v>
      </c>
      <c r="AX16" s="33">
        <v>1.0</v>
      </c>
      <c r="AY16" s="33">
        <v>1.0</v>
      </c>
      <c r="AZ16" s="33">
        <v>1.0</v>
      </c>
      <c r="BA16" s="2">
        <f t="shared" si="37"/>
        <v>6.0</v>
      </c>
      <c r="BB16" s="2" t="e">
        <f t="shared" si="38"/>
        <v>#REF!</v>
      </c>
      <c r="BF16">
        <f>VLOOKUP(C16,MOQ,3,FALSE())</f>
      </c>
      <c r="BI16" s="1" t="e">
        <f t="shared" si="18"/>
        <v>#REF!</v>
      </c>
      <c r="BJ16" s="1">
        <f t="shared" si="19"/>
        <v>1.0</v>
      </c>
      <c r="BK16" s="1">
        <f t="shared" si="39"/>
      </c>
      <c r="BL16" s="3" t="e">
        <f t="shared" si="20"/>
        <v>#REF!</v>
      </c>
      <c r="BM16" s="1">
        <f t="shared" si="21"/>
        <v>1.0</v>
      </c>
      <c r="BN16" s="1">
        <f t="shared" si="40"/>
      </c>
      <c r="BO16" s="3" t="e">
        <f t="shared" si="22"/>
        <v>#REF!</v>
      </c>
      <c r="BP16" s="1">
        <f t="shared" si="23"/>
        <v>1.0</v>
      </c>
      <c r="BR16" s="3" t="e">
        <f t="shared" si="25"/>
        <v>#REF!</v>
      </c>
      <c r="BS16" s="1">
        <f t="shared" si="26"/>
        <v>1.0</v>
      </c>
      <c r="BU16" s="3" t="e">
        <f t="shared" si="28"/>
        <v>#REF!</v>
      </c>
      <c r="BV16" s="1">
        <f t="shared" si="29"/>
        <v>1.0</v>
      </c>
      <c r="BX16" s="3" t="e">
        <f t="shared" si="30"/>
        <v>#REF!</v>
      </c>
      <c r="BY16" s="1">
        <f t="shared" si="31"/>
        <v>1.0</v>
      </c>
      <c r="CA16" s="3" t="e">
        <f t="shared" si="32"/>
        <v>#REF!</v>
      </c>
    </row>
    <row r="17" ht="14.0">
      <c r="A17" s="27" t="s">
        <v>28</v>
      </c>
      <c r="B17" s="27" t="s">
        <v>29</v>
      </c>
      <c r="C17" s="27" t="s">
        <v>50</v>
      </c>
      <c r="D17" s="27" t="s">
        <v>51</v>
      </c>
      <c r="E17" s="27"/>
      <c r="F17" s="27">
        <v>90.0</v>
      </c>
      <c r="G17" s="27">
        <v>108.0</v>
      </c>
      <c r="H17" s="27">
        <v>84.0</v>
      </c>
      <c r="I17" s="27">
        <v>155.0</v>
      </c>
      <c r="J17" s="27">
        <v>120.0</v>
      </c>
      <c r="K17" s="27">
        <v>143.0</v>
      </c>
      <c r="L17" s="27">
        <v>144.0</v>
      </c>
      <c r="M17" s="27">
        <v>155.0</v>
      </c>
      <c r="N17" s="27">
        <v>60.0</v>
      </c>
      <c r="O17" s="27">
        <v>108.0</v>
      </c>
      <c r="P17" s="27">
        <v>131.0</v>
      </c>
      <c r="Q17" s="27">
        <v>91.0</v>
      </c>
      <c r="R17" s="27">
        <v>83.0</v>
      </c>
      <c r="S17" s="27">
        <v>60.0</v>
      </c>
      <c r="T17" s="27">
        <v>76.0</v>
      </c>
      <c r="U17" s="27">
        <v>101.0</v>
      </c>
      <c r="V17" s="27">
        <v>54.0</v>
      </c>
      <c r="W17" s="27">
        <v>70.0</v>
      </c>
      <c r="X17" s="27">
        <v>156.0</v>
      </c>
      <c r="Y17" s="27">
        <v>107.0</v>
      </c>
      <c r="Z17" s="27">
        <v>76.0</v>
      </c>
      <c r="AA17" s="27">
        <v>138.0</v>
      </c>
      <c r="AB17" s="27">
        <v>48.0</v>
      </c>
      <c r="AC17" s="27">
        <v>35.0</v>
      </c>
      <c r="AD17" s="27">
        <v>30.0</v>
      </c>
      <c r="AE17" s="27">
        <v>97.0</v>
      </c>
      <c r="AF17" s="27">
        <v>82.0</v>
      </c>
      <c r="AG17" s="27">
        <v>60.0</v>
      </c>
      <c r="AH17" s="27">
        <v>42.0</v>
      </c>
      <c r="AI17" s="27">
        <v>60.0</v>
      </c>
      <c r="AJ17" s="27">
        <v>77.0</v>
      </c>
      <c r="AK17" s="27">
        <v>67.0</v>
      </c>
      <c r="AL17" s="27">
        <v>23.0</v>
      </c>
      <c r="AM17" s="27">
        <v>47.0</v>
      </c>
      <c r="AN17" s="27">
        <v>24.0</v>
      </c>
      <c r="AO17" s="28">
        <f t="shared" si="3"/>
        <v>806.0</v>
      </c>
      <c r="AP17" s="28">
        <f t="shared" si="4"/>
        <v>316.0</v>
      </c>
      <c r="AQ17" s="28">
        <f t="shared" si="5"/>
        <v>347.6</v>
      </c>
      <c r="AS17" s="1">
        <f t="shared" ref="AS17:AS20" si="48">AQ17*$AS$5/$AQ$5+6*$AS$21</f>
        <v>73.6644591611479</v>
      </c>
      <c r="AT17" s="1">
        <f t="shared" ref="AT17:AT20" si="49">AQ17*$AT$5/$AQ$5+6*$AT$21</f>
        <v>32.0883002207506</v>
      </c>
      <c r="AU17" s="1">
        <f t="shared" ref="AU17:AU20" si="50">AQ17*$AU$5/$AQ$5+6*$AU$21</f>
        <v>68.083885209713</v>
      </c>
      <c r="AV17" s="1">
        <f t="shared" ref="AV17:AV20" si="51">AQ17*$AV$5/$AQ$5+6*$AV$21</f>
        <v>56.9227373068432</v>
      </c>
      <c r="AW17" s="1">
        <f t="shared" ref="AW17:AW20" si="52">AQ17*$AW$5/$AQ$5+6*$AW$21</f>
        <v>45.7615894039735</v>
      </c>
      <c r="AX17" s="1">
        <f t="shared" ref="AX17:AX20" si="53">AQ17*$AX$5/$AQ$5+6*$AX$21</f>
        <v>85.523178807947</v>
      </c>
      <c r="BA17" s="2">
        <f t="shared" si="37"/>
        <v>362.044150110375</v>
      </c>
      <c r="BB17" s="2" t="e">
        <f t="shared" si="38"/>
        <v>#REF!</v>
      </c>
      <c r="BE17" s="3" t="e">
        <f t="shared" ref="BE17:BE20" si="54">BB17+BC17+BD17-BA17</f>
        <v>#REF!</v>
      </c>
      <c r="BF17" s="1">
        <f>VLOOKUP(C17,MOQ,3,FALSE())</f>
        <v>480.0</v>
      </c>
      <c r="BI17" s="1" t="e">
        <f t="shared" si="18"/>
        <v>#REF!</v>
      </c>
      <c r="BJ17" s="1">
        <f t="shared" si="19"/>
        <v>73.6644591611479</v>
      </c>
      <c r="BK17" s="1">
        <f t="shared" si="39"/>
      </c>
      <c r="BL17" s="3" t="e">
        <f t="shared" si="20"/>
        <v>#REF!</v>
      </c>
      <c r="BM17" s="1">
        <f t="shared" si="21"/>
        <v>32.0883002207506</v>
      </c>
      <c r="BN17" s="1">
        <f t="shared" si="40"/>
      </c>
      <c r="BO17" s="3" t="e">
        <f t="shared" si="22"/>
        <v>#REF!</v>
      </c>
      <c r="BP17" s="1">
        <f t="shared" si="23"/>
        <v>68.083885209713</v>
      </c>
      <c r="BR17" s="3" t="e">
        <f t="shared" si="25"/>
        <v>#REF!</v>
      </c>
      <c r="BS17" s="1">
        <f t="shared" si="26"/>
        <v>56.9227373068432</v>
      </c>
      <c r="BU17" s="3" t="e">
        <f t="shared" si="28"/>
        <v>#REF!</v>
      </c>
      <c r="BV17" s="1">
        <f t="shared" si="29"/>
        <v>45.7615894039735</v>
      </c>
      <c r="BX17" s="3" t="e">
        <f t="shared" si="30"/>
        <v>#REF!</v>
      </c>
      <c r="BY17" s="1">
        <f t="shared" si="31"/>
        <v>85.523178807947</v>
      </c>
      <c r="CA17" s="3" t="e">
        <f t="shared" si="32"/>
        <v>#REF!</v>
      </c>
    </row>
    <row r="18" ht="14.0">
      <c r="A18" s="27" t="s">
        <v>28</v>
      </c>
      <c r="B18" s="27" t="s">
        <v>29</v>
      </c>
      <c r="C18" s="27" t="s">
        <v>52</v>
      </c>
      <c r="D18" s="27" t="s">
        <v>53</v>
      </c>
      <c r="E18" s="27"/>
      <c r="F18" s="27">
        <v>58.0</v>
      </c>
      <c r="G18" s="27">
        <v>65.0</v>
      </c>
      <c r="H18" s="27">
        <v>66.0</v>
      </c>
      <c r="I18" s="27">
        <v>132.0</v>
      </c>
      <c r="J18" s="27">
        <v>78.0</v>
      </c>
      <c r="K18" s="27">
        <v>114.0</v>
      </c>
      <c r="L18" s="27">
        <v>114.0</v>
      </c>
      <c r="M18" s="27">
        <v>135.0</v>
      </c>
      <c r="N18" s="27">
        <v>42.0</v>
      </c>
      <c r="O18" s="27">
        <v>55.0</v>
      </c>
      <c r="P18" s="27">
        <v>95.0</v>
      </c>
      <c r="Q18" s="27">
        <v>66.0</v>
      </c>
      <c r="R18" s="27">
        <v>53.0</v>
      </c>
      <c r="S18" s="27">
        <v>72.0</v>
      </c>
      <c r="T18" s="27">
        <v>42.0</v>
      </c>
      <c r="U18" s="27">
        <v>41.0</v>
      </c>
      <c r="V18" s="27">
        <v>60.0</v>
      </c>
      <c r="W18" s="27">
        <v>65.0</v>
      </c>
      <c r="X18" s="27">
        <v>108.0</v>
      </c>
      <c r="Y18" s="27">
        <v>84.0</v>
      </c>
      <c r="Z18" s="27">
        <v>29.0</v>
      </c>
      <c r="AA18" s="27">
        <v>59.0</v>
      </c>
      <c r="AB18" s="27">
        <v>36.0</v>
      </c>
      <c r="AC18" s="27">
        <v>42.0</v>
      </c>
      <c r="AD18" s="27">
        <v>48.0</v>
      </c>
      <c r="AE18" s="27">
        <v>48.0</v>
      </c>
      <c r="AF18" s="27">
        <v>66.0</v>
      </c>
      <c r="AG18" s="27">
        <v>48.0</v>
      </c>
      <c r="AH18" s="27">
        <v>30.0</v>
      </c>
      <c r="AI18" s="27">
        <v>42.0</v>
      </c>
      <c r="AJ18" s="27">
        <v>52.0</v>
      </c>
      <c r="AK18" s="27">
        <v>48.0</v>
      </c>
      <c r="AL18" s="27">
        <v>18.0</v>
      </c>
      <c r="AM18" s="27">
        <v>65.0</v>
      </c>
      <c r="AN18" s="27">
        <v>24.0</v>
      </c>
      <c r="AO18" s="28">
        <f t="shared" si="3"/>
        <v>602.0</v>
      </c>
      <c r="AP18" s="28">
        <f t="shared" si="4"/>
        <v>255.0</v>
      </c>
      <c r="AQ18" s="28">
        <f t="shared" si="5"/>
        <v>280.5</v>
      </c>
      <c r="AS18" s="1">
        <f t="shared" si="48"/>
        <v>60.6026490066225</v>
      </c>
      <c r="AT18" s="1">
        <f t="shared" si="49"/>
        <v>25.8940397350993</v>
      </c>
      <c r="AU18" s="1">
        <f t="shared" si="50"/>
        <v>56.0993377483443</v>
      </c>
      <c r="AV18" s="1">
        <f t="shared" si="51"/>
        <v>47.092715231788</v>
      </c>
      <c r="AW18" s="1">
        <f t="shared" si="52"/>
        <v>38.0860927152318</v>
      </c>
      <c r="AX18" s="1">
        <f t="shared" si="53"/>
        <v>70.1721854304636</v>
      </c>
      <c r="BA18" s="2">
        <f t="shared" si="37"/>
        <v>297.947019867549</v>
      </c>
      <c r="BB18" s="2" t="e">
        <f t="shared" si="38"/>
        <v>#REF!</v>
      </c>
      <c r="BE18" s="3" t="e">
        <f t="shared" si="54"/>
        <v>#REF!</v>
      </c>
      <c r="BF18" s="1">
        <f>VLOOKUP(C18,MOQ,3,FALSE())</f>
        <v>480.0</v>
      </c>
      <c r="BI18" s="1" t="e">
        <f t="shared" si="18"/>
        <v>#REF!</v>
      </c>
      <c r="BJ18" s="1">
        <f t="shared" si="19"/>
        <v>60.6026490066225</v>
      </c>
      <c r="BK18" s="1">
        <f t="shared" si="39"/>
      </c>
      <c r="BL18" s="3" t="e">
        <f t="shared" si="20"/>
        <v>#REF!</v>
      </c>
      <c r="BM18" s="1">
        <f t="shared" si="21"/>
        <v>25.8940397350993</v>
      </c>
      <c r="BN18" s="1">
        <f t="shared" si="40"/>
      </c>
      <c r="BO18" s="3" t="e">
        <f t="shared" si="22"/>
        <v>#REF!</v>
      </c>
      <c r="BP18" s="1">
        <f t="shared" si="23"/>
        <v>56.0993377483443</v>
      </c>
      <c r="BR18" s="3" t="e">
        <f t="shared" si="25"/>
        <v>#REF!</v>
      </c>
      <c r="BS18" s="1">
        <f t="shared" si="26"/>
        <v>47.092715231788</v>
      </c>
      <c r="BU18" s="3" t="e">
        <f t="shared" si="28"/>
        <v>#REF!</v>
      </c>
      <c r="BV18" s="1">
        <f t="shared" si="29"/>
        <v>38.0860927152318</v>
      </c>
      <c r="BX18" s="3" t="e">
        <f t="shared" si="30"/>
        <v>#REF!</v>
      </c>
      <c r="BY18" s="1">
        <f t="shared" si="31"/>
        <v>70.1721854304636</v>
      </c>
      <c r="CA18" s="3" t="e">
        <f t="shared" si="32"/>
        <v>#REF!</v>
      </c>
    </row>
    <row r="19" ht="14.0">
      <c r="A19" s="27" t="s">
        <v>28</v>
      </c>
      <c r="B19" s="27" t="s">
        <v>29</v>
      </c>
      <c r="C19" s="27" t="s">
        <v>54</v>
      </c>
      <c r="D19" s="27" t="s">
        <v>55</v>
      </c>
      <c r="E19" s="27"/>
      <c r="F19" s="27">
        <v>30.0</v>
      </c>
      <c r="G19" s="27">
        <v>65.0</v>
      </c>
      <c r="H19" s="27">
        <v>30.0</v>
      </c>
      <c r="I19" s="27">
        <v>65.0</v>
      </c>
      <c r="J19" s="27">
        <v>48.0</v>
      </c>
      <c r="K19" s="27">
        <v>77.0</v>
      </c>
      <c r="L19" s="27">
        <v>84.0</v>
      </c>
      <c r="M19" s="27">
        <v>36.0</v>
      </c>
      <c r="N19" s="27">
        <v>24.0</v>
      </c>
      <c r="O19" s="27">
        <v>30.0</v>
      </c>
      <c r="P19" s="27">
        <v>72.0</v>
      </c>
      <c r="Q19" s="27">
        <v>18.0</v>
      </c>
      <c r="R19" s="27">
        <v>42.0</v>
      </c>
      <c r="S19" s="27">
        <v>18.0</v>
      </c>
      <c r="T19" s="27">
        <v>48.0</v>
      </c>
      <c r="U19" s="27">
        <v>18.0</v>
      </c>
      <c r="V19" s="27">
        <v>48.0</v>
      </c>
      <c r="W19" s="27">
        <v>23.0</v>
      </c>
      <c r="X19" s="27">
        <v>48.0</v>
      </c>
      <c r="Y19" s="27">
        <v>35.0</v>
      </c>
      <c r="Z19" s="27">
        <v>18.0</v>
      </c>
      <c r="AA19" s="27">
        <v>60.0</v>
      </c>
      <c r="AB19" s="27">
        <v>36.0</v>
      </c>
      <c r="AC19" s="27">
        <v>5.0</v>
      </c>
      <c r="AD19" s="27">
        <v>18.0</v>
      </c>
      <c r="AE19" s="27">
        <v>25.0</v>
      </c>
      <c r="AF19" s="27">
        <v>36.0</v>
      </c>
      <c r="AG19" s="27">
        <v>54.0</v>
      </c>
      <c r="AH19" s="27">
        <v>0.0</v>
      </c>
      <c r="AI19" s="27">
        <v>18.0</v>
      </c>
      <c r="AJ19" s="27">
        <v>46.0</v>
      </c>
      <c r="AK19" s="27">
        <v>22.0</v>
      </c>
      <c r="AL19" s="27">
        <v>12.0</v>
      </c>
      <c r="AM19" s="27">
        <v>6.0</v>
      </c>
      <c r="AN19" s="27">
        <v>18.0</v>
      </c>
      <c r="AO19" s="28">
        <f t="shared" si="3"/>
        <v>338.0</v>
      </c>
      <c r="AP19" s="28">
        <f t="shared" si="4"/>
        <v>104.0</v>
      </c>
      <c r="AQ19" s="28">
        <f t="shared" si="5"/>
        <v>114.4</v>
      </c>
      <c r="AS19" s="1">
        <f t="shared" si="48"/>
        <v>28.2693156732891</v>
      </c>
      <c r="AT19" s="1">
        <f t="shared" si="49"/>
        <v>10.560706401766</v>
      </c>
      <c r="AU19" s="1">
        <f t="shared" si="50"/>
        <v>26.4326710816777</v>
      </c>
      <c r="AV19" s="1">
        <f t="shared" si="51"/>
        <v>22.7593818984547</v>
      </c>
      <c r="AW19" s="1">
        <f t="shared" si="52"/>
        <v>19.0860927152318</v>
      </c>
      <c r="AX19" s="1">
        <f t="shared" si="53"/>
        <v>32.1721854304636</v>
      </c>
      <c r="BA19" s="2">
        <f t="shared" si="37"/>
        <v>139.280353200882</v>
      </c>
      <c r="BB19" s="2" t="e">
        <f t="shared" si="38"/>
        <v>#REF!</v>
      </c>
      <c r="BE19" s="3" t="e">
        <f t="shared" si="54"/>
        <v>#REF!</v>
      </c>
      <c r="BF19" s="1">
        <f>VLOOKUP(C19,MOQ,3,FALSE())</f>
        <v>480.0</v>
      </c>
      <c r="BI19" s="1" t="e">
        <f t="shared" si="18"/>
        <v>#REF!</v>
      </c>
      <c r="BJ19" s="1">
        <f t="shared" si="19"/>
        <v>28.2693156732891</v>
      </c>
      <c r="BK19" s="1">
        <f t="shared" si="39"/>
      </c>
      <c r="BL19" s="3" t="e">
        <f t="shared" si="20"/>
        <v>#REF!</v>
      </c>
      <c r="BM19" s="1">
        <f t="shared" si="21"/>
        <v>10.560706401766</v>
      </c>
      <c r="BN19" s="1">
        <f t="shared" si="40"/>
      </c>
      <c r="BO19" s="3" t="e">
        <f t="shared" si="22"/>
        <v>#REF!</v>
      </c>
      <c r="BP19" s="1">
        <f t="shared" si="23"/>
        <v>26.4326710816777</v>
      </c>
      <c r="BR19" s="3" t="e">
        <f t="shared" si="25"/>
        <v>#REF!</v>
      </c>
      <c r="BS19" s="1">
        <f t="shared" si="26"/>
        <v>22.7593818984547</v>
      </c>
      <c r="BU19" s="3" t="e">
        <f t="shared" si="28"/>
        <v>#REF!</v>
      </c>
      <c r="BV19" s="1">
        <f t="shared" si="29"/>
        <v>19.0860927152318</v>
      </c>
      <c r="BX19" s="3" t="e">
        <f t="shared" si="30"/>
        <v>#REF!</v>
      </c>
      <c r="BY19" s="1">
        <f t="shared" si="31"/>
        <v>32.1721854304636</v>
      </c>
      <c r="CA19" s="3" t="e">
        <f t="shared" si="32"/>
        <v>#REF!</v>
      </c>
    </row>
    <row r="20" ht="14.0">
      <c r="A20" s="27" t="s">
        <v>28</v>
      </c>
      <c r="B20" s="27" t="s">
        <v>29</v>
      </c>
      <c r="C20" s="27" t="s">
        <v>56</v>
      </c>
      <c r="D20" s="27" t="s">
        <v>57</v>
      </c>
      <c r="E20" s="27"/>
      <c r="F20" s="27">
        <v>30.0</v>
      </c>
      <c r="G20" s="27">
        <v>78.0</v>
      </c>
      <c r="H20" s="27">
        <v>42.0</v>
      </c>
      <c r="I20" s="27">
        <v>72.0</v>
      </c>
      <c r="J20" s="27">
        <v>40.0</v>
      </c>
      <c r="K20" s="27">
        <v>71.0</v>
      </c>
      <c r="L20" s="27">
        <v>113.0</v>
      </c>
      <c r="M20" s="27">
        <v>36.0</v>
      </c>
      <c r="N20" s="27">
        <v>24.0</v>
      </c>
      <c r="O20" s="27">
        <v>30.0</v>
      </c>
      <c r="P20" s="27">
        <v>66.0</v>
      </c>
      <c r="Q20" s="27">
        <v>42.0</v>
      </c>
      <c r="R20" s="27">
        <v>24.0</v>
      </c>
      <c r="S20" s="27">
        <v>54.0</v>
      </c>
      <c r="T20" s="27">
        <v>54.0</v>
      </c>
      <c r="U20" s="27">
        <v>36.0</v>
      </c>
      <c r="V20" s="27">
        <v>48.0</v>
      </c>
      <c r="W20" s="27">
        <v>30.0</v>
      </c>
      <c r="X20" s="27">
        <v>66.0</v>
      </c>
      <c r="Y20" s="27">
        <v>54.0</v>
      </c>
      <c r="Z20" s="27">
        <v>30.0</v>
      </c>
      <c r="AA20" s="27">
        <v>66.0</v>
      </c>
      <c r="AB20" s="27">
        <v>30.0</v>
      </c>
      <c r="AC20" s="27">
        <v>23.0</v>
      </c>
      <c r="AD20" s="27">
        <v>30.0</v>
      </c>
      <c r="AE20" s="27">
        <v>24.0</v>
      </c>
      <c r="AF20" s="27">
        <v>48.0</v>
      </c>
      <c r="AG20" s="27">
        <v>36.0</v>
      </c>
      <c r="AH20" s="27">
        <v>30.0</v>
      </c>
      <c r="AI20" s="27">
        <v>36.0</v>
      </c>
      <c r="AJ20" s="27">
        <v>36.0</v>
      </c>
      <c r="AK20" s="27">
        <v>18.0</v>
      </c>
      <c r="AL20" s="27">
        <v>24.0</v>
      </c>
      <c r="AM20" s="27">
        <v>48.0</v>
      </c>
      <c r="AN20" s="27">
        <v>18.0</v>
      </c>
      <c r="AO20" s="28">
        <f t="shared" si="3"/>
        <v>449.0</v>
      </c>
      <c r="AP20" s="28">
        <f t="shared" si="4"/>
        <v>192.0</v>
      </c>
      <c r="AQ20" s="28">
        <f t="shared" si="5"/>
        <v>211.2</v>
      </c>
      <c r="AS20" s="1">
        <f t="shared" si="48"/>
        <v>47.112582781457</v>
      </c>
      <c r="AT20" s="1">
        <f t="shared" si="49"/>
        <v>19.4966887417219</v>
      </c>
      <c r="AU20" s="1">
        <f t="shared" si="50"/>
        <v>43.7218543046358</v>
      </c>
      <c r="AV20" s="1">
        <f t="shared" si="51"/>
        <v>36.9403973509933</v>
      </c>
      <c r="AW20" s="1">
        <f t="shared" si="52"/>
        <v>30.158940397351</v>
      </c>
      <c r="AX20" s="1">
        <f t="shared" si="53"/>
        <v>54.317880794702</v>
      </c>
      <c r="BA20" s="2">
        <f t="shared" si="37"/>
        <v>231.748344370861</v>
      </c>
      <c r="BB20" s="2" t="e">
        <f t="shared" si="38"/>
        <v>#REF!</v>
      </c>
      <c r="BE20" s="3" t="e">
        <f t="shared" si="54"/>
        <v>#REF!</v>
      </c>
      <c r="BF20" s="1">
        <f>VLOOKUP(C20,MOQ,3,FALSE())</f>
        <v>480.0</v>
      </c>
      <c r="BI20" s="1" t="e">
        <f t="shared" si="18"/>
        <v>#REF!</v>
      </c>
      <c r="BJ20" s="1">
        <f t="shared" si="19"/>
        <v>47.112582781457</v>
      </c>
      <c r="BK20" s="1">
        <f t="shared" si="39"/>
      </c>
      <c r="BL20" s="3" t="e">
        <f t="shared" si="20"/>
        <v>#REF!</v>
      </c>
      <c r="BM20" s="1">
        <f t="shared" si="21"/>
        <v>19.4966887417219</v>
      </c>
      <c r="BN20" s="1">
        <f t="shared" si="40"/>
      </c>
      <c r="BO20" s="3" t="e">
        <f t="shared" si="22"/>
        <v>#REF!</v>
      </c>
      <c r="BP20" s="1">
        <f t="shared" si="23"/>
        <v>43.7218543046358</v>
      </c>
      <c r="BR20" s="3" t="e">
        <f t="shared" si="25"/>
        <v>#REF!</v>
      </c>
      <c r="BS20" s="1">
        <f t="shared" si="26"/>
        <v>36.9403973509933</v>
      </c>
      <c r="BU20" s="3" t="e">
        <f t="shared" si="28"/>
        <v>#REF!</v>
      </c>
      <c r="BV20" s="1">
        <f t="shared" si="29"/>
        <v>30.158940397351</v>
      </c>
      <c r="BX20" s="3" t="e">
        <f t="shared" si="30"/>
        <v>#REF!</v>
      </c>
      <c r="BY20" s="1">
        <f t="shared" si="31"/>
        <v>54.317880794702</v>
      </c>
      <c r="CA20" s="3" t="e">
        <f t="shared" si="32"/>
        <v>#REF!</v>
      </c>
    </row>
    <row r="21" ht="14.0">
      <c r="A21" s="27" t="s">
        <v>28</v>
      </c>
      <c r="B21" s="27" t="s">
        <v>29</v>
      </c>
      <c r="C21" s="27" t="s">
        <v>58</v>
      </c>
      <c r="D21" s="27" t="s">
        <v>59</v>
      </c>
      <c r="E21" s="27"/>
      <c r="F21" s="27">
        <v>1.0</v>
      </c>
      <c r="G21" s="27">
        <v>3.0</v>
      </c>
      <c r="H21" s="27">
        <v>1.0</v>
      </c>
      <c r="I21" s="27">
        <v>4.0</v>
      </c>
      <c r="J21" s="27">
        <v>0.0</v>
      </c>
      <c r="K21" s="27">
        <v>3.0</v>
      </c>
      <c r="L21" s="27">
        <v>1.0</v>
      </c>
      <c r="M21" s="27">
        <v>2.0</v>
      </c>
      <c r="N21" s="27">
        <v>1.0</v>
      </c>
      <c r="O21" s="27">
        <v>3.0</v>
      </c>
      <c r="P21" s="27">
        <v>1.0</v>
      </c>
      <c r="Q21" s="27">
        <v>1.0</v>
      </c>
      <c r="R21" s="27">
        <v>5.0</v>
      </c>
      <c r="S21" s="27">
        <v>2.0</v>
      </c>
      <c r="T21" s="27">
        <v>2.0</v>
      </c>
      <c r="U21" s="27">
        <v>1.0</v>
      </c>
      <c r="V21" s="27">
        <v>0.0</v>
      </c>
      <c r="W21" s="27">
        <v>2.0</v>
      </c>
      <c r="X21" s="27">
        <v>0.0</v>
      </c>
      <c r="Y21" s="27">
        <v>0.0</v>
      </c>
      <c r="Z21" s="27">
        <v>1.0</v>
      </c>
      <c r="AA21" s="27">
        <v>4.0</v>
      </c>
      <c r="AB21" s="27">
        <v>4.0</v>
      </c>
      <c r="AC21" s="27">
        <v>0.0</v>
      </c>
      <c r="AD21" s="27">
        <v>0.0</v>
      </c>
      <c r="AE21" s="27">
        <v>0.0</v>
      </c>
      <c r="AF21" s="27">
        <v>2.0</v>
      </c>
      <c r="AG21" s="27">
        <v>1.0</v>
      </c>
      <c r="AH21" s="27">
        <v>1.0</v>
      </c>
      <c r="AI21" s="27">
        <v>0.0</v>
      </c>
      <c r="AJ21" s="27">
        <v>1.0</v>
      </c>
      <c r="AK21" s="27">
        <v>0.0</v>
      </c>
      <c r="AL21" s="27">
        <v>1.0</v>
      </c>
      <c r="AM21" s="27">
        <v>1.0</v>
      </c>
      <c r="AN21" s="27">
        <v>2.0</v>
      </c>
      <c r="AO21" s="32">
        <f t="shared" si="3"/>
        <v>15.0</v>
      </c>
      <c r="AP21" s="32">
        <f t="shared" si="4"/>
        <v>4.0</v>
      </c>
      <c r="AQ21" s="32">
        <f t="shared" si="5"/>
        <v>4.4</v>
      </c>
      <c r="AR21" s="33"/>
      <c r="AS21" s="33">
        <v>1.0</v>
      </c>
      <c r="AT21" s="33">
        <v>0.0</v>
      </c>
      <c r="AU21" s="33">
        <v>1.0</v>
      </c>
      <c r="AV21" s="33">
        <v>1.0</v>
      </c>
      <c r="AW21" s="33">
        <v>1.0</v>
      </c>
      <c r="AX21" s="33">
        <v>1.0</v>
      </c>
      <c r="AY21" s="2">
        <v>1.0</v>
      </c>
      <c r="AZ21" s="2">
        <v>1.0</v>
      </c>
      <c r="BA21" s="2">
        <f t="shared" si="37"/>
        <v>5.0</v>
      </c>
      <c r="BB21" s="2" t="e">
        <f t="shared" si="38"/>
        <v>#REF!</v>
      </c>
      <c r="BF21">
        <f>VLOOKUP(C21,MOQ,3,FALSE())</f>
      </c>
      <c r="BK21" s="1">
        <f t="shared" si="39"/>
      </c>
      <c r="BL21" s="3"/>
      <c r="BN21" s="1">
        <f t="shared" si="40"/>
      </c>
      <c r="BO21" s="3"/>
      <c r="BR21" s="3"/>
      <c r="BU21" s="3"/>
      <c r="BX21" s="3"/>
      <c r="CA21" s="3"/>
    </row>
    <row r="22" ht="14.0">
      <c r="A22" s="34" t="s">
        <v>28</v>
      </c>
      <c r="B22" s="34" t="s">
        <v>29</v>
      </c>
      <c r="C22" s="34" t="s">
        <v>60</v>
      </c>
      <c r="D22" s="34" t="s">
        <v>61</v>
      </c>
      <c r="E22" s="34"/>
      <c r="F22" s="34">
        <v>0.0</v>
      </c>
      <c r="G22" s="34">
        <v>0.0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0.0</v>
      </c>
      <c r="P22" s="34">
        <v>0.0</v>
      </c>
      <c r="Q22" s="34">
        <v>0.0</v>
      </c>
      <c r="R22" s="34">
        <v>0.0</v>
      </c>
      <c r="S22" s="34">
        <v>0.0</v>
      </c>
      <c r="T22" s="34">
        <v>182.0</v>
      </c>
      <c r="U22" s="34">
        <v>96.0</v>
      </c>
      <c r="V22" s="34">
        <v>630.0</v>
      </c>
      <c r="W22" s="34">
        <v>714.0</v>
      </c>
      <c r="X22" s="34">
        <v>1034.0</v>
      </c>
      <c r="Y22" s="34">
        <v>266.0</v>
      </c>
      <c r="Z22" s="34">
        <v>66.0</v>
      </c>
      <c r="AA22" s="34">
        <v>12.0</v>
      </c>
      <c r="AB22" s="34">
        <v>18.0</v>
      </c>
      <c r="AC22" s="34">
        <v>1088.0</v>
      </c>
      <c r="AD22" s="34">
        <v>0.0</v>
      </c>
      <c r="AE22" s="34">
        <v>936.0</v>
      </c>
      <c r="AF22" s="34">
        <v>84.0</v>
      </c>
      <c r="AG22" s="34">
        <v>60.0</v>
      </c>
      <c r="AH22" s="34">
        <v>564.0</v>
      </c>
      <c r="AI22" s="34">
        <v>901.0</v>
      </c>
      <c r="AJ22" s="34">
        <v>660.0</v>
      </c>
      <c r="AK22" s="34">
        <v>811.0</v>
      </c>
      <c r="AL22" s="34">
        <v>234.0</v>
      </c>
      <c r="AM22" s="34">
        <v>54.0</v>
      </c>
      <c r="AN22" s="34">
        <v>348.0</v>
      </c>
      <c r="AO22" s="35">
        <f t="shared" si="3"/>
        <v>5422.0</v>
      </c>
      <c r="AP22" s="35">
        <f t="shared" si="4"/>
        <v>3224.0</v>
      </c>
      <c r="AQ22" s="35">
        <f t="shared" si="5"/>
        <v>3546.4</v>
      </c>
      <c r="AR22" s="36"/>
      <c r="AS22" s="36">
        <f>AQ22*$AS$5/$AQ$5</f>
        <v>690.348785871964</v>
      </c>
      <c r="AT22" s="176">
        <f>AQ22*$AT$5/$AQ$5+AT8</f>
        <v>610.701986754966</v>
      </c>
      <c r="AU22" s="176">
        <f>AQ22*$AU$5/$AQ$5+AU8+700</f>
        <v>1875.96688741721</v>
      </c>
      <c r="AV22" s="176">
        <f>AQ22*$AV$5/$AQ$5+AV26*0.5+AV8*0.5</f>
        <v>922.69757174393</v>
      </c>
      <c r="AW22" s="176">
        <f>AQ22*$AW$5/$AQ$5+AW26*0.25+AW8*0.25</f>
        <v>563.682119205297</v>
      </c>
      <c r="AX22" s="176">
        <f>AQ22*$AX$5/$AQ$5+AX26*0.25+AX8*0.25</f>
        <v>1122.86423841059</v>
      </c>
      <c r="AY22" s="176">
        <f>AQ22*$AY$5/$AQ$5+AY26*0.25+AY8*0.25</f>
        <v>1227.34437086093</v>
      </c>
      <c r="AZ22" s="176">
        <f>AQ22*$AZ$5/$AQ$5+AZ26*0.25+AZ8*0.25</f>
        <v>1111.51655629139</v>
      </c>
      <c r="BA22" s="2">
        <f t="shared" ref="BA22:BA29" si="63">SUM(AS22:AZ22)</f>
        <v>8125.12251655628</v>
      </c>
      <c r="BB22" s="2" t="e">
        <f t="shared" ref="BB22:BB29" si="64">VLOOKUP(D22,SOH,3,false)</f>
        <v>#REF!</v>
      </c>
      <c r="BC22" s="1" t="e">
        <f t="shared" ref="BC22:BC25" si="65">VLOOKUP(C22,JULY,3,false)</f>
        <v>#REF!</v>
      </c>
      <c r="BD22" s="36" t="e">
        <f t="shared" ref="BD22:BD25" si="66">VLOOKUP(C22,AUGUST,3,false)</f>
        <v>#REF!</v>
      </c>
      <c r="BE22" s="35" t="e">
        <f t="shared" ref="BE22:BE29" si="67">BB22+BC22+BD22-BA22</f>
        <v>#REF!</v>
      </c>
      <c r="BF22" s="37">
        <f>VLOOKUP(C22,MOQ,3,FALSE())</f>
        <v>3000.0</v>
      </c>
      <c r="BG22" s="38" t="s">
        <v>32</v>
      </c>
      <c r="BH22" s="29" t="s">
        <v>77</v>
      </c>
      <c r="BI22" s="36" t="e">
        <f t="shared" ref="BI22:BI29" si="68">BB22</f>
        <v>#REF!</v>
      </c>
      <c r="BJ22" s="36">
        <f t="shared" ref="BJ22:BJ29" si="69">AS22</f>
        <v>690.348785871964</v>
      </c>
      <c r="BK22" s="36"/>
      <c r="BL22" s="35" t="e">
        <f t="shared" ref="BL22:BL29" si="70">BI22+BK22-BJ22</f>
        <v>#REF!</v>
      </c>
      <c r="BM22" s="36">
        <f t="shared" ref="BM22:BM29" si="71">AT22</f>
        <v>610.701986754966</v>
      </c>
      <c r="BN22" s="36"/>
      <c r="BO22" s="35" t="e">
        <f t="shared" ref="BO22:BO29" si="72">BL22+BN22-BM22</f>
        <v>#REF!</v>
      </c>
      <c r="BP22" s="36">
        <f t="shared" ref="BP22:BP29" si="73">AU22</f>
        <v>1875.96688741721</v>
      </c>
      <c r="BQ22" s="1" t="e">
        <f t="shared" ref="BQ22:BQ29" si="74">BC22</f>
        <v>#REF!</v>
      </c>
      <c r="BR22" s="35" t="e">
        <f t="shared" ref="BR22:BR29" si="75">BO22+BQ22-BP22</f>
        <v>#REF!</v>
      </c>
      <c r="BS22" s="36">
        <f t="shared" ref="BS22:BS29" si="76">AV22</f>
        <v>922.69757174393</v>
      </c>
      <c r="BT22" s="1" t="e">
        <f t="shared" ref="BT22:BT29" si="77">BD22</f>
        <v>#REF!</v>
      </c>
      <c r="BU22" s="35" t="e">
        <f t="shared" ref="BU22:BU29" si="78">BR22+BT22-BS22</f>
        <v>#REF!</v>
      </c>
      <c r="BV22" s="36">
        <f t="shared" ref="BV22:BV29" si="79">AW22</f>
        <v>563.682119205297</v>
      </c>
      <c r="BW22" s="36"/>
      <c r="BX22" s="35" t="e">
        <f t="shared" ref="BX22:BX29" si="80">BU22+BW22-BV22</f>
        <v>#REF!</v>
      </c>
      <c r="BY22" s="36">
        <f t="shared" ref="BY22:BY29" si="81">AX22</f>
        <v>1122.86423841059</v>
      </c>
      <c r="BZ22" s="36"/>
      <c r="CA22" s="35" t="e">
        <f t="shared" ref="CA22:CA29" si="82">BX22+BZ22-BY22</f>
        <v>#REF!</v>
      </c>
      <c r="CB22" s="1">
        <f t="shared" ref="CB22:CB29" si="83">AY22</f>
        <v>1227.34437086093</v>
      </c>
      <c r="CD22" s="3" t="e">
        <f t="shared" ref="CD22:CD29" si="84">CA22+CC22-CB22</f>
        <v>#REF!</v>
      </c>
      <c r="CE22" s="1">
        <f t="shared" ref="CE22:CE29" si="85">AZ22</f>
        <v>1111.51655629139</v>
      </c>
      <c r="CG22" s="3" t="e">
        <f t="shared" ref="CG22:CG29" si="86">CD22+CF22-CE22</f>
        <v>#REF!</v>
      </c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AMI22" s="39"/>
      <c r="AMJ22" s="39"/>
      <c r="AMK22" s="39"/>
    </row>
    <row r="23" ht="14.0">
      <c r="A23" s="40" t="s">
        <v>28</v>
      </c>
      <c r="B23" s="40" t="s">
        <v>29</v>
      </c>
      <c r="C23" s="40" t="s">
        <v>62</v>
      </c>
      <c r="D23" s="40" t="s">
        <v>63</v>
      </c>
      <c r="E23" s="34"/>
      <c r="F23" s="34">
        <v>0.0</v>
      </c>
      <c r="G23" s="34">
        <v>0.0</v>
      </c>
      <c r="H23" s="34">
        <v>0.0</v>
      </c>
      <c r="I23" s="34">
        <v>0.0</v>
      </c>
      <c r="J23" s="34">
        <v>0.0</v>
      </c>
      <c r="K23" s="34">
        <v>0.0</v>
      </c>
      <c r="L23" s="34">
        <v>0.0</v>
      </c>
      <c r="M23" s="34">
        <v>0.0</v>
      </c>
      <c r="N23" s="34">
        <v>0.0</v>
      </c>
      <c r="O23" s="34">
        <v>0.0</v>
      </c>
      <c r="P23" s="34">
        <v>0.0</v>
      </c>
      <c r="Q23" s="34">
        <v>0.0</v>
      </c>
      <c r="R23" s="34">
        <v>0.0</v>
      </c>
      <c r="S23" s="34">
        <v>0.0</v>
      </c>
      <c r="T23" s="34">
        <v>181.0</v>
      </c>
      <c r="U23" s="34">
        <v>96.0</v>
      </c>
      <c r="V23" s="34">
        <v>630.0</v>
      </c>
      <c r="W23" s="34">
        <v>618.0</v>
      </c>
      <c r="X23" s="34">
        <v>950.0</v>
      </c>
      <c r="Y23" s="34">
        <v>306.0</v>
      </c>
      <c r="Z23" s="34">
        <v>54.0</v>
      </c>
      <c r="AA23" s="34">
        <v>18.0</v>
      </c>
      <c r="AB23" s="34">
        <v>48.0</v>
      </c>
      <c r="AC23" s="34">
        <v>1135.0</v>
      </c>
      <c r="AD23" s="34">
        <v>0.0</v>
      </c>
      <c r="AE23" s="34">
        <v>828.0</v>
      </c>
      <c r="AF23" s="34">
        <v>24.0</v>
      </c>
      <c r="AG23" s="34">
        <v>60.0</v>
      </c>
      <c r="AH23" s="34">
        <v>666.0</v>
      </c>
      <c r="AI23" s="34">
        <v>733.0</v>
      </c>
      <c r="AJ23" s="34">
        <v>246.0</v>
      </c>
      <c r="AK23" s="34">
        <v>882.0</v>
      </c>
      <c r="AL23" s="34">
        <v>162.0</v>
      </c>
      <c r="AM23" s="34">
        <v>31.0</v>
      </c>
      <c r="AN23" s="34">
        <v>241.0</v>
      </c>
      <c r="AO23" s="35">
        <f t="shared" si="3"/>
        <v>4833.0</v>
      </c>
      <c r="AP23" s="35">
        <f t="shared" si="4"/>
        <v>2720.0</v>
      </c>
      <c r="AQ23" s="35">
        <f t="shared" si="5"/>
        <v>2992.0</v>
      </c>
      <c r="AR23" s="36"/>
      <c r="AS23" s="176">
        <f>AQ23*$AS$5/$AQ$5+AS29</f>
        <v>937.693156732891</v>
      </c>
      <c r="AT23" s="176">
        <f>AQ23*$AT$5/$AQ$5+AT29</f>
        <v>445.607064017659</v>
      </c>
      <c r="AU23" s="176">
        <f>AQ23*$AU$5/$AQ$5+AU29</f>
        <v>863.326710816777</v>
      </c>
      <c r="AV23" s="176">
        <f>AQ23*$AV$5/$AQ$5+AV29*0.5</f>
        <v>573.458057395144</v>
      </c>
      <c r="AW23" s="176">
        <f>AQ23*$AW$5/$AQ$5+AW29*0.25</f>
        <v>395.153973509933</v>
      </c>
      <c r="AX23" s="176">
        <f>AQ23*$AX$5/$AQ$5+AX29*0.25+AX81*0.25</f>
        <v>808.607947019868</v>
      </c>
      <c r="AY23" s="176">
        <f>AQ23*$AY$5/$AQ$5+AY29*0.25+AY9*0.25+AY81*0.25</f>
        <v>988.356669820245</v>
      </c>
      <c r="AZ23" s="176">
        <f>AQ23*$AZ$5/$AQ$5+AZ29*0.25+AZ9*0.25+AZ81*0.25</f>
        <v>907.910004730362</v>
      </c>
      <c r="BA23" s="2">
        <f t="shared" si="63"/>
        <v>5920.11358404288</v>
      </c>
      <c r="BB23" s="2" t="e">
        <f t="shared" si="64"/>
        <v>#REF!</v>
      </c>
      <c r="BC23" s="1" t="e">
        <f t="shared" si="65"/>
        <v>#REF!</v>
      </c>
      <c r="BD23" s="36" t="e">
        <f t="shared" si="66"/>
        <v>#REF!</v>
      </c>
      <c r="BE23" s="35" t="e">
        <f t="shared" si="67"/>
        <v>#REF!</v>
      </c>
      <c r="BF23" s="37">
        <f>VLOOKUP(C23,MOQ,3,FALSE())</f>
        <v>3000.0</v>
      </c>
      <c r="BG23" s="177">
        <v>3000.0</v>
      </c>
      <c r="BH23" s="29" t="s">
        <v>5</v>
      </c>
      <c r="BI23" s="36" t="e">
        <f t="shared" si="68"/>
        <v>#REF!</v>
      </c>
      <c r="BJ23" s="36">
        <f t="shared" si="69"/>
        <v>937.693156732891</v>
      </c>
      <c r="BK23" s="36"/>
      <c r="BL23" s="35" t="e">
        <f t="shared" si="70"/>
        <v>#REF!</v>
      </c>
      <c r="BM23" s="36">
        <f t="shared" si="71"/>
        <v>445.607064017659</v>
      </c>
      <c r="BN23" s="36"/>
      <c r="BO23" s="35" t="e">
        <f t="shared" si="72"/>
        <v>#REF!</v>
      </c>
      <c r="BP23" s="36">
        <f t="shared" si="73"/>
        <v>863.326710816777</v>
      </c>
      <c r="BQ23" s="1" t="e">
        <f t="shared" si="74"/>
        <v>#REF!</v>
      </c>
      <c r="BR23" s="35" t="e">
        <f t="shared" si="75"/>
        <v>#REF!</v>
      </c>
      <c r="BS23" s="36">
        <f t="shared" si="76"/>
        <v>573.458057395144</v>
      </c>
      <c r="BT23" s="1" t="e">
        <f t="shared" si="77"/>
        <v>#REF!</v>
      </c>
      <c r="BU23" s="35" t="e">
        <f t="shared" si="78"/>
        <v>#REF!</v>
      </c>
      <c r="BV23" s="36">
        <f t="shared" si="79"/>
        <v>395.153973509933</v>
      </c>
      <c r="BW23" s="36"/>
      <c r="BX23" s="35" t="e">
        <f t="shared" si="80"/>
        <v>#REF!</v>
      </c>
      <c r="BY23" s="36">
        <f t="shared" si="81"/>
        <v>808.607947019868</v>
      </c>
      <c r="BZ23" s="36"/>
      <c r="CA23" s="35" t="e">
        <f t="shared" si="82"/>
        <v>#REF!</v>
      </c>
      <c r="CB23" s="1">
        <f t="shared" si="83"/>
        <v>988.356669820245</v>
      </c>
      <c r="CD23" s="3" t="e">
        <f t="shared" si="84"/>
        <v>#REF!</v>
      </c>
      <c r="CE23" s="1">
        <f t="shared" si="85"/>
        <v>907.910004730362</v>
      </c>
      <c r="CG23" s="3" t="e">
        <f t="shared" si="86"/>
        <v>#REF!</v>
      </c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AMI23" s="39"/>
      <c r="AMJ23" s="39"/>
      <c r="AMK23" s="39"/>
    </row>
    <row r="24" ht="14.0">
      <c r="A24" s="34" t="s">
        <v>28</v>
      </c>
      <c r="B24" s="34" t="s">
        <v>29</v>
      </c>
      <c r="C24" s="34" t="s">
        <v>65</v>
      </c>
      <c r="D24" s="34" t="s">
        <v>66</v>
      </c>
      <c r="E24" s="34"/>
      <c r="F24" s="34">
        <v>0.0</v>
      </c>
      <c r="G24" s="34">
        <v>0.0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0.0</v>
      </c>
      <c r="P24" s="34">
        <v>0.0</v>
      </c>
      <c r="Q24" s="34">
        <v>0.0</v>
      </c>
      <c r="R24" s="34">
        <v>0.0</v>
      </c>
      <c r="S24" s="34">
        <v>0.0</v>
      </c>
      <c r="T24" s="34">
        <v>1.0</v>
      </c>
      <c r="U24" s="34">
        <v>96.0</v>
      </c>
      <c r="V24" s="34">
        <v>36.0</v>
      </c>
      <c r="W24" s="34">
        <v>126.0</v>
      </c>
      <c r="X24" s="34">
        <v>44.0</v>
      </c>
      <c r="Y24" s="34">
        <v>408.0</v>
      </c>
      <c r="Z24" s="34">
        <v>31.0</v>
      </c>
      <c r="AA24" s="34">
        <v>36.0</v>
      </c>
      <c r="AB24" s="34">
        <v>30.0</v>
      </c>
      <c r="AC24" s="34">
        <v>594.0</v>
      </c>
      <c r="AD24" s="34">
        <v>6.0</v>
      </c>
      <c r="AE24" s="34">
        <v>486.0</v>
      </c>
      <c r="AF24" s="34">
        <v>60.0</v>
      </c>
      <c r="AG24" s="34">
        <v>12.0</v>
      </c>
      <c r="AH24" s="34">
        <v>498.0</v>
      </c>
      <c r="AI24" s="34">
        <v>572.0</v>
      </c>
      <c r="AJ24" s="34">
        <v>470.0</v>
      </c>
      <c r="AK24" s="34">
        <v>715.0</v>
      </c>
      <c r="AL24" s="34">
        <v>139.0</v>
      </c>
      <c r="AM24" s="34">
        <v>43.0</v>
      </c>
      <c r="AN24" s="34">
        <v>288.0</v>
      </c>
      <c r="AO24" s="35">
        <f t="shared" si="3"/>
        <v>3661.0</v>
      </c>
      <c r="AP24" s="35">
        <f t="shared" si="4"/>
        <v>2437.0</v>
      </c>
      <c r="AQ24" s="35">
        <f t="shared" si="5"/>
        <v>2680.7</v>
      </c>
      <c r="AR24" s="36"/>
      <c r="AS24" s="176">
        <f>AQ24*$AS$5/$AQ$5+AS28</f>
        <v>719.710816777045</v>
      </c>
      <c r="AT24" s="176">
        <f>AQ24*$AT$5/$AQ$5+AT28</f>
        <v>342.23399558499</v>
      </c>
      <c r="AU24" s="176">
        <f>AQ24*$AU$5/$AQ$5+AU28+550</f>
        <v>1213.32229580573</v>
      </c>
      <c r="AV24" s="176">
        <f>AQ24*$AV$5/$AQ$5+AV28*0.5</f>
        <v>468.631346578366</v>
      </c>
      <c r="AW24" s="176">
        <f>AQ24*$AW$5/$AQ$5+AW28*0.25</f>
        <v>336.423841059602</v>
      </c>
      <c r="AX24" s="176">
        <f>AQ24*$AX$5/$AQ$5+AX28*0.25</f>
        <v>671.347682119204</v>
      </c>
      <c r="AY24" s="176">
        <f>AQ24*$AY$5/$AQ$5+AY28*0.25</f>
        <v>736.207505518761</v>
      </c>
      <c r="AZ24" s="176">
        <f>AQ24*$AZ$5/$AQ$5+AZ28*0.25</f>
        <v>666.644591611479</v>
      </c>
      <c r="BA24" s="2">
        <f t="shared" si="63"/>
        <v>5154.52207505518</v>
      </c>
      <c r="BB24" s="2" t="e">
        <f t="shared" si="64"/>
        <v>#REF!</v>
      </c>
      <c r="BC24" s="1" t="e">
        <f t="shared" si="65"/>
        <v>#REF!</v>
      </c>
      <c r="BD24" s="36" t="e">
        <f t="shared" si="66"/>
        <v>#REF!</v>
      </c>
      <c r="BE24" s="35" t="e">
        <f t="shared" si="67"/>
        <v>#REF!</v>
      </c>
      <c r="BF24" s="37">
        <f>VLOOKUP(C24,MOQ,3,FALSE())</f>
        <v>3000.0</v>
      </c>
      <c r="BG24" s="38" t="s">
        <v>32</v>
      </c>
      <c r="BH24" s="29" t="s">
        <v>241</v>
      </c>
      <c r="BI24" s="36" t="e">
        <f t="shared" si="68"/>
        <v>#REF!</v>
      </c>
      <c r="BJ24" s="36">
        <f t="shared" si="69"/>
        <v>719.710816777045</v>
      </c>
      <c r="BK24" s="36"/>
      <c r="BL24" s="35" t="e">
        <f t="shared" si="70"/>
        <v>#REF!</v>
      </c>
      <c r="BM24" s="36">
        <f t="shared" si="71"/>
        <v>342.23399558499</v>
      </c>
      <c r="BN24" s="36"/>
      <c r="BO24" s="35" t="e">
        <f t="shared" si="72"/>
        <v>#REF!</v>
      </c>
      <c r="BP24" s="36">
        <f t="shared" si="73"/>
        <v>1213.32229580573</v>
      </c>
      <c r="BQ24" s="1" t="e">
        <f t="shared" si="74"/>
        <v>#REF!</v>
      </c>
      <c r="BR24" s="35" t="e">
        <f t="shared" si="75"/>
        <v>#REF!</v>
      </c>
      <c r="BS24" s="36">
        <f t="shared" si="76"/>
        <v>468.631346578366</v>
      </c>
      <c r="BT24" s="1" t="e">
        <f t="shared" si="77"/>
        <v>#REF!</v>
      </c>
      <c r="BU24" s="35" t="e">
        <f t="shared" si="78"/>
        <v>#REF!</v>
      </c>
      <c r="BV24" s="36">
        <f t="shared" si="79"/>
        <v>336.423841059602</v>
      </c>
      <c r="BW24" s="36"/>
      <c r="BX24" s="35" t="e">
        <f t="shared" si="80"/>
        <v>#REF!</v>
      </c>
      <c r="BY24" s="36">
        <f t="shared" si="81"/>
        <v>671.347682119204</v>
      </c>
      <c r="BZ24" s="36"/>
      <c r="CA24" s="35" t="e">
        <f t="shared" si="82"/>
        <v>#REF!</v>
      </c>
      <c r="CB24" s="1">
        <f t="shared" si="83"/>
        <v>736.207505518761</v>
      </c>
      <c r="CD24" s="3" t="e">
        <f t="shared" si="84"/>
        <v>#REF!</v>
      </c>
      <c r="CE24" s="1">
        <f t="shared" si="85"/>
        <v>666.644591611479</v>
      </c>
      <c r="CG24" s="3" t="e">
        <f t="shared" si="86"/>
        <v>#REF!</v>
      </c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AMI24" s="39"/>
      <c r="AMJ24" s="39"/>
      <c r="AMK24" s="39"/>
      <c r="AML24" s="39"/>
    </row>
    <row r="25" ht="14.0">
      <c r="A25" s="40" t="s">
        <v>28</v>
      </c>
      <c r="B25" s="40" t="s">
        <v>29</v>
      </c>
      <c r="C25" s="40" t="s">
        <v>67</v>
      </c>
      <c r="D25" s="40" t="s">
        <v>68</v>
      </c>
      <c r="E25" s="34"/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34">
        <v>0.0</v>
      </c>
      <c r="S25" s="34">
        <v>0.0</v>
      </c>
      <c r="T25" s="34">
        <v>1.0</v>
      </c>
      <c r="U25" s="34">
        <v>132.0</v>
      </c>
      <c r="V25" s="34">
        <v>36.0</v>
      </c>
      <c r="W25" s="34">
        <v>90.0</v>
      </c>
      <c r="X25" s="34">
        <v>37.0</v>
      </c>
      <c r="Y25" s="34">
        <v>383.0</v>
      </c>
      <c r="Z25" s="34">
        <v>36.0</v>
      </c>
      <c r="AA25" s="34">
        <v>30.0</v>
      </c>
      <c r="AB25" s="34">
        <v>66.0</v>
      </c>
      <c r="AC25" s="34">
        <v>606.0</v>
      </c>
      <c r="AD25" s="34">
        <v>6.0</v>
      </c>
      <c r="AE25" s="34">
        <v>492.0</v>
      </c>
      <c r="AF25" s="34">
        <v>60.0</v>
      </c>
      <c r="AG25" s="34">
        <v>24.0</v>
      </c>
      <c r="AH25" s="34">
        <v>464.0</v>
      </c>
      <c r="AI25" s="34">
        <v>595.0</v>
      </c>
      <c r="AJ25" s="34">
        <v>560.0</v>
      </c>
      <c r="AK25" s="34">
        <v>770.0</v>
      </c>
      <c r="AL25" s="34">
        <v>282.0</v>
      </c>
      <c r="AM25" s="34">
        <v>19.0</v>
      </c>
      <c r="AN25" s="34">
        <v>264.0</v>
      </c>
      <c r="AO25" s="35">
        <f t="shared" si="3"/>
        <v>3974.0</v>
      </c>
      <c r="AP25" s="35">
        <f t="shared" si="4"/>
        <v>2690.0</v>
      </c>
      <c r="AQ25" s="35">
        <f t="shared" si="5"/>
        <v>2959.0</v>
      </c>
      <c r="AR25" s="36"/>
      <c r="AS25" s="176">
        <f>AQ25*$AS$5/$AQ$5+AS27</f>
        <v>879.66445916114</v>
      </c>
      <c r="AT25" s="176">
        <f>AQ25*$AT$5/$AQ$5+AU27</f>
        <v>554.741721854303</v>
      </c>
      <c r="AU25" s="176">
        <f>AQ25*$AU$5/$AQ$5+AU27</f>
        <v>810.083885209712</v>
      </c>
      <c r="AV25" s="176">
        <f>AQ25*$AV$5/$AQ$5+AV27*0.5</f>
        <v>549.205298013245</v>
      </c>
      <c r="AW25" s="176">
        <f>AQ25*$AW$5/$AQ$5+AW27*0.25</f>
        <v>383.798013245032</v>
      </c>
      <c r="AX25" s="176">
        <f>AQ25*$AX$5/$AQ$5+AX27*0.25</f>
        <v>766.096026490066</v>
      </c>
      <c r="AY25" s="176">
        <f>AQ25*$AY$5/$AQ$5+AY27*0.25</f>
        <v>841.760485651213</v>
      </c>
      <c r="AZ25" s="176">
        <f>AQ25*$AZ$5/$AQ$5+AZ27*0.25</f>
        <v>762.224061810155</v>
      </c>
      <c r="BA25" s="2">
        <f t="shared" si="63"/>
        <v>5547.57395143487</v>
      </c>
      <c r="BB25" s="2" t="e">
        <f t="shared" si="64"/>
        <v>#REF!</v>
      </c>
      <c r="BC25" s="1" t="e">
        <f t="shared" si="65"/>
        <v>#REF!</v>
      </c>
      <c r="BD25" s="36" t="e">
        <f t="shared" si="66"/>
        <v>#REF!</v>
      </c>
      <c r="BE25" s="35" t="e">
        <f t="shared" si="67"/>
        <v>#REF!</v>
      </c>
      <c r="BF25" s="37">
        <f>VLOOKUP(C25,MOQ,3,FALSE())</f>
        <v>3000.0</v>
      </c>
      <c r="BG25" s="177">
        <f>BF25</f>
        <v>3000.0</v>
      </c>
      <c r="BH25" s="29" t="s">
        <v>77</v>
      </c>
      <c r="BI25" s="36" t="e">
        <f t="shared" si="68"/>
        <v>#REF!</v>
      </c>
      <c r="BJ25" s="36">
        <f t="shared" si="69"/>
        <v>879.66445916114</v>
      </c>
      <c r="BK25" s="36"/>
      <c r="BL25" s="35" t="e">
        <f t="shared" si="70"/>
        <v>#REF!</v>
      </c>
      <c r="BM25" s="36">
        <f t="shared" si="71"/>
        <v>554.741721854303</v>
      </c>
      <c r="BN25" s="36"/>
      <c r="BO25" s="35" t="e">
        <f t="shared" si="72"/>
        <v>#REF!</v>
      </c>
      <c r="BP25" s="36">
        <f t="shared" si="73"/>
        <v>810.083885209712</v>
      </c>
      <c r="BQ25" s="1" t="e">
        <f t="shared" si="74"/>
        <v>#REF!</v>
      </c>
      <c r="BR25" s="35" t="e">
        <f t="shared" si="75"/>
        <v>#REF!</v>
      </c>
      <c r="BS25" s="36">
        <f t="shared" si="76"/>
        <v>549.205298013245</v>
      </c>
      <c r="BT25" s="1" t="e">
        <f t="shared" si="77"/>
        <v>#REF!</v>
      </c>
      <c r="BU25" s="35" t="e">
        <f t="shared" si="78"/>
        <v>#REF!</v>
      </c>
      <c r="BV25" s="36">
        <f t="shared" si="79"/>
        <v>383.798013245032</v>
      </c>
      <c r="BW25" s="36"/>
      <c r="BX25" s="35" t="e">
        <f t="shared" si="80"/>
        <v>#REF!</v>
      </c>
      <c r="BY25" s="36">
        <f t="shared" si="81"/>
        <v>766.096026490066</v>
      </c>
      <c r="BZ25" s="36"/>
      <c r="CA25" s="35" t="e">
        <f t="shared" si="82"/>
        <v>#REF!</v>
      </c>
      <c r="CB25" s="1">
        <f t="shared" si="83"/>
        <v>841.760485651213</v>
      </c>
      <c r="CD25" s="3" t="e">
        <f t="shared" si="84"/>
        <v>#REF!</v>
      </c>
      <c r="CE25" s="1">
        <f t="shared" si="85"/>
        <v>762.224061810155</v>
      </c>
      <c r="CG25" s="3" t="e">
        <f t="shared" si="86"/>
        <v>#REF!</v>
      </c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AMI25" s="39"/>
      <c r="AMJ25" s="39"/>
      <c r="AMK25" s="39"/>
    </row>
    <row r="26" customHeight="1" ht="12.0">
      <c r="A26" s="27" t="s">
        <v>28</v>
      </c>
      <c r="B26" s="27" t="s">
        <v>29</v>
      </c>
      <c r="C26" s="27" t="s">
        <v>69</v>
      </c>
      <c r="D26" s="27" t="s">
        <v>70</v>
      </c>
      <c r="E26" s="27"/>
      <c r="F26" s="27">
        <v>332.0</v>
      </c>
      <c r="G26" s="27">
        <v>484.0</v>
      </c>
      <c r="H26" s="27">
        <v>408.0</v>
      </c>
      <c r="I26" s="27">
        <v>455.0</v>
      </c>
      <c r="J26" s="27">
        <v>567.0</v>
      </c>
      <c r="K26" s="27">
        <v>558.0</v>
      </c>
      <c r="L26" s="27">
        <v>495.0</v>
      </c>
      <c r="M26" s="27">
        <v>424.0</v>
      </c>
      <c r="N26" s="27">
        <v>304.0</v>
      </c>
      <c r="O26" s="27">
        <v>295.0</v>
      </c>
      <c r="P26" s="27">
        <v>322.0</v>
      </c>
      <c r="Q26" s="27">
        <v>300.0</v>
      </c>
      <c r="R26" s="27">
        <v>173.0</v>
      </c>
      <c r="S26" s="27">
        <v>276.0</v>
      </c>
      <c r="T26" s="27">
        <v>312.0</v>
      </c>
      <c r="U26" s="27">
        <v>254.0</v>
      </c>
      <c r="V26" s="27">
        <v>385.0</v>
      </c>
      <c r="W26" s="27">
        <v>508.0</v>
      </c>
      <c r="X26" s="27">
        <v>550.0</v>
      </c>
      <c r="Y26" s="27">
        <v>332.0</v>
      </c>
      <c r="Z26" s="27">
        <v>132.0</v>
      </c>
      <c r="AA26" s="27">
        <v>443.0</v>
      </c>
      <c r="AB26" s="27">
        <v>242.0</v>
      </c>
      <c r="AC26" s="27">
        <v>274.0</v>
      </c>
      <c r="AD26" s="27">
        <v>273.0</v>
      </c>
      <c r="AE26" s="27">
        <v>219.0</v>
      </c>
      <c r="AF26" s="27">
        <v>346.0</v>
      </c>
      <c r="AG26" s="27">
        <v>163.0</v>
      </c>
      <c r="AH26" s="27">
        <v>421.0</v>
      </c>
      <c r="AI26" s="27">
        <v>306.0</v>
      </c>
      <c r="AJ26" s="27">
        <v>466.0</v>
      </c>
      <c r="AK26" s="27">
        <v>193.0</v>
      </c>
      <c r="AL26" s="27">
        <v>239.0</v>
      </c>
      <c r="AM26" s="27">
        <v>238.0</v>
      </c>
      <c r="AN26" s="27">
        <v>147.0</v>
      </c>
      <c r="AO26" s="28">
        <f t="shared" si="3"/>
        <v>3823.0</v>
      </c>
      <c r="AP26" s="28">
        <f t="shared" si="4"/>
        <v>1863.0</v>
      </c>
      <c r="AQ26" s="28">
        <f t="shared" si="5"/>
        <v>2049.3</v>
      </c>
      <c r="AS26" s="1">
        <f>AQ26*$AS$5/$AQ$5+12*$AS$30</f>
        <v>470.920529801324</v>
      </c>
      <c r="AT26" s="1">
        <f>AQ26*$AT$5/$AQ$5+12*$AT$30</f>
        <v>225.17880794702</v>
      </c>
      <c r="AU26" s="1">
        <f>AQ26*$AU$5/$AQ$5+12*$AU$30</f>
        <v>438.019867549669</v>
      </c>
      <c r="AV26" s="171">
        <f>AQ26*$AV$5/$AQ$5+12*$AV$30</f>
        <v>360.21854304636</v>
      </c>
      <c r="AW26" s="171">
        <f>AQ26*$AW$5/$AQ$5+12*$AW$30</f>
        <v>282.417218543046</v>
      </c>
      <c r="AX26" s="171">
        <f>AQ26*$AX$5/$AQ$5+12*$AX$30</f>
        <v>552.834437086092</v>
      </c>
      <c r="AY26" s="175">
        <f t="shared" ref="AY26:AY29" si="118">AQ26*$AY$5/$AQ$5</f>
        <v>522.298013245033</v>
      </c>
      <c r="AZ26" s="175">
        <f t="shared" ref="AZ26:AZ29" si="119">AQ26*$AZ$5/$AQ$5</f>
        <v>472.94701986755</v>
      </c>
      <c r="BA26" s="2">
        <f t="shared" si="63"/>
        <v>3324.83443708609</v>
      </c>
      <c r="BB26" s="2" t="e">
        <f t="shared" si="64"/>
        <v>#REF!</v>
      </c>
      <c r="BD26" s="36"/>
      <c r="BE26" s="28" t="e">
        <f t="shared" si="67"/>
        <v>#REF!</v>
      </c>
      <c r="BF26" s="29">
        <f>VLOOKUP(C26,MOQ,3,FALSE())</f>
        <v>1620.0</v>
      </c>
      <c r="BG26" s="177" t="e">
        <f>BE26*-1</f>
        <v>#REF!</v>
      </c>
      <c r="BH26" s="29" t="s">
        <v>5</v>
      </c>
      <c r="BI26" s="1" t="e">
        <f t="shared" si="68"/>
        <v>#REF!</v>
      </c>
      <c r="BJ26" s="1">
        <f t="shared" si="69"/>
        <v>470.920529801324</v>
      </c>
      <c r="BL26" s="3" t="e">
        <f t="shared" si="70"/>
        <v>#REF!</v>
      </c>
      <c r="BM26" s="1">
        <f t="shared" si="71"/>
        <v>225.17880794702</v>
      </c>
      <c r="BO26" s="3" t="e">
        <f t="shared" si="72"/>
        <v>#REF!</v>
      </c>
      <c r="BP26" s="1">
        <f t="shared" si="73"/>
        <v>438.019867549669</v>
      </c>
      <c r="BQ26" s="1">
        <f t="shared" si="74"/>
      </c>
      <c r="BR26" s="3" t="e">
        <f t="shared" si="75"/>
        <v>#REF!</v>
      </c>
      <c r="BS26" s="1">
        <f t="shared" si="76"/>
        <v>360.21854304636</v>
      </c>
      <c r="BT26" s="1">
        <f t="shared" si="77"/>
      </c>
      <c r="BU26" s="3" t="e">
        <f t="shared" si="78"/>
        <v>#REF!</v>
      </c>
      <c r="BV26" s="1">
        <f t="shared" si="79"/>
        <v>282.417218543046</v>
      </c>
      <c r="BX26" s="3" t="e">
        <f t="shared" si="80"/>
        <v>#REF!</v>
      </c>
      <c r="BY26" s="1">
        <f t="shared" si="81"/>
        <v>552.834437086092</v>
      </c>
      <c r="CA26" s="3" t="e">
        <f t="shared" si="82"/>
        <v>#REF!</v>
      </c>
      <c r="CB26" s="1">
        <f t="shared" si="83"/>
        <v>522.298013245033</v>
      </c>
      <c r="CD26" s="3" t="e">
        <f t="shared" si="84"/>
        <v>#REF!</v>
      </c>
      <c r="CE26" s="1">
        <f t="shared" si="85"/>
        <v>472.94701986755</v>
      </c>
      <c r="CG26" s="3" t="e">
        <f t="shared" si="86"/>
        <v>#REF!</v>
      </c>
    </row>
    <row r="27" ht="14.0">
      <c r="A27" s="27" t="s">
        <v>45</v>
      </c>
      <c r="B27" s="27" t="s">
        <v>29</v>
      </c>
      <c r="C27" s="27" t="s">
        <v>71</v>
      </c>
      <c r="D27" s="27" t="s">
        <v>72</v>
      </c>
      <c r="E27" s="27"/>
      <c r="F27" s="27">
        <v>187.0</v>
      </c>
      <c r="G27" s="27">
        <v>234.0</v>
      </c>
      <c r="H27" s="27">
        <v>244.0</v>
      </c>
      <c r="I27" s="27">
        <v>248.0</v>
      </c>
      <c r="J27" s="27">
        <v>263.0</v>
      </c>
      <c r="K27" s="27">
        <v>354.0</v>
      </c>
      <c r="L27" s="27">
        <v>309.0</v>
      </c>
      <c r="M27" s="27">
        <v>307.0</v>
      </c>
      <c r="N27" s="27">
        <v>199.0</v>
      </c>
      <c r="O27" s="27">
        <v>153.0</v>
      </c>
      <c r="P27" s="27">
        <v>251.0</v>
      </c>
      <c r="Q27" s="27">
        <v>171.0</v>
      </c>
      <c r="R27" s="27">
        <v>111.0</v>
      </c>
      <c r="S27" s="27">
        <v>166.0</v>
      </c>
      <c r="T27" s="27">
        <v>179.0</v>
      </c>
      <c r="U27" s="27">
        <v>149.0</v>
      </c>
      <c r="V27" s="27">
        <v>245.0</v>
      </c>
      <c r="W27" s="27">
        <v>257.0</v>
      </c>
      <c r="X27" s="27">
        <v>312.0</v>
      </c>
      <c r="Y27" s="27">
        <v>255.0</v>
      </c>
      <c r="Z27" s="27">
        <v>286.0</v>
      </c>
      <c r="AA27" s="27">
        <v>65.0</v>
      </c>
      <c r="AB27" s="27">
        <v>130.0</v>
      </c>
      <c r="AC27" s="27">
        <v>292.0</v>
      </c>
      <c r="AD27" s="27">
        <v>143.0</v>
      </c>
      <c r="AE27" s="27">
        <v>184.0</v>
      </c>
      <c r="AF27" s="27">
        <v>191.0</v>
      </c>
      <c r="AG27" s="27">
        <v>137.0</v>
      </c>
      <c r="AH27" s="27">
        <v>259.0</v>
      </c>
      <c r="AI27" s="27">
        <v>131.0</v>
      </c>
      <c r="AJ27" s="27">
        <v>282.0</v>
      </c>
      <c r="AK27" s="27">
        <v>190.0</v>
      </c>
      <c r="AL27" s="27">
        <v>171.0</v>
      </c>
      <c r="AM27" s="27">
        <v>217.0</v>
      </c>
      <c r="AN27" s="27">
        <v>5.0</v>
      </c>
      <c r="AO27" s="28">
        <f t="shared" si="3"/>
        <v>2392.0</v>
      </c>
      <c r="AP27" s="28">
        <f t="shared" si="4"/>
        <v>1250.0</v>
      </c>
      <c r="AQ27" s="28">
        <f t="shared" si="5"/>
        <v>1375.0</v>
      </c>
      <c r="AS27" s="171">
        <f t="shared" ref="AS27:AS29" si="121">AQ27*$AS$5/$AQ$5+6*$AS$30</f>
        <v>303.66004415011</v>
      </c>
      <c r="AT27" s="171">
        <f t="shared" ref="AT27:AT29" si="122">AQ27*$AT$5/$AQ$5+6*$AT$30</f>
        <v>144.931567328918</v>
      </c>
      <c r="AU27" s="171">
        <f t="shared" ref="AU27:AU29" si="123">AQ27*$AU$5/$AQ$5+6*$AU$30</f>
        <v>281.584988962472</v>
      </c>
      <c r="AV27" s="171">
        <f t="shared" ref="AV27:AV29" si="124">AQ27*$AV$5/$AQ$5+6*$AV$30</f>
        <v>231.434878587196</v>
      </c>
      <c r="AW27" s="171">
        <f t="shared" ref="AW27:AW29" si="125">AQ27*$AW$5/$AQ$5+6*$AW$30</f>
        <v>181.28476821192</v>
      </c>
      <c r="AX27" s="171">
        <f t="shared" ref="AX27:AX29" si="126">AQ27*$AX$5/$AQ$5+6*$AX$30</f>
        <v>356.569536423841</v>
      </c>
      <c r="AY27" s="175">
        <f t="shared" si="118"/>
        <v>350.441501103752</v>
      </c>
      <c r="AZ27" s="175">
        <f t="shared" si="119"/>
        <v>317.3289183223</v>
      </c>
      <c r="BA27" s="2">
        <f t="shared" si="63"/>
        <v>2167.2362030905</v>
      </c>
      <c r="BB27" s="2" t="e">
        <f t="shared" si="64"/>
        <v>#REF!</v>
      </c>
      <c r="BD27" s="36"/>
      <c r="BE27" s="28" t="e">
        <f t="shared" si="67"/>
        <v>#REF!</v>
      </c>
      <c r="BF27" s="29">
        <f>VLOOKUP(C27,MOQ,3,FALSE())</f>
        <v>1080.0</v>
      </c>
      <c r="BG27" s="30"/>
      <c r="BH27" s="29" t="s">
        <v>5</v>
      </c>
      <c r="BI27" s="1" t="e">
        <f t="shared" si="68"/>
        <v>#REF!</v>
      </c>
      <c r="BJ27" s="1">
        <f t="shared" si="69"/>
        <v>303.66004415011</v>
      </c>
      <c r="BL27" s="3" t="e">
        <f t="shared" si="70"/>
        <v>#REF!</v>
      </c>
      <c r="BM27" s="1">
        <f t="shared" si="71"/>
        <v>144.931567328918</v>
      </c>
      <c r="BO27" s="3" t="e">
        <f t="shared" si="72"/>
        <v>#REF!</v>
      </c>
      <c r="BP27" s="1">
        <f t="shared" si="73"/>
        <v>281.584988962472</v>
      </c>
      <c r="BQ27" s="1">
        <f t="shared" si="74"/>
      </c>
      <c r="BR27" s="3" t="e">
        <f t="shared" si="75"/>
        <v>#REF!</v>
      </c>
      <c r="BS27" s="1">
        <f t="shared" si="76"/>
        <v>231.434878587196</v>
      </c>
      <c r="BT27" s="1">
        <f t="shared" si="77"/>
      </c>
      <c r="BU27" s="3" t="e">
        <f t="shared" si="78"/>
        <v>#REF!</v>
      </c>
      <c r="BV27" s="1">
        <f t="shared" si="79"/>
        <v>181.28476821192</v>
      </c>
      <c r="BX27" s="3" t="e">
        <f t="shared" si="80"/>
        <v>#REF!</v>
      </c>
      <c r="BY27" s="1">
        <f t="shared" si="81"/>
        <v>356.569536423841</v>
      </c>
      <c r="CA27" s="3" t="e">
        <f t="shared" si="82"/>
        <v>#REF!</v>
      </c>
      <c r="CB27" s="1">
        <f t="shared" si="83"/>
        <v>350.441501103752</v>
      </c>
      <c r="CD27" s="3" t="e">
        <f t="shared" si="84"/>
        <v>#REF!</v>
      </c>
      <c r="CE27" s="1">
        <f t="shared" si="85"/>
        <v>317.3289183223</v>
      </c>
      <c r="CG27" s="3" t="e">
        <f t="shared" si="86"/>
        <v>#REF!</v>
      </c>
    </row>
    <row r="28" ht="14.0">
      <c r="A28" s="27" t="s">
        <v>45</v>
      </c>
      <c r="B28" s="27" t="s">
        <v>29</v>
      </c>
      <c r="C28" s="27" t="s">
        <v>73</v>
      </c>
      <c r="D28" s="27" t="s">
        <v>74</v>
      </c>
      <c r="E28" s="27"/>
      <c r="F28" s="27">
        <v>105.0</v>
      </c>
      <c r="G28" s="27">
        <v>264.0</v>
      </c>
      <c r="H28" s="27">
        <v>181.0</v>
      </c>
      <c r="I28" s="27">
        <v>261.0</v>
      </c>
      <c r="J28" s="27">
        <v>159.0</v>
      </c>
      <c r="K28" s="27">
        <v>297.0</v>
      </c>
      <c r="L28" s="27">
        <v>282.0</v>
      </c>
      <c r="M28" s="27">
        <v>186.0</v>
      </c>
      <c r="N28" s="27">
        <v>147.0</v>
      </c>
      <c r="O28" s="27">
        <v>141.0</v>
      </c>
      <c r="P28" s="27">
        <v>137.0</v>
      </c>
      <c r="Q28" s="27">
        <v>147.0</v>
      </c>
      <c r="R28" s="27">
        <v>65.0</v>
      </c>
      <c r="S28" s="27">
        <v>106.0</v>
      </c>
      <c r="T28" s="27">
        <v>108.0</v>
      </c>
      <c r="U28" s="27">
        <v>111.0</v>
      </c>
      <c r="V28" s="27">
        <v>160.0</v>
      </c>
      <c r="W28" s="27">
        <v>164.0</v>
      </c>
      <c r="X28" s="27">
        <v>281.0</v>
      </c>
      <c r="Y28" s="27">
        <v>221.0</v>
      </c>
      <c r="Z28" s="27">
        <v>174.0</v>
      </c>
      <c r="AA28" s="27">
        <v>122.0</v>
      </c>
      <c r="AB28" s="27">
        <v>96.0</v>
      </c>
      <c r="AC28" s="27">
        <v>121.0</v>
      </c>
      <c r="AD28" s="27">
        <v>111.0</v>
      </c>
      <c r="AE28" s="27">
        <v>96.0</v>
      </c>
      <c r="AF28" s="27">
        <v>124.0</v>
      </c>
      <c r="AG28" s="27">
        <v>77.0</v>
      </c>
      <c r="AH28" s="27">
        <v>151.0</v>
      </c>
      <c r="AI28" s="27">
        <v>143.0</v>
      </c>
      <c r="AJ28" s="27">
        <v>151.0</v>
      </c>
      <c r="AK28" s="27">
        <v>114.0</v>
      </c>
      <c r="AL28" s="27">
        <v>126.0</v>
      </c>
      <c r="AM28" s="27">
        <v>71.0</v>
      </c>
      <c r="AN28" s="27">
        <v>82.0</v>
      </c>
      <c r="AO28" s="28">
        <f t="shared" si="3"/>
        <v>1503.0</v>
      </c>
      <c r="AP28" s="28">
        <f t="shared" si="4"/>
        <v>756.0</v>
      </c>
      <c r="AQ28" s="28">
        <f t="shared" si="5"/>
        <v>831.6</v>
      </c>
      <c r="AS28" s="171">
        <f t="shared" si="121"/>
        <v>197.88079470199</v>
      </c>
      <c r="AT28" s="171">
        <f t="shared" si="122"/>
        <v>94.7682119205298</v>
      </c>
      <c r="AU28" s="171">
        <f t="shared" si="123"/>
        <v>184.529801324503</v>
      </c>
      <c r="AV28" s="171">
        <f t="shared" si="124"/>
        <v>151.827814569536</v>
      </c>
      <c r="AW28" s="171">
        <f t="shared" si="125"/>
        <v>119.12582781457</v>
      </c>
      <c r="AX28" s="171">
        <f t="shared" si="126"/>
        <v>232.251655629139</v>
      </c>
      <c r="AY28" s="175">
        <f t="shared" si="118"/>
        <v>211.94701986754</v>
      </c>
      <c r="AZ28" s="175">
        <f t="shared" si="119"/>
        <v>191.920529801324</v>
      </c>
      <c r="BA28" s="2">
        <f t="shared" si="63"/>
        <v>1384.25165562913</v>
      </c>
      <c r="BB28" s="2" t="e">
        <f t="shared" si="64"/>
        <v>#REF!</v>
      </c>
      <c r="BD28" s="36"/>
      <c r="BE28" s="28" t="e">
        <f t="shared" si="67"/>
        <v>#REF!</v>
      </c>
      <c r="BF28" s="29">
        <f>VLOOKUP(C28,MOQ,3,FALSE())</f>
        <v>660.0</v>
      </c>
      <c r="BG28" s="30"/>
      <c r="BH28" s="29" t="s">
        <v>5</v>
      </c>
      <c r="BI28" s="1" t="e">
        <f t="shared" si="68"/>
        <v>#REF!</v>
      </c>
      <c r="BJ28" s="1">
        <f t="shared" si="69"/>
        <v>197.88079470199</v>
      </c>
      <c r="BL28" s="3" t="e">
        <f t="shared" si="70"/>
        <v>#REF!</v>
      </c>
      <c r="BM28" s="1">
        <f t="shared" si="71"/>
        <v>94.7682119205298</v>
      </c>
      <c r="BO28" s="3" t="e">
        <f t="shared" si="72"/>
        <v>#REF!</v>
      </c>
      <c r="BP28" s="1">
        <f t="shared" si="73"/>
        <v>184.529801324503</v>
      </c>
      <c r="BQ28" s="1">
        <f t="shared" si="74"/>
      </c>
      <c r="BR28" s="3" t="e">
        <f t="shared" si="75"/>
        <v>#REF!</v>
      </c>
      <c r="BS28" s="1">
        <f t="shared" si="76"/>
        <v>151.827814569536</v>
      </c>
      <c r="BT28" s="1">
        <f t="shared" si="77"/>
      </c>
      <c r="BU28" s="3" t="e">
        <f t="shared" si="78"/>
        <v>#REF!</v>
      </c>
      <c r="BV28" s="1">
        <f t="shared" si="79"/>
        <v>119.12582781457</v>
      </c>
      <c r="BX28" s="3" t="e">
        <f t="shared" si="80"/>
        <v>#REF!</v>
      </c>
      <c r="BY28" s="1">
        <f t="shared" si="81"/>
        <v>232.251655629139</v>
      </c>
      <c r="CA28" s="3" t="e">
        <f t="shared" si="82"/>
        <v>#REF!</v>
      </c>
      <c r="CB28" s="1">
        <f t="shared" si="83"/>
        <v>211.94701986754</v>
      </c>
      <c r="CD28" s="3" t="e">
        <f t="shared" si="84"/>
        <v>#REF!</v>
      </c>
      <c r="CE28" s="1">
        <f t="shared" si="85"/>
        <v>191.920529801324</v>
      </c>
      <c r="CG28" s="3" t="e">
        <f t="shared" si="86"/>
        <v>#REF!</v>
      </c>
    </row>
    <row r="29" ht="14.0">
      <c r="A29" s="27" t="s">
        <v>45</v>
      </c>
      <c r="B29" s="27" t="s">
        <v>29</v>
      </c>
      <c r="C29" s="27" t="s">
        <v>75</v>
      </c>
      <c r="D29" s="27" t="s">
        <v>76</v>
      </c>
      <c r="E29" s="27"/>
      <c r="F29" s="27">
        <v>310.0</v>
      </c>
      <c r="G29" s="27">
        <v>397.0</v>
      </c>
      <c r="H29" s="27">
        <v>272.0</v>
      </c>
      <c r="I29" s="27">
        <v>366.0</v>
      </c>
      <c r="J29" s="27">
        <v>379.0</v>
      </c>
      <c r="K29" s="27">
        <v>383.0</v>
      </c>
      <c r="L29" s="27">
        <v>420.0</v>
      </c>
      <c r="M29" s="27">
        <v>425.0</v>
      </c>
      <c r="N29" s="27">
        <v>338.0</v>
      </c>
      <c r="O29" s="27">
        <v>201.0</v>
      </c>
      <c r="P29" s="27">
        <v>336.0</v>
      </c>
      <c r="Q29" s="27">
        <v>218.0</v>
      </c>
      <c r="R29" s="27">
        <v>181.0</v>
      </c>
      <c r="S29" s="27">
        <v>199.0</v>
      </c>
      <c r="T29" s="27">
        <v>272.0</v>
      </c>
      <c r="U29" s="27">
        <v>184.0</v>
      </c>
      <c r="V29" s="27">
        <v>311.0</v>
      </c>
      <c r="W29" s="27">
        <v>325.0</v>
      </c>
      <c r="X29" s="27">
        <v>432.0</v>
      </c>
      <c r="Y29" s="27">
        <v>331.0</v>
      </c>
      <c r="Z29" s="27">
        <v>335.0</v>
      </c>
      <c r="AA29" s="27">
        <v>264.0</v>
      </c>
      <c r="AB29" s="27">
        <v>127.0</v>
      </c>
      <c r="AC29" s="27">
        <v>246.0</v>
      </c>
      <c r="AD29" s="27">
        <v>180.0</v>
      </c>
      <c r="AE29" s="27">
        <v>248.0</v>
      </c>
      <c r="AF29" s="27">
        <v>243.0</v>
      </c>
      <c r="AG29" s="27">
        <v>192.0</v>
      </c>
      <c r="AH29" s="27">
        <v>286.0</v>
      </c>
      <c r="AI29" s="27">
        <v>262.0</v>
      </c>
      <c r="AJ29" s="27">
        <v>329.0</v>
      </c>
      <c r="AK29" s="27">
        <v>193.0</v>
      </c>
      <c r="AL29" s="27">
        <v>214.0</v>
      </c>
      <c r="AM29" s="27">
        <v>207.0</v>
      </c>
      <c r="AN29" s="27">
        <v>144.0</v>
      </c>
      <c r="AO29" s="28">
        <f t="shared" si="3"/>
        <v>2991.0</v>
      </c>
      <c r="AP29" s="28">
        <f t="shared" si="4"/>
        <v>1491.0</v>
      </c>
      <c r="AQ29" s="28">
        <f t="shared" si="5"/>
        <v>1640.1</v>
      </c>
      <c r="AS29" s="171">
        <f t="shared" si="121"/>
        <v>355.264900662251</v>
      </c>
      <c r="AT29" s="171">
        <f t="shared" si="122"/>
        <v>169.403973509933</v>
      </c>
      <c r="AU29" s="171">
        <f t="shared" si="123"/>
        <v>328.933774834437</v>
      </c>
      <c r="AV29" s="171">
        <f t="shared" si="124"/>
        <v>270.271523178808</v>
      </c>
      <c r="AW29" s="171">
        <f t="shared" si="125"/>
        <v>211.609271523179</v>
      </c>
      <c r="AX29" s="171">
        <f t="shared" si="126"/>
        <v>417.21854304636</v>
      </c>
      <c r="AY29" s="175">
        <f t="shared" si="118"/>
        <v>418.006622516556</v>
      </c>
      <c r="AZ29" s="175">
        <f t="shared" si="119"/>
        <v>378.509933774834</v>
      </c>
      <c r="BA29" s="2">
        <f t="shared" si="63"/>
        <v>2549.21854304636</v>
      </c>
      <c r="BB29" s="2" t="e">
        <f t="shared" si="64"/>
        <v>#REF!</v>
      </c>
      <c r="BD29" s="36"/>
      <c r="BE29" s="28" t="e">
        <f t="shared" si="67"/>
        <v>#REF!</v>
      </c>
      <c r="BF29" s="29">
        <f>VLOOKUP(C29,MOQ,3,FALSE())</f>
        <v>480.0</v>
      </c>
      <c r="BG29" s="30"/>
      <c r="BH29" s="29" t="s">
        <v>5</v>
      </c>
      <c r="BI29" s="1" t="e">
        <f t="shared" si="68"/>
        <v>#REF!</v>
      </c>
      <c r="BJ29" s="1">
        <f t="shared" si="69"/>
        <v>355.264900662251</v>
      </c>
      <c r="BL29" s="3" t="e">
        <f t="shared" si="70"/>
        <v>#REF!</v>
      </c>
      <c r="BM29" s="1">
        <f t="shared" si="71"/>
        <v>169.403973509933</v>
      </c>
      <c r="BO29" s="3" t="e">
        <f t="shared" si="72"/>
        <v>#REF!</v>
      </c>
      <c r="BP29" s="1">
        <f t="shared" si="73"/>
        <v>328.933774834437</v>
      </c>
      <c r="BQ29" s="1">
        <f t="shared" si="74"/>
      </c>
      <c r="BR29" s="3" t="e">
        <f t="shared" si="75"/>
        <v>#REF!</v>
      </c>
      <c r="BS29" s="1">
        <f t="shared" si="76"/>
        <v>270.271523178808</v>
      </c>
      <c r="BT29" s="1">
        <f t="shared" si="77"/>
      </c>
      <c r="BU29" s="3" t="e">
        <f t="shared" si="78"/>
        <v>#REF!</v>
      </c>
      <c r="BV29" s="1">
        <f t="shared" si="79"/>
        <v>211.609271523179</v>
      </c>
      <c r="BX29" s="3" t="e">
        <f t="shared" si="80"/>
        <v>#REF!</v>
      </c>
      <c r="BY29" s="1">
        <f t="shared" si="81"/>
        <v>417.21854304636</v>
      </c>
      <c r="CA29" s="3" t="e">
        <f t="shared" si="82"/>
        <v>#REF!</v>
      </c>
      <c r="CB29" s="1">
        <f t="shared" si="83"/>
        <v>418.006622516556</v>
      </c>
      <c r="CD29" s="3" t="e">
        <f t="shared" si="84"/>
        <v>#REF!</v>
      </c>
      <c r="CE29" s="1">
        <f t="shared" si="85"/>
        <v>378.509933774834</v>
      </c>
      <c r="CG29" s="3" t="e">
        <f t="shared" si="86"/>
        <v>#REF!</v>
      </c>
    </row>
    <row r="30" ht="14.0">
      <c r="A30" s="27" t="s">
        <v>28</v>
      </c>
      <c r="B30" s="27" t="s">
        <v>29</v>
      </c>
      <c r="C30" s="27" t="s">
        <v>78</v>
      </c>
      <c r="D30" s="27" t="s">
        <v>79</v>
      </c>
      <c r="E30" s="27"/>
      <c r="F30" s="27">
        <v>3.0</v>
      </c>
      <c r="G30" s="27">
        <v>8.0</v>
      </c>
      <c r="H30" s="27">
        <v>9.0</v>
      </c>
      <c r="I30" s="27">
        <v>9.0</v>
      </c>
      <c r="J30" s="27">
        <v>12.0</v>
      </c>
      <c r="K30" s="27">
        <v>14.0</v>
      </c>
      <c r="L30" s="27">
        <v>4.0</v>
      </c>
      <c r="M30" s="27">
        <v>9.0</v>
      </c>
      <c r="N30" s="27">
        <v>9.0</v>
      </c>
      <c r="O30" s="27">
        <v>13.0</v>
      </c>
      <c r="P30" s="27">
        <v>7.0</v>
      </c>
      <c r="Q30" s="27">
        <v>6.0</v>
      </c>
      <c r="R30" s="27">
        <v>9.0</v>
      </c>
      <c r="S30" s="27">
        <v>9.0</v>
      </c>
      <c r="T30" s="27">
        <v>10.0</v>
      </c>
      <c r="U30" s="27">
        <v>8.0</v>
      </c>
      <c r="V30" s="27">
        <v>9.0</v>
      </c>
      <c r="W30" s="27">
        <v>4.0</v>
      </c>
      <c r="X30" s="27">
        <v>7.0</v>
      </c>
      <c r="Y30" s="27">
        <v>5.0</v>
      </c>
      <c r="Z30" s="27">
        <v>1.0</v>
      </c>
      <c r="AA30" s="27">
        <v>1.0</v>
      </c>
      <c r="AB30" s="27">
        <v>0.0</v>
      </c>
      <c r="AC30" s="27">
        <v>8.0</v>
      </c>
      <c r="AD30" s="27">
        <v>3.0</v>
      </c>
      <c r="AE30" s="27">
        <v>4.0</v>
      </c>
      <c r="AF30" s="27">
        <v>4.0</v>
      </c>
      <c r="AG30" s="27">
        <v>11.0</v>
      </c>
      <c r="AH30" s="27">
        <v>7.0</v>
      </c>
      <c r="AI30" s="27">
        <v>9.0</v>
      </c>
      <c r="AJ30" s="27">
        <v>5.0</v>
      </c>
      <c r="AK30" s="27">
        <v>3.0</v>
      </c>
      <c r="AL30" s="27">
        <v>1.0</v>
      </c>
      <c r="AM30" s="27">
        <v>3.0</v>
      </c>
      <c r="AN30" s="27">
        <v>2.0</v>
      </c>
      <c r="AO30" s="32">
        <f t="shared" si="3"/>
        <v>59.0</v>
      </c>
      <c r="AP30" s="32">
        <f t="shared" si="4"/>
        <v>28.0</v>
      </c>
      <c r="AQ30" s="32">
        <f t="shared" si="5"/>
        <v>30.8</v>
      </c>
      <c r="AR30" s="33"/>
      <c r="AS30" s="33">
        <v>6.0</v>
      </c>
      <c r="AT30" s="33">
        <v>3.0</v>
      </c>
      <c r="AU30" s="33">
        <v>6.0</v>
      </c>
      <c r="AV30" s="33">
        <v>5.0</v>
      </c>
      <c r="AW30" s="33">
        <v>4.0</v>
      </c>
      <c r="AX30" s="33">
        <v>7.0</v>
      </c>
      <c r="AY30" s="36">
        <v>8.0</v>
      </c>
      <c r="AZ30" s="36">
        <v>7.0</v>
      </c>
      <c r="BA30" s="2">
        <f t="shared" ref="BA30:BA63" si="127">SUM(AS30:AX30)</f>
        <v>31.0</v>
      </c>
      <c r="BB30" s="2" t="e">
        <f t="shared" ref="BB30:BB63" si="128">VLOOKUP(D30,MAY1,3,false)</f>
        <v>#REF!</v>
      </c>
      <c r="BF30">
        <f>VLOOKUP(C30,MOQ,3,FALSE())</f>
      </c>
      <c r="BK30" s="1">
        <f t="shared" ref="BK30:BK61" si="129">BC30</f>
      </c>
      <c r="BL30" s="3"/>
      <c r="BN30" s="1">
        <f t="shared" ref="BN30:BN61" si="130">BD30</f>
      </c>
      <c r="BO30" s="3"/>
      <c r="BR30" s="3"/>
      <c r="BU30" s="3"/>
      <c r="BX30" s="3"/>
      <c r="CA30" s="3"/>
    </row>
    <row r="31" ht="14.0">
      <c r="A31" s="27" t="s">
        <v>28</v>
      </c>
      <c r="B31" s="27" t="s">
        <v>29</v>
      </c>
      <c r="C31" s="27" t="s">
        <v>80</v>
      </c>
      <c r="D31" s="27" t="s">
        <v>81</v>
      </c>
      <c r="E31" s="27"/>
      <c r="F31" s="27">
        <v>0.0</v>
      </c>
      <c r="G31" s="27">
        <v>48.0</v>
      </c>
      <c r="H31" s="27">
        <v>1409.0</v>
      </c>
      <c r="I31" s="27">
        <v>1121.0</v>
      </c>
      <c r="J31" s="27">
        <v>210.0</v>
      </c>
      <c r="K31" s="27">
        <v>177.0</v>
      </c>
      <c r="L31" s="27">
        <v>1956.0</v>
      </c>
      <c r="M31" s="27">
        <v>195.0</v>
      </c>
      <c r="N31" s="27">
        <v>643.0</v>
      </c>
      <c r="O31" s="27">
        <v>4.0</v>
      </c>
      <c r="P31" s="27">
        <v>1219.0</v>
      </c>
      <c r="Q31" s="27">
        <v>222.0</v>
      </c>
      <c r="R31" s="27">
        <v>162.0</v>
      </c>
      <c r="S31" s="27">
        <v>678.0</v>
      </c>
      <c r="T31" s="27">
        <v>936.0</v>
      </c>
      <c r="U31" s="27">
        <v>26.0</v>
      </c>
      <c r="V31" s="27">
        <v>960.0</v>
      </c>
      <c r="W31" s="27">
        <v>876.0</v>
      </c>
      <c r="X31" s="27">
        <v>534.0</v>
      </c>
      <c r="Y31" s="27">
        <v>464.0</v>
      </c>
      <c r="Z31" s="27">
        <v>223.0</v>
      </c>
      <c r="AA31" s="27">
        <v>760.0</v>
      </c>
      <c r="AB31" s="27">
        <v>229.0</v>
      </c>
      <c r="AC31" s="27">
        <v>985.0</v>
      </c>
      <c r="AD31" s="27">
        <v>96.0</v>
      </c>
      <c r="AE31" s="27">
        <v>809.0</v>
      </c>
      <c r="AF31" s="27">
        <v>144.0</v>
      </c>
      <c r="AG31" s="27">
        <v>162.0</v>
      </c>
      <c r="AH31" s="27">
        <v>611.0</v>
      </c>
      <c r="AI31" s="27">
        <v>679.0</v>
      </c>
      <c r="AJ31" s="27">
        <v>600.0</v>
      </c>
      <c r="AK31" s="27">
        <v>642.0</v>
      </c>
      <c r="AL31" s="27">
        <v>285.0</v>
      </c>
      <c r="AM31" s="27">
        <v>168.0</v>
      </c>
      <c r="AN31" s="27">
        <v>384.0</v>
      </c>
      <c r="AO31" s="28">
        <f t="shared" si="3"/>
        <v>6170.0</v>
      </c>
      <c r="AP31" s="28">
        <f t="shared" si="4"/>
        <v>2985.0</v>
      </c>
      <c r="AQ31" s="28">
        <f t="shared" si="5"/>
        <v>3283.5</v>
      </c>
      <c r="AS31" s="1">
        <f>AQ31*$AS$5/$AQ$5+12*$AS$36</f>
        <v>723.172185430463</v>
      </c>
      <c r="AT31" s="1">
        <f>AQ31*$AT$5/$AQ$5+12*$AT$36</f>
        <v>339.11258278146</v>
      </c>
      <c r="AU31" s="1">
        <f>AQ31*$AU$5/$AQ$5+12*$AU$36</f>
        <v>658.456953642384</v>
      </c>
      <c r="AV31" s="1">
        <f>AQ31*$AV$5/$AQ$5+12*$AV$36</f>
        <v>541.026490066225</v>
      </c>
      <c r="AW31" s="1">
        <f>AQ31*$AW$5/$AQ$5+12*$AW$36</f>
        <v>423.596026490066</v>
      </c>
      <c r="AX31" s="1">
        <f>AQ31*$AX$5/$AQ$5+12*$AX$36</f>
        <v>847.192052980132</v>
      </c>
      <c r="BA31" s="2">
        <f t="shared" si="127"/>
        <v>3532.55629139072</v>
      </c>
      <c r="BB31" s="2" t="e">
        <f t="shared" si="128"/>
        <v>#REF!</v>
      </c>
      <c r="BE31" s="3" t="e">
        <f t="shared" ref="BE31:BE35" si="137">BB31+BC31+BD31-BA31</f>
        <v>#REF!</v>
      </c>
      <c r="BF31" s="1">
        <f>VLOOKUP(C31,MOQ,3,FALSE())</f>
        <v>3000.0</v>
      </c>
      <c r="BG31" s="43" t="s">
        <v>32</v>
      </c>
      <c r="BI31" s="1" t="e">
        <f t="shared" ref="BI31:BI35" si="138">BB31</f>
        <v>#REF!</v>
      </c>
      <c r="BJ31" s="1">
        <f t="shared" ref="BJ31:BJ35" si="139">AS31</f>
        <v>723.172185430463</v>
      </c>
      <c r="BK31" s="1">
        <f t="shared" si="129"/>
      </c>
      <c r="BL31" s="3" t="e">
        <f t="shared" ref="BL31:BL35" si="140">BI31+BK31-BJ31</f>
        <v>#REF!</v>
      </c>
      <c r="BM31" s="1">
        <f t="shared" ref="BM31:BM35" si="141">AT31</f>
        <v>339.11258278146</v>
      </c>
      <c r="BN31" s="1">
        <f t="shared" si="130"/>
      </c>
      <c r="BO31" s="3" t="e">
        <f t="shared" ref="BO31:BO35" si="142">BL31+BN31-BM31</f>
        <v>#REF!</v>
      </c>
      <c r="BP31" s="1">
        <f t="shared" ref="BP31:BP35" si="143">AU31</f>
        <v>658.456953642384</v>
      </c>
      <c r="BR31" s="3" t="e">
        <f t="shared" ref="BR31:BR35" si="144">BO31+BQ31-BP31</f>
        <v>#REF!</v>
      </c>
      <c r="BS31" s="1">
        <f t="shared" ref="BS31:BS35" si="145">AV31</f>
        <v>541.026490066225</v>
      </c>
      <c r="BU31" s="3" t="e">
        <f t="shared" ref="BU31:BU35" si="146">BR31+BT31-BS31</f>
        <v>#REF!</v>
      </c>
      <c r="BV31" s="1">
        <f t="shared" ref="BV31:BV35" si="147">AW31</f>
        <v>423.596026490066</v>
      </c>
      <c r="BX31" s="3" t="e">
        <f t="shared" ref="BX31:BX35" si="148">BU31+BW31-BV31</f>
        <v>#REF!</v>
      </c>
      <c r="BY31" s="1">
        <f t="shared" ref="BY31:BY35" si="149">AX31</f>
        <v>847.192052980132</v>
      </c>
      <c r="CA31" s="3" t="e">
        <f t="shared" ref="CA31:CA35" si="150">BX31+BZ31-BY31</f>
        <v>#REF!</v>
      </c>
    </row>
    <row r="32" ht="14.0">
      <c r="A32" s="27" t="s">
        <v>28</v>
      </c>
      <c r="B32" s="27" t="s">
        <v>29</v>
      </c>
      <c r="C32" s="27" t="s">
        <v>82</v>
      </c>
      <c r="D32" s="27" t="s">
        <v>83</v>
      </c>
      <c r="E32" s="27"/>
      <c r="F32" s="27">
        <v>0.0</v>
      </c>
      <c r="G32" s="27">
        <v>36.0</v>
      </c>
      <c r="H32" s="27">
        <v>1290.0</v>
      </c>
      <c r="I32" s="27">
        <v>899.0</v>
      </c>
      <c r="J32" s="27">
        <v>228.0</v>
      </c>
      <c r="K32" s="27">
        <v>280.0</v>
      </c>
      <c r="L32" s="27">
        <v>1686.0</v>
      </c>
      <c r="M32" s="27">
        <v>157.0</v>
      </c>
      <c r="N32" s="27">
        <v>882.0</v>
      </c>
      <c r="O32" s="27">
        <v>222.0</v>
      </c>
      <c r="P32" s="27">
        <v>1068.0</v>
      </c>
      <c r="Q32" s="27">
        <v>175.0</v>
      </c>
      <c r="R32" s="27">
        <v>142.0</v>
      </c>
      <c r="S32" s="27">
        <v>690.0</v>
      </c>
      <c r="T32" s="27">
        <v>682.0</v>
      </c>
      <c r="U32" s="27">
        <v>-14.0</v>
      </c>
      <c r="V32" s="27">
        <v>669.0</v>
      </c>
      <c r="W32" s="27">
        <v>637.0</v>
      </c>
      <c r="X32" s="27">
        <v>556.0</v>
      </c>
      <c r="Y32" s="27">
        <v>502.0</v>
      </c>
      <c r="Z32" s="27">
        <v>172.0</v>
      </c>
      <c r="AA32" s="27">
        <v>642.0</v>
      </c>
      <c r="AB32" s="27">
        <v>131.0</v>
      </c>
      <c r="AC32" s="27">
        <v>1033.0</v>
      </c>
      <c r="AD32" s="27">
        <v>90.0</v>
      </c>
      <c r="AE32" s="27">
        <v>652.0</v>
      </c>
      <c r="AF32" s="27">
        <v>132.0</v>
      </c>
      <c r="AG32" s="27">
        <v>108.0</v>
      </c>
      <c r="AH32" s="27">
        <v>548.0</v>
      </c>
      <c r="AI32" s="27">
        <v>642.0</v>
      </c>
      <c r="AJ32" s="27">
        <v>446.0</v>
      </c>
      <c r="AK32" s="27">
        <v>657.0</v>
      </c>
      <c r="AL32" s="27">
        <v>312.0</v>
      </c>
      <c r="AM32" s="27">
        <v>144.0</v>
      </c>
      <c r="AN32" s="27">
        <v>309.0</v>
      </c>
      <c r="AO32" s="28">
        <f t="shared" si="3"/>
        <v>5537.0</v>
      </c>
      <c r="AP32" s="28">
        <f t="shared" si="4"/>
        <v>2749.0</v>
      </c>
      <c r="AQ32" s="28">
        <f t="shared" si="5"/>
        <v>3023.9</v>
      </c>
      <c r="AS32" s="1">
        <f t="shared" ref="AS32:AS35" si="151">AQ32*$AS$5/$AQ$5+6*$AS$36</f>
        <v>630.637969094922</v>
      </c>
      <c r="AT32" s="1">
        <f t="shared" ref="AT32:AT35" si="152">AQ32*$AT$5/$AQ$5+6*$AT$36</f>
        <v>297.147902869757</v>
      </c>
      <c r="AU32" s="1">
        <f t="shared" ref="AU32:AU35" si="153">AQ32*$AU$5/$AQ$5+6*$AU$36</f>
        <v>576.090507726269</v>
      </c>
      <c r="AV32" s="1">
        <f t="shared" ref="AV32:AV35" si="154">AQ32*$AV$5/$AQ$5+6*$AV$36</f>
        <v>472.995584988962</v>
      </c>
      <c r="AW32" s="1">
        <f t="shared" ref="AW32:AW35" si="155">AQ32*$AW$5/$AQ$5+6*$AW$36</f>
        <v>369.900662251656</v>
      </c>
      <c r="AX32" s="1">
        <f t="shared" ref="AX32:AX35" si="156">AQ32*$AX$5/$AQ$5+6*$AX$36</f>
        <v>739.801324503311</v>
      </c>
      <c r="BA32" s="2">
        <f t="shared" si="127"/>
        <v>3086.57395143488</v>
      </c>
      <c r="BB32" s="2" t="e">
        <f t="shared" si="128"/>
        <v>#REF!</v>
      </c>
      <c r="BE32" s="3" t="e">
        <f t="shared" si="137"/>
        <v>#REF!</v>
      </c>
      <c r="BF32" s="1">
        <f>VLOOKUP(C32,MOQ,3,FALSE())</f>
        <v>3000.0</v>
      </c>
      <c r="BG32" s="4">
        <f>BF32</f>
        <v>3000.0</v>
      </c>
      <c r="BH32" s="1" t="s">
        <v>8</v>
      </c>
      <c r="BI32" s="1" t="e">
        <f t="shared" si="138"/>
        <v>#REF!</v>
      </c>
      <c r="BJ32" s="1">
        <f t="shared" si="139"/>
        <v>630.637969094922</v>
      </c>
      <c r="BK32" s="1">
        <f t="shared" si="129"/>
      </c>
      <c r="BL32" s="3" t="e">
        <f t="shared" si="140"/>
        <v>#REF!</v>
      </c>
      <c r="BM32" s="1">
        <f t="shared" si="141"/>
        <v>297.147902869757</v>
      </c>
      <c r="BN32" s="1">
        <f t="shared" si="130"/>
      </c>
      <c r="BO32" s="3" t="e">
        <f t="shared" si="142"/>
        <v>#REF!</v>
      </c>
      <c r="BP32" s="1">
        <f t="shared" si="143"/>
        <v>576.090507726269</v>
      </c>
      <c r="BR32" s="3" t="e">
        <f t="shared" si="144"/>
        <v>#REF!</v>
      </c>
      <c r="BS32" s="1">
        <f t="shared" si="145"/>
        <v>472.995584988962</v>
      </c>
      <c r="BU32" s="3" t="e">
        <f t="shared" si="146"/>
        <v>#REF!</v>
      </c>
      <c r="BV32" s="1">
        <f t="shared" si="147"/>
        <v>369.900662251656</v>
      </c>
      <c r="BX32" s="3" t="e">
        <f t="shared" si="148"/>
        <v>#REF!</v>
      </c>
      <c r="BY32" s="1">
        <f t="shared" si="149"/>
        <v>739.801324503311</v>
      </c>
      <c r="CA32" s="3" t="e">
        <f t="shared" si="150"/>
        <v>#REF!</v>
      </c>
    </row>
    <row r="33" ht="14.0">
      <c r="A33" s="27" t="s">
        <v>28</v>
      </c>
      <c r="B33" s="27" t="s">
        <v>29</v>
      </c>
      <c r="C33" s="27" t="s">
        <v>84</v>
      </c>
      <c r="D33" s="27" t="s">
        <v>85</v>
      </c>
      <c r="E33" s="27"/>
      <c r="F33" s="27">
        <v>0.0</v>
      </c>
      <c r="G33" s="27">
        <v>30.0</v>
      </c>
      <c r="H33" s="27">
        <v>48.0</v>
      </c>
      <c r="I33" s="27">
        <v>107.0</v>
      </c>
      <c r="J33" s="27">
        <v>102.0</v>
      </c>
      <c r="K33" s="27">
        <v>179.0</v>
      </c>
      <c r="L33" s="27">
        <v>454.0</v>
      </c>
      <c r="M33" s="27">
        <v>140.0</v>
      </c>
      <c r="N33" s="27">
        <v>258.0</v>
      </c>
      <c r="O33" s="27">
        <v>232.0</v>
      </c>
      <c r="P33" s="27">
        <v>524.0</v>
      </c>
      <c r="Q33" s="27">
        <v>86.0</v>
      </c>
      <c r="R33" s="27">
        <v>71.0</v>
      </c>
      <c r="S33" s="27">
        <v>293.0</v>
      </c>
      <c r="T33" s="27">
        <v>130.0</v>
      </c>
      <c r="U33" s="27">
        <v>71.0</v>
      </c>
      <c r="V33" s="27">
        <v>142.0</v>
      </c>
      <c r="W33" s="27">
        <v>137.0</v>
      </c>
      <c r="X33" s="27">
        <v>150.0</v>
      </c>
      <c r="Y33" s="27">
        <v>160.0</v>
      </c>
      <c r="Z33" s="27">
        <v>135.0</v>
      </c>
      <c r="AA33" s="27">
        <v>144.0</v>
      </c>
      <c r="AB33" s="27">
        <v>110.0</v>
      </c>
      <c r="AC33" s="27">
        <v>108.0</v>
      </c>
      <c r="AD33" s="27">
        <v>60.0</v>
      </c>
      <c r="AE33" s="27">
        <v>114.0</v>
      </c>
      <c r="AF33" s="27">
        <v>88.0</v>
      </c>
      <c r="AG33" s="27">
        <v>66.0</v>
      </c>
      <c r="AH33" s="27">
        <v>173.0</v>
      </c>
      <c r="AI33" s="27">
        <v>134.0</v>
      </c>
      <c r="AJ33" s="27">
        <v>127.0</v>
      </c>
      <c r="AK33" s="27">
        <v>150.0</v>
      </c>
      <c r="AL33" s="27">
        <v>125.0</v>
      </c>
      <c r="AM33" s="27">
        <v>123.0</v>
      </c>
      <c r="AN33" s="27">
        <v>78.0</v>
      </c>
      <c r="AO33" s="28">
        <f t="shared" si="3"/>
        <v>1522.0</v>
      </c>
      <c r="AP33" s="28">
        <f t="shared" si="4"/>
        <v>832.0</v>
      </c>
      <c r="AQ33" s="28">
        <f t="shared" si="5"/>
        <v>915.2</v>
      </c>
      <c r="AS33" s="1">
        <f t="shared" si="151"/>
        <v>220.154525386313</v>
      </c>
      <c r="AT33" s="1">
        <f t="shared" si="152"/>
        <v>102.485651214128</v>
      </c>
      <c r="AU33" s="1">
        <f t="shared" si="153"/>
        <v>199.461368653421</v>
      </c>
      <c r="AV33" s="1">
        <f t="shared" si="154"/>
        <v>164.075055187638</v>
      </c>
      <c r="AW33" s="1">
        <f t="shared" si="155"/>
        <v>128.688741721854</v>
      </c>
      <c r="AX33" s="1">
        <f t="shared" si="156"/>
        <v>257.377483443709</v>
      </c>
      <c r="BA33" s="2">
        <f t="shared" si="127"/>
        <v>1072.24282560706</v>
      </c>
      <c r="BB33" s="2" t="e">
        <f t="shared" si="128"/>
        <v>#REF!</v>
      </c>
      <c r="BE33" s="3" t="e">
        <f t="shared" si="137"/>
        <v>#REF!</v>
      </c>
      <c r="BF33" s="1">
        <f>VLOOKUP(C33,MOQ,3,FALSE())</f>
        <v>3000.0</v>
      </c>
      <c r="BI33" s="1" t="e">
        <f t="shared" si="138"/>
        <v>#REF!</v>
      </c>
      <c r="BJ33" s="1">
        <f t="shared" si="139"/>
        <v>220.154525386313</v>
      </c>
      <c r="BK33" s="1">
        <f t="shared" si="129"/>
      </c>
      <c r="BL33" s="3" t="e">
        <f t="shared" si="140"/>
        <v>#REF!</v>
      </c>
      <c r="BM33" s="1">
        <f t="shared" si="141"/>
        <v>102.485651214128</v>
      </c>
      <c r="BN33" s="1">
        <f t="shared" si="130"/>
      </c>
      <c r="BO33" s="3" t="e">
        <f t="shared" si="142"/>
        <v>#REF!</v>
      </c>
      <c r="BP33" s="1">
        <f t="shared" si="143"/>
        <v>199.461368653421</v>
      </c>
      <c r="BR33" s="3" t="e">
        <f t="shared" si="144"/>
        <v>#REF!</v>
      </c>
      <c r="BS33" s="1">
        <f t="shared" si="145"/>
        <v>164.075055187638</v>
      </c>
      <c r="BU33" s="3" t="e">
        <f t="shared" si="146"/>
        <v>#REF!</v>
      </c>
      <c r="BV33" s="1">
        <f t="shared" si="147"/>
        <v>128.688741721854</v>
      </c>
      <c r="BX33" s="3" t="e">
        <f t="shared" si="148"/>
        <v>#REF!</v>
      </c>
      <c r="BY33" s="1">
        <f t="shared" si="149"/>
        <v>257.377483443709</v>
      </c>
      <c r="CA33" s="3" t="e">
        <f t="shared" si="150"/>
        <v>#REF!</v>
      </c>
    </row>
    <row r="34" ht="14.0">
      <c r="A34" s="27" t="s">
        <v>28</v>
      </c>
      <c r="B34" s="27" t="s">
        <v>29</v>
      </c>
      <c r="C34" s="27" t="s">
        <v>86</v>
      </c>
      <c r="D34" s="27" t="s">
        <v>87</v>
      </c>
      <c r="E34" s="27"/>
      <c r="F34" s="27">
        <v>0.0</v>
      </c>
      <c r="G34" s="27">
        <v>36.0</v>
      </c>
      <c r="H34" s="27">
        <v>90.0</v>
      </c>
      <c r="I34" s="27">
        <v>84.0</v>
      </c>
      <c r="J34" s="27">
        <v>142.0</v>
      </c>
      <c r="K34" s="27">
        <v>112.0</v>
      </c>
      <c r="L34" s="27">
        <v>462.0</v>
      </c>
      <c r="M34" s="27">
        <v>101.0</v>
      </c>
      <c r="N34" s="27">
        <v>306.0</v>
      </c>
      <c r="O34" s="27">
        <v>155.0</v>
      </c>
      <c r="P34" s="27">
        <v>576.0</v>
      </c>
      <c r="Q34" s="27">
        <v>147.0</v>
      </c>
      <c r="R34" s="27">
        <v>116.0</v>
      </c>
      <c r="S34" s="27">
        <v>429.0</v>
      </c>
      <c r="T34" s="27">
        <v>451.0</v>
      </c>
      <c r="U34" s="27">
        <v>-44.0</v>
      </c>
      <c r="V34" s="27">
        <v>773.0</v>
      </c>
      <c r="W34" s="27">
        <v>663.0</v>
      </c>
      <c r="X34" s="27">
        <v>714.0</v>
      </c>
      <c r="Y34" s="27">
        <v>532.0</v>
      </c>
      <c r="Z34" s="27">
        <v>157.0</v>
      </c>
      <c r="AA34" s="27">
        <v>576.0</v>
      </c>
      <c r="AB34" s="27">
        <v>107.0</v>
      </c>
      <c r="AC34" s="27">
        <v>983.0</v>
      </c>
      <c r="AD34" s="27">
        <v>78.0</v>
      </c>
      <c r="AE34" s="27">
        <v>642.0</v>
      </c>
      <c r="AF34" s="27">
        <v>119.0</v>
      </c>
      <c r="AG34" s="27">
        <v>108.0</v>
      </c>
      <c r="AH34" s="27">
        <v>487.0</v>
      </c>
      <c r="AI34" s="27">
        <v>563.0</v>
      </c>
      <c r="AJ34" s="27">
        <v>618.0</v>
      </c>
      <c r="AK34" s="27">
        <v>516.0</v>
      </c>
      <c r="AL34" s="27">
        <v>249.0</v>
      </c>
      <c r="AM34" s="27">
        <v>100.0</v>
      </c>
      <c r="AN34" s="27">
        <v>268.0</v>
      </c>
      <c r="AO34" s="28">
        <f t="shared" si="3"/>
        <v>5146.0</v>
      </c>
      <c r="AP34" s="28">
        <f t="shared" si="4"/>
        <v>2533.0</v>
      </c>
      <c r="AQ34" s="28">
        <f t="shared" si="5"/>
        <v>2786.3</v>
      </c>
      <c r="AS34" s="1">
        <f t="shared" si="151"/>
        <v>584.386313465783</v>
      </c>
      <c r="AT34" s="1">
        <f t="shared" si="152"/>
        <v>275.21412803532</v>
      </c>
      <c r="AU34" s="1">
        <f t="shared" si="153"/>
        <v>533.653421633554</v>
      </c>
      <c r="AV34" s="1">
        <f t="shared" si="154"/>
        <v>438.187637969094</v>
      </c>
      <c r="AW34" s="1">
        <f t="shared" si="155"/>
        <v>342.721854304636</v>
      </c>
      <c r="AX34" s="1">
        <f t="shared" si="156"/>
        <v>685.443708609271</v>
      </c>
      <c r="BA34" s="2">
        <f t="shared" si="127"/>
        <v>2859.60706401766</v>
      </c>
      <c r="BB34" s="2" t="e">
        <f t="shared" si="128"/>
        <v>#REF!</v>
      </c>
      <c r="BE34" s="3" t="e">
        <f t="shared" si="137"/>
        <v>#REF!</v>
      </c>
      <c r="BF34" s="1">
        <f>VLOOKUP(C34,MOQ,3,FALSE())</f>
        <v>3000.0</v>
      </c>
      <c r="BG34" s="43" t="s">
        <v>32</v>
      </c>
      <c r="BH34" s="1" t="s">
        <v>10</v>
      </c>
      <c r="BI34" s="1" t="e">
        <f t="shared" si="138"/>
        <v>#REF!</v>
      </c>
      <c r="BJ34" s="1">
        <f t="shared" si="139"/>
        <v>584.386313465783</v>
      </c>
      <c r="BK34" s="1">
        <f t="shared" si="129"/>
      </c>
      <c r="BL34" s="3" t="e">
        <f t="shared" si="140"/>
        <v>#REF!</v>
      </c>
      <c r="BM34" s="1">
        <f t="shared" si="141"/>
        <v>275.21412803532</v>
      </c>
      <c r="BN34" s="1">
        <f t="shared" si="130"/>
      </c>
      <c r="BO34" s="3" t="e">
        <f t="shared" si="142"/>
        <v>#REF!</v>
      </c>
      <c r="BP34" s="1">
        <f t="shared" si="143"/>
        <v>533.653421633554</v>
      </c>
      <c r="BR34" s="3" t="e">
        <f t="shared" si="144"/>
        <v>#REF!</v>
      </c>
      <c r="BS34" s="1">
        <f t="shared" si="145"/>
        <v>438.187637969094</v>
      </c>
      <c r="BU34" s="3" t="e">
        <f t="shared" si="146"/>
        <v>#REF!</v>
      </c>
      <c r="BV34" s="1">
        <f t="shared" si="147"/>
        <v>342.721854304636</v>
      </c>
      <c r="BX34" s="3" t="e">
        <f t="shared" si="148"/>
        <v>#REF!</v>
      </c>
      <c r="BY34" s="1">
        <f t="shared" si="149"/>
        <v>685.443708609271</v>
      </c>
      <c r="CA34" s="3" t="e">
        <f t="shared" si="150"/>
        <v>#REF!</v>
      </c>
    </row>
    <row r="35" ht="14.0">
      <c r="A35" s="27" t="s">
        <v>28</v>
      </c>
      <c r="B35" s="27" t="s">
        <v>29</v>
      </c>
      <c r="C35" s="27" t="s">
        <v>88</v>
      </c>
      <c r="D35" s="27" t="s">
        <v>89</v>
      </c>
      <c r="E35" s="27"/>
      <c r="F35" s="27">
        <v>0.0</v>
      </c>
      <c r="G35" s="27">
        <v>42.0</v>
      </c>
      <c r="H35" s="27">
        <v>1067.0</v>
      </c>
      <c r="I35" s="27">
        <v>713.0</v>
      </c>
      <c r="J35" s="27">
        <v>186.0</v>
      </c>
      <c r="K35" s="27">
        <v>184.0</v>
      </c>
      <c r="L35" s="27">
        <v>1600.0</v>
      </c>
      <c r="M35" s="27">
        <v>115.0</v>
      </c>
      <c r="N35" s="27">
        <v>618.0</v>
      </c>
      <c r="O35" s="27">
        <v>143.0</v>
      </c>
      <c r="P35" s="27">
        <v>882.0</v>
      </c>
      <c r="Q35" s="27">
        <v>132.0</v>
      </c>
      <c r="R35" s="27">
        <v>95.0</v>
      </c>
      <c r="S35" s="27">
        <v>350.0</v>
      </c>
      <c r="T35" s="27">
        <v>506.0</v>
      </c>
      <c r="U35" s="27">
        <v>48.0</v>
      </c>
      <c r="V35" s="27">
        <v>522.0</v>
      </c>
      <c r="W35" s="27">
        <v>523.0</v>
      </c>
      <c r="X35" s="27">
        <v>434.0</v>
      </c>
      <c r="Y35" s="27">
        <v>314.0</v>
      </c>
      <c r="Z35" s="27">
        <v>98.0</v>
      </c>
      <c r="AA35" s="27">
        <v>438.0</v>
      </c>
      <c r="AB35" s="27">
        <v>129.0</v>
      </c>
      <c r="AC35" s="27">
        <v>825.0</v>
      </c>
      <c r="AD35" s="27">
        <v>60.0</v>
      </c>
      <c r="AE35" s="27">
        <v>468.0</v>
      </c>
      <c r="AF35" s="27">
        <v>84.0</v>
      </c>
      <c r="AG35" s="27">
        <v>77.0</v>
      </c>
      <c r="AH35" s="27">
        <v>332.0</v>
      </c>
      <c r="AI35" s="27">
        <v>498.0</v>
      </c>
      <c r="AJ35" s="27">
        <v>390.0</v>
      </c>
      <c r="AK35" s="27">
        <v>467.0</v>
      </c>
      <c r="AL35" s="27">
        <v>210.0</v>
      </c>
      <c r="AM35" s="27">
        <v>96.0</v>
      </c>
      <c r="AN35" s="27">
        <v>162.0</v>
      </c>
      <c r="AO35" s="28">
        <f t="shared" si="3"/>
        <v>4074.0</v>
      </c>
      <c r="AP35" s="28">
        <f t="shared" si="4"/>
        <v>1993.0</v>
      </c>
      <c r="AQ35" s="28">
        <f t="shared" si="5"/>
        <v>2192.3</v>
      </c>
      <c r="AS35" s="1">
        <f t="shared" si="151"/>
        <v>468.757174392936</v>
      </c>
      <c r="AT35" s="1">
        <f t="shared" si="152"/>
        <v>220.379690949227</v>
      </c>
      <c r="AU35" s="1">
        <f t="shared" si="153"/>
        <v>427.560706401766</v>
      </c>
      <c r="AV35" s="1">
        <f t="shared" si="154"/>
        <v>351.167770419426</v>
      </c>
      <c r="AW35" s="1">
        <f t="shared" si="155"/>
        <v>274.774834437086</v>
      </c>
      <c r="AX35" s="1">
        <f t="shared" si="156"/>
        <v>549.549668874172</v>
      </c>
      <c r="BA35" s="2">
        <f t="shared" si="127"/>
        <v>2292.18984547461</v>
      </c>
      <c r="BB35" s="2" t="e">
        <f t="shared" si="128"/>
        <v>#REF!</v>
      </c>
      <c r="BE35" s="3" t="e">
        <f t="shared" si="137"/>
        <v>#REF!</v>
      </c>
      <c r="BF35" s="1">
        <f>VLOOKUP(C35,MOQ,3,FALSE())</f>
        <v>3000.0</v>
      </c>
      <c r="BG35" s="43" t="s">
        <v>32</v>
      </c>
      <c r="BI35" s="1" t="e">
        <f t="shared" si="138"/>
        <v>#REF!</v>
      </c>
      <c r="BJ35" s="1">
        <f t="shared" si="139"/>
        <v>468.757174392936</v>
      </c>
      <c r="BK35" s="1">
        <f t="shared" si="129"/>
      </c>
      <c r="BL35" s="3" t="e">
        <f t="shared" si="140"/>
        <v>#REF!</v>
      </c>
      <c r="BM35" s="1">
        <f t="shared" si="141"/>
        <v>220.379690949227</v>
      </c>
      <c r="BN35" s="1">
        <f t="shared" si="130"/>
      </c>
      <c r="BO35" s="3" t="e">
        <f t="shared" si="142"/>
        <v>#REF!</v>
      </c>
      <c r="BP35" s="1">
        <f t="shared" si="143"/>
        <v>427.560706401766</v>
      </c>
      <c r="BR35" s="3" t="e">
        <f t="shared" si="144"/>
        <v>#REF!</v>
      </c>
      <c r="BS35" s="1">
        <f t="shared" si="145"/>
        <v>351.167770419426</v>
      </c>
      <c r="BU35" s="3" t="e">
        <f t="shared" si="146"/>
        <v>#REF!</v>
      </c>
      <c r="BV35" s="1">
        <f t="shared" si="147"/>
        <v>274.774834437086</v>
      </c>
      <c r="BX35" s="3" t="e">
        <f t="shared" si="148"/>
        <v>#REF!</v>
      </c>
      <c r="BY35" s="1">
        <f t="shared" si="149"/>
        <v>549.549668874172</v>
      </c>
      <c r="CA35" s="3" t="e">
        <f t="shared" si="150"/>
        <v>#REF!</v>
      </c>
    </row>
    <row r="36" ht="14.0">
      <c r="A36" s="27" t="s">
        <v>28</v>
      </c>
      <c r="B36" s="27" t="s">
        <v>29</v>
      </c>
      <c r="C36" s="27" t="s">
        <v>90</v>
      </c>
      <c r="D36" s="27" t="s">
        <v>91</v>
      </c>
      <c r="E36" s="27"/>
      <c r="F36" s="27">
        <v>0.0</v>
      </c>
      <c r="G36" s="27">
        <v>11.0</v>
      </c>
      <c r="H36" s="27">
        <v>19.0</v>
      </c>
      <c r="I36" s="27">
        <v>6.0</v>
      </c>
      <c r="J36" s="27">
        <v>0.0</v>
      </c>
      <c r="K36" s="27">
        <v>2.0</v>
      </c>
      <c r="L36" s="27">
        <v>2.0</v>
      </c>
      <c r="M36" s="27">
        <v>3.0</v>
      </c>
      <c r="N36" s="27">
        <v>2.0</v>
      </c>
      <c r="O36" s="27">
        <v>0.0</v>
      </c>
      <c r="P36" s="27">
        <v>1.0</v>
      </c>
      <c r="Q36" s="27">
        <v>4.0</v>
      </c>
      <c r="R36" s="27">
        <v>14.0</v>
      </c>
      <c r="S36" s="27">
        <v>8.0</v>
      </c>
      <c r="T36" s="27">
        <v>4.0</v>
      </c>
      <c r="U36" s="27">
        <v>11.0</v>
      </c>
      <c r="V36" s="27">
        <v>9.0</v>
      </c>
      <c r="W36" s="27">
        <v>6.0</v>
      </c>
      <c r="X36" s="27">
        <v>1.0</v>
      </c>
      <c r="Y36" s="27">
        <v>5.0</v>
      </c>
      <c r="Z36" s="27">
        <v>1.0</v>
      </c>
      <c r="AA36" s="27">
        <v>8.0</v>
      </c>
      <c r="AB36" s="27">
        <v>5.0</v>
      </c>
      <c r="AC36" s="27">
        <v>3.0</v>
      </c>
      <c r="AD36" s="27">
        <v>3.0</v>
      </c>
      <c r="AE36" s="27">
        <v>4.0</v>
      </c>
      <c r="AF36" s="27">
        <v>2.0</v>
      </c>
      <c r="AG36" s="27">
        <v>6.0</v>
      </c>
      <c r="AH36" s="27">
        <v>9.0</v>
      </c>
      <c r="AI36" s="27">
        <v>8.0</v>
      </c>
      <c r="AJ36" s="27">
        <v>0.0</v>
      </c>
      <c r="AK36" s="27">
        <v>4.0</v>
      </c>
      <c r="AL36" s="27">
        <v>7.0</v>
      </c>
      <c r="AM36" s="27">
        <v>4.0</v>
      </c>
      <c r="AN36" s="27">
        <v>2.0</v>
      </c>
      <c r="AO36" s="32">
        <f t="shared" si="3"/>
        <v>63.0</v>
      </c>
      <c r="AP36" s="32">
        <f t="shared" si="4"/>
        <v>32.0</v>
      </c>
      <c r="AQ36" s="32">
        <f t="shared" si="5"/>
        <v>35.2</v>
      </c>
      <c r="AR36" s="33"/>
      <c r="AS36" s="33">
        <v>7.0</v>
      </c>
      <c r="AT36" s="33">
        <v>3.0</v>
      </c>
      <c r="AU36" s="33">
        <v>6.0</v>
      </c>
      <c r="AV36" s="33">
        <v>5.0</v>
      </c>
      <c r="AW36" s="33">
        <v>4.0</v>
      </c>
      <c r="AX36" s="33">
        <v>8.0</v>
      </c>
      <c r="BA36" s="2">
        <f t="shared" si="127"/>
        <v>33.0</v>
      </c>
      <c r="BB36" s="2" t="e">
        <f t="shared" si="128"/>
        <v>#REF!</v>
      </c>
      <c r="BF36">
        <f>VLOOKUP(C36,MOQ,3,FALSE())</f>
      </c>
      <c r="BK36" s="1">
        <f t="shared" si="129"/>
      </c>
      <c r="BL36" s="3"/>
      <c r="BN36" s="1">
        <f t="shared" si="130"/>
      </c>
      <c r="BO36" s="3"/>
      <c r="BR36" s="3"/>
      <c r="BU36" s="3"/>
      <c r="BX36" s="3"/>
      <c r="CA36" s="3"/>
    </row>
    <row r="37" ht="14.0">
      <c r="A37" s="27" t="s">
        <v>28</v>
      </c>
      <c r="B37" s="27" t="s">
        <v>29</v>
      </c>
      <c r="C37" s="27" t="s">
        <v>92</v>
      </c>
      <c r="D37" s="27" t="s">
        <v>93</v>
      </c>
      <c r="E37" s="27"/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180.0</v>
      </c>
      <c r="R37" s="27">
        <v>204.0</v>
      </c>
      <c r="S37" s="27">
        <v>162.0</v>
      </c>
      <c r="T37" s="27">
        <v>165.0</v>
      </c>
      <c r="U37" s="27">
        <v>187.0</v>
      </c>
      <c r="V37" s="27">
        <v>168.0</v>
      </c>
      <c r="W37" s="27">
        <v>192.0</v>
      </c>
      <c r="X37" s="27">
        <v>282.0</v>
      </c>
      <c r="Y37" s="27">
        <v>219.0</v>
      </c>
      <c r="Z37" s="27">
        <v>191.0</v>
      </c>
      <c r="AA37" s="27">
        <v>255.0</v>
      </c>
      <c r="AB37" s="27">
        <v>150.0</v>
      </c>
      <c r="AC37" s="27">
        <v>222.0</v>
      </c>
      <c r="AD37" s="27">
        <v>159.0</v>
      </c>
      <c r="AE37" s="27">
        <v>176.0</v>
      </c>
      <c r="AF37" s="27">
        <v>185.0</v>
      </c>
      <c r="AG37" s="27">
        <v>168.0</v>
      </c>
      <c r="AH37" s="27">
        <v>240.0</v>
      </c>
      <c r="AI37" s="27">
        <v>347.0</v>
      </c>
      <c r="AJ37" s="27">
        <v>209.0</v>
      </c>
      <c r="AK37" s="27">
        <v>173.0</v>
      </c>
      <c r="AL37" s="27">
        <v>172.0</v>
      </c>
      <c r="AM37" s="27">
        <v>162.0</v>
      </c>
      <c r="AN37" s="27">
        <v>160.0</v>
      </c>
      <c r="AO37" s="28">
        <f t="shared" si="3"/>
        <v>2618.0</v>
      </c>
      <c r="AP37" s="28">
        <f t="shared" si="4"/>
        <v>1303.0</v>
      </c>
      <c r="AQ37" s="28">
        <f t="shared" si="5"/>
        <v>1433.3</v>
      </c>
      <c r="AS37" s="1">
        <f t="shared" ref="AS37:AS61" si="158">AQ37*$AS$5/$AQ$5</f>
        <v>279.008830022075</v>
      </c>
      <c r="AT37" s="1">
        <f t="shared" ref="AT37:AT61" si="159">AQ37*$AT$5/$AQ$5</f>
        <v>132.313465783664</v>
      </c>
      <c r="AU37" s="1">
        <f t="shared" ref="AU37:AU61" si="160">AQ37*$AU$5/$AQ$5</f>
        <v>255.997792494481</v>
      </c>
      <c r="AV37" s="1">
        <f t="shared" ref="AV37:AV61" si="161">AQ37*$AV$5/$AQ$5</f>
        <v>209.975717439293</v>
      </c>
      <c r="AW37" s="1">
        <f t="shared" ref="AW37:AW61" si="162">AQ37*$AW$5/$AQ$5</f>
        <v>163.953642384106</v>
      </c>
      <c r="AX37" s="1">
        <f t="shared" ref="AX37:AX61" si="163">AQ37*$AX$5/$AQ$5</f>
        <v>327.907284768211</v>
      </c>
      <c r="BA37" s="2">
        <f t="shared" si="127"/>
        <v>1369.15673289183</v>
      </c>
      <c r="BB37" s="2" t="e">
        <f t="shared" si="128"/>
        <v>#REF!</v>
      </c>
      <c r="BD37" s="1" t="e">
        <f t="shared" ref="BD37:BD38" si="164">VLOOKUP(C37,CHINAJUNE,3,false)</f>
        <v>#REF!</v>
      </c>
      <c r="BE37" s="3" t="e">
        <f t="shared" ref="BE37:BE61" si="165">BB37+BC37+BD37-BA37</f>
        <v>#REF!</v>
      </c>
      <c r="BF37" s="1">
        <f>VLOOKUP(C37,MOQ,3,FALSE())</f>
        <v>504.0</v>
      </c>
      <c r="BG37" s="4">
        <f>BF37</f>
        <v>504.0</v>
      </c>
      <c r="BH37" s="1" t="s">
        <v>9</v>
      </c>
      <c r="BI37" s="1" t="e">
        <f t="shared" ref="BI37:BI61" si="167">BB37</f>
        <v>#REF!</v>
      </c>
      <c r="BJ37" s="1">
        <f t="shared" ref="BJ37:BJ61" si="168">AS37</f>
        <v>279.008830022075</v>
      </c>
      <c r="BK37" s="1">
        <f t="shared" si="129"/>
      </c>
      <c r="BL37" s="3" t="e">
        <f t="shared" ref="BL37:BL61" si="169">BI37+BK37-BJ37</f>
        <v>#REF!</v>
      </c>
      <c r="BM37" s="1">
        <f t="shared" ref="BM37:BM61" si="170">AT37</f>
        <v>132.313465783664</v>
      </c>
      <c r="BN37" s="1" t="e">
        <f t="shared" si="130"/>
        <v>#REF!</v>
      </c>
      <c r="BO37" s="3" t="e">
        <f t="shared" ref="BO37:BO61" si="171">BL37+BN37-BM37</f>
        <v>#REF!</v>
      </c>
      <c r="BP37" s="1">
        <f t="shared" ref="BP37:BP61" si="172">AU37</f>
        <v>255.997792494481</v>
      </c>
      <c r="BR37" s="3" t="e">
        <f t="shared" ref="BR37:BR61" si="173">BO37+BQ37-BP37</f>
        <v>#REF!</v>
      </c>
      <c r="BS37" s="1">
        <f t="shared" ref="BS37:BS61" si="174">AV37</f>
        <v>209.975717439293</v>
      </c>
      <c r="BU37" s="3" t="e">
        <f t="shared" ref="BU37:BU61" si="175">BR37+BT37-BS37</f>
        <v>#REF!</v>
      </c>
      <c r="BV37" s="1">
        <f t="shared" ref="BV37:BV61" si="176">AW37</f>
        <v>163.953642384106</v>
      </c>
      <c r="BX37" s="3" t="e">
        <f t="shared" ref="BX37:BX61" si="177">BU37+BW37-BV37</f>
        <v>#REF!</v>
      </c>
      <c r="BY37" s="1">
        <f t="shared" ref="BY37:BY61" si="178">AX37</f>
        <v>327.907284768211</v>
      </c>
      <c r="CA37" s="3" t="e">
        <f t="shared" ref="CA37:CA61" si="179">BX37+BZ37-BY37</f>
        <v>#REF!</v>
      </c>
    </row>
    <row r="38" ht="14.0">
      <c r="A38" s="27" t="s">
        <v>28</v>
      </c>
      <c r="B38" s="27" t="s">
        <v>29</v>
      </c>
      <c r="C38" s="27" t="s">
        <v>94</v>
      </c>
      <c r="D38" s="27" t="s">
        <v>95</v>
      </c>
      <c r="E38" s="27"/>
      <c r="F38" s="27">
        <v>74.0</v>
      </c>
      <c r="G38" s="27">
        <v>99.0</v>
      </c>
      <c r="H38" s="27">
        <v>99.0</v>
      </c>
      <c r="I38" s="27">
        <v>163.0</v>
      </c>
      <c r="J38" s="27">
        <v>111.0</v>
      </c>
      <c r="K38" s="27">
        <v>139.0</v>
      </c>
      <c r="L38" s="27">
        <v>141.0</v>
      </c>
      <c r="M38" s="27">
        <v>147.0</v>
      </c>
      <c r="N38" s="27">
        <v>64.0</v>
      </c>
      <c r="O38" s="27">
        <v>86.0</v>
      </c>
      <c r="P38" s="27">
        <v>150.0</v>
      </c>
      <c r="Q38" s="27">
        <v>75.0</v>
      </c>
      <c r="R38" s="27">
        <v>86.0</v>
      </c>
      <c r="S38" s="27">
        <v>187.0</v>
      </c>
      <c r="T38" s="27">
        <v>151.0</v>
      </c>
      <c r="U38" s="27">
        <v>191.0</v>
      </c>
      <c r="V38" s="27">
        <v>146.0</v>
      </c>
      <c r="W38" s="27">
        <v>178.0</v>
      </c>
      <c r="X38" s="27">
        <v>258.0</v>
      </c>
      <c r="Y38" s="27">
        <v>106.0</v>
      </c>
      <c r="Z38" s="27">
        <v>1.0</v>
      </c>
      <c r="AA38" s="27">
        <v>245.0</v>
      </c>
      <c r="AB38" s="27">
        <v>137.0</v>
      </c>
      <c r="AC38" s="27">
        <v>177.0</v>
      </c>
      <c r="AD38" s="27">
        <v>162.0</v>
      </c>
      <c r="AE38" s="27">
        <v>151.0</v>
      </c>
      <c r="AF38" s="27">
        <v>144.0</v>
      </c>
      <c r="AG38" s="27">
        <v>141.0</v>
      </c>
      <c r="AH38" s="27">
        <v>176.0</v>
      </c>
      <c r="AI38" s="27">
        <v>209.0</v>
      </c>
      <c r="AJ38" s="27">
        <v>186.0</v>
      </c>
      <c r="AK38" s="27">
        <v>126.0</v>
      </c>
      <c r="AL38" s="27">
        <v>141.0</v>
      </c>
      <c r="AM38" s="27">
        <v>137.0</v>
      </c>
      <c r="AN38" s="27">
        <v>42.0</v>
      </c>
      <c r="AO38" s="28">
        <f t="shared" si="3"/>
        <v>2132.0</v>
      </c>
      <c r="AP38" s="28">
        <f t="shared" si="4"/>
        <v>975.0</v>
      </c>
      <c r="AQ38" s="28">
        <f t="shared" si="5"/>
        <v>1072.5</v>
      </c>
      <c r="AS38" s="1">
        <f t="shared" si="158"/>
        <v>208.774834437086</v>
      </c>
      <c r="AT38" s="1">
        <f t="shared" si="159"/>
        <v>99.0066225165562</v>
      </c>
      <c r="AU38" s="1">
        <f t="shared" si="160"/>
        <v>191.556291390728</v>
      </c>
      <c r="AV38" s="1">
        <f t="shared" si="161"/>
        <v>157.119205298013</v>
      </c>
      <c r="AW38" s="1">
        <f t="shared" si="162"/>
        <v>122.682119205298</v>
      </c>
      <c r="AX38" s="1">
        <f t="shared" si="163"/>
        <v>245.364238410596</v>
      </c>
      <c r="BA38" s="2">
        <f t="shared" si="127"/>
        <v>1024.50331125828</v>
      </c>
      <c r="BB38" s="2" t="e">
        <f t="shared" si="128"/>
        <v>#REF!</v>
      </c>
      <c r="BD38" s="1" t="e">
        <f t="shared" si="164"/>
        <v>#REF!</v>
      </c>
      <c r="BE38" s="3" t="e">
        <f t="shared" si="165"/>
        <v>#REF!</v>
      </c>
      <c r="BF38" s="1">
        <f>VLOOKUP(C38,MOQ,3,FALSE())</f>
        <v>480.0</v>
      </c>
      <c r="BG38" s="43" t="s">
        <v>32</v>
      </c>
      <c r="BH38" s="1" t="s">
        <v>10</v>
      </c>
      <c r="BI38" s="1" t="e">
        <f t="shared" si="167"/>
        <v>#REF!</v>
      </c>
      <c r="BJ38" s="1">
        <f t="shared" si="168"/>
        <v>208.774834437086</v>
      </c>
      <c r="BK38" s="1">
        <f t="shared" si="129"/>
      </c>
      <c r="BL38" s="3" t="e">
        <f t="shared" si="169"/>
        <v>#REF!</v>
      </c>
      <c r="BM38" s="1">
        <f t="shared" si="170"/>
        <v>99.0066225165562</v>
      </c>
      <c r="BN38" s="1" t="e">
        <f t="shared" si="130"/>
        <v>#REF!</v>
      </c>
      <c r="BO38" s="3" t="e">
        <f t="shared" si="171"/>
        <v>#REF!</v>
      </c>
      <c r="BP38" s="1">
        <f t="shared" si="172"/>
        <v>191.556291390728</v>
      </c>
      <c r="BR38" s="3" t="e">
        <f t="shared" si="173"/>
        <v>#REF!</v>
      </c>
      <c r="BS38" s="1">
        <f t="shared" si="174"/>
        <v>157.119205298013</v>
      </c>
      <c r="BU38" s="3" t="e">
        <f t="shared" si="175"/>
        <v>#REF!</v>
      </c>
      <c r="BV38" s="1">
        <f t="shared" si="176"/>
        <v>122.682119205298</v>
      </c>
      <c r="BX38" s="3" t="e">
        <f t="shared" si="177"/>
        <v>#REF!</v>
      </c>
      <c r="BY38" s="1">
        <f t="shared" si="178"/>
        <v>245.364238410596</v>
      </c>
      <c r="CA38" s="3" t="e">
        <f t="shared" si="179"/>
        <v>#REF!</v>
      </c>
    </row>
    <row r="39" ht="14.0">
      <c r="A39" s="27" t="s">
        <v>28</v>
      </c>
      <c r="B39" s="27" t="s">
        <v>29</v>
      </c>
      <c r="C39" s="27" t="s">
        <v>96</v>
      </c>
      <c r="D39" s="27" t="s">
        <v>97</v>
      </c>
      <c r="E39" s="27"/>
      <c r="F39" s="27">
        <v>65.0</v>
      </c>
      <c r="G39" s="27">
        <v>33.0</v>
      </c>
      <c r="H39" s="27">
        <v>77.0</v>
      </c>
      <c r="I39" s="27">
        <v>125.0</v>
      </c>
      <c r="J39" s="27">
        <v>110.0</v>
      </c>
      <c r="K39" s="27">
        <v>86.0</v>
      </c>
      <c r="L39" s="27">
        <v>108.0</v>
      </c>
      <c r="M39" s="27">
        <v>116.0</v>
      </c>
      <c r="N39" s="27">
        <v>35.0</v>
      </c>
      <c r="O39" s="27">
        <v>57.0</v>
      </c>
      <c r="P39" s="27">
        <v>104.0</v>
      </c>
      <c r="Q39" s="27">
        <v>81.0</v>
      </c>
      <c r="R39" s="27">
        <v>92.0</v>
      </c>
      <c r="S39" s="27">
        <v>120.0</v>
      </c>
      <c r="T39" s="27">
        <v>116.0</v>
      </c>
      <c r="U39" s="27">
        <v>126.0</v>
      </c>
      <c r="V39" s="27">
        <v>92.0</v>
      </c>
      <c r="W39" s="27">
        <v>221.0</v>
      </c>
      <c r="X39" s="27">
        <v>156.0</v>
      </c>
      <c r="Y39" s="27">
        <v>68.0</v>
      </c>
      <c r="Z39" s="27">
        <v>0.0</v>
      </c>
      <c r="AA39" s="27">
        <v>157.0</v>
      </c>
      <c r="AB39" s="27">
        <v>62.0</v>
      </c>
      <c r="AC39" s="27">
        <v>70.0</v>
      </c>
      <c r="AD39" s="27">
        <v>96.0</v>
      </c>
      <c r="AE39" s="27">
        <v>50.0</v>
      </c>
      <c r="AF39" s="27">
        <v>73.0</v>
      </c>
      <c r="AG39" s="27">
        <v>77.0</v>
      </c>
      <c r="AH39" s="27">
        <v>122.0</v>
      </c>
      <c r="AI39" s="27">
        <v>100.0</v>
      </c>
      <c r="AJ39" s="27">
        <v>95.0</v>
      </c>
      <c r="AK39" s="27">
        <v>95.0</v>
      </c>
      <c r="AL39" s="27">
        <v>53.0</v>
      </c>
      <c r="AM39" s="27">
        <v>75.0</v>
      </c>
      <c r="AN39" s="27">
        <v>44.0</v>
      </c>
      <c r="AO39" s="28">
        <f t="shared" si="3"/>
        <v>1125.0</v>
      </c>
      <c r="AP39" s="28">
        <f t="shared" si="4"/>
        <v>540.0</v>
      </c>
      <c r="AQ39" s="28">
        <f t="shared" si="5"/>
        <v>594.0</v>
      </c>
      <c r="AS39" s="1">
        <f t="shared" si="158"/>
        <v>115.62913907284</v>
      </c>
      <c r="AT39" s="1">
        <f t="shared" si="159"/>
        <v>54.8344370860927</v>
      </c>
      <c r="AU39" s="1">
        <f t="shared" si="160"/>
        <v>106.092715231788</v>
      </c>
      <c r="AV39" s="1">
        <f t="shared" si="161"/>
        <v>87.0198675496689</v>
      </c>
      <c r="AW39" s="1">
        <f t="shared" si="162"/>
        <v>67.9470198675497</v>
      </c>
      <c r="AX39" s="1">
        <f t="shared" si="163"/>
        <v>135.894039735099</v>
      </c>
      <c r="BA39" s="2">
        <f t="shared" si="127"/>
        <v>567.417218543038</v>
      </c>
      <c r="BB39" s="2" t="e">
        <f t="shared" si="128"/>
        <v>#REF!</v>
      </c>
      <c r="BE39" s="3" t="e">
        <f t="shared" si="165"/>
        <v>#REF!</v>
      </c>
      <c r="BF39" s="1">
        <f>VLOOKUP(C39,MOQ,3,FALSE())</f>
        <v>480.0</v>
      </c>
      <c r="BI39" s="1" t="e">
        <f t="shared" si="167"/>
        <v>#REF!</v>
      </c>
      <c r="BJ39" s="1">
        <f t="shared" si="168"/>
        <v>115.62913907284</v>
      </c>
      <c r="BK39" s="1">
        <f t="shared" si="129"/>
      </c>
      <c r="BL39" s="3" t="e">
        <f t="shared" si="169"/>
        <v>#REF!</v>
      </c>
      <c r="BM39" s="1">
        <f t="shared" si="170"/>
        <v>54.8344370860927</v>
      </c>
      <c r="BN39" s="1">
        <f t="shared" si="130"/>
      </c>
      <c r="BO39" s="3" t="e">
        <f t="shared" si="171"/>
        <v>#REF!</v>
      </c>
      <c r="BP39" s="1">
        <f t="shared" si="172"/>
        <v>106.092715231788</v>
      </c>
      <c r="BR39" s="3" t="e">
        <f t="shared" si="173"/>
        <v>#REF!</v>
      </c>
      <c r="BS39" s="1">
        <f t="shared" si="174"/>
        <v>87.0198675496689</v>
      </c>
      <c r="BU39" s="3" t="e">
        <f t="shared" si="175"/>
        <v>#REF!</v>
      </c>
      <c r="BV39" s="1">
        <f t="shared" si="176"/>
        <v>67.9470198675497</v>
      </c>
      <c r="BX39" s="3" t="e">
        <f t="shared" si="177"/>
        <v>#REF!</v>
      </c>
      <c r="BY39" s="1">
        <f t="shared" si="178"/>
        <v>135.894039735099</v>
      </c>
      <c r="CA39" s="3" t="e">
        <f t="shared" si="179"/>
        <v>#REF!</v>
      </c>
    </row>
    <row r="40" ht="14.0">
      <c r="A40" s="27" t="s">
        <v>28</v>
      </c>
      <c r="B40" s="27" t="s">
        <v>98</v>
      </c>
      <c r="C40" s="27" t="s">
        <v>99</v>
      </c>
      <c r="D40" s="27" t="s">
        <v>100</v>
      </c>
      <c r="E40" s="27"/>
      <c r="F40" s="27">
        <v>276.0</v>
      </c>
      <c r="G40" s="27">
        <v>360.0</v>
      </c>
      <c r="H40" s="27">
        <v>371.0</v>
      </c>
      <c r="I40" s="27">
        <v>762.0</v>
      </c>
      <c r="J40" s="27">
        <v>492.0</v>
      </c>
      <c r="K40" s="27">
        <v>922.0</v>
      </c>
      <c r="L40" s="27">
        <v>793.0</v>
      </c>
      <c r="M40" s="27">
        <v>480.0</v>
      </c>
      <c r="N40" s="27">
        <v>504.0</v>
      </c>
      <c r="O40" s="27">
        <v>368.0</v>
      </c>
      <c r="P40" s="27">
        <v>841.0</v>
      </c>
      <c r="Q40" s="27">
        <v>505.0</v>
      </c>
      <c r="R40" s="27">
        <v>458.0</v>
      </c>
      <c r="S40" s="27">
        <v>594.0</v>
      </c>
      <c r="T40" s="27">
        <v>865.0</v>
      </c>
      <c r="U40" s="27">
        <v>603.0</v>
      </c>
      <c r="V40" s="27">
        <v>890.0</v>
      </c>
      <c r="W40" s="27">
        <v>788.0</v>
      </c>
      <c r="X40" s="27">
        <v>792.0</v>
      </c>
      <c r="Y40" s="27">
        <v>492.0</v>
      </c>
      <c r="Z40" s="27">
        <v>440.0</v>
      </c>
      <c r="AA40" s="27">
        <v>324.0</v>
      </c>
      <c r="AB40" s="27">
        <v>0.0</v>
      </c>
      <c r="AC40" s="27">
        <v>948.0</v>
      </c>
      <c r="AD40" s="27">
        <v>402.0</v>
      </c>
      <c r="AE40" s="27">
        <v>601.0</v>
      </c>
      <c r="AF40" s="27">
        <v>414.0</v>
      </c>
      <c r="AG40" s="27">
        <v>432.0</v>
      </c>
      <c r="AH40" s="27">
        <v>739.0</v>
      </c>
      <c r="AI40" s="27">
        <v>882.0</v>
      </c>
      <c r="AJ40" s="27">
        <v>600.0</v>
      </c>
      <c r="AK40" s="27">
        <v>436.0</v>
      </c>
      <c r="AL40" s="27">
        <v>450.0</v>
      </c>
      <c r="AM40" s="27">
        <v>303.0</v>
      </c>
      <c r="AN40" s="27">
        <v>372.0</v>
      </c>
      <c r="AO40" s="28">
        <f t="shared" si="3"/>
        <v>6531.0</v>
      </c>
      <c r="AP40" s="28">
        <f t="shared" si="4"/>
        <v>3410.0</v>
      </c>
      <c r="AQ40" s="28">
        <f t="shared" si="5"/>
        <v>3751.0</v>
      </c>
      <c r="AS40" s="1">
        <f t="shared" si="158"/>
        <v>730.176600441501</v>
      </c>
      <c r="AT40" s="1">
        <f t="shared" si="159"/>
        <v>346.269315673289</v>
      </c>
      <c r="AU40" s="1">
        <f t="shared" si="160"/>
        <v>669.955849889624</v>
      </c>
      <c r="AV40" s="1">
        <f t="shared" si="161"/>
        <v>549.514348785871</v>
      </c>
      <c r="AW40" s="1">
        <f t="shared" si="162"/>
        <v>429.072847682119</v>
      </c>
      <c r="AX40" s="1">
        <f t="shared" si="163"/>
        <v>858.145695364238</v>
      </c>
      <c r="BA40" s="2">
        <f t="shared" si="127"/>
        <v>3583.13465783664</v>
      </c>
      <c r="BB40" s="2" t="e">
        <f t="shared" si="128"/>
        <v>#REF!</v>
      </c>
      <c r="BD40" s="1" t="e">
        <f>VLOOKUP(C40,CHINAJUNE,3,false)</f>
        <v>#REF!</v>
      </c>
      <c r="BE40" s="3" t="e">
        <f t="shared" si="165"/>
        <v>#REF!</v>
      </c>
      <c r="BF40" s="1">
        <f>VLOOKUP(C40,MOQ,3,FALSE())</f>
        <v>1008.0</v>
      </c>
      <c r="BG40" s="43" t="s">
        <v>32</v>
      </c>
      <c r="BH40" s="1" t="s">
        <v>10</v>
      </c>
      <c r="BI40" s="1" t="e">
        <f t="shared" si="167"/>
        <v>#REF!</v>
      </c>
      <c r="BJ40" s="1">
        <f t="shared" si="168"/>
        <v>730.176600441501</v>
      </c>
      <c r="BK40" s="1">
        <f t="shared" si="129"/>
      </c>
      <c r="BL40" s="3" t="e">
        <f t="shared" si="169"/>
        <v>#REF!</v>
      </c>
      <c r="BM40" s="1">
        <f t="shared" si="170"/>
        <v>346.269315673289</v>
      </c>
      <c r="BN40" s="1" t="e">
        <f t="shared" si="130"/>
        <v>#REF!</v>
      </c>
      <c r="BO40" s="3" t="e">
        <f t="shared" si="171"/>
        <v>#REF!</v>
      </c>
      <c r="BP40" s="1">
        <f t="shared" si="172"/>
        <v>669.955849889624</v>
      </c>
      <c r="BR40" s="3" t="e">
        <f t="shared" si="173"/>
        <v>#REF!</v>
      </c>
      <c r="BS40" s="1">
        <f t="shared" si="174"/>
        <v>549.514348785871</v>
      </c>
      <c r="BU40" s="3" t="e">
        <f t="shared" si="175"/>
        <v>#REF!</v>
      </c>
      <c r="BV40" s="1">
        <f t="shared" si="176"/>
        <v>429.072847682119</v>
      </c>
      <c r="BX40" s="3" t="e">
        <f t="shared" si="177"/>
        <v>#REF!</v>
      </c>
      <c r="BY40" s="1">
        <f t="shared" si="178"/>
        <v>858.145695364238</v>
      </c>
      <c r="CA40" s="3" t="e">
        <f t="shared" si="179"/>
        <v>#REF!</v>
      </c>
    </row>
    <row r="41" ht="14.0">
      <c r="A41" s="27" t="s">
        <v>28</v>
      </c>
      <c r="B41" s="27" t="s">
        <v>98</v>
      </c>
      <c r="C41" s="27" t="s">
        <v>101</v>
      </c>
      <c r="D41" s="27" t="s">
        <v>102</v>
      </c>
      <c r="E41" s="27"/>
      <c r="F41" s="27">
        <v>204.0</v>
      </c>
      <c r="G41" s="27">
        <v>186.0</v>
      </c>
      <c r="H41" s="27">
        <v>204.0</v>
      </c>
      <c r="I41" s="27">
        <v>276.0</v>
      </c>
      <c r="J41" s="27">
        <v>264.0</v>
      </c>
      <c r="K41" s="27">
        <v>474.0</v>
      </c>
      <c r="L41" s="27">
        <v>264.0</v>
      </c>
      <c r="M41" s="27">
        <v>186.0</v>
      </c>
      <c r="N41" s="27">
        <v>144.0</v>
      </c>
      <c r="O41" s="27">
        <v>192.0</v>
      </c>
      <c r="P41" s="27">
        <v>156.0</v>
      </c>
      <c r="Q41" s="27">
        <v>162.0</v>
      </c>
      <c r="R41" s="27">
        <v>111.0</v>
      </c>
      <c r="S41" s="27">
        <v>78.0</v>
      </c>
      <c r="T41" s="27">
        <v>138.0</v>
      </c>
      <c r="U41" s="27">
        <v>133.0</v>
      </c>
      <c r="V41" s="27">
        <v>157.0</v>
      </c>
      <c r="W41" s="27">
        <v>132.0</v>
      </c>
      <c r="X41" s="27">
        <v>162.0</v>
      </c>
      <c r="Y41" s="27">
        <v>120.0</v>
      </c>
      <c r="Z41" s="27">
        <v>91.0</v>
      </c>
      <c r="AA41" s="27">
        <v>126.0</v>
      </c>
      <c r="AB41" s="27">
        <v>121.0</v>
      </c>
      <c r="AC41" s="27">
        <v>102.0</v>
      </c>
      <c r="AD41" s="27">
        <v>84.0</v>
      </c>
      <c r="AE41" s="27">
        <v>78.0</v>
      </c>
      <c r="AF41" s="27">
        <v>90.0</v>
      </c>
      <c r="AG41" s="27">
        <v>90.0</v>
      </c>
      <c r="AH41" s="27">
        <v>150.0</v>
      </c>
      <c r="AI41" s="27">
        <v>144.0</v>
      </c>
      <c r="AJ41" s="27">
        <v>90.0</v>
      </c>
      <c r="AK41" s="27">
        <v>61.0</v>
      </c>
      <c r="AL41" s="27">
        <v>60.0</v>
      </c>
      <c r="AM41" s="27">
        <v>96.0</v>
      </c>
      <c r="AN41" s="27">
        <v>24.0</v>
      </c>
      <c r="AO41" s="28">
        <f t="shared" si="3"/>
        <v>1292.0</v>
      </c>
      <c r="AP41" s="28">
        <f t="shared" si="4"/>
        <v>601.0</v>
      </c>
      <c r="AQ41" s="28">
        <f t="shared" si="5"/>
        <v>661.1</v>
      </c>
      <c r="AS41" s="1">
        <f t="shared" si="158"/>
        <v>128.690949227373</v>
      </c>
      <c r="AT41" s="1">
        <f t="shared" si="159"/>
        <v>61.0286975717439</v>
      </c>
      <c r="AU41" s="1">
        <f t="shared" si="160"/>
        <v>118.077262693157</v>
      </c>
      <c r="AV41" s="1">
        <f t="shared" si="161"/>
        <v>96.849889624724</v>
      </c>
      <c r="AW41" s="1">
        <f t="shared" si="162"/>
        <v>75.6225165562913</v>
      </c>
      <c r="AX41" s="1">
        <f t="shared" si="163"/>
        <v>151.245033112582</v>
      </c>
      <c r="BA41" s="2">
        <f t="shared" si="127"/>
        <v>631.514348785871</v>
      </c>
      <c r="BB41" s="2" t="e">
        <f t="shared" si="128"/>
        <v>#REF!</v>
      </c>
      <c r="BE41" s="3" t="e">
        <f t="shared" si="165"/>
        <v>#REF!</v>
      </c>
      <c r="BF41" s="1">
        <f>VLOOKUP(C41,MOQ,3,FALSE())</f>
        <v>1008.0</v>
      </c>
      <c r="BI41" s="1" t="e">
        <f t="shared" si="167"/>
        <v>#REF!</v>
      </c>
      <c r="BJ41" s="1">
        <f t="shared" si="168"/>
        <v>128.690949227373</v>
      </c>
      <c r="BK41" s="1">
        <f t="shared" si="129"/>
      </c>
      <c r="BL41" s="3" t="e">
        <f t="shared" si="169"/>
        <v>#REF!</v>
      </c>
      <c r="BM41" s="1">
        <f t="shared" si="170"/>
        <v>61.0286975717439</v>
      </c>
      <c r="BN41" s="1">
        <f t="shared" si="130"/>
      </c>
      <c r="BO41" s="3" t="e">
        <f t="shared" si="171"/>
        <v>#REF!</v>
      </c>
      <c r="BP41" s="1">
        <f t="shared" si="172"/>
        <v>118.077262693157</v>
      </c>
      <c r="BR41" s="3" t="e">
        <f t="shared" si="173"/>
        <v>#REF!</v>
      </c>
      <c r="BS41" s="1">
        <f t="shared" si="174"/>
        <v>96.849889624724</v>
      </c>
      <c r="BU41" s="3" t="e">
        <f t="shared" si="175"/>
        <v>#REF!</v>
      </c>
      <c r="BV41" s="1">
        <f t="shared" si="176"/>
        <v>75.6225165562913</v>
      </c>
      <c r="BX41" s="3" t="e">
        <f t="shared" si="177"/>
        <v>#REF!</v>
      </c>
      <c r="BY41" s="1">
        <f t="shared" si="178"/>
        <v>151.245033112582</v>
      </c>
      <c r="CA41" s="3" t="e">
        <f t="shared" si="179"/>
        <v>#REF!</v>
      </c>
    </row>
    <row r="42" ht="14.0">
      <c r="A42" s="27" t="s">
        <v>28</v>
      </c>
      <c r="B42" s="27" t="s">
        <v>98</v>
      </c>
      <c r="C42" s="27" t="s">
        <v>103</v>
      </c>
      <c r="D42" s="27" t="s">
        <v>104</v>
      </c>
      <c r="E42" s="27"/>
      <c r="F42" s="27">
        <v>247.0</v>
      </c>
      <c r="G42" s="27">
        <v>342.0</v>
      </c>
      <c r="H42" s="27">
        <v>318.0</v>
      </c>
      <c r="I42" s="27">
        <v>594.0</v>
      </c>
      <c r="J42" s="27">
        <v>378.0</v>
      </c>
      <c r="K42" s="27">
        <v>649.0</v>
      </c>
      <c r="L42" s="27">
        <v>648.0</v>
      </c>
      <c r="M42" s="27">
        <v>85.0</v>
      </c>
      <c r="N42" s="27">
        <v>270.0</v>
      </c>
      <c r="O42" s="27">
        <v>278.0</v>
      </c>
      <c r="P42" s="27">
        <v>559.0</v>
      </c>
      <c r="Q42" s="27">
        <v>271.0</v>
      </c>
      <c r="R42" s="27">
        <v>235.0</v>
      </c>
      <c r="S42" s="27">
        <v>408.0</v>
      </c>
      <c r="T42" s="27">
        <v>390.0</v>
      </c>
      <c r="U42" s="27">
        <v>372.0</v>
      </c>
      <c r="V42" s="27">
        <v>648.0</v>
      </c>
      <c r="W42" s="27">
        <v>692.0</v>
      </c>
      <c r="X42" s="27">
        <v>853.0</v>
      </c>
      <c r="Y42" s="27">
        <v>499.0</v>
      </c>
      <c r="Z42" s="27">
        <v>427.0</v>
      </c>
      <c r="AA42" s="27">
        <v>501.0</v>
      </c>
      <c r="AB42" s="27">
        <v>0.0</v>
      </c>
      <c r="AC42" s="27">
        <v>672.0</v>
      </c>
      <c r="AD42" s="27">
        <v>0.0</v>
      </c>
      <c r="AE42" s="27">
        <v>492.0</v>
      </c>
      <c r="AF42" s="27">
        <v>324.0</v>
      </c>
      <c r="AG42" s="27">
        <v>288.0</v>
      </c>
      <c r="AH42" s="27">
        <v>732.0</v>
      </c>
      <c r="AI42" s="27">
        <v>978.0</v>
      </c>
      <c r="AJ42" s="27">
        <v>546.0</v>
      </c>
      <c r="AK42" s="27">
        <v>480.0</v>
      </c>
      <c r="AL42" s="27">
        <v>390.0</v>
      </c>
      <c r="AM42" s="27">
        <v>288.0</v>
      </c>
      <c r="AN42" s="27">
        <v>390.0</v>
      </c>
      <c r="AO42" s="28">
        <f t="shared" si="3"/>
        <v>5691.0</v>
      </c>
      <c r="AP42" s="28">
        <f t="shared" si="4"/>
        <v>3414.0</v>
      </c>
      <c r="AQ42" s="28">
        <f t="shared" si="5"/>
        <v>3755.4</v>
      </c>
      <c r="AS42" s="1">
        <f t="shared" si="158"/>
        <v>731.033112582781</v>
      </c>
      <c r="AT42" s="1">
        <f t="shared" si="159"/>
        <v>346.675496688741</v>
      </c>
      <c r="AU42" s="1">
        <f t="shared" si="160"/>
        <v>670.741721854304</v>
      </c>
      <c r="AV42" s="1">
        <f t="shared" si="161"/>
        <v>550.158940397351</v>
      </c>
      <c r="AW42" s="1">
        <f t="shared" si="162"/>
        <v>429.576158940397</v>
      </c>
      <c r="AX42" s="1">
        <f t="shared" si="163"/>
        <v>859.152317880794</v>
      </c>
      <c r="BA42" s="2">
        <f t="shared" si="127"/>
        <v>3587.33774834437</v>
      </c>
      <c r="BB42" s="2" t="e">
        <f t="shared" si="128"/>
        <v>#REF!</v>
      </c>
      <c r="BD42" s="1" t="e">
        <f t="shared" ref="BD42:BD45" si="181">VLOOKUP(C42,CHINAJUNE,3,false)</f>
        <v>#REF!</v>
      </c>
      <c r="BE42" s="3" t="e">
        <f t="shared" si="165"/>
        <v>#REF!</v>
      </c>
      <c r="BF42" s="1">
        <f>VLOOKUP(C42,MOQ,3,FALSE())</f>
        <v>1008.0</v>
      </c>
      <c r="BG42" s="43" t="s">
        <v>32</v>
      </c>
      <c r="BH42" s="1" t="s">
        <v>10</v>
      </c>
      <c r="BI42" s="1" t="e">
        <f t="shared" si="167"/>
        <v>#REF!</v>
      </c>
      <c r="BJ42" s="1">
        <f t="shared" si="168"/>
        <v>731.033112582781</v>
      </c>
      <c r="BK42" s="1">
        <f t="shared" si="129"/>
      </c>
      <c r="BL42" s="3" t="e">
        <f t="shared" si="169"/>
        <v>#REF!</v>
      </c>
      <c r="BM42" s="1">
        <f t="shared" si="170"/>
        <v>346.675496688741</v>
      </c>
      <c r="BN42" s="1" t="e">
        <f t="shared" si="130"/>
        <v>#REF!</v>
      </c>
      <c r="BO42" s="3" t="e">
        <f t="shared" si="171"/>
        <v>#REF!</v>
      </c>
      <c r="BP42" s="1">
        <f t="shared" si="172"/>
        <v>670.741721854304</v>
      </c>
      <c r="BR42" s="3" t="e">
        <f t="shared" si="173"/>
        <v>#REF!</v>
      </c>
      <c r="BS42" s="1">
        <f t="shared" si="174"/>
        <v>550.158940397351</v>
      </c>
      <c r="BU42" s="3" t="e">
        <f t="shared" si="175"/>
        <v>#REF!</v>
      </c>
      <c r="BV42" s="1">
        <f t="shared" si="176"/>
        <v>429.576158940397</v>
      </c>
      <c r="BX42" s="3" t="e">
        <f t="shared" si="177"/>
        <v>#REF!</v>
      </c>
      <c r="BY42" s="1">
        <f t="shared" si="178"/>
        <v>859.152317880794</v>
      </c>
      <c r="CA42" s="3" t="e">
        <f t="shared" si="179"/>
        <v>#REF!</v>
      </c>
    </row>
    <row r="43" ht="14.0">
      <c r="A43" s="27" t="s">
        <v>28</v>
      </c>
      <c r="B43" s="27" t="s">
        <v>98</v>
      </c>
      <c r="C43" s="27" t="s">
        <v>105</v>
      </c>
      <c r="D43" s="27" t="s">
        <v>106</v>
      </c>
      <c r="E43" s="27"/>
      <c r="F43" s="27">
        <v>201.0</v>
      </c>
      <c r="G43" s="27">
        <v>294.0</v>
      </c>
      <c r="H43" s="27">
        <v>306.0</v>
      </c>
      <c r="I43" s="27">
        <v>173.0</v>
      </c>
      <c r="J43" s="27">
        <v>0.0</v>
      </c>
      <c r="K43" s="27">
        <v>847.0</v>
      </c>
      <c r="L43" s="27">
        <v>558.0</v>
      </c>
      <c r="M43" s="27">
        <v>252.0</v>
      </c>
      <c r="N43" s="27">
        <v>294.0</v>
      </c>
      <c r="O43" s="27">
        <v>6.0</v>
      </c>
      <c r="P43" s="27">
        <v>0.0</v>
      </c>
      <c r="Q43" s="27">
        <v>187.0</v>
      </c>
      <c r="R43" s="27">
        <v>277.0</v>
      </c>
      <c r="S43" s="27">
        <v>432.0</v>
      </c>
      <c r="T43" s="27">
        <v>312.0</v>
      </c>
      <c r="U43" s="27">
        <v>315.0</v>
      </c>
      <c r="V43" s="27">
        <v>519.0</v>
      </c>
      <c r="W43" s="27">
        <v>525.0</v>
      </c>
      <c r="X43" s="27">
        <v>839.0</v>
      </c>
      <c r="Y43" s="27">
        <v>565.0</v>
      </c>
      <c r="Z43" s="27">
        <v>313.0</v>
      </c>
      <c r="AA43" s="27">
        <v>58.0</v>
      </c>
      <c r="AB43" s="27">
        <v>0.0</v>
      </c>
      <c r="AC43" s="27">
        <v>844.0</v>
      </c>
      <c r="AD43" s="27">
        <v>162.0</v>
      </c>
      <c r="AE43" s="27">
        <v>402.0</v>
      </c>
      <c r="AF43" s="27">
        <v>282.0</v>
      </c>
      <c r="AG43" s="27">
        <v>222.0</v>
      </c>
      <c r="AH43" s="27">
        <v>528.0</v>
      </c>
      <c r="AI43" s="27">
        <v>528.0</v>
      </c>
      <c r="AJ43" s="27">
        <v>414.0</v>
      </c>
      <c r="AK43" s="27">
        <v>330.0</v>
      </c>
      <c r="AL43" s="27">
        <v>318.0</v>
      </c>
      <c r="AM43" s="27">
        <v>222.0</v>
      </c>
      <c r="AN43" s="27">
        <v>204.0</v>
      </c>
      <c r="AO43" s="28">
        <f t="shared" si="3"/>
        <v>4310.0</v>
      </c>
      <c r="AP43" s="28">
        <f t="shared" si="4"/>
        <v>2340.0</v>
      </c>
      <c r="AQ43" s="28">
        <f t="shared" si="5"/>
        <v>2574.0</v>
      </c>
      <c r="AS43" s="1">
        <f t="shared" si="158"/>
        <v>501.059602649</v>
      </c>
      <c r="AT43" s="1">
        <f t="shared" si="159"/>
        <v>237.615894039735</v>
      </c>
      <c r="AU43" s="1">
        <f t="shared" si="160"/>
        <v>459.735099337748</v>
      </c>
      <c r="AV43" s="1">
        <f t="shared" si="161"/>
        <v>377.086092715231</v>
      </c>
      <c r="AW43" s="1">
        <f t="shared" si="162"/>
        <v>294.437086092715</v>
      </c>
      <c r="AX43" s="1">
        <f t="shared" si="163"/>
        <v>588.87417218543</v>
      </c>
      <c r="BA43" s="2">
        <f t="shared" si="127"/>
        <v>2458.80794701986</v>
      </c>
      <c r="BB43" s="2" t="e">
        <f t="shared" si="128"/>
        <v>#REF!</v>
      </c>
      <c r="BD43" s="1" t="e">
        <f t="shared" si="181"/>
        <v>#REF!</v>
      </c>
      <c r="BE43" s="3" t="e">
        <f t="shared" si="165"/>
        <v>#REF!</v>
      </c>
      <c r="BF43" s="1">
        <f>VLOOKUP(C43,MOQ,3,FALSE())</f>
        <v>1008.0</v>
      </c>
      <c r="BG43" s="4">
        <f t="shared" ref="BG43:BG44" si="182">BF43</f>
        <v>1008.0</v>
      </c>
      <c r="BH43" s="1" t="s">
        <v>10</v>
      </c>
      <c r="BI43" s="1" t="e">
        <f t="shared" si="167"/>
        <v>#REF!</v>
      </c>
      <c r="BJ43" s="1">
        <f t="shared" si="168"/>
        <v>501.059602649</v>
      </c>
      <c r="BK43" s="1">
        <f t="shared" si="129"/>
      </c>
      <c r="BL43" s="3" t="e">
        <f t="shared" si="169"/>
        <v>#REF!</v>
      </c>
      <c r="BM43" s="1">
        <f t="shared" si="170"/>
        <v>237.615894039735</v>
      </c>
      <c r="BN43" s="1" t="e">
        <f t="shared" si="130"/>
        <v>#REF!</v>
      </c>
      <c r="BO43" s="3" t="e">
        <f t="shared" si="171"/>
        <v>#REF!</v>
      </c>
      <c r="BP43" s="1">
        <f t="shared" si="172"/>
        <v>459.735099337748</v>
      </c>
      <c r="BR43" s="3" t="e">
        <f t="shared" si="173"/>
        <v>#REF!</v>
      </c>
      <c r="BS43" s="1">
        <f t="shared" si="174"/>
        <v>377.086092715231</v>
      </c>
      <c r="BU43" s="3" t="e">
        <f t="shared" si="175"/>
        <v>#REF!</v>
      </c>
      <c r="BV43" s="1">
        <f t="shared" si="176"/>
        <v>294.437086092715</v>
      </c>
      <c r="BX43" s="3" t="e">
        <f t="shared" si="177"/>
        <v>#REF!</v>
      </c>
      <c r="BY43" s="1">
        <f t="shared" si="178"/>
        <v>588.87417218543</v>
      </c>
      <c r="CA43" s="3" t="e">
        <f t="shared" si="179"/>
        <v>#REF!</v>
      </c>
    </row>
    <row r="44" ht="14.0">
      <c r="A44" s="27" t="s">
        <v>28</v>
      </c>
      <c r="B44" s="27" t="s">
        <v>98</v>
      </c>
      <c r="C44" s="27" t="s">
        <v>107</v>
      </c>
      <c r="D44" s="27" t="s">
        <v>108</v>
      </c>
      <c r="E44" s="27"/>
      <c r="F44" s="27">
        <v>192.0</v>
      </c>
      <c r="G44" s="27">
        <v>222.0</v>
      </c>
      <c r="H44" s="27">
        <v>829.0</v>
      </c>
      <c r="I44" s="27">
        <v>846.0</v>
      </c>
      <c r="J44" s="27">
        <v>306.0</v>
      </c>
      <c r="K44" s="27">
        <v>201.0</v>
      </c>
      <c r="L44" s="27">
        <v>1114.0</v>
      </c>
      <c r="M44" s="27">
        <v>250.0</v>
      </c>
      <c r="N44" s="27">
        <v>479.0</v>
      </c>
      <c r="O44" s="27">
        <v>242.0</v>
      </c>
      <c r="P44" s="27">
        <v>798.0</v>
      </c>
      <c r="Q44" s="27">
        <v>374.0</v>
      </c>
      <c r="R44" s="27">
        <v>252.0</v>
      </c>
      <c r="S44" s="27">
        <v>480.0</v>
      </c>
      <c r="T44" s="27">
        <v>537.0</v>
      </c>
      <c r="U44" s="27">
        <v>401.0</v>
      </c>
      <c r="V44" s="27">
        <v>591.0</v>
      </c>
      <c r="W44" s="27">
        <v>605.0</v>
      </c>
      <c r="X44" s="27">
        <v>595.0</v>
      </c>
      <c r="Y44" s="27">
        <v>388.0</v>
      </c>
      <c r="Z44" s="27">
        <v>312.0</v>
      </c>
      <c r="AA44" s="27">
        <v>552.0</v>
      </c>
      <c r="AB44" s="27">
        <v>254.0</v>
      </c>
      <c r="AC44" s="27">
        <v>630.0</v>
      </c>
      <c r="AD44" s="27">
        <v>209.0</v>
      </c>
      <c r="AE44" s="27">
        <v>348.0</v>
      </c>
      <c r="AF44" s="27">
        <v>288.0</v>
      </c>
      <c r="AG44" s="27">
        <v>336.0</v>
      </c>
      <c r="AH44" s="27">
        <v>498.0</v>
      </c>
      <c r="AI44" s="27">
        <v>624.0</v>
      </c>
      <c r="AJ44" s="27">
        <v>414.0</v>
      </c>
      <c r="AK44" s="27">
        <v>384.0</v>
      </c>
      <c r="AL44" s="27">
        <v>306.0</v>
      </c>
      <c r="AM44" s="27">
        <v>284.0</v>
      </c>
      <c r="AN44" s="27">
        <v>252.0</v>
      </c>
      <c r="AO44" s="28">
        <f t="shared" si="3"/>
        <v>5127.0</v>
      </c>
      <c r="AP44" s="28">
        <f t="shared" si="4"/>
        <v>2510.0</v>
      </c>
      <c r="AQ44" s="28">
        <f t="shared" si="5"/>
        <v>2761.0</v>
      </c>
      <c r="AS44" s="1">
        <f t="shared" si="158"/>
        <v>537.461368653421</v>
      </c>
      <c r="AT44" s="1">
        <f t="shared" si="159"/>
        <v>254.878587196468</v>
      </c>
      <c r="AU44" s="1">
        <f t="shared" si="160"/>
        <v>493.134657836644</v>
      </c>
      <c r="AV44" s="1">
        <f t="shared" si="161"/>
        <v>404.48123620309</v>
      </c>
      <c r="AW44" s="1">
        <f t="shared" si="162"/>
        <v>315.827814569536</v>
      </c>
      <c r="AX44" s="1">
        <f t="shared" si="163"/>
        <v>631.655629139072</v>
      </c>
      <c r="BA44" s="2">
        <f t="shared" si="127"/>
        <v>2637.43929359823</v>
      </c>
      <c r="BB44" s="2" t="e">
        <f t="shared" si="128"/>
        <v>#REF!</v>
      </c>
      <c r="BD44" s="1" t="e">
        <f t="shared" si="181"/>
        <v>#REF!</v>
      </c>
      <c r="BE44" s="3" t="e">
        <f t="shared" si="165"/>
        <v>#REF!</v>
      </c>
      <c r="BF44" s="1">
        <f>VLOOKUP(C44,MOQ,3,FALSE())</f>
        <v>1008.0</v>
      </c>
      <c r="BG44" s="4">
        <f t="shared" si="182"/>
        <v>1008.0</v>
      </c>
      <c r="BH44" s="1" t="s">
        <v>10</v>
      </c>
      <c r="BI44" s="1" t="e">
        <f t="shared" si="167"/>
        <v>#REF!</v>
      </c>
      <c r="BJ44" s="1">
        <f t="shared" si="168"/>
        <v>537.461368653421</v>
      </c>
      <c r="BK44" s="1">
        <f t="shared" si="129"/>
      </c>
      <c r="BL44" s="3" t="e">
        <f t="shared" si="169"/>
        <v>#REF!</v>
      </c>
      <c r="BM44" s="1">
        <f t="shared" si="170"/>
        <v>254.878587196468</v>
      </c>
      <c r="BN44" s="1" t="e">
        <f t="shared" si="130"/>
        <v>#REF!</v>
      </c>
      <c r="BO44" s="3" t="e">
        <f t="shared" si="171"/>
        <v>#REF!</v>
      </c>
      <c r="BP44" s="1">
        <f t="shared" si="172"/>
        <v>493.134657836644</v>
      </c>
      <c r="BR44" s="3" t="e">
        <f t="shared" si="173"/>
        <v>#REF!</v>
      </c>
      <c r="BS44" s="1">
        <f t="shared" si="174"/>
        <v>404.48123620309</v>
      </c>
      <c r="BU44" s="3" t="e">
        <f t="shared" si="175"/>
        <v>#REF!</v>
      </c>
      <c r="BV44" s="1">
        <f t="shared" si="176"/>
        <v>315.827814569536</v>
      </c>
      <c r="BX44" s="3" t="e">
        <f t="shared" si="177"/>
        <v>#REF!</v>
      </c>
      <c r="BY44" s="1">
        <f t="shared" si="178"/>
        <v>631.655629139072</v>
      </c>
      <c r="CA44" s="3" t="e">
        <f t="shared" si="179"/>
        <v>#REF!</v>
      </c>
    </row>
    <row r="45" ht="14.0">
      <c r="A45" s="27" t="s">
        <v>28</v>
      </c>
      <c r="B45" s="27" t="s">
        <v>98</v>
      </c>
      <c r="C45" s="27" t="s">
        <v>109</v>
      </c>
      <c r="D45" s="27" t="s">
        <v>110</v>
      </c>
      <c r="E45" s="27"/>
      <c r="F45" s="27">
        <v>0.0</v>
      </c>
      <c r="G45" s="27">
        <v>90.0</v>
      </c>
      <c r="H45" s="27">
        <v>834.0</v>
      </c>
      <c r="I45" s="27">
        <v>456.0</v>
      </c>
      <c r="J45" s="27">
        <v>0.0</v>
      </c>
      <c r="K45" s="27">
        <v>222.0</v>
      </c>
      <c r="L45" s="27">
        <v>1014.0</v>
      </c>
      <c r="M45" s="27">
        <v>229.0</v>
      </c>
      <c r="N45" s="27">
        <v>444.0</v>
      </c>
      <c r="O45" s="27">
        <v>180.0</v>
      </c>
      <c r="P45" s="27">
        <v>690.0</v>
      </c>
      <c r="Q45" s="27">
        <v>300.0</v>
      </c>
      <c r="R45" s="27">
        <v>362.0</v>
      </c>
      <c r="S45" s="27">
        <v>450.0</v>
      </c>
      <c r="T45" s="27">
        <v>613.0</v>
      </c>
      <c r="U45" s="27">
        <v>303.0</v>
      </c>
      <c r="V45" s="27">
        <v>554.0</v>
      </c>
      <c r="W45" s="27">
        <v>594.0</v>
      </c>
      <c r="X45" s="27">
        <v>516.0</v>
      </c>
      <c r="Y45" s="27">
        <v>318.0</v>
      </c>
      <c r="Z45" s="27">
        <v>360.0</v>
      </c>
      <c r="AA45" s="27">
        <v>286.0</v>
      </c>
      <c r="AB45" s="27">
        <v>0.0</v>
      </c>
      <c r="AC45" s="27">
        <v>658.0</v>
      </c>
      <c r="AD45" s="27">
        <v>222.0</v>
      </c>
      <c r="AE45" s="27">
        <v>258.0</v>
      </c>
      <c r="AF45" s="27">
        <v>234.0</v>
      </c>
      <c r="AG45" s="27">
        <v>270.0</v>
      </c>
      <c r="AH45" s="27">
        <v>528.0</v>
      </c>
      <c r="AI45" s="27">
        <v>618.0</v>
      </c>
      <c r="AJ45" s="27">
        <v>366.0</v>
      </c>
      <c r="AK45" s="27">
        <v>359.0</v>
      </c>
      <c r="AL45" s="27">
        <v>288.0</v>
      </c>
      <c r="AM45" s="27">
        <v>284.0</v>
      </c>
      <c r="AN45" s="27">
        <v>246.0</v>
      </c>
      <c r="AO45" s="28">
        <f t="shared" si="3"/>
        <v>4371.0</v>
      </c>
      <c r="AP45" s="28">
        <f t="shared" si="4"/>
        <v>2443.0</v>
      </c>
      <c r="AQ45" s="28">
        <f t="shared" si="5"/>
        <v>2687.3</v>
      </c>
      <c r="AS45" s="1">
        <f t="shared" si="158"/>
        <v>523.114790286976</v>
      </c>
      <c r="AT45" s="1">
        <f t="shared" si="159"/>
        <v>248.075055187638</v>
      </c>
      <c r="AU45" s="1">
        <f t="shared" si="160"/>
        <v>479.971302428256</v>
      </c>
      <c r="AV45" s="1">
        <f t="shared" si="161"/>
        <v>393.684326710817</v>
      </c>
      <c r="AW45" s="1">
        <f t="shared" si="162"/>
        <v>307.3973509933</v>
      </c>
      <c r="AX45" s="1">
        <f t="shared" si="163"/>
        <v>614.794701986755</v>
      </c>
      <c r="BA45" s="2">
        <f t="shared" si="127"/>
        <v>2567.03752759374</v>
      </c>
      <c r="BB45" s="2" t="e">
        <f t="shared" si="128"/>
        <v>#REF!</v>
      </c>
      <c r="BD45" s="1" t="e">
        <f t="shared" si="181"/>
        <v>#REF!</v>
      </c>
      <c r="BE45" s="3" t="e">
        <f t="shared" si="165"/>
        <v>#REF!</v>
      </c>
      <c r="BF45" s="1">
        <f>VLOOKUP(C45,MOQ,3,FALSE())</f>
        <v>1008.0</v>
      </c>
      <c r="BG45" s="4">
        <v>1008.0</v>
      </c>
      <c r="BH45" s="1" t="s">
        <v>10</v>
      </c>
      <c r="BI45" s="1" t="e">
        <f t="shared" si="167"/>
        <v>#REF!</v>
      </c>
      <c r="BJ45" s="1">
        <f t="shared" si="168"/>
        <v>523.114790286976</v>
      </c>
      <c r="BK45" s="1">
        <f t="shared" si="129"/>
      </c>
      <c r="BL45" s="3" t="e">
        <f t="shared" si="169"/>
        <v>#REF!</v>
      </c>
      <c r="BM45" s="1">
        <f t="shared" si="170"/>
        <v>248.075055187638</v>
      </c>
      <c r="BN45" s="1" t="e">
        <f t="shared" si="130"/>
        <v>#REF!</v>
      </c>
      <c r="BO45" s="3" t="e">
        <f t="shared" si="171"/>
        <v>#REF!</v>
      </c>
      <c r="BP45" s="1">
        <f t="shared" si="172"/>
        <v>479.971302428256</v>
      </c>
      <c r="BR45" s="3" t="e">
        <f t="shared" si="173"/>
        <v>#REF!</v>
      </c>
      <c r="BS45" s="1">
        <f t="shared" si="174"/>
        <v>393.684326710817</v>
      </c>
      <c r="BU45" s="3" t="e">
        <f t="shared" si="175"/>
        <v>#REF!</v>
      </c>
      <c r="BV45" s="1">
        <f t="shared" si="176"/>
        <v>307.3973509933</v>
      </c>
      <c r="BX45" s="3" t="e">
        <f t="shared" si="177"/>
        <v>#REF!</v>
      </c>
      <c r="BY45" s="1">
        <f t="shared" si="178"/>
        <v>614.794701986755</v>
      </c>
      <c r="CA45" s="3" t="e">
        <f t="shared" si="179"/>
        <v>#REF!</v>
      </c>
    </row>
    <row r="46" ht="14.0">
      <c r="A46" s="27" t="s">
        <v>28</v>
      </c>
      <c r="B46" s="27" t="s">
        <v>98</v>
      </c>
      <c r="C46" s="27" t="s">
        <v>111</v>
      </c>
      <c r="D46" s="27" t="s">
        <v>112</v>
      </c>
      <c r="E46" s="27"/>
      <c r="F46" s="27">
        <v>144.0</v>
      </c>
      <c r="G46" s="27">
        <v>120.0</v>
      </c>
      <c r="H46" s="27">
        <v>188.0</v>
      </c>
      <c r="I46" s="27">
        <v>354.0</v>
      </c>
      <c r="J46" s="27">
        <v>223.0</v>
      </c>
      <c r="K46" s="27">
        <v>324.0</v>
      </c>
      <c r="L46" s="27">
        <v>181.0</v>
      </c>
      <c r="M46" s="27">
        <v>295.0</v>
      </c>
      <c r="N46" s="27">
        <v>137.0</v>
      </c>
      <c r="O46" s="27">
        <v>151.0</v>
      </c>
      <c r="P46" s="27">
        <v>150.0</v>
      </c>
      <c r="Q46" s="27">
        <v>144.0</v>
      </c>
      <c r="R46" s="27">
        <v>152.0</v>
      </c>
      <c r="S46" s="27">
        <v>114.0</v>
      </c>
      <c r="T46" s="27">
        <v>105.0</v>
      </c>
      <c r="U46" s="27">
        <v>187.0</v>
      </c>
      <c r="V46" s="27">
        <v>182.0</v>
      </c>
      <c r="W46" s="27">
        <v>124.0</v>
      </c>
      <c r="X46" s="27">
        <v>170.0</v>
      </c>
      <c r="Y46" s="27">
        <v>108.0</v>
      </c>
      <c r="Z46" s="27">
        <v>102.0</v>
      </c>
      <c r="AA46" s="27">
        <v>168.0</v>
      </c>
      <c r="AB46" s="27">
        <v>142.0</v>
      </c>
      <c r="AC46" s="27">
        <v>138.0</v>
      </c>
      <c r="AD46" s="27">
        <v>78.0</v>
      </c>
      <c r="AE46" s="27">
        <v>48.0</v>
      </c>
      <c r="AF46" s="27">
        <v>132.0</v>
      </c>
      <c r="AG46" s="27">
        <v>102.0</v>
      </c>
      <c r="AH46" s="27">
        <v>132.0</v>
      </c>
      <c r="AI46" s="27">
        <v>193.0</v>
      </c>
      <c r="AJ46" s="27">
        <v>84.0</v>
      </c>
      <c r="AK46" s="27">
        <v>96.0</v>
      </c>
      <c r="AL46" s="27">
        <v>78.0</v>
      </c>
      <c r="AM46" s="27">
        <v>66.0</v>
      </c>
      <c r="AN46" s="27">
        <v>6.0</v>
      </c>
      <c r="AO46" s="28">
        <f t="shared" si="3"/>
        <v>1457.0</v>
      </c>
      <c r="AP46" s="28">
        <f t="shared" si="4"/>
        <v>649.0</v>
      </c>
      <c r="AQ46" s="28">
        <f t="shared" si="5"/>
        <v>713.9</v>
      </c>
      <c r="AS46" s="1">
        <f t="shared" si="158"/>
        <v>138.969094922737</v>
      </c>
      <c r="AT46" s="1">
        <f t="shared" si="159"/>
        <v>65.9028697571743</v>
      </c>
      <c r="AU46" s="1">
        <f t="shared" si="160"/>
        <v>127.507726269316</v>
      </c>
      <c r="AV46" s="1">
        <f t="shared" si="161"/>
        <v>104.584988962472</v>
      </c>
      <c r="AW46" s="1">
        <f t="shared" si="162"/>
        <v>81.6622516556291</v>
      </c>
      <c r="AX46" s="1">
        <f t="shared" si="163"/>
        <v>163.324503311258</v>
      </c>
      <c r="BA46" s="2">
        <f t="shared" si="127"/>
        <v>681.951434878586</v>
      </c>
      <c r="BB46" s="2" t="e">
        <f t="shared" si="128"/>
        <v>#REF!</v>
      </c>
      <c r="BE46" s="3" t="e">
        <f t="shared" si="165"/>
        <v>#REF!</v>
      </c>
      <c r="BF46" s="1">
        <f>VLOOKUP(C46,MOQ,3,FALSE())</f>
        <v>1008.0</v>
      </c>
      <c r="BG46" s="43" t="s">
        <v>32</v>
      </c>
      <c r="BI46" s="1" t="e">
        <f t="shared" si="167"/>
        <v>#REF!</v>
      </c>
      <c r="BJ46" s="1">
        <f t="shared" si="168"/>
        <v>138.969094922737</v>
      </c>
      <c r="BK46" s="1">
        <f t="shared" si="129"/>
      </c>
      <c r="BL46" s="3" t="e">
        <f t="shared" si="169"/>
        <v>#REF!</v>
      </c>
      <c r="BM46" s="1">
        <f t="shared" si="170"/>
        <v>65.9028697571743</v>
      </c>
      <c r="BN46" s="1">
        <f t="shared" si="130"/>
      </c>
      <c r="BO46" s="3" t="e">
        <f t="shared" si="171"/>
        <v>#REF!</v>
      </c>
      <c r="BP46" s="1">
        <f t="shared" si="172"/>
        <v>127.507726269316</v>
      </c>
      <c r="BR46" s="3" t="e">
        <f t="shared" si="173"/>
        <v>#REF!</v>
      </c>
      <c r="BS46" s="1">
        <f t="shared" si="174"/>
        <v>104.584988962472</v>
      </c>
      <c r="BU46" s="3" t="e">
        <f t="shared" si="175"/>
        <v>#REF!</v>
      </c>
      <c r="BV46" s="1">
        <f t="shared" si="176"/>
        <v>81.6622516556291</v>
      </c>
      <c r="BX46" s="3" t="e">
        <f t="shared" si="177"/>
        <v>#REF!</v>
      </c>
      <c r="BY46" s="1">
        <f t="shared" si="178"/>
        <v>163.324503311258</v>
      </c>
      <c r="CA46" s="3" t="e">
        <f t="shared" si="179"/>
        <v>#REF!</v>
      </c>
    </row>
    <row r="47" ht="14.0">
      <c r="A47" s="27" t="s">
        <v>28</v>
      </c>
      <c r="B47" s="27" t="s">
        <v>98</v>
      </c>
      <c r="C47" s="27" t="s">
        <v>113</v>
      </c>
      <c r="D47" s="27" t="s">
        <v>114</v>
      </c>
      <c r="E47" s="27"/>
      <c r="F47" s="27">
        <v>24.0</v>
      </c>
      <c r="G47" s="27">
        <v>18.0</v>
      </c>
      <c r="H47" s="27">
        <v>53.0</v>
      </c>
      <c r="I47" s="27">
        <v>54.0</v>
      </c>
      <c r="J47" s="27">
        <v>30.0</v>
      </c>
      <c r="K47" s="27">
        <v>54.0</v>
      </c>
      <c r="L47" s="27">
        <v>18.0</v>
      </c>
      <c r="M47" s="27">
        <v>24.0</v>
      </c>
      <c r="N47" s="27">
        <v>12.0</v>
      </c>
      <c r="O47" s="27">
        <v>30.0</v>
      </c>
      <c r="P47" s="27">
        <v>36.0</v>
      </c>
      <c r="Q47" s="27">
        <v>54.0</v>
      </c>
      <c r="R47" s="27">
        <v>24.0</v>
      </c>
      <c r="S47" s="27">
        <v>12.0</v>
      </c>
      <c r="T47" s="27">
        <v>25.0</v>
      </c>
      <c r="U47" s="27">
        <v>39.0</v>
      </c>
      <c r="V47" s="27">
        <v>30.0</v>
      </c>
      <c r="W47" s="27">
        <v>25.0</v>
      </c>
      <c r="X47" s="27">
        <v>31.0</v>
      </c>
      <c r="Y47" s="27">
        <v>39.0</v>
      </c>
      <c r="Z47" s="27">
        <v>44.0</v>
      </c>
      <c r="AA47" s="27">
        <v>24.0</v>
      </c>
      <c r="AB47" s="27">
        <v>12.0</v>
      </c>
      <c r="AC47" s="27">
        <v>30.0</v>
      </c>
      <c r="AD47" s="27">
        <v>30.0</v>
      </c>
      <c r="AE47" s="27">
        <v>6.0</v>
      </c>
      <c r="AF47" s="27">
        <v>60.0</v>
      </c>
      <c r="AG47" s="27">
        <v>18.0</v>
      </c>
      <c r="AH47" s="27">
        <v>18.0</v>
      </c>
      <c r="AI47" s="27">
        <v>36.0</v>
      </c>
      <c r="AJ47" s="27">
        <v>18.0</v>
      </c>
      <c r="AK47" s="27">
        <v>18.0</v>
      </c>
      <c r="AL47" s="27">
        <v>48.0</v>
      </c>
      <c r="AM47" s="27">
        <v>42.0</v>
      </c>
      <c r="AN47" s="27">
        <v>18.0</v>
      </c>
      <c r="AO47" s="28">
        <f t="shared" si="3"/>
        <v>360.0</v>
      </c>
      <c r="AP47" s="28">
        <f t="shared" si="4"/>
        <v>180.0</v>
      </c>
      <c r="AQ47" s="28">
        <f t="shared" si="5"/>
        <v>198.0</v>
      </c>
      <c r="AS47" s="1">
        <f t="shared" si="158"/>
        <v>38.5430463576159</v>
      </c>
      <c r="AT47" s="1">
        <f t="shared" si="159"/>
        <v>18.2781456953642</v>
      </c>
      <c r="AU47" s="1">
        <f t="shared" si="160"/>
        <v>35.364238410596</v>
      </c>
      <c r="AV47" s="1">
        <f t="shared" si="161"/>
        <v>29.0066225165562</v>
      </c>
      <c r="AW47" s="1">
        <f t="shared" si="162"/>
        <v>22.6490066225166</v>
      </c>
      <c r="AX47" s="1">
        <f t="shared" si="163"/>
        <v>45.2980132450331</v>
      </c>
      <c r="BA47" s="2">
        <f t="shared" si="127"/>
        <v>189.139072847682</v>
      </c>
      <c r="BB47" s="2" t="e">
        <f t="shared" si="128"/>
        <v>#REF!</v>
      </c>
      <c r="BE47" s="3" t="e">
        <f t="shared" si="165"/>
        <v>#REF!</v>
      </c>
      <c r="BF47" s="1">
        <f>VLOOKUP(C47,MOQ,3,FALSE())</f>
        <v>1008.0</v>
      </c>
      <c r="BG47" s="43" t="s">
        <v>32</v>
      </c>
      <c r="BI47" s="1" t="e">
        <f t="shared" si="167"/>
        <v>#REF!</v>
      </c>
      <c r="BJ47" s="1">
        <f t="shared" si="168"/>
        <v>38.5430463576159</v>
      </c>
      <c r="BK47" s="1">
        <f t="shared" si="129"/>
      </c>
      <c r="BL47" s="3" t="e">
        <f t="shared" si="169"/>
        <v>#REF!</v>
      </c>
      <c r="BM47" s="1">
        <f t="shared" si="170"/>
        <v>18.2781456953642</v>
      </c>
      <c r="BN47" s="1">
        <f t="shared" si="130"/>
      </c>
      <c r="BO47" s="3" t="e">
        <f t="shared" si="171"/>
        <v>#REF!</v>
      </c>
      <c r="BP47" s="1">
        <f t="shared" si="172"/>
        <v>35.364238410596</v>
      </c>
      <c r="BR47" s="3" t="e">
        <f t="shared" si="173"/>
        <v>#REF!</v>
      </c>
      <c r="BS47" s="1">
        <f t="shared" si="174"/>
        <v>29.0066225165562</v>
      </c>
      <c r="BU47" s="3" t="e">
        <f t="shared" si="175"/>
        <v>#REF!</v>
      </c>
      <c r="BV47" s="1">
        <f t="shared" si="176"/>
        <v>22.6490066225166</v>
      </c>
      <c r="BX47" s="3" t="e">
        <f t="shared" si="177"/>
        <v>#REF!</v>
      </c>
      <c r="BY47" s="1">
        <f t="shared" si="178"/>
        <v>45.2980132450331</v>
      </c>
      <c r="CA47" s="3" t="e">
        <f t="shared" si="179"/>
        <v>#REF!</v>
      </c>
    </row>
    <row r="48" ht="14.0">
      <c r="A48" s="27" t="s">
        <v>28</v>
      </c>
      <c r="B48" s="27" t="s">
        <v>98</v>
      </c>
      <c r="C48" s="27" t="s">
        <v>115</v>
      </c>
      <c r="D48" s="27" t="s">
        <v>116</v>
      </c>
      <c r="E48" s="27"/>
      <c r="F48" s="27">
        <v>228.0</v>
      </c>
      <c r="G48" s="27">
        <v>210.0</v>
      </c>
      <c r="H48" s="27">
        <v>204.0</v>
      </c>
      <c r="I48" s="27">
        <v>450.0</v>
      </c>
      <c r="J48" s="27">
        <v>288.0</v>
      </c>
      <c r="K48" s="27">
        <v>444.0</v>
      </c>
      <c r="L48" s="27">
        <v>197.0</v>
      </c>
      <c r="M48" s="27">
        <v>258.0</v>
      </c>
      <c r="N48" s="27">
        <v>186.0</v>
      </c>
      <c r="O48" s="27">
        <v>210.0</v>
      </c>
      <c r="P48" s="27">
        <v>198.0</v>
      </c>
      <c r="Q48" s="27">
        <v>187.0</v>
      </c>
      <c r="R48" s="27">
        <v>120.0</v>
      </c>
      <c r="S48" s="27">
        <v>162.0</v>
      </c>
      <c r="T48" s="27">
        <v>163.0</v>
      </c>
      <c r="U48" s="27">
        <v>150.0</v>
      </c>
      <c r="V48" s="27">
        <v>177.0</v>
      </c>
      <c r="W48" s="27">
        <v>178.0</v>
      </c>
      <c r="X48" s="27">
        <v>274.0</v>
      </c>
      <c r="Y48" s="27">
        <v>120.0</v>
      </c>
      <c r="Z48" s="27">
        <v>126.0</v>
      </c>
      <c r="AA48" s="27">
        <v>228.0</v>
      </c>
      <c r="AB48" s="27">
        <v>102.0</v>
      </c>
      <c r="AC48" s="27">
        <v>222.0</v>
      </c>
      <c r="AD48" s="27">
        <v>168.0</v>
      </c>
      <c r="AE48" s="27">
        <v>108.0</v>
      </c>
      <c r="AF48" s="27">
        <v>120.0</v>
      </c>
      <c r="AG48" s="27">
        <v>180.0</v>
      </c>
      <c r="AH48" s="27">
        <v>216.0</v>
      </c>
      <c r="AI48" s="27">
        <v>258.0</v>
      </c>
      <c r="AJ48" s="27">
        <v>180.0</v>
      </c>
      <c r="AK48" s="27">
        <v>120.0</v>
      </c>
      <c r="AL48" s="27">
        <v>66.0</v>
      </c>
      <c r="AM48" s="27">
        <v>108.0</v>
      </c>
      <c r="AN48" s="27">
        <v>114.0</v>
      </c>
      <c r="AO48" s="28">
        <f t="shared" si="3"/>
        <v>2076.0</v>
      </c>
      <c r="AP48" s="28">
        <f t="shared" si="4"/>
        <v>948.0</v>
      </c>
      <c r="AQ48" s="28">
        <f t="shared" si="5"/>
        <v>1042.8</v>
      </c>
      <c r="AS48" s="1">
        <f t="shared" si="158"/>
        <v>202.993377483443</v>
      </c>
      <c r="AT48" s="1">
        <f t="shared" si="159"/>
        <v>96.2649006622517</v>
      </c>
      <c r="AU48" s="1">
        <f t="shared" si="160"/>
        <v>186.251655629139</v>
      </c>
      <c r="AV48" s="1">
        <f t="shared" si="161"/>
        <v>152.76821192053</v>
      </c>
      <c r="AW48" s="1">
        <f t="shared" si="162"/>
        <v>119.28476821192</v>
      </c>
      <c r="AX48" s="1">
        <f t="shared" si="163"/>
        <v>238.569536423841</v>
      </c>
      <c r="BA48" s="2">
        <f t="shared" si="127"/>
        <v>996.132450331124</v>
      </c>
      <c r="BB48" s="2" t="e">
        <f t="shared" si="128"/>
        <v>#REF!</v>
      </c>
      <c r="BE48" s="3" t="e">
        <f t="shared" si="165"/>
        <v>#REF!</v>
      </c>
      <c r="BF48" s="1">
        <f>VLOOKUP(C48,MOQ,3,FALSE())</f>
        <v>1008.0</v>
      </c>
      <c r="BI48" s="1" t="e">
        <f t="shared" si="167"/>
        <v>#REF!</v>
      </c>
      <c r="BJ48" s="1">
        <f t="shared" si="168"/>
        <v>202.993377483443</v>
      </c>
      <c r="BK48" s="1">
        <f t="shared" si="129"/>
      </c>
      <c r="BL48" s="3" t="e">
        <f t="shared" si="169"/>
        <v>#REF!</v>
      </c>
      <c r="BM48" s="1">
        <f t="shared" si="170"/>
        <v>96.2649006622517</v>
      </c>
      <c r="BN48" s="1">
        <f t="shared" si="130"/>
      </c>
      <c r="BO48" s="3" t="e">
        <f t="shared" si="171"/>
        <v>#REF!</v>
      </c>
      <c r="BP48" s="1">
        <f t="shared" si="172"/>
        <v>186.251655629139</v>
      </c>
      <c r="BR48" s="3" t="e">
        <f t="shared" si="173"/>
        <v>#REF!</v>
      </c>
      <c r="BS48" s="1">
        <f t="shared" si="174"/>
        <v>152.76821192053</v>
      </c>
      <c r="BU48" s="3" t="e">
        <f t="shared" si="175"/>
        <v>#REF!</v>
      </c>
      <c r="BV48" s="1">
        <f t="shared" si="176"/>
        <v>119.28476821192</v>
      </c>
      <c r="BX48" s="3" t="e">
        <f t="shared" si="177"/>
        <v>#REF!</v>
      </c>
      <c r="BY48" s="1">
        <f t="shared" si="178"/>
        <v>238.569536423841</v>
      </c>
      <c r="CA48" s="3" t="e">
        <f t="shared" si="179"/>
        <v>#REF!</v>
      </c>
    </row>
    <row r="49" ht="14.0">
      <c r="A49" s="27" t="s">
        <v>28</v>
      </c>
      <c r="B49" s="27" t="s">
        <v>98</v>
      </c>
      <c r="C49" s="27" t="s">
        <v>117</v>
      </c>
      <c r="D49" s="27" t="s">
        <v>118</v>
      </c>
      <c r="E49" s="27"/>
      <c r="F49" s="27">
        <v>228.0</v>
      </c>
      <c r="G49" s="27">
        <v>288.0</v>
      </c>
      <c r="H49" s="27">
        <v>1043.0</v>
      </c>
      <c r="I49" s="27">
        <v>1044.0</v>
      </c>
      <c r="J49" s="27">
        <v>402.0</v>
      </c>
      <c r="K49" s="27">
        <v>438.0</v>
      </c>
      <c r="L49" s="27">
        <v>1121.0</v>
      </c>
      <c r="M49" s="27">
        <v>0.0</v>
      </c>
      <c r="N49" s="27">
        <v>540.0</v>
      </c>
      <c r="O49" s="27">
        <v>396.0</v>
      </c>
      <c r="P49" s="27">
        <v>822.0</v>
      </c>
      <c r="Q49" s="27">
        <v>372.0</v>
      </c>
      <c r="R49" s="27">
        <v>272.0</v>
      </c>
      <c r="S49" s="27">
        <v>504.0</v>
      </c>
      <c r="T49" s="27">
        <v>649.0</v>
      </c>
      <c r="U49" s="27">
        <v>380.0</v>
      </c>
      <c r="V49" s="27">
        <v>836.0</v>
      </c>
      <c r="W49" s="27">
        <v>742.0</v>
      </c>
      <c r="X49" s="27">
        <v>919.0</v>
      </c>
      <c r="Y49" s="27">
        <v>433.0</v>
      </c>
      <c r="Z49" s="27">
        <v>313.0</v>
      </c>
      <c r="AA49" s="27">
        <v>276.0</v>
      </c>
      <c r="AB49" s="27">
        <v>0.0</v>
      </c>
      <c r="AC49" s="27">
        <v>937.0</v>
      </c>
      <c r="AD49" s="27">
        <v>259.0</v>
      </c>
      <c r="AE49" s="27">
        <v>552.0</v>
      </c>
      <c r="AF49" s="27">
        <v>354.0</v>
      </c>
      <c r="AG49" s="27">
        <v>408.0</v>
      </c>
      <c r="AH49" s="27">
        <v>732.0</v>
      </c>
      <c r="AI49" s="27">
        <v>804.0</v>
      </c>
      <c r="AJ49" s="27">
        <v>564.0</v>
      </c>
      <c r="AK49" s="27">
        <v>459.0</v>
      </c>
      <c r="AL49" s="27">
        <v>408.0</v>
      </c>
      <c r="AM49" s="27">
        <v>266.0</v>
      </c>
      <c r="AN49" s="27">
        <v>300.0</v>
      </c>
      <c r="AO49" s="28">
        <f t="shared" si="3"/>
        <v>6019.0</v>
      </c>
      <c r="AP49" s="28">
        <f t="shared" si="4"/>
        <v>3233.0</v>
      </c>
      <c r="AQ49" s="28">
        <f t="shared" si="5"/>
        <v>3556.3</v>
      </c>
      <c r="AS49" s="1">
        <f t="shared" si="158"/>
        <v>692.275938189845</v>
      </c>
      <c r="AT49" s="1">
        <f t="shared" si="159"/>
        <v>328.295805739514</v>
      </c>
      <c r="AU49" s="1">
        <f t="shared" si="160"/>
        <v>635.181015452539</v>
      </c>
      <c r="AV49" s="1">
        <f t="shared" si="161"/>
        <v>520.991169977924</v>
      </c>
      <c r="AW49" s="1">
        <f t="shared" si="162"/>
        <v>406.801324503311</v>
      </c>
      <c r="AX49" s="1">
        <f t="shared" si="163"/>
        <v>813.602649006622</v>
      </c>
      <c r="BA49" s="2">
        <f t="shared" si="127"/>
        <v>3397.14790286975</v>
      </c>
      <c r="BB49" s="2" t="e">
        <f t="shared" si="128"/>
        <v>#REF!</v>
      </c>
      <c r="BD49" s="1" t="e">
        <f t="shared" ref="BD49:BD51" si="183">VLOOKUP(C49,CHINAJUNE,3,false)</f>
        <v>#REF!</v>
      </c>
      <c r="BE49" s="3" t="e">
        <f t="shared" si="165"/>
        <v>#REF!</v>
      </c>
      <c r="BF49" s="1">
        <f>VLOOKUP(C49,MOQ,3,FALSE())</f>
        <v>1008.0</v>
      </c>
      <c r="BG49" s="43" t="s">
        <v>32</v>
      </c>
      <c r="BH49" s="1" t="s">
        <v>10</v>
      </c>
      <c r="BI49" s="1" t="e">
        <f t="shared" si="167"/>
        <v>#REF!</v>
      </c>
      <c r="BJ49" s="1">
        <f t="shared" si="168"/>
        <v>692.275938189845</v>
      </c>
      <c r="BK49" s="1">
        <f t="shared" si="129"/>
      </c>
      <c r="BL49" s="3" t="e">
        <f t="shared" si="169"/>
        <v>#REF!</v>
      </c>
      <c r="BM49" s="1">
        <f t="shared" si="170"/>
        <v>328.295805739514</v>
      </c>
      <c r="BN49" s="1" t="e">
        <f t="shared" si="130"/>
        <v>#REF!</v>
      </c>
      <c r="BO49" s="3" t="e">
        <f t="shared" si="171"/>
        <v>#REF!</v>
      </c>
      <c r="BP49" s="1">
        <f t="shared" si="172"/>
        <v>635.181015452539</v>
      </c>
      <c r="BR49" s="3" t="e">
        <f t="shared" si="173"/>
        <v>#REF!</v>
      </c>
      <c r="BS49" s="1">
        <f t="shared" si="174"/>
        <v>520.991169977924</v>
      </c>
      <c r="BU49" s="3" t="e">
        <f t="shared" si="175"/>
        <v>#REF!</v>
      </c>
      <c r="BV49" s="1">
        <f t="shared" si="176"/>
        <v>406.801324503311</v>
      </c>
      <c r="BX49" s="3" t="e">
        <f t="shared" si="177"/>
        <v>#REF!</v>
      </c>
      <c r="BY49" s="1">
        <f t="shared" si="178"/>
        <v>813.602649006622</v>
      </c>
      <c r="CA49" s="3" t="e">
        <f t="shared" si="179"/>
        <v>#REF!</v>
      </c>
    </row>
    <row r="50" ht="14.0">
      <c r="A50" s="27" t="s">
        <v>28</v>
      </c>
      <c r="B50" s="27" t="s">
        <v>98</v>
      </c>
      <c r="C50" s="27" t="s">
        <v>119</v>
      </c>
      <c r="D50" s="27" t="s">
        <v>120</v>
      </c>
      <c r="E50" s="27"/>
      <c r="F50" s="27">
        <v>171.0</v>
      </c>
      <c r="G50" s="27">
        <v>258.0</v>
      </c>
      <c r="H50" s="27">
        <v>114.0</v>
      </c>
      <c r="I50" s="27">
        <v>0.0</v>
      </c>
      <c r="J50" s="27">
        <v>0.0</v>
      </c>
      <c r="K50" s="27">
        <v>854.0</v>
      </c>
      <c r="L50" s="27">
        <v>252.0</v>
      </c>
      <c r="M50" s="27">
        <v>216.0</v>
      </c>
      <c r="N50" s="27">
        <v>187.0</v>
      </c>
      <c r="O50" s="27">
        <v>252.0</v>
      </c>
      <c r="P50" s="27">
        <v>343.0</v>
      </c>
      <c r="Q50" s="27">
        <v>186.0</v>
      </c>
      <c r="R50" s="27">
        <v>253.0</v>
      </c>
      <c r="S50" s="27">
        <v>186.0</v>
      </c>
      <c r="T50" s="27">
        <v>258.0</v>
      </c>
      <c r="U50" s="27">
        <v>264.0</v>
      </c>
      <c r="V50" s="27">
        <v>348.0</v>
      </c>
      <c r="W50" s="27">
        <v>330.0</v>
      </c>
      <c r="X50" s="27">
        <v>367.0</v>
      </c>
      <c r="Y50" s="27">
        <v>240.0</v>
      </c>
      <c r="Z50" s="27">
        <v>192.0</v>
      </c>
      <c r="AA50" s="27">
        <v>162.0</v>
      </c>
      <c r="AB50" s="27">
        <v>12.0</v>
      </c>
      <c r="AC50" s="27">
        <v>258.0</v>
      </c>
      <c r="AD50" s="27">
        <v>180.0</v>
      </c>
      <c r="AE50" s="27">
        <v>198.0</v>
      </c>
      <c r="AF50" s="27">
        <v>240.0</v>
      </c>
      <c r="AG50" s="27">
        <v>174.0</v>
      </c>
      <c r="AH50" s="27">
        <v>211.0</v>
      </c>
      <c r="AI50" s="27">
        <v>423.0</v>
      </c>
      <c r="AJ50" s="27">
        <v>162.0</v>
      </c>
      <c r="AK50" s="27">
        <v>150.0</v>
      </c>
      <c r="AL50" s="27">
        <v>138.0</v>
      </c>
      <c r="AM50" s="27">
        <v>186.0</v>
      </c>
      <c r="AN50" s="27">
        <v>96.0</v>
      </c>
      <c r="AO50" s="28">
        <f t="shared" si="3"/>
        <v>2494.0</v>
      </c>
      <c r="AP50" s="28">
        <f t="shared" si="4"/>
        <v>1270.0</v>
      </c>
      <c r="AQ50" s="28">
        <f t="shared" si="5"/>
        <v>1397.0</v>
      </c>
      <c r="AS50" s="1">
        <f t="shared" si="158"/>
        <v>271.942604856512</v>
      </c>
      <c r="AT50" s="1">
        <f t="shared" si="159"/>
        <v>128.962472406181</v>
      </c>
      <c r="AU50" s="1">
        <f t="shared" si="160"/>
        <v>249.514348785871</v>
      </c>
      <c r="AV50" s="1">
        <f t="shared" si="161"/>
        <v>204.657836644591</v>
      </c>
      <c r="AW50" s="1">
        <f t="shared" si="162"/>
        <v>159.801324503311</v>
      </c>
      <c r="AX50" s="1">
        <f t="shared" si="163"/>
        <v>319.602649006622</v>
      </c>
      <c r="BA50" s="2">
        <f t="shared" si="127"/>
        <v>1334.48123620309</v>
      </c>
      <c r="BB50" s="2" t="e">
        <f t="shared" si="128"/>
        <v>#REF!</v>
      </c>
      <c r="BD50" s="1" t="e">
        <f t="shared" si="183"/>
        <v>#REF!</v>
      </c>
      <c r="BE50" s="3" t="e">
        <f t="shared" si="165"/>
        <v>#REF!</v>
      </c>
      <c r="BF50" s="1">
        <f>VLOOKUP(C50,MOQ,3,FALSE())</f>
        <v>1008.0</v>
      </c>
      <c r="BG50" s="43" t="s">
        <v>32</v>
      </c>
      <c r="BI50" s="1" t="e">
        <f t="shared" si="167"/>
        <v>#REF!</v>
      </c>
      <c r="BJ50" s="1">
        <f t="shared" si="168"/>
        <v>271.942604856512</v>
      </c>
      <c r="BK50" s="1">
        <f t="shared" si="129"/>
      </c>
      <c r="BL50" s="3" t="e">
        <f t="shared" si="169"/>
        <v>#REF!</v>
      </c>
      <c r="BM50" s="1">
        <f t="shared" si="170"/>
        <v>128.962472406181</v>
      </c>
      <c r="BN50" s="1" t="e">
        <f t="shared" si="130"/>
        <v>#REF!</v>
      </c>
      <c r="BO50" s="3" t="e">
        <f t="shared" si="171"/>
        <v>#REF!</v>
      </c>
      <c r="BP50" s="1">
        <f t="shared" si="172"/>
        <v>249.514348785871</v>
      </c>
      <c r="BR50" s="3" t="e">
        <f t="shared" si="173"/>
        <v>#REF!</v>
      </c>
      <c r="BS50" s="1">
        <f t="shared" si="174"/>
        <v>204.657836644591</v>
      </c>
      <c r="BU50" s="3" t="e">
        <f t="shared" si="175"/>
        <v>#REF!</v>
      </c>
      <c r="BV50" s="1">
        <f t="shared" si="176"/>
        <v>159.801324503311</v>
      </c>
      <c r="BX50" s="3" t="e">
        <f t="shared" si="177"/>
        <v>#REF!</v>
      </c>
      <c r="BY50" s="1">
        <f t="shared" si="178"/>
        <v>319.602649006622</v>
      </c>
      <c r="CA50" s="3" t="e">
        <f t="shared" si="179"/>
        <v>#REF!</v>
      </c>
    </row>
    <row r="51" ht="14.0">
      <c r="A51" s="27" t="s">
        <v>28</v>
      </c>
      <c r="B51" s="27" t="s">
        <v>98</v>
      </c>
      <c r="C51" s="27" t="s">
        <v>121</v>
      </c>
      <c r="D51" s="27" t="s">
        <v>122</v>
      </c>
      <c r="E51" s="27"/>
      <c r="F51" s="27">
        <v>213.0</v>
      </c>
      <c r="G51" s="27">
        <v>438.0</v>
      </c>
      <c r="H51" s="27">
        <v>84.0</v>
      </c>
      <c r="I51" s="27">
        <v>0.0</v>
      </c>
      <c r="J51" s="27">
        <v>0.0</v>
      </c>
      <c r="K51" s="27">
        <v>1095.0</v>
      </c>
      <c r="L51" s="27">
        <v>476.0</v>
      </c>
      <c r="M51" s="27">
        <v>331.0</v>
      </c>
      <c r="N51" s="27">
        <v>372.0</v>
      </c>
      <c r="O51" s="27">
        <v>168.0</v>
      </c>
      <c r="P51" s="27">
        <v>0.0</v>
      </c>
      <c r="Q51" s="27">
        <v>187.0</v>
      </c>
      <c r="R51" s="27">
        <v>278.0</v>
      </c>
      <c r="S51" s="27">
        <v>270.0</v>
      </c>
      <c r="T51" s="27">
        <v>301.0</v>
      </c>
      <c r="U51" s="27">
        <v>366.0</v>
      </c>
      <c r="V51" s="27">
        <v>283.0</v>
      </c>
      <c r="W51" s="27">
        <v>512.0</v>
      </c>
      <c r="X51" s="27">
        <v>583.0</v>
      </c>
      <c r="Y51" s="27">
        <v>330.0</v>
      </c>
      <c r="Z51" s="27">
        <v>410.0</v>
      </c>
      <c r="AA51" s="27">
        <v>82.0</v>
      </c>
      <c r="AB51" s="27">
        <v>0.0</v>
      </c>
      <c r="AC51" s="27">
        <v>510.0</v>
      </c>
      <c r="AD51" s="27">
        <v>198.0</v>
      </c>
      <c r="AE51" s="27">
        <v>276.0</v>
      </c>
      <c r="AF51" s="27">
        <v>312.0</v>
      </c>
      <c r="AG51" s="27">
        <v>246.0</v>
      </c>
      <c r="AH51" s="27">
        <v>318.0</v>
      </c>
      <c r="AI51" s="27">
        <v>450.0</v>
      </c>
      <c r="AJ51" s="27">
        <v>187.0</v>
      </c>
      <c r="AK51" s="27">
        <v>253.0</v>
      </c>
      <c r="AL51" s="27">
        <v>237.0</v>
      </c>
      <c r="AM51" s="27">
        <v>378.0</v>
      </c>
      <c r="AN51" s="27">
        <v>246.0</v>
      </c>
      <c r="AO51" s="28">
        <f t="shared" si="3"/>
        <v>3447.0</v>
      </c>
      <c r="AP51" s="28">
        <f t="shared" si="4"/>
        <v>1823.0</v>
      </c>
      <c r="AQ51" s="28">
        <f t="shared" si="5"/>
        <v>2005.3</v>
      </c>
      <c r="AS51" s="1">
        <f t="shared" si="158"/>
        <v>390.35540838852</v>
      </c>
      <c r="AT51" s="1">
        <f t="shared" si="159"/>
        <v>185.116997792494</v>
      </c>
      <c r="AU51" s="1">
        <f t="shared" si="160"/>
        <v>358.16114790287</v>
      </c>
      <c r="AV51" s="1">
        <f t="shared" si="161"/>
        <v>293.772626931567</v>
      </c>
      <c r="AW51" s="1">
        <f t="shared" si="162"/>
        <v>229.384105960264</v>
      </c>
      <c r="AX51" s="1">
        <f t="shared" si="163"/>
        <v>458.76821192053</v>
      </c>
      <c r="BA51" s="2">
        <f t="shared" si="127"/>
        <v>1915.55849889624</v>
      </c>
      <c r="BB51" s="2" t="e">
        <f t="shared" si="128"/>
        <v>#REF!</v>
      </c>
      <c r="BD51" s="1" t="e">
        <f t="shared" si="183"/>
        <v>#REF!</v>
      </c>
      <c r="BE51" s="3" t="e">
        <f t="shared" si="165"/>
        <v>#REF!</v>
      </c>
      <c r="BF51" s="1">
        <f>VLOOKUP(C51,MOQ,3,FALSE())</f>
        <v>1008.0</v>
      </c>
      <c r="BG51" s="43" t="s">
        <v>32</v>
      </c>
      <c r="BI51" s="1" t="e">
        <f t="shared" si="167"/>
        <v>#REF!</v>
      </c>
      <c r="BJ51" s="1">
        <f t="shared" si="168"/>
        <v>390.35540838852</v>
      </c>
      <c r="BK51" s="1">
        <f t="shared" si="129"/>
      </c>
      <c r="BL51" s="3" t="e">
        <f t="shared" si="169"/>
        <v>#REF!</v>
      </c>
      <c r="BM51" s="1">
        <f t="shared" si="170"/>
        <v>185.116997792494</v>
      </c>
      <c r="BN51" s="1" t="e">
        <f t="shared" si="130"/>
        <v>#REF!</v>
      </c>
      <c r="BO51" s="3" t="e">
        <f t="shared" si="171"/>
        <v>#REF!</v>
      </c>
      <c r="BP51" s="1">
        <f t="shared" si="172"/>
        <v>358.16114790287</v>
      </c>
      <c r="BR51" s="3" t="e">
        <f t="shared" si="173"/>
        <v>#REF!</v>
      </c>
      <c r="BS51" s="1">
        <f t="shared" si="174"/>
        <v>293.772626931567</v>
      </c>
      <c r="BU51" s="3" t="e">
        <f t="shared" si="175"/>
        <v>#REF!</v>
      </c>
      <c r="BV51" s="1">
        <f t="shared" si="176"/>
        <v>229.384105960264</v>
      </c>
      <c r="BX51" s="3" t="e">
        <f t="shared" si="177"/>
        <v>#REF!</v>
      </c>
      <c r="BY51" s="1">
        <f t="shared" si="178"/>
        <v>458.76821192053</v>
      </c>
      <c r="CA51" s="3" t="e">
        <f t="shared" si="179"/>
        <v>#REF!</v>
      </c>
    </row>
    <row r="52" ht="14.0">
      <c r="A52" s="27" t="s">
        <v>28</v>
      </c>
      <c r="B52" s="27" t="s">
        <v>98</v>
      </c>
      <c r="C52" s="27" t="s">
        <v>123</v>
      </c>
      <c r="D52" s="27" t="s">
        <v>124</v>
      </c>
      <c r="E52" s="27"/>
      <c r="F52" s="27">
        <v>201.0</v>
      </c>
      <c r="G52" s="27">
        <v>306.0</v>
      </c>
      <c r="H52" s="27">
        <v>246.0</v>
      </c>
      <c r="I52" s="27">
        <v>156.0</v>
      </c>
      <c r="J52" s="27">
        <v>0.0</v>
      </c>
      <c r="K52" s="27">
        <v>661.0</v>
      </c>
      <c r="L52" s="27">
        <v>295.0</v>
      </c>
      <c r="M52" s="27">
        <v>192.0</v>
      </c>
      <c r="N52" s="27">
        <v>108.0</v>
      </c>
      <c r="O52" s="27">
        <v>186.0</v>
      </c>
      <c r="P52" s="27">
        <v>138.0</v>
      </c>
      <c r="Q52" s="27">
        <v>174.0</v>
      </c>
      <c r="R52" s="27">
        <v>103.0</v>
      </c>
      <c r="S52" s="27">
        <v>150.0</v>
      </c>
      <c r="T52" s="27">
        <v>180.0</v>
      </c>
      <c r="U52" s="27">
        <v>168.0</v>
      </c>
      <c r="V52" s="27">
        <v>162.0</v>
      </c>
      <c r="W52" s="27">
        <v>118.0</v>
      </c>
      <c r="X52" s="27">
        <v>193.0</v>
      </c>
      <c r="Y52" s="27">
        <v>194.0</v>
      </c>
      <c r="Z52" s="27">
        <v>132.0</v>
      </c>
      <c r="AA52" s="27">
        <v>162.0</v>
      </c>
      <c r="AB52" s="27">
        <v>84.0</v>
      </c>
      <c r="AC52" s="27">
        <v>114.0</v>
      </c>
      <c r="AD52" s="27">
        <v>42.0</v>
      </c>
      <c r="AE52" s="27">
        <v>66.0</v>
      </c>
      <c r="AF52" s="27">
        <v>120.0</v>
      </c>
      <c r="AG52" s="27">
        <v>120.0</v>
      </c>
      <c r="AH52" s="27">
        <v>90.0</v>
      </c>
      <c r="AI52" s="27">
        <v>198.0</v>
      </c>
      <c r="AJ52" s="27">
        <v>90.0</v>
      </c>
      <c r="AK52" s="27">
        <v>114.0</v>
      </c>
      <c r="AL52" s="27">
        <v>102.0</v>
      </c>
      <c r="AM52" s="27">
        <v>126.0</v>
      </c>
      <c r="AN52" s="27">
        <v>54.0</v>
      </c>
      <c r="AO52" s="28">
        <f t="shared" si="3"/>
        <v>1428.0</v>
      </c>
      <c r="AP52" s="28">
        <f t="shared" si="4"/>
        <v>720.0</v>
      </c>
      <c r="AQ52" s="28">
        <f t="shared" si="5"/>
        <v>792.0</v>
      </c>
      <c r="AS52" s="1">
        <f t="shared" si="158"/>
        <v>154.172185430463</v>
      </c>
      <c r="AT52" s="1">
        <f t="shared" si="159"/>
        <v>73.112582781457</v>
      </c>
      <c r="AU52" s="1">
        <f t="shared" si="160"/>
        <v>141.456953642384</v>
      </c>
      <c r="AV52" s="1">
        <f t="shared" si="161"/>
        <v>116.026490066225</v>
      </c>
      <c r="AW52" s="1">
        <f t="shared" si="162"/>
        <v>90.5960264900662</v>
      </c>
      <c r="AX52" s="1">
        <f t="shared" si="163"/>
        <v>181.192052980132</v>
      </c>
      <c r="BA52" s="2">
        <f t="shared" si="127"/>
        <v>756.556291390727</v>
      </c>
      <c r="BB52" s="2" t="e">
        <f t="shared" si="128"/>
        <v>#REF!</v>
      </c>
      <c r="BE52" s="3" t="e">
        <f t="shared" si="165"/>
        <v>#REF!</v>
      </c>
      <c r="BF52" s="1">
        <f>VLOOKUP(C52,MOQ,3,FALSE())</f>
        <v>1008.0</v>
      </c>
      <c r="BI52" s="1" t="e">
        <f t="shared" si="167"/>
        <v>#REF!</v>
      </c>
      <c r="BJ52" s="1">
        <f t="shared" si="168"/>
        <v>154.172185430463</v>
      </c>
      <c r="BK52" s="1">
        <f t="shared" si="129"/>
      </c>
      <c r="BL52" s="3" t="e">
        <f t="shared" si="169"/>
        <v>#REF!</v>
      </c>
      <c r="BM52" s="1">
        <f t="shared" si="170"/>
        <v>73.112582781457</v>
      </c>
      <c r="BN52" s="1">
        <f t="shared" si="130"/>
      </c>
      <c r="BO52" s="3" t="e">
        <f t="shared" si="171"/>
        <v>#REF!</v>
      </c>
      <c r="BP52" s="1">
        <f t="shared" si="172"/>
        <v>141.456953642384</v>
      </c>
      <c r="BR52" s="3" t="e">
        <f t="shared" si="173"/>
        <v>#REF!</v>
      </c>
      <c r="BS52" s="1">
        <f t="shared" si="174"/>
        <v>116.026490066225</v>
      </c>
      <c r="BU52" s="3" t="e">
        <f t="shared" si="175"/>
        <v>#REF!</v>
      </c>
      <c r="BV52" s="1">
        <f t="shared" si="176"/>
        <v>90.5960264900662</v>
      </c>
      <c r="BX52" s="3" t="e">
        <f t="shared" si="177"/>
        <v>#REF!</v>
      </c>
      <c r="BY52" s="1">
        <f t="shared" si="178"/>
        <v>181.192052980132</v>
      </c>
      <c r="CA52" s="3" t="e">
        <f t="shared" si="179"/>
        <v>#REF!</v>
      </c>
    </row>
    <row r="53" ht="14.0">
      <c r="A53" s="27" t="s">
        <v>28</v>
      </c>
      <c r="B53" s="27" t="s">
        <v>98</v>
      </c>
      <c r="C53" s="27" t="s">
        <v>125</v>
      </c>
      <c r="D53" s="27" t="s">
        <v>126</v>
      </c>
      <c r="E53" s="27"/>
      <c r="F53" s="27">
        <v>195.0</v>
      </c>
      <c r="G53" s="27">
        <v>336.0</v>
      </c>
      <c r="H53" s="27">
        <v>276.0</v>
      </c>
      <c r="I53" s="27">
        <v>89.0</v>
      </c>
      <c r="J53" s="27">
        <v>0.0</v>
      </c>
      <c r="K53" s="27">
        <v>733.0</v>
      </c>
      <c r="L53" s="27">
        <v>228.0</v>
      </c>
      <c r="M53" s="27">
        <v>132.0</v>
      </c>
      <c r="N53" s="27">
        <v>140.0</v>
      </c>
      <c r="O53" s="27">
        <v>140.0</v>
      </c>
      <c r="P53" s="27">
        <v>146.0</v>
      </c>
      <c r="Q53" s="27">
        <v>186.0</v>
      </c>
      <c r="R53" s="27">
        <v>114.0</v>
      </c>
      <c r="S53" s="27">
        <v>126.0</v>
      </c>
      <c r="T53" s="27">
        <v>138.0</v>
      </c>
      <c r="U53" s="27">
        <v>144.0</v>
      </c>
      <c r="V53" s="27">
        <v>132.0</v>
      </c>
      <c r="W53" s="27">
        <v>150.0</v>
      </c>
      <c r="X53" s="27">
        <v>103.0</v>
      </c>
      <c r="Y53" s="27">
        <v>144.0</v>
      </c>
      <c r="Z53" s="27">
        <v>156.0</v>
      </c>
      <c r="AA53" s="27">
        <v>168.0</v>
      </c>
      <c r="AB53" s="27">
        <v>77.0</v>
      </c>
      <c r="AC53" s="27">
        <v>72.0</v>
      </c>
      <c r="AD53" s="27">
        <v>60.0</v>
      </c>
      <c r="AE53" s="27">
        <v>48.0</v>
      </c>
      <c r="AF53" s="27">
        <v>48.0</v>
      </c>
      <c r="AG53" s="27">
        <v>96.0</v>
      </c>
      <c r="AH53" s="27">
        <v>138.0</v>
      </c>
      <c r="AI53" s="27">
        <v>180.0</v>
      </c>
      <c r="AJ53" s="27">
        <v>72.0</v>
      </c>
      <c r="AK53" s="27">
        <v>61.0</v>
      </c>
      <c r="AL53" s="27">
        <v>42.0</v>
      </c>
      <c r="AM53" s="27">
        <v>90.0</v>
      </c>
      <c r="AN53" s="27">
        <v>54.0</v>
      </c>
      <c r="AO53" s="28">
        <f t="shared" si="3"/>
        <v>1152.0</v>
      </c>
      <c r="AP53" s="28">
        <f t="shared" si="4"/>
        <v>583.0</v>
      </c>
      <c r="AQ53" s="28">
        <f t="shared" si="5"/>
        <v>641.3</v>
      </c>
      <c r="AS53" s="1">
        <f t="shared" si="158"/>
        <v>124.836644591611</v>
      </c>
      <c r="AT53" s="1">
        <f t="shared" si="159"/>
        <v>59.2008830022075</v>
      </c>
      <c r="AU53" s="1">
        <f t="shared" si="160"/>
        <v>114.540838852097</v>
      </c>
      <c r="AV53" s="1">
        <f t="shared" si="161"/>
        <v>93.9492273730684</v>
      </c>
      <c r="AW53" s="1">
        <f t="shared" si="162"/>
        <v>73.3576158940397</v>
      </c>
      <c r="AX53" s="1">
        <f t="shared" si="163"/>
        <v>146.715231788079</v>
      </c>
      <c r="BA53" s="2">
        <f t="shared" si="127"/>
        <v>612.600441501102</v>
      </c>
      <c r="BB53" s="2" t="e">
        <f t="shared" si="128"/>
        <v>#REF!</v>
      </c>
      <c r="BE53" s="3" t="e">
        <f t="shared" si="165"/>
        <v>#REF!</v>
      </c>
      <c r="BF53" s="1">
        <f>VLOOKUP(C53,MOQ,3,FALSE())</f>
        <v>1008.0</v>
      </c>
      <c r="BI53" s="1" t="e">
        <f t="shared" si="167"/>
        <v>#REF!</v>
      </c>
      <c r="BJ53" s="1">
        <f t="shared" si="168"/>
        <v>124.836644591611</v>
      </c>
      <c r="BK53" s="1">
        <f t="shared" si="129"/>
      </c>
      <c r="BL53" s="3" t="e">
        <f t="shared" si="169"/>
        <v>#REF!</v>
      </c>
      <c r="BM53" s="1">
        <f t="shared" si="170"/>
        <v>59.2008830022075</v>
      </c>
      <c r="BN53" s="1">
        <f t="shared" si="130"/>
      </c>
      <c r="BO53" s="3" t="e">
        <f t="shared" si="171"/>
        <v>#REF!</v>
      </c>
      <c r="BP53" s="1">
        <f t="shared" si="172"/>
        <v>114.540838852097</v>
      </c>
      <c r="BR53" s="3" t="e">
        <f t="shared" si="173"/>
        <v>#REF!</v>
      </c>
      <c r="BS53" s="1">
        <f t="shared" si="174"/>
        <v>93.9492273730684</v>
      </c>
      <c r="BU53" s="3" t="e">
        <f t="shared" si="175"/>
        <v>#REF!</v>
      </c>
      <c r="BV53" s="1">
        <f t="shared" si="176"/>
        <v>73.3576158940397</v>
      </c>
      <c r="BX53" s="3" t="e">
        <f t="shared" si="177"/>
        <v>#REF!</v>
      </c>
      <c r="BY53" s="1">
        <f t="shared" si="178"/>
        <v>146.715231788079</v>
      </c>
      <c r="CA53" s="3" t="e">
        <f t="shared" si="179"/>
        <v>#REF!</v>
      </c>
    </row>
    <row r="54" ht="14.0">
      <c r="A54" s="27" t="s">
        <v>28</v>
      </c>
      <c r="B54" s="27" t="s">
        <v>98</v>
      </c>
      <c r="C54" s="27" t="s">
        <v>127</v>
      </c>
      <c r="D54" s="27" t="s">
        <v>128</v>
      </c>
      <c r="E54" s="27"/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222.0</v>
      </c>
      <c r="S54" s="27">
        <v>366.0</v>
      </c>
      <c r="T54" s="27">
        <v>266.0</v>
      </c>
      <c r="U54" s="27">
        <v>381.0</v>
      </c>
      <c r="V54" s="27">
        <v>324.0</v>
      </c>
      <c r="W54" s="27">
        <v>306.0</v>
      </c>
      <c r="X54" s="27">
        <v>354.0</v>
      </c>
      <c r="Y54" s="27">
        <v>240.0</v>
      </c>
      <c r="Z54" s="27">
        <v>246.0</v>
      </c>
      <c r="AA54" s="27">
        <v>136.0</v>
      </c>
      <c r="AB54" s="27">
        <v>0.0</v>
      </c>
      <c r="AC54" s="27">
        <v>270.0</v>
      </c>
      <c r="AD54" s="27">
        <v>132.0</v>
      </c>
      <c r="AE54" s="27">
        <v>150.0</v>
      </c>
      <c r="AF54" s="27">
        <v>192.0</v>
      </c>
      <c r="AG54" s="27">
        <v>192.0</v>
      </c>
      <c r="AH54" s="27">
        <v>198.0</v>
      </c>
      <c r="AI54" s="27">
        <v>336.0</v>
      </c>
      <c r="AJ54" s="27">
        <v>180.0</v>
      </c>
      <c r="AK54" s="27">
        <v>180.0</v>
      </c>
      <c r="AL54" s="27">
        <v>138.0</v>
      </c>
      <c r="AM54" s="27">
        <v>174.0</v>
      </c>
      <c r="AN54" s="27">
        <v>120.0</v>
      </c>
      <c r="AO54" s="28">
        <f t="shared" si="3"/>
        <v>2278.0</v>
      </c>
      <c r="AP54" s="28">
        <f t="shared" si="4"/>
        <v>1206.0</v>
      </c>
      <c r="AQ54" s="28">
        <f t="shared" si="5"/>
        <v>1326.6</v>
      </c>
      <c r="AS54" s="1">
        <f t="shared" si="158"/>
        <v>258.238410596027</v>
      </c>
      <c r="AT54" s="1">
        <f t="shared" si="159"/>
        <v>122.46357615894</v>
      </c>
      <c r="AU54" s="1">
        <f t="shared" si="160"/>
        <v>236.940397350993</v>
      </c>
      <c r="AV54" s="1">
        <f t="shared" si="161"/>
        <v>194.344370860927</v>
      </c>
      <c r="AW54" s="1">
        <f t="shared" si="162"/>
        <v>151.74834437086</v>
      </c>
      <c r="AX54" s="1">
        <f t="shared" si="163"/>
        <v>303.496688741721</v>
      </c>
      <c r="BA54" s="2">
        <f t="shared" si="127"/>
        <v>1267.23178807947</v>
      </c>
      <c r="BB54" s="2" t="e">
        <f t="shared" si="128"/>
        <v>#REF!</v>
      </c>
      <c r="BD54" s="1" t="e">
        <f>VLOOKUP(C54,CHINAJUNE,3,false)</f>
        <v>#REF!</v>
      </c>
      <c r="BE54" s="3" t="e">
        <f t="shared" si="165"/>
        <v>#REF!</v>
      </c>
      <c r="BF54" s="1">
        <f>VLOOKUP(C54,MOQ,3,FALSE())</f>
        <v>1008.0</v>
      </c>
      <c r="BI54" s="1" t="e">
        <f t="shared" si="167"/>
        <v>#REF!</v>
      </c>
      <c r="BJ54" s="1">
        <f t="shared" si="168"/>
        <v>258.238410596027</v>
      </c>
      <c r="BK54" s="1">
        <f t="shared" si="129"/>
      </c>
      <c r="BL54" s="3" t="e">
        <f t="shared" si="169"/>
        <v>#REF!</v>
      </c>
      <c r="BM54" s="1">
        <f t="shared" si="170"/>
        <v>122.46357615894</v>
      </c>
      <c r="BN54" s="1" t="e">
        <f t="shared" si="130"/>
        <v>#REF!</v>
      </c>
      <c r="BO54" s="3" t="e">
        <f t="shared" si="171"/>
        <v>#REF!</v>
      </c>
      <c r="BP54" s="1">
        <f t="shared" si="172"/>
        <v>236.940397350993</v>
      </c>
      <c r="BR54" s="3" t="e">
        <f t="shared" si="173"/>
        <v>#REF!</v>
      </c>
      <c r="BS54" s="1">
        <f t="shared" si="174"/>
        <v>194.344370860927</v>
      </c>
      <c r="BU54" s="3" t="e">
        <f t="shared" si="175"/>
        <v>#REF!</v>
      </c>
      <c r="BV54" s="1">
        <f t="shared" si="176"/>
        <v>151.74834437086</v>
      </c>
      <c r="BX54" s="3" t="e">
        <f t="shared" si="177"/>
        <v>#REF!</v>
      </c>
      <c r="BY54" s="1">
        <f t="shared" si="178"/>
        <v>303.496688741721</v>
      </c>
      <c r="CA54" s="3" t="e">
        <f t="shared" si="179"/>
        <v>#REF!</v>
      </c>
    </row>
    <row r="55" ht="14.0">
      <c r="A55" s="27" t="s">
        <v>28</v>
      </c>
      <c r="B55" s="27" t="s">
        <v>98</v>
      </c>
      <c r="C55" s="27" t="s">
        <v>129</v>
      </c>
      <c r="D55" s="27" t="s">
        <v>130</v>
      </c>
      <c r="E55" s="27"/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204.0</v>
      </c>
      <c r="S55" s="27">
        <v>294.0</v>
      </c>
      <c r="T55" s="27">
        <v>211.0</v>
      </c>
      <c r="U55" s="27">
        <v>298.0</v>
      </c>
      <c r="V55" s="27">
        <v>300.0</v>
      </c>
      <c r="W55" s="27">
        <v>252.0</v>
      </c>
      <c r="X55" s="27">
        <v>313.0</v>
      </c>
      <c r="Y55" s="27">
        <v>174.0</v>
      </c>
      <c r="Z55" s="27">
        <v>168.0</v>
      </c>
      <c r="AA55" s="27">
        <v>288.0</v>
      </c>
      <c r="AB55" s="27">
        <v>180.0</v>
      </c>
      <c r="AC55" s="27">
        <v>156.0</v>
      </c>
      <c r="AD55" s="27">
        <v>102.0</v>
      </c>
      <c r="AE55" s="27">
        <v>114.0</v>
      </c>
      <c r="AF55" s="27">
        <v>156.0</v>
      </c>
      <c r="AG55" s="27">
        <v>120.0</v>
      </c>
      <c r="AH55" s="27">
        <v>192.0</v>
      </c>
      <c r="AI55" s="27">
        <v>264.0</v>
      </c>
      <c r="AJ55" s="27">
        <v>156.0</v>
      </c>
      <c r="AK55" s="27">
        <v>78.0</v>
      </c>
      <c r="AL55" s="27">
        <v>120.0</v>
      </c>
      <c r="AM55" s="27">
        <v>132.0</v>
      </c>
      <c r="AN55" s="27">
        <v>138.0</v>
      </c>
      <c r="AO55" s="28">
        <f t="shared" si="3"/>
        <v>2058.0</v>
      </c>
      <c r="AP55" s="28">
        <f t="shared" si="4"/>
        <v>942.0</v>
      </c>
      <c r="AQ55" s="28">
        <f t="shared" si="5"/>
        <v>1036.2</v>
      </c>
      <c r="AS55" s="1">
        <f t="shared" si="158"/>
        <v>201.708609271523</v>
      </c>
      <c r="AT55" s="1">
        <f t="shared" si="159"/>
        <v>95.6556291390728</v>
      </c>
      <c r="AU55" s="1">
        <f t="shared" si="160"/>
        <v>185.072847682119</v>
      </c>
      <c r="AV55" s="1">
        <f t="shared" si="161"/>
        <v>151.801324503311</v>
      </c>
      <c r="AW55" s="1">
        <f t="shared" si="162"/>
        <v>118.529801324503</v>
      </c>
      <c r="AX55" s="1">
        <f t="shared" si="163"/>
        <v>237.059602649007</v>
      </c>
      <c r="BA55" s="2">
        <f t="shared" si="127"/>
        <v>989.827814569536</v>
      </c>
      <c r="BB55" s="2" t="e">
        <f t="shared" si="128"/>
        <v>#REF!</v>
      </c>
      <c r="BE55" s="3" t="e">
        <f t="shared" si="165"/>
        <v>#REF!</v>
      </c>
      <c r="BF55" s="1">
        <f>VLOOKUP(C55,MOQ,3,FALSE())</f>
        <v>1008.0</v>
      </c>
      <c r="BI55" s="1" t="e">
        <f t="shared" si="167"/>
        <v>#REF!</v>
      </c>
      <c r="BJ55" s="1">
        <f t="shared" si="168"/>
        <v>201.708609271523</v>
      </c>
      <c r="BK55" s="1">
        <f t="shared" si="129"/>
      </c>
      <c r="BL55" s="3" t="e">
        <f t="shared" si="169"/>
        <v>#REF!</v>
      </c>
      <c r="BM55" s="1">
        <f t="shared" si="170"/>
        <v>95.6556291390728</v>
      </c>
      <c r="BN55" s="1">
        <f t="shared" si="130"/>
      </c>
      <c r="BO55" s="3" t="e">
        <f t="shared" si="171"/>
        <v>#REF!</v>
      </c>
      <c r="BP55" s="1">
        <f t="shared" si="172"/>
        <v>185.072847682119</v>
      </c>
      <c r="BR55" s="3" t="e">
        <f t="shared" si="173"/>
        <v>#REF!</v>
      </c>
      <c r="BS55" s="1">
        <f t="shared" si="174"/>
        <v>151.801324503311</v>
      </c>
      <c r="BU55" s="3" t="e">
        <f t="shared" si="175"/>
        <v>#REF!</v>
      </c>
      <c r="BV55" s="1">
        <f t="shared" si="176"/>
        <v>118.529801324503</v>
      </c>
      <c r="BX55" s="3" t="e">
        <f t="shared" si="177"/>
        <v>#REF!</v>
      </c>
      <c r="BY55" s="1">
        <f t="shared" si="178"/>
        <v>237.059602649007</v>
      </c>
      <c r="CA55" s="3" t="e">
        <f t="shared" si="179"/>
        <v>#REF!</v>
      </c>
    </row>
    <row r="56" ht="14.0">
      <c r="A56" s="27" t="s">
        <v>28</v>
      </c>
      <c r="B56" s="27" t="s">
        <v>98</v>
      </c>
      <c r="C56" s="27" t="s">
        <v>131</v>
      </c>
      <c r="D56" s="27" t="s">
        <v>132</v>
      </c>
      <c r="E56" s="27"/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114.0</v>
      </c>
      <c r="S56" s="27">
        <v>216.0</v>
      </c>
      <c r="T56" s="27">
        <v>156.0</v>
      </c>
      <c r="U56" s="27">
        <v>230.0</v>
      </c>
      <c r="V56" s="27">
        <v>241.0</v>
      </c>
      <c r="W56" s="27">
        <v>217.0</v>
      </c>
      <c r="X56" s="27">
        <v>248.0</v>
      </c>
      <c r="Y56" s="27">
        <v>204.0</v>
      </c>
      <c r="Z56" s="27">
        <v>180.0</v>
      </c>
      <c r="AA56" s="27">
        <v>33.0</v>
      </c>
      <c r="AB56" s="27">
        <v>0.0</v>
      </c>
      <c r="AC56" s="27">
        <v>252.0</v>
      </c>
      <c r="AD56" s="27">
        <v>96.0</v>
      </c>
      <c r="AE56" s="27">
        <v>84.0</v>
      </c>
      <c r="AF56" s="27">
        <v>126.0</v>
      </c>
      <c r="AG56" s="27">
        <v>126.0</v>
      </c>
      <c r="AH56" s="27">
        <v>246.0</v>
      </c>
      <c r="AI56" s="27">
        <v>221.0</v>
      </c>
      <c r="AJ56" s="27">
        <v>126.0</v>
      </c>
      <c r="AK56" s="27">
        <v>96.0</v>
      </c>
      <c r="AL56" s="27">
        <v>114.0</v>
      </c>
      <c r="AM56" s="27">
        <v>138.0</v>
      </c>
      <c r="AN56" s="27">
        <v>66.0</v>
      </c>
      <c r="AO56" s="28">
        <f t="shared" si="3"/>
        <v>1658.0</v>
      </c>
      <c r="AP56" s="28">
        <f t="shared" si="4"/>
        <v>941.0</v>
      </c>
      <c r="AQ56" s="28">
        <f t="shared" si="5"/>
        <v>1035.1</v>
      </c>
      <c r="AS56" s="1">
        <f t="shared" si="158"/>
        <v>201.494481236203</v>
      </c>
      <c r="AT56" s="1">
        <f t="shared" si="159"/>
        <v>95.5540838852097</v>
      </c>
      <c r="AU56" s="1">
        <f t="shared" si="160"/>
        <v>184.876379690949</v>
      </c>
      <c r="AV56" s="1">
        <f t="shared" si="161"/>
        <v>151.640176600441</v>
      </c>
      <c r="AW56" s="1">
        <f t="shared" si="162"/>
        <v>118.403973509933</v>
      </c>
      <c r="AX56" s="1">
        <f t="shared" si="163"/>
        <v>236.80794701987</v>
      </c>
      <c r="BA56" s="2">
        <f t="shared" si="127"/>
        <v>988.777041942606</v>
      </c>
      <c r="BB56" s="2" t="e">
        <f t="shared" si="128"/>
        <v>#REF!</v>
      </c>
      <c r="BE56" s="3" t="e">
        <f t="shared" si="165"/>
        <v>#REF!</v>
      </c>
      <c r="BF56" s="1">
        <f>VLOOKUP(C56,MOQ,3,FALSE())</f>
        <v>1008.0</v>
      </c>
      <c r="BI56" s="1" t="e">
        <f t="shared" si="167"/>
        <v>#REF!</v>
      </c>
      <c r="BJ56" s="1">
        <f t="shared" si="168"/>
        <v>201.494481236203</v>
      </c>
      <c r="BK56" s="1">
        <f t="shared" si="129"/>
      </c>
      <c r="BL56" s="3" t="e">
        <f t="shared" si="169"/>
        <v>#REF!</v>
      </c>
      <c r="BM56" s="1">
        <f t="shared" si="170"/>
        <v>95.5540838852097</v>
      </c>
      <c r="BN56" s="1">
        <f t="shared" si="130"/>
      </c>
      <c r="BO56" s="3" t="e">
        <f t="shared" si="171"/>
        <v>#REF!</v>
      </c>
      <c r="BP56" s="1">
        <f t="shared" si="172"/>
        <v>184.876379690949</v>
      </c>
      <c r="BR56" s="3" t="e">
        <f t="shared" si="173"/>
        <v>#REF!</v>
      </c>
      <c r="BS56" s="1">
        <f t="shared" si="174"/>
        <v>151.640176600441</v>
      </c>
      <c r="BU56" s="3" t="e">
        <f t="shared" si="175"/>
        <v>#REF!</v>
      </c>
      <c r="BV56" s="1">
        <f t="shared" si="176"/>
        <v>118.403973509933</v>
      </c>
      <c r="BX56" s="3" t="e">
        <f t="shared" si="177"/>
        <v>#REF!</v>
      </c>
      <c r="BY56" s="1">
        <f t="shared" si="178"/>
        <v>236.80794701987</v>
      </c>
      <c r="CA56" s="3" t="e">
        <f t="shared" si="179"/>
        <v>#REF!</v>
      </c>
    </row>
    <row r="57" ht="14.0">
      <c r="A57" s="27" t="s">
        <v>28</v>
      </c>
      <c r="B57" s="27" t="s">
        <v>98</v>
      </c>
      <c r="C57" s="27" t="s">
        <v>133</v>
      </c>
      <c r="D57" s="27" t="s">
        <v>134</v>
      </c>
      <c r="E57" s="27"/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252.0</v>
      </c>
      <c r="AH57" s="27">
        <v>336.0</v>
      </c>
      <c r="AI57" s="27">
        <v>420.0</v>
      </c>
      <c r="AJ57" s="27">
        <v>0.0</v>
      </c>
      <c r="AK57" s="27">
        <v>0.0</v>
      </c>
      <c r="AL57" s="27">
        <v>0.0</v>
      </c>
      <c r="AM57" s="27">
        <v>90.0</v>
      </c>
      <c r="AN57" s="27">
        <v>126.0</v>
      </c>
      <c r="AO57" s="28">
        <f t="shared" si="3"/>
        <v>1098.0</v>
      </c>
      <c r="AP57" s="28">
        <f t="shared" si="4"/>
        <v>846.0</v>
      </c>
      <c r="AQ57" s="28">
        <f t="shared" si="5"/>
        <v>930.6</v>
      </c>
      <c r="AS57" s="1">
        <f t="shared" si="158"/>
        <v>181.152317880794</v>
      </c>
      <c r="AT57" s="1">
        <f t="shared" si="159"/>
        <v>85.9072847682119</v>
      </c>
      <c r="AU57" s="1">
        <f t="shared" si="160"/>
        <v>166.211920529801</v>
      </c>
      <c r="AV57" s="1">
        <f t="shared" si="161"/>
        <v>136.331125827814</v>
      </c>
      <c r="AW57" s="1">
        <f t="shared" si="162"/>
        <v>106.450331125828</v>
      </c>
      <c r="AX57" s="1">
        <f t="shared" si="163"/>
        <v>212.900662251656</v>
      </c>
      <c r="BA57" s="2">
        <f t="shared" si="127"/>
        <v>888.953642384104</v>
      </c>
      <c r="BB57" s="2" t="e">
        <f t="shared" si="128"/>
        <v>#REF!</v>
      </c>
      <c r="BE57" s="3" t="e">
        <f t="shared" si="165"/>
        <v>#REF!</v>
      </c>
      <c r="BF57" s="1">
        <v>1008.0</v>
      </c>
      <c r="BG57" s="4">
        <f>BF57</f>
        <v>1008.0</v>
      </c>
      <c r="BH57" s="1" t="s">
        <v>10</v>
      </c>
      <c r="BI57" s="1" t="e">
        <f t="shared" si="167"/>
        <v>#REF!</v>
      </c>
      <c r="BJ57" s="1">
        <f t="shared" si="168"/>
        <v>181.152317880794</v>
      </c>
      <c r="BK57" s="1">
        <f t="shared" si="129"/>
      </c>
      <c r="BL57" s="3" t="e">
        <f t="shared" si="169"/>
        <v>#REF!</v>
      </c>
      <c r="BM57" s="1">
        <f t="shared" si="170"/>
        <v>85.9072847682119</v>
      </c>
      <c r="BN57" s="1">
        <f t="shared" si="130"/>
      </c>
      <c r="BO57" s="3" t="e">
        <f t="shared" si="171"/>
        <v>#REF!</v>
      </c>
      <c r="BP57" s="1">
        <f t="shared" si="172"/>
        <v>166.211920529801</v>
      </c>
      <c r="BR57" s="3" t="e">
        <f t="shared" si="173"/>
        <v>#REF!</v>
      </c>
      <c r="BS57" s="1">
        <f t="shared" si="174"/>
        <v>136.331125827814</v>
      </c>
      <c r="BU57" s="3" t="e">
        <f t="shared" si="175"/>
        <v>#REF!</v>
      </c>
      <c r="BV57" s="1">
        <f t="shared" si="176"/>
        <v>106.450331125828</v>
      </c>
      <c r="BX57" s="3" t="e">
        <f t="shared" si="177"/>
        <v>#REF!</v>
      </c>
      <c r="BY57" s="1">
        <f t="shared" si="178"/>
        <v>212.900662251656</v>
      </c>
      <c r="CA57" s="3" t="e">
        <f t="shared" si="179"/>
        <v>#REF!</v>
      </c>
    </row>
    <row r="58" ht="14.0">
      <c r="A58" s="27" t="s">
        <v>28</v>
      </c>
      <c r="B58" s="27" t="s">
        <v>98</v>
      </c>
      <c r="C58" s="27" t="s">
        <v>135</v>
      </c>
      <c r="D58" s="27" t="s">
        <v>136</v>
      </c>
      <c r="E58" s="27"/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102.0</v>
      </c>
      <c r="AN58" s="27">
        <v>144.0</v>
      </c>
      <c r="AO58" s="28">
        <f t="shared" si="3"/>
        <v>102.0</v>
      </c>
      <c r="AP58" s="28">
        <f t="shared" si="4"/>
        <v>102.0</v>
      </c>
      <c r="AQ58" s="28">
        <f t="shared" si="5"/>
        <v>112.2</v>
      </c>
      <c r="AS58" s="1">
        <f t="shared" si="158"/>
        <v>21.841059602649</v>
      </c>
      <c r="AT58" s="1">
        <f t="shared" si="159"/>
        <v>10.3576158940397</v>
      </c>
      <c r="AU58" s="1">
        <f t="shared" si="160"/>
        <v>20.0397350993377</v>
      </c>
      <c r="AV58" s="1">
        <f t="shared" si="161"/>
        <v>16.4370860927152</v>
      </c>
      <c r="AW58" s="1">
        <f t="shared" si="162"/>
        <v>12.8344370860927</v>
      </c>
      <c r="AX58" s="1">
        <f t="shared" si="163"/>
        <v>25.6688741721854</v>
      </c>
      <c r="BA58" s="2">
        <f t="shared" si="127"/>
        <v>107.17880794701</v>
      </c>
      <c r="BB58" s="2" t="e">
        <f t="shared" si="128"/>
        <v>#REF!</v>
      </c>
      <c r="BE58" s="3" t="e">
        <f t="shared" si="165"/>
        <v>#REF!</v>
      </c>
      <c r="BF58" s="1">
        <v>1008.0</v>
      </c>
      <c r="BI58" s="1" t="e">
        <f t="shared" si="167"/>
        <v>#REF!</v>
      </c>
      <c r="BJ58" s="1">
        <f t="shared" si="168"/>
        <v>21.841059602649</v>
      </c>
      <c r="BK58" s="1">
        <f t="shared" si="129"/>
      </c>
      <c r="BL58" s="3" t="e">
        <f t="shared" si="169"/>
        <v>#REF!</v>
      </c>
      <c r="BM58" s="1">
        <f t="shared" si="170"/>
        <v>10.3576158940397</v>
      </c>
      <c r="BN58" s="1">
        <f t="shared" si="130"/>
      </c>
      <c r="BO58" s="3" t="e">
        <f t="shared" si="171"/>
        <v>#REF!</v>
      </c>
      <c r="BP58" s="1">
        <f t="shared" si="172"/>
        <v>20.0397350993377</v>
      </c>
      <c r="BR58" s="3" t="e">
        <f t="shared" si="173"/>
        <v>#REF!</v>
      </c>
      <c r="BS58" s="1">
        <f t="shared" si="174"/>
        <v>16.4370860927152</v>
      </c>
      <c r="BU58" s="3" t="e">
        <f t="shared" si="175"/>
        <v>#REF!</v>
      </c>
      <c r="BV58" s="1">
        <f t="shared" si="176"/>
        <v>12.8344370860927</v>
      </c>
      <c r="BX58" s="3" t="e">
        <f t="shared" si="177"/>
        <v>#REF!</v>
      </c>
      <c r="BY58" s="1">
        <f t="shared" si="178"/>
        <v>25.6688741721854</v>
      </c>
      <c r="CA58" s="3" t="e">
        <f t="shared" si="179"/>
        <v>#REF!</v>
      </c>
    </row>
    <row r="59" ht="14.0">
      <c r="A59" s="27" t="s">
        <v>28</v>
      </c>
      <c r="B59" s="27" t="s">
        <v>98</v>
      </c>
      <c r="C59" s="27" t="s">
        <v>137</v>
      </c>
      <c r="D59" s="27" t="s">
        <v>138</v>
      </c>
      <c r="E59" s="27"/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126.0</v>
      </c>
      <c r="AN59" s="27">
        <v>168.0</v>
      </c>
      <c r="AO59" s="28">
        <f t="shared" si="3"/>
        <v>126.0</v>
      </c>
      <c r="AP59" s="28">
        <f t="shared" si="4"/>
        <v>126.0</v>
      </c>
      <c r="AQ59" s="28">
        <f t="shared" si="5"/>
        <v>138.6</v>
      </c>
      <c r="AS59" s="1">
        <f t="shared" si="158"/>
        <v>26.9801324503311</v>
      </c>
      <c r="AT59" s="1">
        <f t="shared" si="159"/>
        <v>12.794701986755</v>
      </c>
      <c r="AU59" s="1">
        <f t="shared" si="160"/>
        <v>24.7549668874172</v>
      </c>
      <c r="AV59" s="1">
        <f t="shared" si="161"/>
        <v>20.3046357615894</v>
      </c>
      <c r="AW59" s="1">
        <f t="shared" si="162"/>
        <v>15.854304635761</v>
      </c>
      <c r="AX59" s="1">
        <f t="shared" si="163"/>
        <v>31.7086092715231</v>
      </c>
      <c r="BA59" s="2">
        <f t="shared" si="127"/>
        <v>132.397350993377</v>
      </c>
      <c r="BB59" s="2" t="e">
        <f t="shared" si="128"/>
        <v>#REF!</v>
      </c>
      <c r="BE59" s="3" t="e">
        <f t="shared" si="165"/>
        <v>#REF!</v>
      </c>
      <c r="BF59" s="1">
        <v>1008.0</v>
      </c>
      <c r="BI59" s="1" t="e">
        <f t="shared" si="167"/>
        <v>#REF!</v>
      </c>
      <c r="BJ59" s="1">
        <f t="shared" si="168"/>
        <v>26.9801324503311</v>
      </c>
      <c r="BK59" s="1">
        <f t="shared" si="129"/>
      </c>
      <c r="BL59" s="3" t="e">
        <f t="shared" si="169"/>
        <v>#REF!</v>
      </c>
      <c r="BM59" s="1">
        <f t="shared" si="170"/>
        <v>12.794701986755</v>
      </c>
      <c r="BN59" s="1">
        <f t="shared" si="130"/>
      </c>
      <c r="BO59" s="3" t="e">
        <f t="shared" si="171"/>
        <v>#REF!</v>
      </c>
      <c r="BP59" s="1">
        <f t="shared" si="172"/>
        <v>24.7549668874172</v>
      </c>
      <c r="BR59" s="3" t="e">
        <f t="shared" si="173"/>
        <v>#REF!</v>
      </c>
      <c r="BS59" s="1">
        <f t="shared" si="174"/>
        <v>20.3046357615894</v>
      </c>
      <c r="BU59" s="3" t="e">
        <f t="shared" si="175"/>
        <v>#REF!</v>
      </c>
      <c r="BV59" s="1">
        <f t="shared" si="176"/>
        <v>15.854304635761</v>
      </c>
      <c r="BX59" s="3" t="e">
        <f t="shared" si="177"/>
        <v>#REF!</v>
      </c>
      <c r="BY59" s="1">
        <f t="shared" si="178"/>
        <v>31.7086092715231</v>
      </c>
      <c r="CA59" s="3" t="e">
        <f t="shared" si="179"/>
        <v>#REF!</v>
      </c>
    </row>
    <row r="60" ht="14.0">
      <c r="A60" s="27" t="s">
        <v>28</v>
      </c>
      <c r="B60" s="27" t="s">
        <v>98</v>
      </c>
      <c r="C60" s="27" t="s">
        <v>139</v>
      </c>
      <c r="D60" s="27" t="s">
        <v>140</v>
      </c>
      <c r="E60" s="27"/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114.0</v>
      </c>
      <c r="AN60" s="27">
        <v>156.0</v>
      </c>
      <c r="AO60" s="28">
        <f t="shared" si="3"/>
        <v>114.0</v>
      </c>
      <c r="AP60" s="28">
        <f t="shared" si="4"/>
        <v>114.0</v>
      </c>
      <c r="AQ60" s="28">
        <f t="shared" si="5"/>
        <v>125.4</v>
      </c>
      <c r="AS60" s="1">
        <f t="shared" si="158"/>
        <v>24.41059602649</v>
      </c>
      <c r="AT60" s="1">
        <f t="shared" si="159"/>
        <v>11.5761589403973</v>
      </c>
      <c r="AU60" s="1">
        <f t="shared" si="160"/>
        <v>22.3973509933774</v>
      </c>
      <c r="AV60" s="1">
        <f t="shared" si="161"/>
        <v>18.3708609271523</v>
      </c>
      <c r="AW60" s="1">
        <f t="shared" si="162"/>
        <v>14.3443708609271</v>
      </c>
      <c r="AX60" s="1">
        <f t="shared" si="163"/>
        <v>28.6887417218543</v>
      </c>
      <c r="BA60" s="2">
        <f t="shared" si="127"/>
        <v>119.788079470198</v>
      </c>
      <c r="BB60" s="2" t="e">
        <f t="shared" si="128"/>
        <v>#REF!</v>
      </c>
      <c r="BE60" s="3" t="e">
        <f t="shared" si="165"/>
        <v>#REF!</v>
      </c>
      <c r="BF60" s="1">
        <v>1008.0</v>
      </c>
      <c r="BI60" s="1" t="e">
        <f t="shared" si="167"/>
        <v>#REF!</v>
      </c>
      <c r="BJ60" s="1">
        <f t="shared" si="168"/>
        <v>24.41059602649</v>
      </c>
      <c r="BK60" s="1">
        <f t="shared" si="129"/>
      </c>
      <c r="BL60" s="3" t="e">
        <f t="shared" si="169"/>
        <v>#REF!</v>
      </c>
      <c r="BM60" s="1">
        <f t="shared" si="170"/>
        <v>11.5761589403973</v>
      </c>
      <c r="BN60" s="1">
        <f t="shared" si="130"/>
      </c>
      <c r="BO60" s="3" t="e">
        <f t="shared" si="171"/>
        <v>#REF!</v>
      </c>
      <c r="BP60" s="1">
        <f t="shared" si="172"/>
        <v>22.3973509933774</v>
      </c>
      <c r="BR60" s="3" t="e">
        <f t="shared" si="173"/>
        <v>#REF!</v>
      </c>
      <c r="BS60" s="1">
        <f t="shared" si="174"/>
        <v>18.3708609271523</v>
      </c>
      <c r="BU60" s="3" t="e">
        <f t="shared" si="175"/>
        <v>#REF!</v>
      </c>
      <c r="BV60" s="1">
        <f t="shared" si="176"/>
        <v>14.3443708609271</v>
      </c>
      <c r="BX60" s="3" t="e">
        <f t="shared" si="177"/>
        <v>#REF!</v>
      </c>
      <c r="BY60" s="1">
        <f t="shared" si="178"/>
        <v>28.6887417218543</v>
      </c>
      <c r="CA60" s="3" t="e">
        <f t="shared" si="179"/>
        <v>#REF!</v>
      </c>
    </row>
    <row r="61" ht="14.0">
      <c r="A61" s="27" t="s">
        <v>28</v>
      </c>
      <c r="B61" s="27" t="s">
        <v>98</v>
      </c>
      <c r="C61" s="27" t="s">
        <v>141</v>
      </c>
      <c r="D61" s="27" t="s">
        <v>142</v>
      </c>
      <c r="E61" s="27"/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7">
        <v>0.0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7">
        <v>0.0</v>
      </c>
      <c r="X61" s="27">
        <v>0.0</v>
      </c>
      <c r="Y61" s="27">
        <v>0.0</v>
      </c>
      <c r="Z61" s="27">
        <v>0.0</v>
      </c>
      <c r="AA61" s="27">
        <v>0.0</v>
      </c>
      <c r="AB61" s="27">
        <v>0.0</v>
      </c>
      <c r="AC61" s="27">
        <v>0.0</v>
      </c>
      <c r="AD61" s="27">
        <v>0.0</v>
      </c>
      <c r="AE61" s="27">
        <v>0.0</v>
      </c>
      <c r="AF61" s="27">
        <v>0.0</v>
      </c>
      <c r="AG61" s="27">
        <v>0.0</v>
      </c>
      <c r="AH61" s="27">
        <v>0.0</v>
      </c>
      <c r="AI61" s="27">
        <v>0.0</v>
      </c>
      <c r="AJ61" s="27">
        <v>0.0</v>
      </c>
      <c r="AK61" s="27">
        <v>0.0</v>
      </c>
      <c r="AL61" s="27">
        <v>0.0</v>
      </c>
      <c r="AM61" s="27">
        <v>120.0</v>
      </c>
      <c r="AN61" s="27">
        <v>216.0</v>
      </c>
      <c r="AO61" s="28">
        <f t="shared" si="3"/>
        <v>120.0</v>
      </c>
      <c r="AP61" s="28">
        <f t="shared" si="4"/>
        <v>120.0</v>
      </c>
      <c r="AQ61" s="28">
        <f t="shared" si="5"/>
        <v>132.0</v>
      </c>
      <c r="AS61" s="1">
        <f t="shared" si="158"/>
        <v>25.6953642384106</v>
      </c>
      <c r="AT61" s="1">
        <f t="shared" si="159"/>
        <v>12.1854304635761</v>
      </c>
      <c r="AU61" s="1">
        <f t="shared" si="160"/>
        <v>23.5761589403973</v>
      </c>
      <c r="AV61" s="1">
        <f t="shared" si="161"/>
        <v>19.3377483443709</v>
      </c>
      <c r="AW61" s="1">
        <f t="shared" si="162"/>
        <v>15.0993377483443</v>
      </c>
      <c r="AX61" s="1">
        <f t="shared" si="163"/>
        <v>30.1986754966887</v>
      </c>
      <c r="BA61" s="2">
        <f t="shared" si="127"/>
        <v>126.0927152318</v>
      </c>
      <c r="BB61" s="2" t="e">
        <f t="shared" si="128"/>
        <v>#REF!</v>
      </c>
      <c r="BE61" s="3" t="e">
        <f t="shared" si="165"/>
        <v>#REF!</v>
      </c>
      <c r="BF61" s="1">
        <v>1008.0</v>
      </c>
      <c r="BI61" s="1" t="e">
        <f t="shared" si="167"/>
        <v>#REF!</v>
      </c>
      <c r="BJ61" s="1">
        <f t="shared" si="168"/>
        <v>25.6953642384106</v>
      </c>
      <c r="BK61" s="1">
        <f t="shared" si="129"/>
      </c>
      <c r="BL61" s="3" t="e">
        <f t="shared" si="169"/>
        <v>#REF!</v>
      </c>
      <c r="BM61" s="1">
        <f t="shared" si="170"/>
        <v>12.1854304635761</v>
      </c>
      <c r="BN61" s="1">
        <f t="shared" si="130"/>
      </c>
      <c r="BO61" s="3" t="e">
        <f t="shared" si="171"/>
        <v>#REF!</v>
      </c>
      <c r="BP61" s="1">
        <f t="shared" si="172"/>
        <v>23.5761589403973</v>
      </c>
      <c r="BR61" s="3" t="e">
        <f t="shared" si="173"/>
        <v>#REF!</v>
      </c>
      <c r="BS61" s="1">
        <f t="shared" si="174"/>
        <v>19.3377483443709</v>
      </c>
      <c r="BU61" s="3" t="e">
        <f t="shared" si="175"/>
        <v>#REF!</v>
      </c>
      <c r="BV61" s="1">
        <f t="shared" si="176"/>
        <v>15.0993377483443</v>
      </c>
      <c r="BX61" s="3" t="e">
        <f t="shared" si="177"/>
        <v>#REF!</v>
      </c>
      <c r="BY61" s="1">
        <f t="shared" si="178"/>
        <v>30.1986754966887</v>
      </c>
      <c r="CA61" s="3" t="e">
        <f t="shared" si="179"/>
        <v>#REF!</v>
      </c>
    </row>
    <row r="62" ht="14.0">
      <c r="A62" s="27" t="s">
        <v>28</v>
      </c>
      <c r="B62" s="27" t="s">
        <v>98</v>
      </c>
      <c r="C62" s="27" t="s">
        <v>143</v>
      </c>
      <c r="D62" s="27" t="s">
        <v>144</v>
      </c>
      <c r="E62" s="27"/>
      <c r="F62" s="27">
        <v>5.0</v>
      </c>
      <c r="G62" s="27">
        <v>4.0</v>
      </c>
      <c r="H62" s="27">
        <v>4.0</v>
      </c>
      <c r="I62" s="27">
        <v>4.0</v>
      </c>
      <c r="J62" s="27">
        <v>0.0</v>
      </c>
      <c r="K62" s="27">
        <v>2.0</v>
      </c>
      <c r="L62" s="27">
        <v>2.0</v>
      </c>
      <c r="M62" s="27">
        <v>1.0</v>
      </c>
      <c r="N62" s="27">
        <v>3.0</v>
      </c>
      <c r="O62" s="27">
        <v>1.0</v>
      </c>
      <c r="P62" s="27">
        <v>3.0</v>
      </c>
      <c r="Q62" s="27">
        <v>4.0</v>
      </c>
      <c r="R62" s="27">
        <v>4.0</v>
      </c>
      <c r="S62" s="27">
        <v>3.0</v>
      </c>
      <c r="T62" s="27">
        <v>5.0</v>
      </c>
      <c r="U62" s="27">
        <v>2.0</v>
      </c>
      <c r="V62" s="27">
        <v>5.0</v>
      </c>
      <c r="W62" s="27">
        <v>1.0</v>
      </c>
      <c r="X62" s="27">
        <v>0.0</v>
      </c>
      <c r="Y62" s="27">
        <v>2.0</v>
      </c>
      <c r="Z62" s="27">
        <v>1.0</v>
      </c>
      <c r="AA62" s="27">
        <v>7.0</v>
      </c>
      <c r="AB62" s="27">
        <v>3.0</v>
      </c>
      <c r="AC62" s="27">
        <v>4.0</v>
      </c>
      <c r="AD62" s="27">
        <v>0.0</v>
      </c>
      <c r="AE62" s="27">
        <v>4.0</v>
      </c>
      <c r="AF62" s="27">
        <v>6.0</v>
      </c>
      <c r="AG62" s="27">
        <v>2.0</v>
      </c>
      <c r="AH62" s="27">
        <v>8.0</v>
      </c>
      <c r="AI62" s="27">
        <v>8.0</v>
      </c>
      <c r="AJ62" s="27">
        <v>2.0</v>
      </c>
      <c r="AK62" s="27">
        <v>1.0</v>
      </c>
      <c r="AL62" s="27">
        <v>2.0</v>
      </c>
      <c r="AM62" s="27">
        <v>3.0</v>
      </c>
      <c r="AN62" s="27">
        <v>2.0</v>
      </c>
      <c r="AO62" s="32">
        <f t="shared" si="3"/>
        <v>50.0</v>
      </c>
      <c r="AP62" s="32">
        <f t="shared" si="4"/>
        <v>24.0</v>
      </c>
      <c r="AQ62" s="32">
        <f t="shared" si="5"/>
        <v>26.4</v>
      </c>
      <c r="AR62" s="33"/>
      <c r="AS62" s="33">
        <v>5.0</v>
      </c>
      <c r="AT62" s="33">
        <v>2.0</v>
      </c>
      <c r="AU62" s="33">
        <v>5.0</v>
      </c>
      <c r="AV62" s="33">
        <v>4.0</v>
      </c>
      <c r="AW62" s="33">
        <v>3.0</v>
      </c>
      <c r="AX62" s="33">
        <v>6.0</v>
      </c>
      <c r="BA62" s="2">
        <f t="shared" si="127"/>
        <v>25.0</v>
      </c>
      <c r="BB62" s="2" t="e">
        <f t="shared" si="128"/>
        <v>#REF!</v>
      </c>
      <c r="BL62" s="3"/>
      <c r="BO62" s="3"/>
      <c r="BR62" s="3"/>
      <c r="BU62" s="3"/>
      <c r="BX62" s="3"/>
      <c r="CA62" s="3"/>
    </row>
    <row r="63" ht="14.0">
      <c r="A63" s="27" t="s">
        <v>28</v>
      </c>
      <c r="B63" s="27" t="s">
        <v>98</v>
      </c>
      <c r="C63" s="27" t="s">
        <v>145</v>
      </c>
      <c r="D63" s="27" t="s">
        <v>146</v>
      </c>
      <c r="E63" s="27"/>
      <c r="F63" s="27">
        <v>1.0</v>
      </c>
      <c r="G63" s="27">
        <v>0.0</v>
      </c>
      <c r="H63" s="27">
        <v>1.0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2.0</v>
      </c>
      <c r="P63" s="27">
        <v>1.0</v>
      </c>
      <c r="Q63" s="27">
        <v>1.0</v>
      </c>
      <c r="R63" s="27">
        <v>3.0</v>
      </c>
      <c r="S63" s="27">
        <v>0.0</v>
      </c>
      <c r="T63" s="27">
        <v>0.0</v>
      </c>
      <c r="U63" s="27">
        <v>1.0</v>
      </c>
      <c r="V63" s="27">
        <v>0.0</v>
      </c>
      <c r="W63" s="27">
        <v>1.0</v>
      </c>
      <c r="X63" s="27">
        <v>1.0</v>
      </c>
      <c r="Y63" s="27">
        <v>1.0</v>
      </c>
      <c r="Z63" s="27">
        <v>1.0</v>
      </c>
      <c r="AA63" s="27">
        <v>0.0</v>
      </c>
      <c r="AB63" s="27">
        <v>2.0</v>
      </c>
      <c r="AC63" s="27">
        <v>0.0</v>
      </c>
      <c r="AD63" s="27">
        <v>2.0</v>
      </c>
      <c r="AE63" s="27">
        <v>0.0</v>
      </c>
      <c r="AF63" s="27">
        <v>0.0</v>
      </c>
      <c r="AG63" s="27">
        <v>0.0</v>
      </c>
      <c r="AH63" s="27">
        <v>1.0</v>
      </c>
      <c r="AI63" s="27">
        <v>1.0</v>
      </c>
      <c r="AJ63" s="27">
        <v>0.0</v>
      </c>
      <c r="AK63" s="27">
        <v>0.0</v>
      </c>
      <c r="AL63" s="27">
        <v>1.0</v>
      </c>
      <c r="AM63" s="27">
        <v>0.0</v>
      </c>
      <c r="AN63" s="27">
        <v>0.0</v>
      </c>
      <c r="AO63" s="32">
        <f t="shared" si="3"/>
        <v>7.0</v>
      </c>
      <c r="AP63" s="32">
        <f t="shared" si="4"/>
        <v>3.0</v>
      </c>
      <c r="AQ63" s="32">
        <f t="shared" si="5"/>
        <v>3.3</v>
      </c>
      <c r="AR63" s="33"/>
      <c r="AS63" s="33">
        <v>1.0</v>
      </c>
      <c r="AT63" s="33">
        <v>0.0</v>
      </c>
      <c r="AU63" s="33">
        <v>1.0</v>
      </c>
      <c r="AV63" s="33">
        <v>0.0</v>
      </c>
      <c r="AW63" s="33">
        <v>0.0</v>
      </c>
      <c r="AX63" s="33">
        <v>1.0</v>
      </c>
      <c r="BA63" s="2">
        <f t="shared" si="127"/>
        <v>3.0</v>
      </c>
      <c r="BB63" s="2" t="e">
        <f t="shared" si="128"/>
        <v>#REF!</v>
      </c>
      <c r="BL63" s="3"/>
      <c r="BO63" s="3"/>
      <c r="BR63" s="3"/>
      <c r="BU63" s="3"/>
      <c r="BX63" s="3"/>
      <c r="CA63" s="3"/>
    </row>
    <row r="64">
      <c r="C64" s="1" t="s">
        <v>192</v>
      </c>
      <c r="D64" s="1" t="s">
        <v>242</v>
      </c>
      <c r="AV64" s="178">
        <f>AV26*0.55+AV80*0.5</f>
        <v>296.570198675498</v>
      </c>
      <c r="AW64" s="178">
        <f>AW26*0.75+AW80*0.75</f>
        <v>408.162913907284</v>
      </c>
      <c r="AX64" s="178">
        <f>AX26*0.75+AX80*0.75</f>
        <v>563.125827814569</v>
      </c>
      <c r="AY64" s="178">
        <f>AY26*0.75+AY80*0.75</f>
        <v>498.509224219488</v>
      </c>
      <c r="AZ64" s="178">
        <f>AZ26*0.75+AZ80*0.75</f>
        <v>572.388836329233</v>
      </c>
      <c r="BA64" s="28">
        <f t="shared" ref="BA64:BA67" si="191">SUM(AS64:AZ64)</f>
        <v>2338.75700094607</v>
      </c>
      <c r="BC64" s="1" t="e">
        <f t="shared" ref="BC64:BC67" si="192">VLOOKUP(C64,JULY,3,false)</f>
        <v>#REF!</v>
      </c>
      <c r="BD64" s="36"/>
      <c r="BE64" s="28" t="e">
        <f t="shared" ref="BE64:BE67" si="193">BB64+BC64+BD64-BA64</f>
        <v>#REF!</v>
      </c>
      <c r="BF64" s="29">
        <v>2040.0</v>
      </c>
      <c r="BG64" s="177">
        <f>BF64</f>
        <v>2040.0</v>
      </c>
      <c r="BI64" s="1">
        <f t="shared" ref="BI64:BI67" si="195">BB64</f>
      </c>
      <c r="BJ64" s="1">
        <f t="shared" ref="BJ64:BJ67" si="196">AS64</f>
      </c>
      <c r="BL64" s="3">
        <f t="shared" ref="BL64:BL67" si="197">BI64+BK64-BJ64</f>
        <v>0.0</v>
      </c>
      <c r="BM64" s="1">
        <f t="shared" ref="BM64:BM67" si="198">AT64</f>
      </c>
      <c r="BO64" s="3">
        <f t="shared" ref="BO64:BO67" si="199">BL64+BN64-BM64</f>
        <v>0.0</v>
      </c>
      <c r="BP64" s="1">
        <f t="shared" ref="BP64:BP67" si="200">AU64</f>
      </c>
      <c r="BQ64" s="1" t="e">
        <f t="shared" ref="BQ64:BQ67" si="201">BC64</f>
        <v>#REF!</v>
      </c>
      <c r="BR64" s="3" t="e">
        <f t="shared" ref="BR64:BR67" si="202">BO64+BQ64-BP64</f>
        <v>#REF!</v>
      </c>
      <c r="BS64" s="1">
        <f t="shared" ref="BS64:BS67" si="203">AV64</f>
        <v>296.570198675498</v>
      </c>
      <c r="BT64" s="1">
        <f t="shared" ref="BT64:BT67" si="204">BD64</f>
      </c>
      <c r="BU64" s="3" t="e">
        <f t="shared" ref="BU64:BU67" si="205">BR64+BT64-BS64</f>
        <v>#REF!</v>
      </c>
      <c r="BV64" s="1">
        <f t="shared" ref="BV64:BV67" si="206">AW64</f>
        <v>408.162913907284</v>
      </c>
      <c r="BX64" s="3" t="e">
        <f t="shared" ref="BX64:BX67" si="207">BU64+BW64-BV64</f>
        <v>#REF!</v>
      </c>
      <c r="BY64" s="1">
        <f t="shared" ref="BY64:BY67" si="208">AX64</f>
        <v>563.125827814569</v>
      </c>
      <c r="CA64" s="3" t="e">
        <f t="shared" ref="CA64:CA67" si="209">BX64+BZ64-BY64</f>
        <v>#REF!</v>
      </c>
      <c r="CB64" s="1">
        <f t="shared" ref="CB64:CB67" si="210">AY64</f>
        <v>498.509224219488</v>
      </c>
      <c r="CD64" s="3" t="e">
        <f t="shared" ref="CD64:CD67" si="211">CA64+CC64-CB64</f>
        <v>#REF!</v>
      </c>
      <c r="CE64" s="1">
        <f t="shared" ref="CE64:CE67" si="212">AZ64</f>
        <v>572.388836329233</v>
      </c>
      <c r="CG64" s="3" t="e">
        <f t="shared" ref="CG64:CG67" si="213">CD64+CF64-CE64</f>
        <v>#REF!</v>
      </c>
    </row>
    <row r="65">
      <c r="C65" s="1" t="s">
        <v>194</v>
      </c>
      <c r="D65" s="1" t="s">
        <v>243</v>
      </c>
      <c r="AV65" s="178">
        <f t="shared" ref="AV65:AV67" si="214">AV27*0.5</f>
        <v>115.717439293598</v>
      </c>
      <c r="AW65" s="178">
        <f t="shared" ref="AW65:AW67" si="215">AW27*0.75</f>
        <v>135.96357615894</v>
      </c>
      <c r="AX65" s="178">
        <f t="shared" ref="AX65:AX66" si="216">AX27*0.75</f>
        <v>267.42715231788</v>
      </c>
      <c r="AY65" s="178">
        <f t="shared" ref="AY65:AY66" si="217">AY27*0.75</f>
        <v>262.831125827814</v>
      </c>
      <c r="AZ65" s="178">
        <f t="shared" ref="AZ65:AZ66" si="218">AZ27*0.75</f>
        <v>237.996688741725</v>
      </c>
      <c r="BA65" s="28">
        <f t="shared" si="191"/>
        <v>1019.93598233996</v>
      </c>
      <c r="BC65" s="1" t="e">
        <f t="shared" si="192"/>
        <v>#REF!</v>
      </c>
      <c r="BD65" s="36"/>
      <c r="BE65" s="28" t="e">
        <f t="shared" si="193"/>
        <v>#REF!</v>
      </c>
      <c r="BF65" s="29"/>
      <c r="BG65" s="15"/>
      <c r="BI65" s="1">
        <f t="shared" si="195"/>
      </c>
      <c r="BJ65" s="1">
        <f t="shared" si="196"/>
      </c>
      <c r="BL65" s="3">
        <f t="shared" si="197"/>
        <v>0.0</v>
      </c>
      <c r="BM65" s="1">
        <f t="shared" si="198"/>
      </c>
      <c r="BO65" s="3">
        <f t="shared" si="199"/>
        <v>0.0</v>
      </c>
      <c r="BP65" s="1">
        <f t="shared" si="200"/>
      </c>
      <c r="BQ65" s="1" t="e">
        <f t="shared" si="201"/>
        <v>#REF!</v>
      </c>
      <c r="BR65" s="3" t="e">
        <f t="shared" si="202"/>
        <v>#REF!</v>
      </c>
      <c r="BS65" s="1">
        <f t="shared" si="203"/>
        <v>115.717439293598</v>
      </c>
      <c r="BT65" s="1">
        <f t="shared" si="204"/>
      </c>
      <c r="BU65" s="3" t="e">
        <f t="shared" si="205"/>
        <v>#REF!</v>
      </c>
      <c r="BV65" s="1">
        <f t="shared" si="206"/>
        <v>135.96357615894</v>
      </c>
      <c r="BX65" s="3" t="e">
        <f t="shared" si="207"/>
        <v>#REF!</v>
      </c>
      <c r="BY65" s="1">
        <f t="shared" si="208"/>
        <v>267.42715231788</v>
      </c>
      <c r="CA65" s="3" t="e">
        <f t="shared" si="209"/>
        <v>#REF!</v>
      </c>
      <c r="CB65" s="1">
        <f t="shared" si="210"/>
        <v>262.831125827814</v>
      </c>
      <c r="CD65" s="3" t="e">
        <f t="shared" si="211"/>
        <v>#REF!</v>
      </c>
      <c r="CE65" s="1">
        <f t="shared" si="212"/>
        <v>237.996688741725</v>
      </c>
      <c r="CG65" s="3" t="e">
        <f t="shared" si="213"/>
        <v>#REF!</v>
      </c>
    </row>
    <row r="66">
      <c r="C66" s="1" t="s">
        <v>196</v>
      </c>
      <c r="D66" s="1" t="s">
        <v>244</v>
      </c>
      <c r="AV66" s="178">
        <f t="shared" si="214"/>
        <v>75.913907284768</v>
      </c>
      <c r="AW66" s="178">
        <f t="shared" si="215"/>
        <v>89.3443708609275</v>
      </c>
      <c r="AX66" s="178">
        <f t="shared" si="216"/>
        <v>174.188741721854</v>
      </c>
      <c r="AY66" s="178">
        <f t="shared" si="217"/>
        <v>158.960264900655</v>
      </c>
      <c r="AZ66" s="178">
        <f t="shared" si="218"/>
        <v>143.940397350993</v>
      </c>
      <c r="BA66" s="28">
        <f t="shared" si="191"/>
        <v>642.347682119198</v>
      </c>
      <c r="BC66" s="1" t="e">
        <f t="shared" si="192"/>
        <v>#REF!</v>
      </c>
      <c r="BD66" s="36"/>
      <c r="BE66" s="28" t="e">
        <f t="shared" si="193"/>
        <v>#REF!</v>
      </c>
      <c r="BF66" s="29"/>
      <c r="BG66" s="15"/>
      <c r="BI66" s="1">
        <f t="shared" si="195"/>
      </c>
      <c r="BJ66" s="1">
        <f t="shared" si="196"/>
      </c>
      <c r="BL66" s="3">
        <f t="shared" si="197"/>
        <v>0.0</v>
      </c>
      <c r="BM66" s="1">
        <f t="shared" si="198"/>
      </c>
      <c r="BO66" s="3">
        <f t="shared" si="199"/>
        <v>0.0</v>
      </c>
      <c r="BP66" s="1">
        <f t="shared" si="200"/>
      </c>
      <c r="BQ66" s="1" t="e">
        <f t="shared" si="201"/>
        <v>#REF!</v>
      </c>
      <c r="BR66" s="3" t="e">
        <f t="shared" si="202"/>
        <v>#REF!</v>
      </c>
      <c r="BS66" s="1">
        <f t="shared" si="203"/>
        <v>75.913907284768</v>
      </c>
      <c r="BT66" s="1">
        <f t="shared" si="204"/>
      </c>
      <c r="BU66" s="3" t="e">
        <f t="shared" si="205"/>
        <v>#REF!</v>
      </c>
      <c r="BV66" s="1">
        <f t="shared" si="206"/>
        <v>89.3443708609275</v>
      </c>
      <c r="BX66" s="3" t="e">
        <f t="shared" si="207"/>
        <v>#REF!</v>
      </c>
      <c r="BY66" s="1">
        <f t="shared" si="208"/>
        <v>174.188741721854</v>
      </c>
      <c r="CA66" s="3" t="e">
        <f t="shared" si="209"/>
        <v>#REF!</v>
      </c>
      <c r="CB66" s="1">
        <f t="shared" si="210"/>
        <v>158.960264900655</v>
      </c>
      <c r="CD66" s="3" t="e">
        <f t="shared" si="211"/>
        <v>#REF!</v>
      </c>
      <c r="CE66" s="1">
        <f t="shared" si="212"/>
        <v>143.940397350993</v>
      </c>
      <c r="CG66" s="3" t="e">
        <f t="shared" si="213"/>
        <v>#REF!</v>
      </c>
    </row>
    <row r="67">
      <c r="C67" s="1" t="s">
        <v>198</v>
      </c>
      <c r="D67" s="1" t="s">
        <v>245</v>
      </c>
      <c r="AV67" s="178">
        <f t="shared" si="214"/>
        <v>135.135761589404</v>
      </c>
      <c r="AW67" s="178">
        <f t="shared" si="215"/>
        <v>158.706953642384</v>
      </c>
      <c r="AX67" s="178">
        <f>AX29*0.75+AX81*0.75</f>
        <v>372.31390728477</v>
      </c>
      <c r="AY67" s="178">
        <f>AY29*0.75+AY9*0.75+AY81*0.75</f>
        <v>677.387890255439</v>
      </c>
      <c r="AZ67" s="178">
        <f>AZ29*0.75+AZ9*0.75+AZ81*0.75</f>
        <v>652.206835383153</v>
      </c>
      <c r="BA67" s="28">
        <f t="shared" si="191"/>
        <v>1995.75134815514</v>
      </c>
      <c r="BC67" s="1" t="e">
        <f t="shared" si="192"/>
        <v>#REF!</v>
      </c>
      <c r="BD67" s="36"/>
      <c r="BE67" s="28" t="e">
        <f t="shared" si="193"/>
        <v>#REF!</v>
      </c>
      <c r="BF67" s="29"/>
      <c r="BG67" s="15"/>
      <c r="BI67" s="1">
        <f t="shared" si="195"/>
      </c>
      <c r="BJ67" s="1">
        <f t="shared" si="196"/>
      </c>
      <c r="BL67" s="3">
        <f t="shared" si="197"/>
        <v>0.0</v>
      </c>
      <c r="BM67" s="1">
        <f t="shared" si="198"/>
      </c>
      <c r="BO67" s="3">
        <f t="shared" si="199"/>
        <v>0.0</v>
      </c>
      <c r="BP67" s="1">
        <f t="shared" si="200"/>
      </c>
      <c r="BQ67" s="1" t="e">
        <f t="shared" si="201"/>
        <v>#REF!</v>
      </c>
      <c r="BR67" s="3" t="e">
        <f t="shared" si="202"/>
        <v>#REF!</v>
      </c>
      <c r="BS67" s="1">
        <f t="shared" si="203"/>
        <v>135.135761589404</v>
      </c>
      <c r="BT67" s="1">
        <f t="shared" si="204"/>
      </c>
      <c r="BU67" s="3" t="e">
        <f t="shared" si="205"/>
        <v>#REF!</v>
      </c>
      <c r="BV67" s="1">
        <f t="shared" si="206"/>
        <v>158.706953642384</v>
      </c>
      <c r="BX67" s="3" t="e">
        <f t="shared" si="207"/>
        <v>#REF!</v>
      </c>
      <c r="BY67" s="1">
        <f t="shared" si="208"/>
        <v>372.31390728477</v>
      </c>
      <c r="CA67" s="3" t="e">
        <f t="shared" si="209"/>
        <v>#REF!</v>
      </c>
      <c r="CB67" s="1">
        <f t="shared" si="210"/>
        <v>677.387890255439</v>
      </c>
      <c r="CD67" s="3" t="e">
        <f t="shared" si="211"/>
        <v>#REF!</v>
      </c>
      <c r="CE67" s="1">
        <f t="shared" si="212"/>
        <v>652.206835383153</v>
      </c>
      <c r="CG67" s="3" t="e">
        <f t="shared" si="213"/>
        <v>#REF!</v>
      </c>
    </row>
    <row r="68">
      <c r="BF68" s="29"/>
      <c r="BG68" s="15"/>
    </row>
    <row hidden="1"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L69" s="27"/>
      <c r="AM69" s="27"/>
      <c r="AN69" s="27"/>
      <c r="AO69" s="27"/>
    </row>
    <row r="70" ht="14.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44">
        <v>0.058</v>
      </c>
      <c r="AC70" s="44">
        <v>0.122</v>
      </c>
      <c r="AD70" s="44">
        <v>0.103</v>
      </c>
      <c r="AE70" s="44">
        <v>0.079</v>
      </c>
      <c r="AF70" s="44">
        <v>0.069</v>
      </c>
      <c r="AG70" s="44">
        <v>0.065</v>
      </c>
      <c r="AH70" s="44">
        <v>0.066</v>
      </c>
      <c r="AI70" s="44">
        <v>0.052</v>
      </c>
      <c r="AJ70" s="44">
        <v>0.106</v>
      </c>
      <c r="AK70" s="44">
        <v>0.153</v>
      </c>
      <c r="AL70" s="44">
        <v>0.054</v>
      </c>
      <c r="AM70" s="44">
        <v>0.073</v>
      </c>
      <c r="AN70" s="44">
        <v>0.058</v>
      </c>
      <c r="AO70" s="5">
        <f>SUM(AA70:AL70)</f>
        <v>0.927</v>
      </c>
      <c r="AP70" s="8">
        <f>SUM(AH70:AM70)</f>
        <v>0.504</v>
      </c>
      <c r="AQ70" s="8">
        <f>AP70*1.1</f>
        <v>0.5544</v>
      </c>
      <c r="AS70" s="44">
        <v>0.058</v>
      </c>
      <c r="AT70" s="44">
        <v>0.122</v>
      </c>
      <c r="AU70" s="44">
        <v>0.103</v>
      </c>
      <c r="AV70" s="44">
        <v>0.079</v>
      </c>
      <c r="AW70" s="44">
        <v>0.069</v>
      </c>
      <c r="AX70" s="44">
        <v>0.065</v>
      </c>
      <c r="AY70" s="44">
        <v>0.052</v>
      </c>
      <c r="AZ70" s="44">
        <v>0.106</v>
      </c>
      <c r="BF70" s="29"/>
      <c r="BG70" s="15"/>
    </row>
    <row r="71" ht="15.0">
      <c r="A71" s="45" t="s">
        <v>147</v>
      </c>
      <c r="B71" s="6"/>
      <c r="C71" s="6"/>
      <c r="D71" s="6"/>
      <c r="E71" s="9">
        <v>45799</v>
      </c>
      <c r="F71" s="9">
        <v>45830</v>
      </c>
      <c r="G71" s="9">
        <v>45860</v>
      </c>
      <c r="H71" s="9">
        <v>45891</v>
      </c>
      <c r="I71" s="9">
        <v>45922</v>
      </c>
      <c r="J71" s="9">
        <v>45952</v>
      </c>
      <c r="K71" s="9">
        <v>45983</v>
      </c>
      <c r="L71" s="9">
        <v>46013</v>
      </c>
      <c r="M71" s="9">
        <v>45680</v>
      </c>
      <c r="N71" s="9">
        <v>45711</v>
      </c>
      <c r="O71" s="9">
        <v>45739</v>
      </c>
      <c r="P71" s="9">
        <v>45770</v>
      </c>
      <c r="Q71" s="10">
        <v>45800</v>
      </c>
      <c r="R71" s="10">
        <v>45831</v>
      </c>
      <c r="S71" s="10">
        <v>45861</v>
      </c>
      <c r="T71" s="10">
        <v>45892</v>
      </c>
      <c r="U71" s="10">
        <v>45923</v>
      </c>
      <c r="V71" s="10">
        <v>45953</v>
      </c>
      <c r="W71" s="10">
        <v>45984</v>
      </c>
      <c r="X71" s="10">
        <v>46014</v>
      </c>
      <c r="Y71" s="10">
        <v>45681</v>
      </c>
      <c r="Z71" s="10">
        <v>45712</v>
      </c>
      <c r="AA71" s="10">
        <v>45740</v>
      </c>
      <c r="AB71" s="10">
        <v>45771</v>
      </c>
      <c r="AC71" s="11">
        <v>45801</v>
      </c>
      <c r="AD71" s="11">
        <v>45832</v>
      </c>
      <c r="AE71" s="11">
        <v>45862</v>
      </c>
      <c r="AF71" s="11">
        <v>45893</v>
      </c>
      <c r="AG71" s="11">
        <v>45924</v>
      </c>
      <c r="AH71" s="11">
        <v>45954</v>
      </c>
      <c r="AI71" s="11">
        <v>45985</v>
      </c>
      <c r="AJ71" s="11">
        <v>46015</v>
      </c>
      <c r="AK71" s="11">
        <v>45682</v>
      </c>
      <c r="AL71" s="11">
        <v>45713</v>
      </c>
      <c r="AM71" s="11">
        <v>45741</v>
      </c>
      <c r="AN71" s="11">
        <v>45772</v>
      </c>
      <c r="AO71" s="12" t="s">
        <v>1</v>
      </c>
      <c r="AP71" s="12" t="s">
        <v>2</v>
      </c>
      <c r="AQ71" s="12" t="s">
        <v>2</v>
      </c>
      <c r="AR71" s="13"/>
      <c r="AS71" s="11">
        <v>45801</v>
      </c>
      <c r="AT71" s="11">
        <v>45832</v>
      </c>
      <c r="AU71" s="11">
        <v>45862</v>
      </c>
      <c r="AV71" s="11">
        <v>45893</v>
      </c>
      <c r="AW71" s="11">
        <v>45924</v>
      </c>
      <c r="AX71" s="11">
        <v>45955</v>
      </c>
      <c r="AY71" s="11">
        <v>45986</v>
      </c>
      <c r="AZ71" s="11">
        <v>46016</v>
      </c>
      <c r="BA71" s="13" t="s">
        <v>3</v>
      </c>
      <c r="BB71" s="13" t="s">
        <v>3</v>
      </c>
      <c r="BC71" s="13" t="s">
        <v>3</v>
      </c>
      <c r="BD71" s="13" t="s">
        <v>3</v>
      </c>
      <c r="BE71" s="14" t="s">
        <v>3</v>
      </c>
      <c r="BF71" s="46" t="s">
        <v>3</v>
      </c>
      <c r="BG71" s="15" t="s">
        <v>3</v>
      </c>
      <c r="BH71" s="13"/>
      <c r="BI71" s="13" t="s">
        <v>4</v>
      </c>
      <c r="BJ71" s="13" t="s">
        <v>5</v>
      </c>
      <c r="BK71" s="13"/>
      <c r="BL71" s="13"/>
      <c r="BM71" s="13" t="s">
        <v>6</v>
      </c>
      <c r="BN71" s="13"/>
      <c r="BO71" s="13"/>
      <c r="BP71" s="13" t="s">
        <v>7</v>
      </c>
      <c r="BQ71" s="13"/>
      <c r="BR71" s="13"/>
      <c r="BS71" s="13" t="s">
        <v>8</v>
      </c>
      <c r="BT71" s="13"/>
      <c r="BU71" s="13"/>
      <c r="BV71" s="13" t="s">
        <v>9</v>
      </c>
      <c r="BW71" s="13"/>
      <c r="BX71" s="13"/>
      <c r="BY71" s="13" t="s">
        <v>10</v>
      </c>
      <c r="BZ71" s="13"/>
      <c r="CA71" s="13"/>
      <c r="CB71" s="13" t="s">
        <v>227</v>
      </c>
      <c r="CC71" s="13"/>
      <c r="CD71" s="13"/>
      <c r="CE71" s="13" t="s">
        <v>212</v>
      </c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</row>
    <row r="72" ht="29.0">
      <c r="A72" s="16" t="s">
        <v>11</v>
      </c>
      <c r="B72" s="16" t="s">
        <v>12</v>
      </c>
      <c r="C72" s="16" t="s">
        <v>13</v>
      </c>
      <c r="D72" s="17" t="s">
        <v>14</v>
      </c>
      <c r="E72" s="18" t="s">
        <v>15</v>
      </c>
      <c r="F72" s="18" t="s">
        <v>15</v>
      </c>
      <c r="G72" s="18" t="s">
        <v>15</v>
      </c>
      <c r="H72" s="18" t="s">
        <v>15</v>
      </c>
      <c r="I72" s="18" t="s">
        <v>15</v>
      </c>
      <c r="J72" s="18" t="s">
        <v>15</v>
      </c>
      <c r="K72" s="18" t="s">
        <v>15</v>
      </c>
      <c r="L72" s="18" t="s">
        <v>15</v>
      </c>
      <c r="M72" s="18" t="s">
        <v>15</v>
      </c>
      <c r="N72" s="18" t="s">
        <v>15</v>
      </c>
      <c r="O72" s="18" t="s">
        <v>15</v>
      </c>
      <c r="P72" s="18" t="s">
        <v>15</v>
      </c>
      <c r="Q72" s="18" t="s">
        <v>15</v>
      </c>
      <c r="R72" s="18" t="s">
        <v>15</v>
      </c>
      <c r="S72" s="18" t="s">
        <v>15</v>
      </c>
      <c r="T72" s="18" t="s">
        <v>15</v>
      </c>
      <c r="U72" s="18" t="s">
        <v>15</v>
      </c>
      <c r="V72" s="18" t="s">
        <v>15</v>
      </c>
      <c r="W72" s="18" t="s">
        <v>15</v>
      </c>
      <c r="X72" s="18" t="s">
        <v>15</v>
      </c>
      <c r="Y72" s="18" t="s">
        <v>15</v>
      </c>
      <c r="Z72" s="18" t="s">
        <v>15</v>
      </c>
      <c r="AA72" s="18" t="s">
        <v>15</v>
      </c>
      <c r="AB72" s="18" t="s">
        <v>15</v>
      </c>
      <c r="AC72" s="18" t="s">
        <v>15</v>
      </c>
      <c r="AD72" s="18" t="s">
        <v>15</v>
      </c>
      <c r="AE72" s="18" t="s">
        <v>15</v>
      </c>
      <c r="AF72" s="18" t="s">
        <v>15</v>
      </c>
      <c r="AG72" s="18" t="s">
        <v>15</v>
      </c>
      <c r="AH72" s="18" t="s">
        <v>15</v>
      </c>
      <c r="AI72" s="18" t="s">
        <v>15</v>
      </c>
      <c r="AJ72" s="18" t="s">
        <v>15</v>
      </c>
      <c r="AK72" s="18" t="s">
        <v>15</v>
      </c>
      <c r="AL72" s="18" t="s">
        <v>15</v>
      </c>
      <c r="AM72" s="18" t="s">
        <v>15</v>
      </c>
      <c r="AN72" s="18"/>
      <c r="AO72" s="19" t="s">
        <v>3</v>
      </c>
      <c r="AP72" s="19" t="s">
        <v>3</v>
      </c>
      <c r="AQ72" s="19" t="s">
        <v>16</v>
      </c>
      <c r="AR72" s="20"/>
      <c r="AS72" s="21" t="s">
        <v>17</v>
      </c>
      <c r="AT72" s="21" t="s">
        <v>17</v>
      </c>
      <c r="AU72" s="21" t="s">
        <v>17</v>
      </c>
      <c r="AV72" s="21" t="s">
        <v>17</v>
      </c>
      <c r="AW72" s="21" t="s">
        <v>17</v>
      </c>
      <c r="AX72" s="21" t="s">
        <v>17</v>
      </c>
      <c r="AY72" s="21" t="s">
        <v>17</v>
      </c>
      <c r="AZ72" s="21" t="s">
        <v>17</v>
      </c>
      <c r="BA72" s="21" t="s">
        <v>17</v>
      </c>
      <c r="BB72" s="18" t="s">
        <v>239</v>
      </c>
      <c r="BC72" s="22" t="s">
        <v>240</v>
      </c>
      <c r="BD72" s="22" t="s">
        <v>229</v>
      </c>
      <c r="BE72" s="23" t="s">
        <v>21</v>
      </c>
      <c r="BF72" s="47" t="s">
        <v>22</v>
      </c>
      <c r="BG72" s="24" t="s">
        <v>23</v>
      </c>
      <c r="BH72" s="25" t="s">
        <v>24</v>
      </c>
      <c r="BI72" s="18" t="s">
        <v>25</v>
      </c>
      <c r="BJ72" s="18" t="s">
        <v>17</v>
      </c>
      <c r="BK72" s="18" t="s">
        <v>26</v>
      </c>
      <c r="BL72" s="18" t="s">
        <v>27</v>
      </c>
      <c r="BM72" s="18" t="s">
        <v>17</v>
      </c>
      <c r="BN72" s="18" t="s">
        <v>26</v>
      </c>
      <c r="BO72" s="18" t="s">
        <v>27</v>
      </c>
      <c r="BP72" s="18" t="s">
        <v>17</v>
      </c>
      <c r="BQ72" s="18" t="s">
        <v>26</v>
      </c>
      <c r="BR72" s="18" t="s">
        <v>27</v>
      </c>
      <c r="BS72" s="18" t="s">
        <v>17</v>
      </c>
      <c r="BT72" s="18" t="s">
        <v>26</v>
      </c>
      <c r="BU72" s="18" t="s">
        <v>27</v>
      </c>
      <c r="BV72" s="18" t="s">
        <v>17</v>
      </c>
      <c r="BW72" s="18" t="s">
        <v>26</v>
      </c>
      <c r="BX72" s="18" t="s">
        <v>27</v>
      </c>
      <c r="BY72" s="18" t="s">
        <v>17</v>
      </c>
      <c r="BZ72" s="18" t="s">
        <v>26</v>
      </c>
      <c r="CA72" s="18" t="s">
        <v>27</v>
      </c>
      <c r="CB72" s="18" t="s">
        <v>17</v>
      </c>
      <c r="CC72" s="18" t="s">
        <v>26</v>
      </c>
      <c r="CD72" s="18" t="s">
        <v>27</v>
      </c>
      <c r="CE72" s="18" t="s">
        <v>17</v>
      </c>
      <c r="CF72" s="18" t="s">
        <v>26</v>
      </c>
      <c r="CG72" s="18" t="s">
        <v>27</v>
      </c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</row>
    <row r="73" ht="14.0" outlineLevel="1">
      <c r="A73" s="27" t="s">
        <v>28</v>
      </c>
      <c r="B73" s="27" t="s">
        <v>98</v>
      </c>
      <c r="C73" s="27" t="s">
        <v>99</v>
      </c>
      <c r="D73" s="27" t="s">
        <v>100</v>
      </c>
      <c r="E73" s="27">
        <v>42.0</v>
      </c>
      <c r="F73" s="27">
        <v>42.0</v>
      </c>
      <c r="G73" s="27">
        <v>84.0</v>
      </c>
      <c r="H73" s="27">
        <v>126.0</v>
      </c>
      <c r="I73" s="27">
        <v>84.0</v>
      </c>
      <c r="J73" s="27">
        <v>84.0</v>
      </c>
      <c r="K73" s="27">
        <v>168.0</v>
      </c>
      <c r="L73" s="27">
        <v>126.0</v>
      </c>
      <c r="M73" s="27">
        <v>252.0</v>
      </c>
      <c r="N73" s="27">
        <v>42.0</v>
      </c>
      <c r="O73" s="27">
        <v>42.0</v>
      </c>
      <c r="P73" s="27">
        <v>84.0</v>
      </c>
      <c r="Q73" s="27">
        <v>126.0</v>
      </c>
      <c r="R73" s="27">
        <v>126.0</v>
      </c>
      <c r="S73" s="27">
        <v>126.0</v>
      </c>
      <c r="T73" s="27">
        <v>42.0</v>
      </c>
      <c r="U73" s="27">
        <v>84.0</v>
      </c>
      <c r="V73" s="27">
        <v>42.0</v>
      </c>
      <c r="W73" s="27">
        <v>84.0</v>
      </c>
      <c r="X73" s="27">
        <v>252.0</v>
      </c>
      <c r="Y73" s="27">
        <v>84.0</v>
      </c>
      <c r="Z73" s="27">
        <v>0.0</v>
      </c>
      <c r="AA73" s="27">
        <v>42.0</v>
      </c>
      <c r="AB73" s="27">
        <v>0.0</v>
      </c>
      <c r="AC73" s="27">
        <v>42.0</v>
      </c>
      <c r="AD73" s="27">
        <v>336.0</v>
      </c>
      <c r="AE73" s="27">
        <v>42.0</v>
      </c>
      <c r="AF73" s="27">
        <v>84.0</v>
      </c>
      <c r="AG73" s="27">
        <v>42.0</v>
      </c>
      <c r="AH73" s="27">
        <v>42.0</v>
      </c>
      <c r="AI73" s="27">
        <v>42.0</v>
      </c>
      <c r="AJ73" s="27">
        <v>84.0</v>
      </c>
      <c r="AK73" s="27">
        <v>168.0</v>
      </c>
      <c r="AL73" s="27">
        <v>42.0</v>
      </c>
      <c r="AM73" s="27">
        <v>42.0</v>
      </c>
      <c r="AN73" s="27">
        <v>0.0</v>
      </c>
      <c r="AO73" s="28">
        <f t="shared" ref="AO73:AO100" si="225">SUM(AA73:AM73)</f>
        <v>1008.0</v>
      </c>
      <c r="AP73" s="28">
        <f t="shared" ref="AP73:AP100" si="226">SUM(AH73:AM73)</f>
        <v>420.0</v>
      </c>
      <c r="AQ73" s="28">
        <f t="shared" ref="AQ73:AQ100" si="227">AP73*1.1</f>
        <v>462.0</v>
      </c>
      <c r="AS73" s="3">
        <f t="shared" ref="AS73:AS81" si="228">AB73*1.1</f>
        <v>0.0</v>
      </c>
      <c r="AT73" s="3">
        <f t="shared" ref="AT73:AT81" si="229">AC73*1.1</f>
        <v>46.2</v>
      </c>
      <c r="AU73" s="3">
        <f t="shared" ref="AU73:AU81" si="230">AD73*1.1</f>
        <v>369.6</v>
      </c>
      <c r="AV73" s="3">
        <f t="shared" ref="AV73:AV81" si="231">AE73*1.1</f>
        <v>46.2</v>
      </c>
      <c r="AW73" s="3">
        <f t="shared" ref="AW73:AW81" si="232">AF73*1.1</f>
        <v>92.4</v>
      </c>
      <c r="AX73" s="3">
        <f t="shared" ref="AX73:AX81" si="233">AG73*1.1</f>
        <v>46.2</v>
      </c>
      <c r="AY73" s="28"/>
      <c r="AZ73" s="28"/>
      <c r="BA73" s="28">
        <f t="shared" ref="BA73:BA79" si="234">SUM(AS73:AX73)</f>
        <v>600.6</v>
      </c>
      <c r="BB73" s="2" t="e">
        <f>VLOOKUP(D73,SOH,3,false)</f>
        <v>#REF!</v>
      </c>
      <c r="BD73" s="1" t="e">
        <f t="shared" ref="BD73:BD74" si="236">VLOOKUP(C73,CHINAJUNE,3,false)</f>
        <v>#REF!</v>
      </c>
      <c r="BE73" s="3" t="e">
        <f>BB73+BC73+BD73-BA73-BA40</f>
        <v>#REF!</v>
      </c>
      <c r="BF73" s="1">
        <f>VLOOKUP(C73,MOQ,3,FALSE())</f>
        <v>1008.0</v>
      </c>
      <c r="BI73" s="1" t="e">
        <f t="shared" ref="BI73:BI100" si="239">BB73</f>
        <v>#REF!</v>
      </c>
      <c r="BJ73" s="1">
        <f>AS73+BJ40</f>
        <v>730.176600441501</v>
      </c>
      <c r="BK73" s="1">
        <f t="shared" ref="BK73:BK79" si="241">BC73</f>
      </c>
      <c r="BL73" s="3" t="e">
        <f t="shared" ref="BL73:BL100" si="242">BI73+BK73-BJ73</f>
        <v>#REF!</v>
      </c>
      <c r="BM73" s="1">
        <f>AT73+BM40</f>
        <v>392.469315673289</v>
      </c>
      <c r="BN73" s="1" t="e">
        <f t="shared" ref="BN73:BN79" si="244">BD73</f>
        <v>#REF!</v>
      </c>
      <c r="BO73" s="3" t="e">
        <f t="shared" ref="BO73:BO100" si="245">BL73+BN73-BM73</f>
        <v>#REF!</v>
      </c>
      <c r="BP73" s="1">
        <f>AU73+BP40</f>
        <v>1039.55584988962</v>
      </c>
      <c r="BR73" s="3" t="e">
        <f t="shared" ref="BR73:BR100" si="247">BO73+BQ73-BP73</f>
        <v>#REF!</v>
      </c>
      <c r="BS73" s="1">
        <f>AV73+BS40</f>
        <v>595.714348785871</v>
      </c>
      <c r="BU73" s="3" t="e">
        <f t="shared" ref="BU73:BU100" si="249">BR73+BT73-BS73</f>
        <v>#REF!</v>
      </c>
      <c r="BV73" s="1">
        <f>AW73+BV40</f>
        <v>521.472847682119</v>
      </c>
      <c r="BX73" s="3" t="e">
        <f t="shared" ref="BX73:BX100" si="251">BU73+BW73-BV73</f>
        <v>#REF!</v>
      </c>
      <c r="BY73" s="1">
        <f>AX73+BY40</f>
        <v>904.345695364238</v>
      </c>
      <c r="CA73" s="3" t="e">
        <f t="shared" ref="CA73:CA100" si="253">BX73+BZ73-BY73</f>
        <v>#REF!</v>
      </c>
    </row>
    <row r="74" ht="14.0" outlineLevel="1">
      <c r="A74" s="27" t="s">
        <v>28</v>
      </c>
      <c r="B74" s="27" t="s">
        <v>98</v>
      </c>
      <c r="C74" s="27" t="s">
        <v>103</v>
      </c>
      <c r="D74" s="27" t="s">
        <v>104</v>
      </c>
      <c r="E74" s="27">
        <v>0.0</v>
      </c>
      <c r="F74" s="27">
        <v>546.0</v>
      </c>
      <c r="G74" s="27">
        <v>0.0</v>
      </c>
      <c r="H74" s="27">
        <v>42.0</v>
      </c>
      <c r="I74" s="27">
        <v>84.0</v>
      </c>
      <c r="J74" s="27">
        <v>126.0</v>
      </c>
      <c r="K74" s="27">
        <v>84.0</v>
      </c>
      <c r="L74" s="27">
        <v>210.0</v>
      </c>
      <c r="M74" s="27">
        <v>0.0</v>
      </c>
      <c r="N74" s="27">
        <v>420.0</v>
      </c>
      <c r="O74" s="27">
        <v>42.0</v>
      </c>
      <c r="P74" s="27">
        <v>126.0</v>
      </c>
      <c r="Q74" s="27">
        <v>126.0</v>
      </c>
      <c r="R74" s="27">
        <v>84.0</v>
      </c>
      <c r="S74" s="27">
        <v>126.0</v>
      </c>
      <c r="T74" s="27">
        <v>126.0</v>
      </c>
      <c r="U74" s="27">
        <v>84.0</v>
      </c>
      <c r="V74" s="27">
        <v>126.0</v>
      </c>
      <c r="W74" s="27">
        <v>126.0</v>
      </c>
      <c r="X74" s="27">
        <v>168.0</v>
      </c>
      <c r="Y74" s="27">
        <v>252.0</v>
      </c>
      <c r="Z74" s="27">
        <v>42.0</v>
      </c>
      <c r="AA74" s="27">
        <v>42.0</v>
      </c>
      <c r="AB74" s="27">
        <v>0.0</v>
      </c>
      <c r="AC74" s="27">
        <v>336.0</v>
      </c>
      <c r="AD74" s="27">
        <v>0.0</v>
      </c>
      <c r="AE74" s="27">
        <v>168.0</v>
      </c>
      <c r="AF74" s="27">
        <v>42.0</v>
      </c>
      <c r="AG74" s="27">
        <v>42.0</v>
      </c>
      <c r="AH74" s="27">
        <v>84.0</v>
      </c>
      <c r="AI74" s="27">
        <v>84.0</v>
      </c>
      <c r="AJ74" s="27">
        <v>84.0</v>
      </c>
      <c r="AK74" s="27">
        <v>210.0</v>
      </c>
      <c r="AL74" s="27">
        <v>42.0</v>
      </c>
      <c r="AM74" s="27">
        <v>42.0</v>
      </c>
      <c r="AN74" s="27">
        <v>84.0</v>
      </c>
      <c r="AO74" s="28">
        <f t="shared" si="225"/>
        <v>1176.0</v>
      </c>
      <c r="AP74" s="28">
        <f t="shared" si="226"/>
        <v>546.0</v>
      </c>
      <c r="AQ74" s="28">
        <f t="shared" si="227"/>
        <v>600.6</v>
      </c>
      <c r="AS74" s="3">
        <f t="shared" si="228"/>
        <v>0.0</v>
      </c>
      <c r="AT74" s="3">
        <f t="shared" si="229"/>
        <v>369.6</v>
      </c>
      <c r="AU74" s="3">
        <f t="shared" si="230"/>
        <v>0.0</v>
      </c>
      <c r="AV74" s="3">
        <f t="shared" si="231"/>
        <v>184.8</v>
      </c>
      <c r="AW74" s="3">
        <f t="shared" si="232"/>
        <v>46.2</v>
      </c>
      <c r="AX74" s="3">
        <f t="shared" si="233"/>
        <v>46.2</v>
      </c>
      <c r="AY74" s="28"/>
      <c r="AZ74" s="28"/>
      <c r="BA74" s="28">
        <f t="shared" si="234"/>
        <v>646.8</v>
      </c>
      <c r="BB74" s="2" t="e">
        <f t="shared" ref="BB74:BB79" si="254">VLOOKUP(D74,MAY1,3,false)</f>
        <v>#REF!</v>
      </c>
      <c r="BD74" s="1" t="e">
        <f t="shared" si="236"/>
        <v>#REF!</v>
      </c>
      <c r="BE74" s="3" t="e">
        <f>BB74+BC74+BD74-BA74-BA42</f>
        <v>#REF!</v>
      </c>
      <c r="BF74" s="1">
        <f>VLOOKUP(C74,MOQ,3,FALSE())</f>
        <v>1008.0</v>
      </c>
      <c r="BI74" s="1" t="e">
        <f t="shared" si="239"/>
        <v>#REF!</v>
      </c>
      <c r="BJ74" s="1">
        <f>AS74+BJ42</f>
        <v>731.033112582781</v>
      </c>
      <c r="BK74" s="1">
        <f t="shared" si="241"/>
      </c>
      <c r="BL74" s="3" t="e">
        <f t="shared" si="242"/>
        <v>#REF!</v>
      </c>
      <c r="BM74" s="1">
        <f>AT74+BM42</f>
        <v>716.275496688741</v>
      </c>
      <c r="BN74" s="1" t="e">
        <f t="shared" si="244"/>
        <v>#REF!</v>
      </c>
      <c r="BO74" s="3" t="e">
        <f t="shared" si="245"/>
        <v>#REF!</v>
      </c>
      <c r="BP74" s="1">
        <f>AU74+BP42</f>
        <v>670.741721854304</v>
      </c>
      <c r="BR74" s="3" t="e">
        <f t="shared" si="247"/>
        <v>#REF!</v>
      </c>
      <c r="BS74" s="1">
        <f>AV74+BS42</f>
        <v>734.958940397351</v>
      </c>
      <c r="BU74" s="3" t="e">
        <f t="shared" si="249"/>
        <v>#REF!</v>
      </c>
      <c r="BV74" s="1">
        <f>AW74+BV42</f>
        <v>475.776158940397</v>
      </c>
      <c r="BX74" s="3" t="e">
        <f t="shared" si="251"/>
        <v>#REF!</v>
      </c>
      <c r="BY74" s="1">
        <f>AX74+BY42</f>
        <v>905.352317880794</v>
      </c>
      <c r="CA74" s="3" t="e">
        <f t="shared" si="253"/>
        <v>#REF!</v>
      </c>
    </row>
    <row r="75" ht="14.0" outlineLevel="1">
      <c r="A75" s="27" t="s">
        <v>28</v>
      </c>
      <c r="B75" s="27" t="s">
        <v>98</v>
      </c>
      <c r="C75" s="27" t="s">
        <v>111</v>
      </c>
      <c r="D75" s="27" t="s">
        <v>112</v>
      </c>
      <c r="E75" s="27">
        <v>84.0</v>
      </c>
      <c r="F75" s="27">
        <v>84.0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7">
        <v>0.0</v>
      </c>
      <c r="N75" s="27">
        <v>0.0</v>
      </c>
      <c r="O75" s="27">
        <v>0.0</v>
      </c>
      <c r="P75" s="27">
        <v>0.0</v>
      </c>
      <c r="Q75" s="27">
        <v>0.0</v>
      </c>
      <c r="R75" s="27">
        <v>0.0</v>
      </c>
      <c r="S75" s="27">
        <v>0.0</v>
      </c>
      <c r="T75" s="27">
        <v>0.0</v>
      </c>
      <c r="U75" s="27">
        <v>0.0</v>
      </c>
      <c r="V75" s="27">
        <v>0.0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B75" s="27">
        <v>0.0</v>
      </c>
      <c r="AC75" s="27">
        <v>0.0</v>
      </c>
      <c r="AD75" s="27">
        <v>0.0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0.0</v>
      </c>
      <c r="AK75" s="27">
        <v>0.0</v>
      </c>
      <c r="AL75" s="27">
        <v>0.0</v>
      </c>
      <c r="AM75" s="27">
        <v>0.0</v>
      </c>
      <c r="AN75" s="27">
        <v>0.0</v>
      </c>
      <c r="AO75" s="28">
        <f t="shared" si="225"/>
        <v>0.0</v>
      </c>
      <c r="AP75" s="28">
        <f t="shared" si="226"/>
        <v>0.0</v>
      </c>
      <c r="AQ75" s="28">
        <f t="shared" si="227"/>
        <v>0.0</v>
      </c>
      <c r="AS75" s="3">
        <f t="shared" si="228"/>
        <v>0.0</v>
      </c>
      <c r="AT75" s="3">
        <f t="shared" si="229"/>
        <v>0.0</v>
      </c>
      <c r="AU75" s="3">
        <f t="shared" si="230"/>
        <v>0.0</v>
      </c>
      <c r="AV75" s="3">
        <f t="shared" si="231"/>
        <v>0.0</v>
      </c>
      <c r="AW75" s="3">
        <f t="shared" si="232"/>
        <v>0.0</v>
      </c>
      <c r="AX75" s="3">
        <f t="shared" si="233"/>
        <v>0.0</v>
      </c>
      <c r="AY75" s="28"/>
      <c r="AZ75" s="28"/>
      <c r="BA75" s="28">
        <f t="shared" si="234"/>
        <v>0.0</v>
      </c>
      <c r="BB75" s="2" t="e">
        <f t="shared" si="254"/>
        <v>#REF!</v>
      </c>
      <c r="BE75" s="3" t="e">
        <f t="shared" ref="BE75:BE76" si="262">BB75+BC75+BD75-BA75-BA46</f>
        <v>#REF!</v>
      </c>
      <c r="BF75" s="1">
        <f>VLOOKUP(C75,MOQ,3,FALSE())</f>
        <v>1008.0</v>
      </c>
      <c r="BI75" s="1" t="e">
        <f t="shared" si="239"/>
        <v>#REF!</v>
      </c>
      <c r="BJ75" s="1">
        <f t="shared" ref="BJ75:BJ76" si="263">AS75+BJ46</f>
        <v>138.969094922737</v>
      </c>
      <c r="BK75" s="1">
        <f t="shared" si="241"/>
      </c>
      <c r="BL75" s="3" t="e">
        <f t="shared" si="242"/>
        <v>#REF!</v>
      </c>
      <c r="BM75" s="1">
        <f t="shared" ref="BM75:BM76" si="264">AT75+BM46</f>
        <v>65.9028697571743</v>
      </c>
      <c r="BN75" s="1">
        <f t="shared" si="244"/>
      </c>
      <c r="BO75" s="3" t="e">
        <f t="shared" si="245"/>
        <v>#REF!</v>
      </c>
      <c r="BP75" s="1">
        <f t="shared" ref="BP75:BP76" si="265">AU75+BP46</f>
        <v>127.507726269316</v>
      </c>
      <c r="BR75" s="3" t="e">
        <f t="shared" si="247"/>
        <v>#REF!</v>
      </c>
      <c r="BS75" s="1">
        <f t="shared" ref="BS75:BS76" si="266">AV75+BS46</f>
        <v>104.584988962472</v>
      </c>
      <c r="BU75" s="3" t="e">
        <f t="shared" si="249"/>
        <v>#REF!</v>
      </c>
      <c r="BV75" s="1">
        <f t="shared" ref="BV75:BV76" si="267">AW75+BV46</f>
        <v>81.6622516556291</v>
      </c>
      <c r="BX75" s="3" t="e">
        <f t="shared" si="251"/>
        <v>#REF!</v>
      </c>
      <c r="BY75" s="1">
        <f t="shared" ref="BY75:BY76" si="268">AX75+BY46</f>
        <v>163.324503311258</v>
      </c>
      <c r="CA75" s="3" t="e">
        <f t="shared" si="253"/>
        <v>#REF!</v>
      </c>
    </row>
    <row r="76" ht="14.0" outlineLevel="1">
      <c r="A76" s="27" t="s">
        <v>28</v>
      </c>
      <c r="B76" s="27" t="s">
        <v>98</v>
      </c>
      <c r="C76" s="27" t="s">
        <v>113</v>
      </c>
      <c r="D76" s="27" t="s">
        <v>114</v>
      </c>
      <c r="E76" s="27">
        <v>0.0</v>
      </c>
      <c r="F76" s="27">
        <v>0.0</v>
      </c>
      <c r="G76" s="27">
        <v>0.0</v>
      </c>
      <c r="H76" s="27">
        <v>210.0</v>
      </c>
      <c r="I76" s="27">
        <v>42.0</v>
      </c>
      <c r="J76" s="27">
        <v>0.0</v>
      </c>
      <c r="K76" s="27">
        <v>84.0</v>
      </c>
      <c r="L76" s="27">
        <v>84.0</v>
      </c>
      <c r="M76" s="27">
        <v>126.0</v>
      </c>
      <c r="N76" s="27">
        <v>0.0</v>
      </c>
      <c r="O76" s="27">
        <v>84.0</v>
      </c>
      <c r="P76" s="27">
        <v>42.0</v>
      </c>
      <c r="Q76" s="27">
        <v>42.0</v>
      </c>
      <c r="R76" s="27">
        <v>42.0</v>
      </c>
      <c r="S76" s="27">
        <v>42.0</v>
      </c>
      <c r="T76" s="27">
        <v>42.0</v>
      </c>
      <c r="U76" s="27">
        <v>0.0</v>
      </c>
      <c r="V76" s="27">
        <v>126.0</v>
      </c>
      <c r="W76" s="27">
        <v>0.0</v>
      </c>
      <c r="X76" s="27">
        <v>84.0</v>
      </c>
      <c r="Y76" s="27">
        <v>126.0</v>
      </c>
      <c r="Z76" s="27">
        <v>42.0</v>
      </c>
      <c r="AA76" s="27">
        <v>42.0</v>
      </c>
      <c r="AB76" s="27">
        <v>42.0</v>
      </c>
      <c r="AC76" s="27">
        <v>42.0</v>
      </c>
      <c r="AD76" s="27">
        <v>42.0</v>
      </c>
      <c r="AE76" s="27">
        <v>42.0</v>
      </c>
      <c r="AF76" s="27">
        <v>42.0</v>
      </c>
      <c r="AG76" s="27">
        <v>0.0</v>
      </c>
      <c r="AH76" s="27">
        <v>42.0</v>
      </c>
      <c r="AI76" s="27">
        <v>42.0</v>
      </c>
      <c r="AJ76" s="27">
        <v>0.0</v>
      </c>
      <c r="AK76" s="27">
        <v>84.0</v>
      </c>
      <c r="AL76" s="27">
        <v>42.0</v>
      </c>
      <c r="AM76" s="27">
        <v>0.0</v>
      </c>
      <c r="AN76" s="27">
        <v>84.0</v>
      </c>
      <c r="AO76" s="28">
        <f t="shared" si="225"/>
        <v>462.0</v>
      </c>
      <c r="AP76" s="28">
        <f t="shared" si="226"/>
        <v>210.0</v>
      </c>
      <c r="AQ76" s="28">
        <f t="shared" si="227"/>
        <v>231.0</v>
      </c>
      <c r="AS76" s="3">
        <f t="shared" si="228"/>
        <v>46.2</v>
      </c>
      <c r="AT76" s="3">
        <f t="shared" si="229"/>
        <v>46.2</v>
      </c>
      <c r="AU76" s="3">
        <f t="shared" si="230"/>
        <v>46.2</v>
      </c>
      <c r="AV76" s="3">
        <f t="shared" si="231"/>
        <v>46.2</v>
      </c>
      <c r="AW76" s="3">
        <f t="shared" si="232"/>
        <v>46.2</v>
      </c>
      <c r="AX76" s="3">
        <f t="shared" si="233"/>
        <v>0.0</v>
      </c>
      <c r="AY76" s="28"/>
      <c r="AZ76" s="28"/>
      <c r="BA76" s="28">
        <f t="shared" si="234"/>
        <v>231.0</v>
      </c>
      <c r="BB76" s="2" t="e">
        <f t="shared" si="254"/>
        <v>#REF!</v>
      </c>
      <c r="BE76" s="3" t="e">
        <f t="shared" si="262"/>
        <v>#REF!</v>
      </c>
      <c r="BF76" s="1">
        <f>VLOOKUP(C76,MOQ,3,FALSE())</f>
        <v>1008.0</v>
      </c>
      <c r="BI76" s="1" t="e">
        <f t="shared" si="239"/>
        <v>#REF!</v>
      </c>
      <c r="BJ76" s="1">
        <f t="shared" si="263"/>
        <v>84.7430463576159</v>
      </c>
      <c r="BK76" s="1">
        <f t="shared" si="241"/>
      </c>
      <c r="BL76" s="3" t="e">
        <f t="shared" si="242"/>
        <v>#REF!</v>
      </c>
      <c r="BM76" s="1">
        <f t="shared" si="264"/>
        <v>64.4781456953642</v>
      </c>
      <c r="BN76" s="1">
        <f t="shared" si="244"/>
      </c>
      <c r="BO76" s="3" t="e">
        <f t="shared" si="245"/>
        <v>#REF!</v>
      </c>
      <c r="BP76" s="1">
        <f t="shared" si="265"/>
        <v>81.564238410596</v>
      </c>
      <c r="BR76" s="3" t="e">
        <f t="shared" si="247"/>
        <v>#REF!</v>
      </c>
      <c r="BS76" s="1">
        <f t="shared" si="266"/>
        <v>75.2066225165562</v>
      </c>
      <c r="BU76" s="3" t="e">
        <f t="shared" si="249"/>
        <v>#REF!</v>
      </c>
      <c r="BV76" s="1">
        <f t="shared" si="267"/>
        <v>68.8490066225166</v>
      </c>
      <c r="BX76" s="3" t="e">
        <f t="shared" si="251"/>
        <v>#REF!</v>
      </c>
      <c r="BY76" s="1">
        <f t="shared" si="268"/>
        <v>45.2980132450331</v>
      </c>
      <c r="CA76" s="3" t="e">
        <f t="shared" si="253"/>
        <v>#REF!</v>
      </c>
    </row>
    <row r="77" ht="14.0" outlineLevel="1">
      <c r="A77" s="27" t="s">
        <v>28</v>
      </c>
      <c r="B77" s="27" t="s">
        <v>98</v>
      </c>
      <c r="C77" s="27" t="s">
        <v>117</v>
      </c>
      <c r="D77" s="27" t="s">
        <v>118</v>
      </c>
      <c r="E77" s="27">
        <v>42.0</v>
      </c>
      <c r="F77" s="27">
        <v>42.0</v>
      </c>
      <c r="G77" s="27">
        <v>84.0</v>
      </c>
      <c r="H77" s="27">
        <v>84.0</v>
      </c>
      <c r="I77" s="27">
        <v>126.0</v>
      </c>
      <c r="J77" s="27">
        <v>42.0</v>
      </c>
      <c r="K77" s="27">
        <v>42.0</v>
      </c>
      <c r="L77" s="27">
        <v>168.0</v>
      </c>
      <c r="M77" s="27">
        <v>0.0</v>
      </c>
      <c r="N77" s="27">
        <v>462.0</v>
      </c>
      <c r="O77" s="27">
        <v>0.0</v>
      </c>
      <c r="P77" s="27">
        <v>84.0</v>
      </c>
      <c r="Q77" s="27">
        <v>42.0</v>
      </c>
      <c r="R77" s="27">
        <v>42.0</v>
      </c>
      <c r="S77" s="27">
        <v>84.0</v>
      </c>
      <c r="T77" s="27">
        <v>84.0</v>
      </c>
      <c r="U77" s="27">
        <v>84.0</v>
      </c>
      <c r="V77" s="27">
        <v>126.0</v>
      </c>
      <c r="W77" s="27">
        <v>42.0</v>
      </c>
      <c r="X77" s="27">
        <v>168.0</v>
      </c>
      <c r="Y77" s="27">
        <v>84.0</v>
      </c>
      <c r="Z77" s="27">
        <v>84.0</v>
      </c>
      <c r="AA77" s="27">
        <v>42.0</v>
      </c>
      <c r="AB77" s="27">
        <v>0.0</v>
      </c>
      <c r="AC77" s="27">
        <v>210.0</v>
      </c>
      <c r="AD77" s="27">
        <v>42.0</v>
      </c>
      <c r="AE77" s="27">
        <v>84.0</v>
      </c>
      <c r="AF77" s="27">
        <v>84.0</v>
      </c>
      <c r="AG77" s="27">
        <v>42.0</v>
      </c>
      <c r="AH77" s="27">
        <v>0.0</v>
      </c>
      <c r="AI77" s="27">
        <v>84.0</v>
      </c>
      <c r="AJ77" s="27">
        <v>42.0</v>
      </c>
      <c r="AK77" s="27">
        <v>252.0</v>
      </c>
      <c r="AL77" s="27">
        <v>42.0</v>
      </c>
      <c r="AM77" s="27">
        <v>0.0</v>
      </c>
      <c r="AN77" s="27">
        <v>42.0</v>
      </c>
      <c r="AO77" s="28">
        <f t="shared" si="225"/>
        <v>924.0</v>
      </c>
      <c r="AP77" s="28">
        <f t="shared" si="226"/>
        <v>420.0</v>
      </c>
      <c r="AQ77" s="28">
        <f t="shared" si="227"/>
        <v>462.0</v>
      </c>
      <c r="AS77" s="3">
        <f t="shared" si="228"/>
        <v>0.0</v>
      </c>
      <c r="AT77" s="3">
        <f t="shared" si="229"/>
        <v>231.0</v>
      </c>
      <c r="AU77" s="3">
        <f t="shared" si="230"/>
        <v>46.2</v>
      </c>
      <c r="AV77" s="3">
        <f t="shared" si="231"/>
        <v>92.4</v>
      </c>
      <c r="AW77" s="3">
        <f t="shared" si="232"/>
        <v>92.4</v>
      </c>
      <c r="AX77" s="3">
        <f t="shared" si="233"/>
        <v>46.2</v>
      </c>
      <c r="AY77" s="28"/>
      <c r="AZ77" s="28"/>
      <c r="BA77" s="28">
        <f t="shared" si="234"/>
        <v>508.2</v>
      </c>
      <c r="BB77" s="2" t="e">
        <f t="shared" si="254"/>
        <v>#REF!</v>
      </c>
      <c r="BD77" s="1" t="e">
        <f t="shared" ref="BD77:BD79" si="269">VLOOKUP(C77,CHINAJUNE,3,false)</f>
        <v>#REF!</v>
      </c>
      <c r="BE77" s="3" t="e">
        <f t="shared" ref="BE77:BE79" si="270">BB77+BC77+BD77-BA77-BA49</f>
        <v>#REF!</v>
      </c>
      <c r="BF77" s="1">
        <f>VLOOKUP(C77,MOQ,3,FALSE())</f>
        <v>1008.0</v>
      </c>
      <c r="BI77" s="1" t="e">
        <f t="shared" si="239"/>
        <v>#REF!</v>
      </c>
      <c r="BJ77" s="1">
        <f t="shared" ref="BJ77:BJ79" si="271">AS77+BJ49</f>
        <v>692.275938189845</v>
      </c>
      <c r="BK77" s="1">
        <f t="shared" si="241"/>
      </c>
      <c r="BL77" s="3" t="e">
        <f t="shared" si="242"/>
        <v>#REF!</v>
      </c>
      <c r="BM77" s="1">
        <f t="shared" ref="BM77:BM79" si="272">AT77+BM49</f>
        <v>559.295805739514</v>
      </c>
      <c r="BN77" s="1" t="e">
        <f t="shared" si="244"/>
        <v>#REF!</v>
      </c>
      <c r="BO77" s="3" t="e">
        <f t="shared" si="245"/>
        <v>#REF!</v>
      </c>
      <c r="BP77" s="1">
        <f t="shared" ref="BP77:BP79" si="273">AU77+BP49</f>
        <v>681.381015452539</v>
      </c>
      <c r="BR77" s="3" t="e">
        <f t="shared" si="247"/>
        <v>#REF!</v>
      </c>
      <c r="BS77" s="1">
        <f t="shared" ref="BS77:BS79" si="274">AV77+BS49</f>
        <v>613.391169977923</v>
      </c>
      <c r="BU77" s="3" t="e">
        <f t="shared" si="249"/>
        <v>#REF!</v>
      </c>
      <c r="BV77" s="1">
        <f t="shared" ref="BV77:BV79" si="275">AW77+BV49</f>
        <v>499.20132450331</v>
      </c>
      <c r="BX77" s="3" t="e">
        <f t="shared" si="251"/>
        <v>#REF!</v>
      </c>
      <c r="BY77" s="1">
        <f t="shared" ref="BY77:BY79" si="276">AX77+BY49</f>
        <v>859.802649006622</v>
      </c>
      <c r="CA77" s="3" t="e">
        <f t="shared" si="253"/>
        <v>#REF!</v>
      </c>
    </row>
    <row r="78" ht="14.0" outlineLevel="1">
      <c r="A78" s="27" t="s">
        <v>28</v>
      </c>
      <c r="B78" s="27" t="s">
        <v>98</v>
      </c>
      <c r="C78" s="27" t="s">
        <v>119</v>
      </c>
      <c r="D78" s="27" t="s">
        <v>120</v>
      </c>
      <c r="E78" s="27">
        <v>0.0</v>
      </c>
      <c r="F78" s="27">
        <v>0.0</v>
      </c>
      <c r="G78" s="27">
        <v>0.0</v>
      </c>
      <c r="H78" s="27">
        <v>0.0</v>
      </c>
      <c r="I78" s="27">
        <v>0.0</v>
      </c>
      <c r="J78" s="27">
        <v>0.0</v>
      </c>
      <c r="K78" s="27">
        <v>252.0</v>
      </c>
      <c r="L78" s="27">
        <v>252.0</v>
      </c>
      <c r="M78" s="27">
        <v>0.0</v>
      </c>
      <c r="N78" s="27">
        <v>252.0</v>
      </c>
      <c r="O78" s="27">
        <v>0.0</v>
      </c>
      <c r="P78" s="27">
        <v>0.0</v>
      </c>
      <c r="Q78" s="27">
        <v>252.0</v>
      </c>
      <c r="R78" s="27">
        <v>0.0</v>
      </c>
      <c r="S78" s="27">
        <v>0.0</v>
      </c>
      <c r="T78" s="27">
        <v>252.0</v>
      </c>
      <c r="U78" s="27">
        <v>0.0</v>
      </c>
      <c r="V78" s="27">
        <v>252.0</v>
      </c>
      <c r="W78" s="27">
        <v>0.0</v>
      </c>
      <c r="X78" s="27">
        <v>252.0</v>
      </c>
      <c r="Y78" s="27">
        <v>0.0</v>
      </c>
      <c r="Z78" s="27">
        <v>0.0</v>
      </c>
      <c r="AA78" s="27">
        <v>252.0</v>
      </c>
      <c r="AB78" s="27">
        <v>0.0</v>
      </c>
      <c r="AC78" s="27">
        <v>0.0</v>
      </c>
      <c r="AD78" s="27">
        <v>0.0</v>
      </c>
      <c r="AE78" s="27">
        <v>252.0</v>
      </c>
      <c r="AF78" s="27">
        <v>0.0</v>
      </c>
      <c r="AG78" s="27">
        <v>0.0</v>
      </c>
      <c r="AH78" s="27">
        <v>0.0</v>
      </c>
      <c r="AI78" s="27">
        <v>0.0</v>
      </c>
      <c r="AJ78" s="27">
        <v>252.0</v>
      </c>
      <c r="AK78" s="27">
        <v>0.0</v>
      </c>
      <c r="AL78" s="27">
        <v>252.0</v>
      </c>
      <c r="AM78" s="27">
        <v>0.0</v>
      </c>
      <c r="AN78" s="27">
        <v>0.0</v>
      </c>
      <c r="AO78" s="28">
        <f t="shared" si="225"/>
        <v>1008.0</v>
      </c>
      <c r="AP78" s="28">
        <f t="shared" si="226"/>
        <v>504.0</v>
      </c>
      <c r="AQ78" s="28">
        <f t="shared" si="227"/>
        <v>554.4</v>
      </c>
      <c r="AS78" s="3">
        <f t="shared" si="228"/>
        <v>0.0</v>
      </c>
      <c r="AT78" s="3">
        <f t="shared" si="229"/>
        <v>0.0</v>
      </c>
      <c r="AU78" s="3">
        <f t="shared" si="230"/>
        <v>0.0</v>
      </c>
      <c r="AV78" s="3">
        <f t="shared" si="231"/>
        <v>277.2</v>
      </c>
      <c r="AW78" s="3">
        <f t="shared" si="232"/>
        <v>0.0</v>
      </c>
      <c r="AX78" s="3">
        <f t="shared" si="233"/>
        <v>0.0</v>
      </c>
      <c r="AY78" s="28"/>
      <c r="AZ78" s="28"/>
      <c r="BA78" s="28">
        <f t="shared" si="234"/>
        <v>277.2</v>
      </c>
      <c r="BB78" s="2" t="e">
        <f t="shared" si="254"/>
        <v>#REF!</v>
      </c>
      <c r="BD78" s="1" t="e">
        <f t="shared" si="269"/>
        <v>#REF!</v>
      </c>
      <c r="BE78" s="3" t="e">
        <f t="shared" si="270"/>
        <v>#REF!</v>
      </c>
      <c r="BF78" s="1">
        <f>VLOOKUP(C78,MOQ,3,FALSE())</f>
        <v>1008.0</v>
      </c>
      <c r="BI78" s="1" t="e">
        <f t="shared" si="239"/>
        <v>#REF!</v>
      </c>
      <c r="BJ78" s="1">
        <f t="shared" si="271"/>
        <v>271.942604856512</v>
      </c>
      <c r="BK78" s="1">
        <f t="shared" si="241"/>
      </c>
      <c r="BL78" s="3" t="e">
        <f t="shared" si="242"/>
        <v>#REF!</v>
      </c>
      <c r="BM78" s="1">
        <f t="shared" si="272"/>
        <v>128.962472406181</v>
      </c>
      <c r="BN78" s="1" t="e">
        <f t="shared" si="244"/>
        <v>#REF!</v>
      </c>
      <c r="BO78" s="3" t="e">
        <f t="shared" si="245"/>
        <v>#REF!</v>
      </c>
      <c r="BP78" s="1">
        <f t="shared" si="273"/>
        <v>249.514348785871</v>
      </c>
      <c r="BR78" s="3" t="e">
        <f t="shared" si="247"/>
        <v>#REF!</v>
      </c>
      <c r="BS78" s="1">
        <f t="shared" si="274"/>
        <v>481.857836644591</v>
      </c>
      <c r="BU78" s="3" t="e">
        <f t="shared" si="249"/>
        <v>#REF!</v>
      </c>
      <c r="BV78" s="1">
        <f t="shared" si="275"/>
        <v>159.801324503311</v>
      </c>
      <c r="BX78" s="3" t="e">
        <f t="shared" si="251"/>
        <v>#REF!</v>
      </c>
      <c r="BY78" s="1">
        <f t="shared" si="276"/>
        <v>319.602649006622</v>
      </c>
      <c r="CA78" s="3" t="e">
        <f t="shared" si="253"/>
        <v>#REF!</v>
      </c>
    </row>
    <row r="79" ht="14.0" outlineLevel="1">
      <c r="A79" s="27" t="s">
        <v>28</v>
      </c>
      <c r="B79" s="27" t="s">
        <v>98</v>
      </c>
      <c r="C79" s="27" t="s">
        <v>121</v>
      </c>
      <c r="D79" s="27" t="s">
        <v>122</v>
      </c>
      <c r="E79" s="27">
        <v>0.0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252.0</v>
      </c>
      <c r="L79" s="27">
        <v>252.0</v>
      </c>
      <c r="M79" s="27">
        <v>0.0</v>
      </c>
      <c r="N79" s="27">
        <v>0.0</v>
      </c>
      <c r="O79" s="27">
        <v>0.0</v>
      </c>
      <c r="P79" s="27">
        <v>0.0</v>
      </c>
      <c r="Q79" s="27">
        <v>252.0</v>
      </c>
      <c r="R79" s="27">
        <v>0.0</v>
      </c>
      <c r="S79" s="27">
        <v>252.0</v>
      </c>
      <c r="T79" s="27">
        <v>0.0</v>
      </c>
      <c r="U79" s="27">
        <v>0.0</v>
      </c>
      <c r="V79" s="27">
        <v>252.0</v>
      </c>
      <c r="W79" s="27">
        <v>0.0</v>
      </c>
      <c r="X79" s="27">
        <v>252.0</v>
      </c>
      <c r="Y79" s="27">
        <v>0.0</v>
      </c>
      <c r="Z79" s="27">
        <v>0.0</v>
      </c>
      <c r="AA79" s="27">
        <v>246.0</v>
      </c>
      <c r="AB79" s="27">
        <v>0.0</v>
      </c>
      <c r="AC79" s="27">
        <v>0.0</v>
      </c>
      <c r="AD79" s="27">
        <v>252.0</v>
      </c>
      <c r="AE79" s="27">
        <v>0.0</v>
      </c>
      <c r="AF79" s="27">
        <v>0.0</v>
      </c>
      <c r="AG79" s="27">
        <v>0.0</v>
      </c>
      <c r="AH79" s="27">
        <v>0.0</v>
      </c>
      <c r="AI79" s="27">
        <v>0.0</v>
      </c>
      <c r="AJ79" s="27">
        <v>252.0</v>
      </c>
      <c r="AK79" s="27">
        <v>0.0</v>
      </c>
      <c r="AL79" s="27">
        <v>240.0</v>
      </c>
      <c r="AM79" s="27">
        <v>0.0</v>
      </c>
      <c r="AN79" s="27">
        <v>0.0</v>
      </c>
      <c r="AO79" s="28">
        <f t="shared" si="225"/>
        <v>990.0</v>
      </c>
      <c r="AP79" s="28">
        <f t="shared" si="226"/>
        <v>492.0</v>
      </c>
      <c r="AQ79" s="28">
        <f t="shared" si="227"/>
        <v>541.2</v>
      </c>
      <c r="AS79" s="3">
        <f t="shared" si="228"/>
        <v>0.0</v>
      </c>
      <c r="AT79" s="3">
        <f t="shared" si="229"/>
        <v>0.0</v>
      </c>
      <c r="AU79" s="3">
        <f t="shared" si="230"/>
        <v>277.2</v>
      </c>
      <c r="AV79" s="3">
        <f t="shared" si="231"/>
        <v>0.0</v>
      </c>
      <c r="AW79" s="3">
        <f t="shared" si="232"/>
        <v>0.0</v>
      </c>
      <c r="AX79" s="3">
        <f t="shared" si="233"/>
        <v>0.0</v>
      </c>
      <c r="AY79" s="28"/>
      <c r="AZ79" s="28"/>
      <c r="BA79" s="28">
        <f t="shared" si="234"/>
        <v>277.2</v>
      </c>
      <c r="BB79" s="2" t="e">
        <f t="shared" si="254"/>
        <v>#REF!</v>
      </c>
      <c r="BD79" s="1" t="e">
        <f t="shared" si="269"/>
        <v>#REF!</v>
      </c>
      <c r="BE79" s="3" t="e">
        <f t="shared" si="270"/>
        <v>#REF!</v>
      </c>
      <c r="BF79" s="1">
        <f>VLOOKUP(C79,MOQ,3,FALSE())</f>
        <v>1008.0</v>
      </c>
      <c r="BI79" s="1" t="e">
        <f t="shared" si="239"/>
        <v>#REF!</v>
      </c>
      <c r="BJ79" s="1">
        <f t="shared" si="271"/>
        <v>390.35540838852</v>
      </c>
      <c r="BK79" s="1">
        <f t="shared" si="241"/>
      </c>
      <c r="BL79" s="3" t="e">
        <f t="shared" si="242"/>
        <v>#REF!</v>
      </c>
      <c r="BM79" s="1">
        <f t="shared" si="272"/>
        <v>185.116997792494</v>
      </c>
      <c r="BN79" s="1" t="e">
        <f t="shared" si="244"/>
        <v>#REF!</v>
      </c>
      <c r="BO79" s="3" t="e">
        <f t="shared" si="245"/>
        <v>#REF!</v>
      </c>
      <c r="BP79" s="1">
        <f t="shared" si="273"/>
        <v>635.36114790287</v>
      </c>
      <c r="BR79" s="3" t="e">
        <f t="shared" si="247"/>
        <v>#REF!</v>
      </c>
      <c r="BS79" s="1">
        <f t="shared" si="274"/>
        <v>293.772626931567</v>
      </c>
      <c r="BU79" s="3" t="e">
        <f t="shared" si="249"/>
        <v>#REF!</v>
      </c>
      <c r="BV79" s="1">
        <f t="shared" si="275"/>
        <v>229.384105960264</v>
      </c>
      <c r="BX79" s="3" t="e">
        <f t="shared" si="251"/>
        <v>#REF!</v>
      </c>
      <c r="BY79" s="1">
        <f t="shared" si="276"/>
        <v>458.76821192053</v>
      </c>
      <c r="CA79" s="3" t="e">
        <f t="shared" si="253"/>
        <v>#REF!</v>
      </c>
    </row>
    <row r="80" ht="14.0">
      <c r="A80" s="27" t="s">
        <v>28</v>
      </c>
      <c r="B80" s="27" t="s">
        <v>29</v>
      </c>
      <c r="C80" s="27" t="s">
        <v>30</v>
      </c>
      <c r="D80" s="27" t="s">
        <v>31</v>
      </c>
      <c r="E80" s="27">
        <v>239.0</v>
      </c>
      <c r="F80" s="27">
        <v>180.0</v>
      </c>
      <c r="G80" s="27">
        <v>180.0</v>
      </c>
      <c r="H80" s="27">
        <v>239.0</v>
      </c>
      <c r="I80" s="27">
        <v>240.0</v>
      </c>
      <c r="J80" s="27">
        <v>179.0</v>
      </c>
      <c r="K80" s="27">
        <v>180.0</v>
      </c>
      <c r="L80" s="27">
        <v>600.0</v>
      </c>
      <c r="M80" s="27">
        <v>60.0</v>
      </c>
      <c r="N80" s="27">
        <v>300.0</v>
      </c>
      <c r="O80" s="27">
        <v>420.0</v>
      </c>
      <c r="P80" s="27">
        <v>359.0</v>
      </c>
      <c r="Q80" s="27">
        <v>419.0</v>
      </c>
      <c r="R80" s="27">
        <v>180.0</v>
      </c>
      <c r="S80" s="27">
        <v>240.0</v>
      </c>
      <c r="T80" s="27">
        <v>359.0</v>
      </c>
      <c r="U80" s="27">
        <v>360.0</v>
      </c>
      <c r="V80" s="27">
        <v>240.0</v>
      </c>
      <c r="W80" s="27">
        <v>120.0</v>
      </c>
      <c r="X80" s="27">
        <v>420.0</v>
      </c>
      <c r="Y80" s="27">
        <v>600.0</v>
      </c>
      <c r="Z80" s="27">
        <v>240.0</v>
      </c>
      <c r="AA80" s="27">
        <v>240.0</v>
      </c>
      <c r="AB80" s="27">
        <v>240.0</v>
      </c>
      <c r="AC80" s="27">
        <v>240.0</v>
      </c>
      <c r="AD80" s="27">
        <v>240.0</v>
      </c>
      <c r="AE80" s="27">
        <v>179.0</v>
      </c>
      <c r="AF80" s="27">
        <v>238.0</v>
      </c>
      <c r="AG80" s="27">
        <v>180.0</v>
      </c>
      <c r="AH80" s="27">
        <v>120.0</v>
      </c>
      <c r="AI80" s="27">
        <v>180.0</v>
      </c>
      <c r="AJ80" s="27">
        <v>120.0</v>
      </c>
      <c r="AK80" s="27">
        <v>720.0</v>
      </c>
      <c r="AL80" s="27">
        <v>180.0</v>
      </c>
      <c r="AM80" s="27">
        <v>60.0</v>
      </c>
      <c r="AN80" s="27">
        <v>240.0</v>
      </c>
      <c r="AO80" s="28">
        <f t="shared" si="225"/>
        <v>2937.0</v>
      </c>
      <c r="AP80" s="28">
        <f t="shared" si="226"/>
        <v>1380.0</v>
      </c>
      <c r="AQ80" s="28">
        <f t="shared" si="227"/>
        <v>1518.0</v>
      </c>
      <c r="AS80" s="179">
        <f t="shared" si="228"/>
        <v>264.0</v>
      </c>
      <c r="AT80" s="179">
        <f t="shared" si="229"/>
        <v>264.0</v>
      </c>
      <c r="AU80" s="179">
        <f t="shared" si="230"/>
        <v>264.0</v>
      </c>
      <c r="AV80" s="179">
        <f t="shared" si="231"/>
        <v>196.9</v>
      </c>
      <c r="AW80" s="179">
        <f t="shared" si="232"/>
        <v>261.8</v>
      </c>
      <c r="AX80" s="179">
        <f t="shared" si="233"/>
        <v>198.0</v>
      </c>
      <c r="AY80" s="180">
        <f t="shared" ref="AY80:AY84" si="277">AQ80*$AY$70/$AQ$70</f>
        <v>142.380952380952</v>
      </c>
      <c r="AZ80" s="180">
        <f t="shared" ref="AZ80:AZ84" si="278">AQ80*$AZ$70/$AQ$70</f>
        <v>290.238095238095</v>
      </c>
      <c r="BA80" s="28">
        <f t="shared" ref="BA80:BA84" si="279">SUM(AS80:AZ80)</f>
        <v>1881.31904761904</v>
      </c>
      <c r="BB80" s="2" t="e">
        <f t="shared" ref="BB80:BB84" si="280">VLOOKUP(D80,SOH,3,false)</f>
        <v>#REF!</v>
      </c>
      <c r="BD80" s="36"/>
      <c r="BE80" s="28" t="e">
        <f t="shared" ref="BE80:BE81" si="281">BB80+BC80+BD80-BA80-BA8</f>
        <v>#REF!</v>
      </c>
      <c r="BF80" s="29">
        <f>VLOOKUP(C80,MOQ,3,FALSE())</f>
        <v>504.0</v>
      </c>
      <c r="BG80" s="30"/>
      <c r="BI80" s="1" t="e">
        <f t="shared" si="239"/>
        <v>#REF!</v>
      </c>
      <c r="BJ80" s="1">
        <f t="shared" ref="BJ80:BJ81" si="282">AS80+BJ8</f>
        <v>854.783664459161</v>
      </c>
      <c r="BL80" s="3" t="e">
        <f t="shared" si="242"/>
        <v>#REF!</v>
      </c>
      <c r="BM80" s="1">
        <f t="shared" ref="BM80:BM81" si="283">AT80+BM8</f>
        <v>547.32008830022</v>
      </c>
      <c r="BO80" s="3" t="e">
        <f t="shared" si="245"/>
        <v>#REF!</v>
      </c>
      <c r="BP80" s="1">
        <f t="shared" ref="BP80:BP81" si="284">AU80+BP8</f>
        <v>806.55408388521</v>
      </c>
      <c r="BQ80">
        <f t="shared" ref="BQ80:BQ84" si="285">BC80</f>
      </c>
      <c r="BR80" s="3" t="e">
        <f t="shared" si="247"/>
        <v>#REF!</v>
      </c>
      <c r="BS80" s="1">
        <f t="shared" ref="BS80:BS81" si="286">AV80+BS8</f>
        <v>642.994922737307</v>
      </c>
      <c r="BT80">
        <f t="shared" ref="BT80:BT84" si="287">BD80</f>
      </c>
      <c r="BU80" s="3" t="e">
        <f t="shared" si="249"/>
        <v>#REF!</v>
      </c>
      <c r="BV80" s="1">
        <f t="shared" ref="BV80:BV81" si="288">AW80+BV8</f>
        <v>611.435761589403</v>
      </c>
      <c r="BX80" s="3" t="e">
        <f t="shared" si="251"/>
        <v>#REF!</v>
      </c>
      <c r="BY80" s="1">
        <f t="shared" ref="BY80:BY81" si="289">AX80+BY8</f>
        <v>891.271523178808</v>
      </c>
      <c r="CA80" s="3" t="e">
        <f t="shared" si="253"/>
        <v>#REF!</v>
      </c>
      <c r="CB80" s="1">
        <f t="shared" ref="CB80:CB84" si="290">AY80+CB8</f>
        <v>914.025543992431</v>
      </c>
      <c r="CD80" s="3" t="e">
        <f t="shared" ref="CD80:CD84" si="291">CA80+CC80-CB80</f>
        <v>#REF!</v>
      </c>
      <c r="CE80" s="1">
        <f t="shared" ref="CE80:CE84" si="292">AZ80+CE8</f>
        <v>989.538315988646</v>
      </c>
      <c r="CG80" s="3" t="e">
        <f t="shared" ref="CG80:CG84" si="293">CD80+CF80-CE80</f>
        <v>#REF!</v>
      </c>
    </row>
    <row r="81" ht="14.0">
      <c r="A81" s="27" t="s">
        <v>28</v>
      </c>
      <c r="B81" s="27" t="s">
        <v>29</v>
      </c>
      <c r="C81" s="27" t="s">
        <v>33</v>
      </c>
      <c r="D81" s="27" t="s">
        <v>34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0.0</v>
      </c>
      <c r="AC81" s="27">
        <v>0.0</v>
      </c>
      <c r="AD81" s="27">
        <v>336.0</v>
      </c>
      <c r="AE81" s="27">
        <v>24.0</v>
      </c>
      <c r="AF81" s="27">
        <v>0.0</v>
      </c>
      <c r="AG81" s="27">
        <v>72.0</v>
      </c>
      <c r="AH81" s="27">
        <v>72.0</v>
      </c>
      <c r="AI81" s="27">
        <v>72.0</v>
      </c>
      <c r="AJ81" s="27">
        <v>0.0</v>
      </c>
      <c r="AK81" s="27">
        <v>216.0</v>
      </c>
      <c r="AL81" s="27">
        <v>78.0</v>
      </c>
      <c r="AM81" s="27">
        <v>0.0</v>
      </c>
      <c r="AN81" s="27">
        <v>72.0</v>
      </c>
      <c r="AO81" s="28">
        <f t="shared" si="225"/>
        <v>870.0</v>
      </c>
      <c r="AP81" s="28">
        <f t="shared" si="226"/>
        <v>438.0</v>
      </c>
      <c r="AQ81" s="28">
        <f t="shared" si="227"/>
        <v>481.8</v>
      </c>
      <c r="AS81" s="3">
        <f t="shared" si="228"/>
        <v>0.0</v>
      </c>
      <c r="AT81" s="3">
        <f t="shared" si="229"/>
        <v>0.0</v>
      </c>
      <c r="AU81" s="3">
        <f t="shared" si="230"/>
        <v>369.6</v>
      </c>
      <c r="AV81" s="3">
        <f t="shared" si="231"/>
        <v>26.4</v>
      </c>
      <c r="AW81" s="3">
        <f t="shared" si="232"/>
        <v>0.0</v>
      </c>
      <c r="AX81" s="179">
        <f t="shared" si="233"/>
        <v>79.2</v>
      </c>
      <c r="AY81" s="180">
        <f t="shared" si="277"/>
        <v>45.1904761904761</v>
      </c>
      <c r="AZ81" s="180">
        <f t="shared" si="278"/>
        <v>92.1190476190476</v>
      </c>
      <c r="BA81" s="28">
        <f t="shared" si="279"/>
        <v>612.509523809523</v>
      </c>
      <c r="BB81" s="2" t="e">
        <f t="shared" si="280"/>
        <v>#REF!</v>
      </c>
      <c r="BD81" s="36"/>
      <c r="BE81" s="28" t="e">
        <f t="shared" si="281"/>
        <v>#REF!</v>
      </c>
      <c r="BF81" s="29">
        <f>VLOOKUP(C81,MOQ,3,FALSE())</f>
        <v>504.0</v>
      </c>
      <c r="BG81" s="15"/>
      <c r="BI81" s="1" t="e">
        <f t="shared" si="239"/>
        <v>#REF!</v>
      </c>
      <c r="BJ81" s="1">
        <f t="shared" si="282"/>
        <v>337.4701986755</v>
      </c>
      <c r="BL81" s="3" t="e">
        <f t="shared" si="242"/>
        <v>#REF!</v>
      </c>
      <c r="BM81" s="1">
        <f t="shared" si="283"/>
        <v>163.192052980132</v>
      </c>
      <c r="BO81" s="3" t="e">
        <f t="shared" si="245"/>
        <v>#REF!</v>
      </c>
      <c r="BP81" s="1">
        <f t="shared" si="284"/>
        <v>679.73245033112</v>
      </c>
      <c r="BQ81" s="1">
        <f t="shared" si="285"/>
      </c>
      <c r="BR81" s="3" t="e">
        <f t="shared" si="247"/>
        <v>#REF!</v>
      </c>
      <c r="BS81" s="1">
        <f t="shared" si="286"/>
        <v>281.856953642384</v>
      </c>
      <c r="BT81" s="1">
        <f t="shared" si="287"/>
      </c>
      <c r="BU81" s="3" t="e">
        <f t="shared" si="249"/>
        <v>#REF!</v>
      </c>
      <c r="BV81" s="1">
        <f t="shared" si="288"/>
        <v>200.781456953642</v>
      </c>
      <c r="BX81" s="3" t="e">
        <f t="shared" si="251"/>
        <v>#REF!</v>
      </c>
      <c r="BY81" s="1">
        <f t="shared" si="289"/>
        <v>474.762913907284</v>
      </c>
      <c r="CA81" s="3" t="e">
        <f t="shared" si="253"/>
        <v>#REF!</v>
      </c>
      <c r="CB81" s="1">
        <f t="shared" si="290"/>
        <v>485.177231157363</v>
      </c>
      <c r="CD81" s="3" t="e">
        <f t="shared" si="291"/>
        <v>#REF!</v>
      </c>
      <c r="CE81" s="1">
        <f t="shared" si="292"/>
        <v>491.09918006938</v>
      </c>
      <c r="CG81" s="3" t="e">
        <f t="shared" si="293"/>
        <v>#REF!</v>
      </c>
    </row>
    <row r="82" ht="14.0">
      <c r="A82" s="40" t="s">
        <v>28</v>
      </c>
      <c r="B82" s="40" t="s">
        <v>29</v>
      </c>
      <c r="C82" s="40" t="s">
        <v>60</v>
      </c>
      <c r="D82" s="40" t="s">
        <v>61</v>
      </c>
      <c r="E82" s="34">
        <v>0.0</v>
      </c>
      <c r="F82" s="34">
        <v>0.0</v>
      </c>
      <c r="G82" s="34">
        <v>0.0</v>
      </c>
      <c r="H82" s="34">
        <v>0.0</v>
      </c>
      <c r="I82" s="34">
        <v>0.0</v>
      </c>
      <c r="J82" s="34">
        <v>0.0</v>
      </c>
      <c r="K82" s="34">
        <v>0.0</v>
      </c>
      <c r="L82" s="34">
        <v>0.0</v>
      </c>
      <c r="M82" s="34">
        <v>0.0</v>
      </c>
      <c r="N82" s="34">
        <v>0.0</v>
      </c>
      <c r="O82" s="34">
        <v>0.0</v>
      </c>
      <c r="P82" s="34">
        <v>0.0</v>
      </c>
      <c r="Q82" s="34">
        <v>0.0</v>
      </c>
      <c r="R82" s="34">
        <v>0.0</v>
      </c>
      <c r="S82" s="34">
        <v>0.0</v>
      </c>
      <c r="T82" s="34">
        <v>0.0</v>
      </c>
      <c r="U82" s="34">
        <v>0.0</v>
      </c>
      <c r="V82" s="34">
        <v>0.0</v>
      </c>
      <c r="W82" s="34">
        <v>0.0</v>
      </c>
      <c r="X82" s="34">
        <v>0.0</v>
      </c>
      <c r="Y82" s="34">
        <v>0.0</v>
      </c>
      <c r="Z82" s="34">
        <v>0.0</v>
      </c>
      <c r="AA82" s="34">
        <v>0.0</v>
      </c>
      <c r="AB82" s="34">
        <v>0.0</v>
      </c>
      <c r="AC82" s="34">
        <v>0.0</v>
      </c>
      <c r="AD82" s="34">
        <v>120.0</v>
      </c>
      <c r="AE82" s="34">
        <v>0.0</v>
      </c>
      <c r="AF82" s="34">
        <v>60.0</v>
      </c>
      <c r="AG82" s="34">
        <v>0.0</v>
      </c>
      <c r="AH82" s="34">
        <v>60.0</v>
      </c>
      <c r="AI82" s="34">
        <v>59.0</v>
      </c>
      <c r="AJ82" s="34">
        <v>0.0</v>
      </c>
      <c r="AK82" s="34">
        <v>-2.0</v>
      </c>
      <c r="AL82" s="34">
        <v>11.0</v>
      </c>
      <c r="AM82" s="34">
        <v>0.0</v>
      </c>
      <c r="AN82" s="34">
        <v>0.0</v>
      </c>
      <c r="AO82" s="35">
        <f t="shared" si="225"/>
        <v>308.0</v>
      </c>
      <c r="AP82" s="35">
        <f t="shared" si="226"/>
        <v>128.0</v>
      </c>
      <c r="AQ82" s="35">
        <f t="shared" si="227"/>
        <v>140.8</v>
      </c>
      <c r="AR82" s="36"/>
      <c r="AS82" s="181">
        <f>AB82*1.1+AS80</f>
        <v>264.0</v>
      </c>
      <c r="AT82" s="181">
        <f>AC82*1.1+AT80</f>
        <v>264.0</v>
      </c>
      <c r="AU82" s="182">
        <f>AD82*1.1+AU80+AU84</f>
        <v>607.2</v>
      </c>
      <c r="AV82" s="182">
        <f>AE82*1.1+AV80*0.5+AV84*0.5</f>
        <v>230.45</v>
      </c>
      <c r="AW82" s="182">
        <f t="shared" ref="AW82:AW83" si="298">AF82*1.1*1.2</f>
        <v>79.2</v>
      </c>
      <c r="AX82" s="182">
        <f t="shared" ref="AX82:AX83" si="299">AG82*1.1*1.2</f>
        <v>0.0</v>
      </c>
      <c r="AY82" s="180">
        <f t="shared" si="277"/>
        <v>13.2063492063492</v>
      </c>
      <c r="AZ82" s="180">
        <f t="shared" si="278"/>
        <v>26.9206349206349</v>
      </c>
      <c r="BA82" s="28">
        <f t="shared" si="279"/>
        <v>1484.97698412698</v>
      </c>
      <c r="BB82" s="33" t="e">
        <f t="shared" si="280"/>
        <v>#REF!</v>
      </c>
      <c r="BC82" s="1" t="e">
        <f t="shared" ref="BC82:BC83" si="300">VLOOKUP(C82,JULY,3,false)</f>
        <v>#REF!</v>
      </c>
      <c r="BD82" s="36" t="e">
        <f t="shared" ref="BD82:BD83" si="301">VLOOKUP(C82,AUGUST,3,false)</f>
        <v>#REF!</v>
      </c>
      <c r="BE82" s="28" t="e">
        <f>BB82+BC82+BD82-BA82-BA22</f>
        <v>#REF!</v>
      </c>
      <c r="BF82" s="37">
        <f>VLOOKUP(C82,MOQ,3,FALSE())</f>
        <v>3000.0</v>
      </c>
      <c r="BG82" s="177" t="e">
        <f>BE82*-1</f>
        <v>#REF!</v>
      </c>
      <c r="BH82" s="29" t="s">
        <v>77</v>
      </c>
      <c r="BI82" s="36" t="e">
        <f t="shared" si="239"/>
        <v>#REF!</v>
      </c>
      <c r="BJ82" s="36">
        <f>AS82+BJ22</f>
        <v>954.348785871964</v>
      </c>
      <c r="BK82" s="36"/>
      <c r="BL82" s="35" t="e">
        <f t="shared" si="242"/>
        <v>#REF!</v>
      </c>
      <c r="BM82" s="36">
        <f>AT82+BM22</f>
        <v>874.701986754966</v>
      </c>
      <c r="BN82" s="36"/>
      <c r="BO82" s="35" t="e">
        <f t="shared" si="245"/>
        <v>#REF!</v>
      </c>
      <c r="BP82" s="36">
        <f>AU82+BP22</f>
        <v>2483.16688741721</v>
      </c>
      <c r="BQ82" s="1" t="e">
        <f t="shared" si="285"/>
        <v>#REF!</v>
      </c>
      <c r="BR82" s="35" t="e">
        <f t="shared" si="247"/>
        <v>#REF!</v>
      </c>
      <c r="BS82" s="36">
        <f>AV82+BS22</f>
        <v>1153.14757174393</v>
      </c>
      <c r="BT82" s="1" t="e">
        <f t="shared" si="287"/>
        <v>#REF!</v>
      </c>
      <c r="BU82" s="35" t="e">
        <f t="shared" si="249"/>
        <v>#REF!</v>
      </c>
      <c r="BV82" s="36">
        <f>AW82+BV22</f>
        <v>642.882119205297</v>
      </c>
      <c r="BW82" s="36"/>
      <c r="BX82" s="35" t="e">
        <f t="shared" si="251"/>
        <v>#REF!</v>
      </c>
      <c r="BY82" s="36">
        <f>AX82+BY22</f>
        <v>1122.86423841059</v>
      </c>
      <c r="BZ82" s="36"/>
      <c r="CA82" s="35" t="e">
        <f t="shared" si="253"/>
        <v>#REF!</v>
      </c>
      <c r="CB82" s="1">
        <f t="shared" si="290"/>
        <v>13.2063492063492</v>
      </c>
      <c r="CD82" s="3" t="e">
        <f t="shared" si="291"/>
        <v>#REF!</v>
      </c>
      <c r="CE82" s="1">
        <f t="shared" si="292"/>
        <v>26.9206349206349</v>
      </c>
      <c r="CG82" s="3" t="e">
        <f t="shared" si="293"/>
        <v>#REF!</v>
      </c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AMI82" s="39"/>
      <c r="AMJ82" s="39"/>
      <c r="AMK82" s="39"/>
      <c r="AML82" s="39"/>
    </row>
    <row r="83" ht="14.0">
      <c r="A83" s="40" t="s">
        <v>28</v>
      </c>
      <c r="B83" s="40" t="s">
        <v>29</v>
      </c>
      <c r="C83" s="40" t="s">
        <v>65</v>
      </c>
      <c r="D83" s="40" t="s">
        <v>66</v>
      </c>
      <c r="E83" s="34">
        <v>0.0</v>
      </c>
      <c r="F83" s="34">
        <v>0.0</v>
      </c>
      <c r="G83" s="34">
        <v>0.0</v>
      </c>
      <c r="H83" s="34">
        <v>0.0</v>
      </c>
      <c r="I83" s="34">
        <v>0.0</v>
      </c>
      <c r="J83" s="34">
        <v>0.0</v>
      </c>
      <c r="K83" s="34">
        <v>0.0</v>
      </c>
      <c r="L83" s="34">
        <v>0.0</v>
      </c>
      <c r="M83" s="34">
        <v>0.0</v>
      </c>
      <c r="N83" s="34">
        <v>0.0</v>
      </c>
      <c r="O83" s="34">
        <v>0.0</v>
      </c>
      <c r="P83" s="34">
        <v>0.0</v>
      </c>
      <c r="Q83" s="34">
        <v>0.0</v>
      </c>
      <c r="R83" s="34">
        <v>0.0</v>
      </c>
      <c r="S83" s="34">
        <v>0.0</v>
      </c>
      <c r="T83" s="34">
        <v>0.0</v>
      </c>
      <c r="U83" s="34">
        <v>0.0</v>
      </c>
      <c r="V83" s="34">
        <v>0.0</v>
      </c>
      <c r="W83" s="34">
        <v>0.0</v>
      </c>
      <c r="X83" s="34">
        <v>0.0</v>
      </c>
      <c r="Y83" s="34">
        <v>0.0</v>
      </c>
      <c r="Z83" s="34">
        <v>0.0</v>
      </c>
      <c r="AA83" s="34">
        <v>0.0</v>
      </c>
      <c r="AB83" s="34">
        <v>0.0</v>
      </c>
      <c r="AC83" s="34">
        <v>0.0</v>
      </c>
      <c r="AD83" s="34">
        <v>120.0</v>
      </c>
      <c r="AE83" s="34">
        <v>0.0</v>
      </c>
      <c r="AF83" s="34">
        <v>0.0</v>
      </c>
      <c r="AG83" s="34">
        <v>0.0</v>
      </c>
      <c r="AH83" s="34">
        <v>0.0</v>
      </c>
      <c r="AI83" s="34">
        <v>0.0</v>
      </c>
      <c r="AJ83" s="34">
        <v>0.0</v>
      </c>
      <c r="AK83" s="34">
        <v>59.0</v>
      </c>
      <c r="AL83" s="34">
        <v>0.0</v>
      </c>
      <c r="AM83" s="34">
        <v>0.0</v>
      </c>
      <c r="AN83" s="34">
        <v>60.0</v>
      </c>
      <c r="AO83" s="35">
        <f t="shared" si="225"/>
        <v>179.0</v>
      </c>
      <c r="AP83" s="35">
        <f t="shared" si="226"/>
        <v>59.0</v>
      </c>
      <c r="AQ83" s="35">
        <f t="shared" si="227"/>
        <v>64.9</v>
      </c>
      <c r="AR83" s="36"/>
      <c r="AS83" s="181">
        <f t="shared" ref="AS83:AS100" si="310">AB83*1.1</f>
        <v>0.0</v>
      </c>
      <c r="AT83" s="181">
        <f t="shared" ref="AT83:AT100" si="311">AC83*1.1</f>
        <v>0.0</v>
      </c>
      <c r="AU83" s="181">
        <f t="shared" ref="AU83:AU100" si="312">AD83*1.1</f>
        <v>132.0</v>
      </c>
      <c r="AV83" s="182">
        <f>AE83*1.1*1.2</f>
        <v>0.0</v>
      </c>
      <c r="AW83" s="182">
        <f t="shared" si="298"/>
        <v>0.0</v>
      </c>
      <c r="AX83" s="182">
        <f t="shared" si="299"/>
        <v>0.0</v>
      </c>
      <c r="AY83" s="180">
        <f t="shared" si="277"/>
        <v>6.08730158730159</v>
      </c>
      <c r="AZ83" s="180">
        <f t="shared" si="278"/>
        <v>12.4087301587301</v>
      </c>
      <c r="BA83" s="28">
        <f t="shared" si="279"/>
        <v>150.496031746031</v>
      </c>
      <c r="BB83" s="2" t="e">
        <f t="shared" si="280"/>
        <v>#REF!</v>
      </c>
      <c r="BC83" s="1" t="e">
        <f t="shared" si="300"/>
        <v>#REF!</v>
      </c>
      <c r="BD83" s="36" t="e">
        <f t="shared" si="301"/>
        <v>#REF!</v>
      </c>
      <c r="BE83" s="28" t="e">
        <f>BB83+BC83+BD83-BA83-BA24</f>
        <v>#REF!</v>
      </c>
      <c r="BF83" s="37">
        <f>VLOOKUP(C83,MOQ,3,FALSE())</f>
        <v>3000.0</v>
      </c>
      <c r="BG83" s="177">
        <f>BF83</f>
        <v>3000.0</v>
      </c>
      <c r="BH83" s="29"/>
      <c r="BI83" s="36" t="e">
        <f t="shared" si="239"/>
        <v>#REF!</v>
      </c>
      <c r="BJ83" s="36">
        <f>AS83+BJ24</f>
        <v>719.710816777045</v>
      </c>
      <c r="BK83" s="36"/>
      <c r="BL83" s="35" t="e">
        <f t="shared" si="242"/>
        <v>#REF!</v>
      </c>
      <c r="BM83" s="36">
        <f>AT83+BM24</f>
        <v>342.23399558499</v>
      </c>
      <c r="BN83" s="36"/>
      <c r="BO83" s="35" t="e">
        <f t="shared" si="245"/>
        <v>#REF!</v>
      </c>
      <c r="BP83" s="36">
        <f>AU83+BP24</f>
        <v>1345.32229580573</v>
      </c>
      <c r="BQ83" s="1" t="e">
        <f t="shared" si="285"/>
        <v>#REF!</v>
      </c>
      <c r="BR83" s="35" t="e">
        <f t="shared" si="247"/>
        <v>#REF!</v>
      </c>
      <c r="BS83" s="36">
        <f>AV83+BS24</f>
        <v>468.631346578366</v>
      </c>
      <c r="BT83" s="1" t="e">
        <f t="shared" si="287"/>
        <v>#REF!</v>
      </c>
      <c r="BU83" s="35" t="e">
        <f t="shared" si="249"/>
        <v>#REF!</v>
      </c>
      <c r="BV83" s="36">
        <f>AW83+BV24</f>
        <v>336.423841059602</v>
      </c>
      <c r="BW83" s="36"/>
      <c r="BX83" s="35" t="e">
        <f t="shared" si="251"/>
        <v>#REF!</v>
      </c>
      <c r="BY83" s="36">
        <f>AX83+BY24</f>
        <v>671.347682119204</v>
      </c>
      <c r="BZ83" s="36"/>
      <c r="CA83" s="35" t="e">
        <f t="shared" si="253"/>
        <v>#REF!</v>
      </c>
      <c r="CB83" s="1">
        <f t="shared" si="290"/>
        <v>6.08730158730159</v>
      </c>
      <c r="CD83" s="3" t="e">
        <f t="shared" si="291"/>
        <v>#REF!</v>
      </c>
      <c r="CE83" s="1">
        <f t="shared" si="292"/>
        <v>12.4087301587301</v>
      </c>
      <c r="CG83" s="3" t="e">
        <f t="shared" si="293"/>
        <v>#REF!</v>
      </c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AMI83" s="39"/>
      <c r="AMJ83" s="39"/>
      <c r="AMK83" s="39"/>
      <c r="AML83" s="39"/>
    </row>
    <row r="84" ht="14.0">
      <c r="A84" s="27" t="s">
        <v>28</v>
      </c>
      <c r="B84" s="27" t="s">
        <v>29</v>
      </c>
      <c r="C84" s="27" t="s">
        <v>69</v>
      </c>
      <c r="D84" s="27" t="s">
        <v>70</v>
      </c>
      <c r="E84" s="27">
        <v>336.0</v>
      </c>
      <c r="F84" s="27">
        <v>92.0</v>
      </c>
      <c r="G84" s="27">
        <v>144.0</v>
      </c>
      <c r="H84" s="27">
        <v>240.0</v>
      </c>
      <c r="I84" s="27">
        <v>240.0</v>
      </c>
      <c r="J84" s="27">
        <v>96.0</v>
      </c>
      <c r="K84" s="27">
        <v>192.0</v>
      </c>
      <c r="L84" s="27">
        <v>768.0</v>
      </c>
      <c r="M84" s="27">
        <v>143.0</v>
      </c>
      <c r="N84" s="27">
        <v>144.0</v>
      </c>
      <c r="O84" s="27">
        <v>144.0</v>
      </c>
      <c r="P84" s="27">
        <v>286.0</v>
      </c>
      <c r="Q84" s="27">
        <v>288.0</v>
      </c>
      <c r="R84" s="27">
        <v>144.0</v>
      </c>
      <c r="S84" s="27">
        <v>192.0</v>
      </c>
      <c r="T84" s="27">
        <v>240.0</v>
      </c>
      <c r="U84" s="27">
        <v>240.0</v>
      </c>
      <c r="V84" s="27">
        <v>192.0</v>
      </c>
      <c r="W84" s="27">
        <v>144.0</v>
      </c>
      <c r="X84" s="27">
        <v>278.0</v>
      </c>
      <c r="Y84" s="27">
        <v>528.0</v>
      </c>
      <c r="Z84" s="27">
        <v>0.0</v>
      </c>
      <c r="AA84" s="27">
        <v>336.0</v>
      </c>
      <c r="AB84" s="27">
        <v>96.0</v>
      </c>
      <c r="AC84" s="27">
        <v>192.0</v>
      </c>
      <c r="AD84" s="27">
        <v>192.0</v>
      </c>
      <c r="AE84" s="27">
        <v>240.0</v>
      </c>
      <c r="AF84" s="27">
        <v>87.0</v>
      </c>
      <c r="AG84" s="27">
        <v>192.0</v>
      </c>
      <c r="AH84" s="27">
        <v>96.0</v>
      </c>
      <c r="AI84" s="27">
        <v>191.0</v>
      </c>
      <c r="AJ84" s="27">
        <v>144.0</v>
      </c>
      <c r="AK84" s="27">
        <v>575.0</v>
      </c>
      <c r="AL84" s="27">
        <v>48.0</v>
      </c>
      <c r="AM84" s="27">
        <v>96.0</v>
      </c>
      <c r="AN84" s="27">
        <v>144.0</v>
      </c>
      <c r="AO84" s="28">
        <f t="shared" si="225"/>
        <v>2485.0</v>
      </c>
      <c r="AP84" s="28">
        <f t="shared" si="226"/>
        <v>1150.0</v>
      </c>
      <c r="AQ84" s="28">
        <f t="shared" si="227"/>
        <v>1265.0</v>
      </c>
      <c r="AS84" s="3">
        <f t="shared" si="310"/>
        <v>105.6</v>
      </c>
      <c r="AT84" s="3">
        <f t="shared" si="311"/>
        <v>211.2</v>
      </c>
      <c r="AU84" s="179">
        <f t="shared" si="312"/>
        <v>211.2</v>
      </c>
      <c r="AV84" s="179">
        <f t="shared" ref="AV84:AV100" si="322">AE84*1.1</f>
        <v>264.0</v>
      </c>
      <c r="AW84" s="179">
        <f t="shared" ref="AW84:AW100" si="323">AF84*1.1</f>
        <v>95.7</v>
      </c>
      <c r="AX84" s="179">
        <f t="shared" ref="AX84:AX100" si="324">AG84*1.1</f>
        <v>211.2</v>
      </c>
      <c r="AY84" s="180">
        <f t="shared" si="277"/>
        <v>118.650793650793</v>
      </c>
      <c r="AZ84" s="180">
        <f t="shared" si="278"/>
        <v>241.865079365079</v>
      </c>
      <c r="BA84" s="28">
        <f t="shared" si="279"/>
        <v>1459.41587301587</v>
      </c>
      <c r="BB84" s="2" t="e">
        <f t="shared" si="280"/>
        <v>#REF!</v>
      </c>
      <c r="BD84" s="36"/>
      <c r="BE84" s="28" t="e">
        <f>BB84+BC84+BD84-BA84-BA26</f>
        <v>#REF!</v>
      </c>
      <c r="BF84" s="29">
        <f>VLOOKUP(C84,MOQ,3,FALSE())</f>
        <v>1620.0</v>
      </c>
      <c r="BG84" s="30"/>
      <c r="BI84" s="1" t="e">
        <f t="shared" si="239"/>
        <v>#REF!</v>
      </c>
      <c r="BJ84" s="1">
        <f>AS84+BJ26</f>
        <v>576.520529801324</v>
      </c>
      <c r="BL84" s="3" t="e">
        <f t="shared" si="242"/>
        <v>#REF!</v>
      </c>
      <c r="BM84" s="1">
        <f>AT84+BM26</f>
        <v>436.37880794702</v>
      </c>
      <c r="BO84" s="3" t="e">
        <f t="shared" si="245"/>
        <v>#REF!</v>
      </c>
      <c r="BP84" s="1">
        <f>AU84+BP26</f>
        <v>649.219867549669</v>
      </c>
      <c r="BQ84" s="1">
        <f t="shared" si="285"/>
      </c>
      <c r="BR84" s="3" t="e">
        <f t="shared" si="247"/>
        <v>#REF!</v>
      </c>
      <c r="BS84" s="1">
        <f>AV84+BS26</f>
        <v>624.21854304636</v>
      </c>
      <c r="BT84" s="1">
        <f t="shared" si="287"/>
      </c>
      <c r="BU84" s="3" t="e">
        <f t="shared" si="249"/>
        <v>#REF!</v>
      </c>
      <c r="BV84" s="1">
        <f>AW84+BV26</f>
        <v>378.117218543046</v>
      </c>
      <c r="BX84" s="3" t="e">
        <f t="shared" si="251"/>
        <v>#REF!</v>
      </c>
      <c r="BY84" s="1">
        <f>AX84+BY26</f>
        <v>764.034437086091</v>
      </c>
      <c r="CA84" s="3" t="e">
        <f t="shared" si="253"/>
        <v>#REF!</v>
      </c>
      <c r="CB84" s="1">
        <f t="shared" si="290"/>
        <v>118.650793650793</v>
      </c>
      <c r="CD84" s="3" t="e">
        <f t="shared" si="291"/>
        <v>#REF!</v>
      </c>
      <c r="CE84" s="1">
        <f t="shared" si="292"/>
        <v>241.865079365079</v>
      </c>
      <c r="CG84" s="3" t="e">
        <f t="shared" si="293"/>
        <v>#REF!</v>
      </c>
    </row>
    <row r="85" ht="14.0" outlineLevel="1">
      <c r="A85" s="27" t="s">
        <v>28</v>
      </c>
      <c r="B85" s="27" t="s">
        <v>29</v>
      </c>
      <c r="C85" s="27" t="s">
        <v>80</v>
      </c>
      <c r="D85" s="27" t="s">
        <v>81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0.0</v>
      </c>
      <c r="AC85" s="27">
        <v>0.0</v>
      </c>
      <c r="AD85" s="27">
        <v>360.0</v>
      </c>
      <c r="AE85" s="27">
        <v>0.0</v>
      </c>
      <c r="AF85" s="27">
        <v>60.0</v>
      </c>
      <c r="AG85" s="27">
        <v>60.0</v>
      </c>
      <c r="AH85" s="27">
        <v>60.0</v>
      </c>
      <c r="AI85" s="27">
        <v>120.0</v>
      </c>
      <c r="AJ85" s="27">
        <v>60.0</v>
      </c>
      <c r="AK85" s="27">
        <v>180.0</v>
      </c>
      <c r="AL85" s="27">
        <v>120.0</v>
      </c>
      <c r="AM85" s="27">
        <v>60.0</v>
      </c>
      <c r="AN85" s="27">
        <v>120.0</v>
      </c>
      <c r="AO85" s="28">
        <f t="shared" si="225"/>
        <v>1080.0</v>
      </c>
      <c r="AP85" s="28">
        <f t="shared" si="226"/>
        <v>600.0</v>
      </c>
      <c r="AQ85" s="28">
        <f t="shared" si="227"/>
        <v>660.0</v>
      </c>
      <c r="AS85" s="3">
        <f t="shared" si="310"/>
        <v>0.0</v>
      </c>
      <c r="AT85" s="3">
        <f t="shared" si="311"/>
        <v>0.0</v>
      </c>
      <c r="AU85" s="3">
        <f t="shared" si="312"/>
        <v>396.0</v>
      </c>
      <c r="AV85" s="3">
        <f t="shared" si="322"/>
        <v>0.0</v>
      </c>
      <c r="AW85" s="3">
        <f t="shared" si="323"/>
        <v>66.0</v>
      </c>
      <c r="AX85" s="3">
        <f t="shared" si="324"/>
        <v>66.0</v>
      </c>
      <c r="AY85" s="28"/>
      <c r="AZ85" s="28"/>
      <c r="BA85" s="28">
        <f t="shared" ref="BA85:BA100" si="332">SUM(AS85:AX85)</f>
        <v>528.0</v>
      </c>
      <c r="BB85" s="2" t="e">
        <f t="shared" ref="BB85:BB100" si="333">VLOOKUP(D85,MAY1,3,false)</f>
        <v>#REF!</v>
      </c>
      <c r="BD85" s="36"/>
      <c r="BE85" s="3" t="e">
        <f>BB85+BC85+BD85-BA85-BA31</f>
        <v>#REF!</v>
      </c>
      <c r="BF85" s="1">
        <f>VLOOKUP(C85,MOQ,3,FALSE())</f>
        <v>3000.0</v>
      </c>
      <c r="BI85" s="1" t="e">
        <f t="shared" si="239"/>
        <v>#REF!</v>
      </c>
      <c r="BJ85" s="1">
        <f>AS85+BJ31</f>
        <v>723.172185430463</v>
      </c>
      <c r="BK85" s="1">
        <f t="shared" ref="BK85:BK100" si="336">BC85</f>
      </c>
      <c r="BL85" s="3" t="e">
        <f t="shared" si="242"/>
        <v>#REF!</v>
      </c>
      <c r="BM85" s="1">
        <f>AT85+BM31</f>
        <v>339.11258278146</v>
      </c>
      <c r="BN85" s="1">
        <f t="shared" ref="BN85:BN100" si="338">BD85</f>
      </c>
      <c r="BO85" s="3" t="e">
        <f t="shared" si="245"/>
        <v>#REF!</v>
      </c>
      <c r="BP85" s="1">
        <f>AU85+BP31</f>
        <v>1054.45695364238</v>
      </c>
      <c r="BR85" s="3" t="e">
        <f t="shared" si="247"/>
        <v>#REF!</v>
      </c>
      <c r="BS85" s="1">
        <f>AV85+BS31</f>
        <v>541.026490066225</v>
      </c>
      <c r="BU85" s="3" t="e">
        <f t="shared" si="249"/>
        <v>#REF!</v>
      </c>
      <c r="BV85" s="1">
        <f>AW85+BV31</f>
        <v>489.596026490066</v>
      </c>
      <c r="BX85" s="3" t="e">
        <f t="shared" si="251"/>
        <v>#REF!</v>
      </c>
      <c r="BY85" s="1">
        <f>AX85+BY31</f>
        <v>913.192052980132</v>
      </c>
      <c r="CA85" s="3" t="e">
        <f t="shared" si="253"/>
        <v>#REF!</v>
      </c>
    </row>
    <row r="86" ht="14.0" outlineLevel="1">
      <c r="A86" s="27" t="s">
        <v>28</v>
      </c>
      <c r="B86" s="27" t="s">
        <v>29</v>
      </c>
      <c r="C86" s="27" t="s">
        <v>86</v>
      </c>
      <c r="D86" s="27" t="s">
        <v>87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324.0</v>
      </c>
      <c r="AE86" s="27">
        <v>0.0</v>
      </c>
      <c r="AF86" s="27">
        <v>60.0</v>
      </c>
      <c r="AG86" s="27">
        <v>60.0</v>
      </c>
      <c r="AH86" s="27">
        <v>60.0</v>
      </c>
      <c r="AI86" s="27">
        <v>60.0</v>
      </c>
      <c r="AJ86" s="27">
        <v>60.0</v>
      </c>
      <c r="AK86" s="27">
        <v>240.0</v>
      </c>
      <c r="AL86" s="27">
        <v>60.0</v>
      </c>
      <c r="AM86" s="27">
        <v>60.0</v>
      </c>
      <c r="AN86" s="27">
        <v>60.0</v>
      </c>
      <c r="AO86" s="28">
        <f t="shared" si="225"/>
        <v>984.0</v>
      </c>
      <c r="AP86" s="28">
        <f t="shared" si="226"/>
        <v>540.0</v>
      </c>
      <c r="AQ86" s="28">
        <f t="shared" si="227"/>
        <v>594.0</v>
      </c>
      <c r="AS86" s="3">
        <f t="shared" si="310"/>
        <v>0.0</v>
      </c>
      <c r="AT86" s="3">
        <f t="shared" si="311"/>
        <v>0.0</v>
      </c>
      <c r="AU86" s="3">
        <f t="shared" si="312"/>
        <v>356.4</v>
      </c>
      <c r="AV86" s="3">
        <f t="shared" si="322"/>
        <v>0.0</v>
      </c>
      <c r="AW86" s="3">
        <f t="shared" si="323"/>
        <v>66.0</v>
      </c>
      <c r="AX86" s="3">
        <f t="shared" si="324"/>
        <v>66.0</v>
      </c>
      <c r="AY86" s="28"/>
      <c r="AZ86" s="28"/>
      <c r="BA86" s="28">
        <f t="shared" si="332"/>
        <v>488.4</v>
      </c>
      <c r="BB86" s="2" t="e">
        <f t="shared" si="333"/>
        <v>#REF!</v>
      </c>
      <c r="BE86" s="3" t="e">
        <f t="shared" ref="BE86:BE87" si="343">BB86+BC86+BD86-BA86-BA34</f>
        <v>#REF!</v>
      </c>
      <c r="BF86" s="1">
        <f>VLOOKUP(C86,MOQ,3,FALSE())</f>
        <v>3000.0</v>
      </c>
      <c r="BI86" s="1" t="e">
        <f t="shared" si="239"/>
        <v>#REF!</v>
      </c>
      <c r="BJ86" s="1">
        <f t="shared" ref="BJ86:BJ87" si="344">AS86+BJ34</f>
        <v>584.386313465783</v>
      </c>
      <c r="BK86" s="1">
        <f t="shared" si="336"/>
      </c>
      <c r="BL86" s="3" t="e">
        <f t="shared" si="242"/>
        <v>#REF!</v>
      </c>
      <c r="BM86" s="1">
        <f t="shared" ref="BM86:BM87" si="345">AT86+BM34</f>
        <v>275.21412803532</v>
      </c>
      <c r="BN86" s="1">
        <f t="shared" si="338"/>
      </c>
      <c r="BO86" s="3" t="e">
        <f t="shared" si="245"/>
        <v>#REF!</v>
      </c>
      <c r="BP86" s="1">
        <f t="shared" ref="BP86:BP87" si="346">AU86+BP34</f>
        <v>890.053421633554</v>
      </c>
      <c r="BR86" s="3" t="e">
        <f t="shared" si="247"/>
        <v>#REF!</v>
      </c>
      <c r="BS86" s="1">
        <f t="shared" ref="BS86:BS87" si="347">AV86+BS34</f>
        <v>438.187637969094</v>
      </c>
      <c r="BU86" s="3" t="e">
        <f t="shared" si="249"/>
        <v>#REF!</v>
      </c>
      <c r="BV86" s="1">
        <f t="shared" ref="BV86:BV87" si="348">AW86+BV34</f>
        <v>408.721854304636</v>
      </c>
      <c r="BX86" s="3" t="e">
        <f t="shared" si="251"/>
        <v>#REF!</v>
      </c>
      <c r="BY86" s="1">
        <f t="shared" ref="BY86:BY87" si="349">AX86+BY34</f>
        <v>751.443708609271</v>
      </c>
      <c r="CA86" s="3" t="e">
        <f t="shared" si="253"/>
        <v>#REF!</v>
      </c>
    </row>
    <row r="87" ht="14.0" outlineLevel="1">
      <c r="A87" s="27" t="s">
        <v>28</v>
      </c>
      <c r="B87" s="27" t="s">
        <v>29</v>
      </c>
      <c r="C87" s="27" t="s">
        <v>88</v>
      </c>
      <c r="D87" s="27" t="s">
        <v>89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324.0</v>
      </c>
      <c r="AE87" s="27">
        <v>0.0</v>
      </c>
      <c r="AF87" s="27">
        <v>0.0</v>
      </c>
      <c r="AG87" s="27">
        <v>0.0</v>
      </c>
      <c r="AH87" s="27">
        <v>60.0</v>
      </c>
      <c r="AI87" s="27">
        <v>120.0</v>
      </c>
      <c r="AJ87" s="27">
        <v>60.0</v>
      </c>
      <c r="AK87" s="27">
        <v>120.0</v>
      </c>
      <c r="AL87" s="27">
        <v>60.0</v>
      </c>
      <c r="AM87" s="27">
        <v>66.0</v>
      </c>
      <c r="AN87" s="27">
        <v>60.0</v>
      </c>
      <c r="AO87" s="28">
        <f t="shared" si="225"/>
        <v>810.0</v>
      </c>
      <c r="AP87" s="28">
        <f t="shared" si="226"/>
        <v>486.0</v>
      </c>
      <c r="AQ87" s="28">
        <f t="shared" si="227"/>
        <v>534.6</v>
      </c>
      <c r="AS87" s="3">
        <f t="shared" si="310"/>
        <v>0.0</v>
      </c>
      <c r="AT87" s="3">
        <f t="shared" si="311"/>
        <v>0.0</v>
      </c>
      <c r="AU87" s="3">
        <f t="shared" si="312"/>
        <v>356.4</v>
      </c>
      <c r="AV87" s="3">
        <f t="shared" si="322"/>
        <v>0.0</v>
      </c>
      <c r="AW87" s="3">
        <f t="shared" si="323"/>
        <v>0.0</v>
      </c>
      <c r="AX87" s="3">
        <f t="shared" si="324"/>
        <v>0.0</v>
      </c>
      <c r="AY87" s="28"/>
      <c r="AZ87" s="28"/>
      <c r="BA87" s="28">
        <f t="shared" si="332"/>
        <v>356.4</v>
      </c>
      <c r="BB87" s="2" t="e">
        <f t="shared" si="333"/>
        <v>#REF!</v>
      </c>
      <c r="BE87" s="3" t="e">
        <f t="shared" si="343"/>
        <v>#REF!</v>
      </c>
      <c r="BF87" s="1">
        <f>VLOOKUP(C87,MOQ,3,FALSE())</f>
        <v>3000.0</v>
      </c>
      <c r="BI87" s="1" t="e">
        <f t="shared" si="239"/>
        <v>#REF!</v>
      </c>
      <c r="BJ87" s="1">
        <f t="shared" si="344"/>
        <v>468.757174392936</v>
      </c>
      <c r="BK87" s="1">
        <f t="shared" si="336"/>
      </c>
      <c r="BL87" s="3" t="e">
        <f t="shared" si="242"/>
        <v>#REF!</v>
      </c>
      <c r="BM87" s="1">
        <f t="shared" si="345"/>
        <v>220.379690949227</v>
      </c>
      <c r="BN87" s="1">
        <f t="shared" si="338"/>
      </c>
      <c r="BO87" s="3" t="e">
        <f t="shared" si="245"/>
        <v>#REF!</v>
      </c>
      <c r="BP87" s="1">
        <f t="shared" si="346"/>
        <v>783.960706401766</v>
      </c>
      <c r="BR87" s="3" t="e">
        <f t="shared" si="247"/>
        <v>#REF!</v>
      </c>
      <c r="BS87" s="1">
        <f t="shared" si="347"/>
        <v>351.167770419426</v>
      </c>
      <c r="BU87" s="3" t="e">
        <f t="shared" si="249"/>
        <v>#REF!</v>
      </c>
      <c r="BV87" s="1">
        <f t="shared" si="348"/>
        <v>274.774834437086</v>
      </c>
      <c r="BX87" s="3" t="e">
        <f t="shared" si="251"/>
        <v>#REF!</v>
      </c>
      <c r="BY87" s="1">
        <f t="shared" si="349"/>
        <v>549.549668874172</v>
      </c>
      <c r="CA87" s="3" t="e">
        <f t="shared" si="253"/>
        <v>#REF!</v>
      </c>
    </row>
    <row r="88" ht="14.0" outlineLevel="1">
      <c r="A88" s="27" t="s">
        <v>28</v>
      </c>
      <c r="B88" s="27" t="s">
        <v>29</v>
      </c>
      <c r="C88" s="27" t="s">
        <v>94</v>
      </c>
      <c r="D88" s="27" t="s">
        <v>95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36.0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0.0</v>
      </c>
      <c r="AK88" s="27">
        <v>120.0</v>
      </c>
      <c r="AL88" s="27">
        <v>0.0</v>
      </c>
      <c r="AM88" s="27">
        <v>0.0</v>
      </c>
      <c r="AN88" s="27">
        <v>0.0</v>
      </c>
      <c r="AO88" s="28">
        <f t="shared" si="225"/>
        <v>156.0</v>
      </c>
      <c r="AP88" s="28">
        <f t="shared" si="226"/>
        <v>120.0</v>
      </c>
      <c r="AQ88" s="28">
        <f t="shared" si="227"/>
        <v>132.0</v>
      </c>
      <c r="AS88" s="3">
        <f t="shared" si="310"/>
        <v>0.0</v>
      </c>
      <c r="AT88" s="3">
        <f t="shared" si="311"/>
        <v>0.0</v>
      </c>
      <c r="AU88" s="3">
        <f t="shared" si="312"/>
        <v>39.6</v>
      </c>
      <c r="AV88" s="3">
        <f t="shared" si="322"/>
        <v>0.0</v>
      </c>
      <c r="AW88" s="3">
        <f t="shared" si="323"/>
        <v>0.0</v>
      </c>
      <c r="AX88" s="3">
        <f t="shared" si="324"/>
        <v>0.0</v>
      </c>
      <c r="AY88" s="28"/>
      <c r="AZ88" s="28"/>
      <c r="BA88" s="28">
        <f t="shared" si="332"/>
        <v>39.6</v>
      </c>
      <c r="BB88" s="2" t="e">
        <f t="shared" si="333"/>
        <v>#REF!</v>
      </c>
      <c r="BD88" s="1" t="e">
        <f>VLOOKUP(C88,CHINAJUNE,3,false)</f>
        <v>#REF!</v>
      </c>
      <c r="BE88" s="3" t="e">
        <f>BB88+BC88+BD88-BA88-BA38</f>
        <v>#REF!</v>
      </c>
      <c r="BF88" s="1">
        <f>VLOOKUP(C88,MOQ,3,FALSE())</f>
        <v>480.0</v>
      </c>
      <c r="BI88" s="1" t="e">
        <f t="shared" si="239"/>
        <v>#REF!</v>
      </c>
      <c r="BJ88" s="1">
        <f>AS88+BJ38</f>
        <v>208.774834437086</v>
      </c>
      <c r="BK88" s="1">
        <f t="shared" si="336"/>
      </c>
      <c r="BL88" s="3" t="e">
        <f t="shared" si="242"/>
        <v>#REF!</v>
      </c>
      <c r="BM88" s="1">
        <f>AT88+BM38</f>
        <v>99.0066225165562</v>
      </c>
      <c r="BN88" s="1" t="e">
        <f t="shared" si="338"/>
        <v>#REF!</v>
      </c>
      <c r="BO88" s="3" t="e">
        <f t="shared" si="245"/>
        <v>#REF!</v>
      </c>
      <c r="BP88" s="1">
        <f>AU88+BP38</f>
        <v>231.156291390728</v>
      </c>
      <c r="BR88" s="3" t="e">
        <f t="shared" si="247"/>
        <v>#REF!</v>
      </c>
      <c r="BS88" s="1">
        <f>AV88+BS38</f>
        <v>157.119205298013</v>
      </c>
      <c r="BU88" s="3" t="e">
        <f t="shared" si="249"/>
        <v>#REF!</v>
      </c>
      <c r="BV88" s="1">
        <f>AW88+BV38</f>
        <v>122.682119205298</v>
      </c>
      <c r="BX88" s="3" t="e">
        <f t="shared" si="251"/>
        <v>#REF!</v>
      </c>
      <c r="BY88" s="1">
        <f>AX88+BY38</f>
        <v>245.364238410596</v>
      </c>
      <c r="CA88" s="3" t="e">
        <f t="shared" si="253"/>
        <v>#REF!</v>
      </c>
    </row>
    <row r="89" ht="14.0" outlineLevel="1">
      <c r="A89" s="27" t="s">
        <v>150</v>
      </c>
      <c r="B89" s="27" t="s">
        <v>151</v>
      </c>
      <c r="C89" s="27" t="s">
        <v>152</v>
      </c>
      <c r="D89" s="27" t="s">
        <v>153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400.0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0.0</v>
      </c>
      <c r="AE89" s="27">
        <v>0.0</v>
      </c>
      <c r="AF89" s="27">
        <v>0.0</v>
      </c>
      <c r="AG89" s="27">
        <v>0.0</v>
      </c>
      <c r="AH89" s="27">
        <v>0.0</v>
      </c>
      <c r="AI89" s="27">
        <v>0.0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8">
        <f t="shared" si="225"/>
        <v>0.0</v>
      </c>
      <c r="AP89" s="28">
        <f t="shared" si="226"/>
        <v>0.0</v>
      </c>
      <c r="AQ89" s="28">
        <f t="shared" si="227"/>
        <v>0.0</v>
      </c>
      <c r="AS89" s="3">
        <f t="shared" si="310"/>
        <v>0.0</v>
      </c>
      <c r="AT89" s="3">
        <f t="shared" si="311"/>
        <v>0.0</v>
      </c>
      <c r="AU89" s="3">
        <f t="shared" si="312"/>
        <v>0.0</v>
      </c>
      <c r="AV89" s="3">
        <f t="shared" si="322"/>
        <v>0.0</v>
      </c>
      <c r="AW89" s="3">
        <f t="shared" si="323"/>
        <v>0.0</v>
      </c>
      <c r="AX89" s="3">
        <f t="shared" si="324"/>
        <v>0.0</v>
      </c>
      <c r="AY89" s="28"/>
      <c r="AZ89" s="28"/>
      <c r="BA89" s="28">
        <f t="shared" si="332"/>
        <v>0.0</v>
      </c>
      <c r="BB89" s="2" t="e">
        <f t="shared" si="333"/>
        <v>#REF!</v>
      </c>
      <c r="BE89" s="3" t="e">
        <f t="shared" ref="BE89:BE100" si="358">BB89+BC89+BD89-BA89</f>
        <v>#REF!</v>
      </c>
      <c r="BF89" s="1">
        <f>VLOOKUP(C89,MOQ,3,FALSE())</f>
        <v>1000.0</v>
      </c>
      <c r="BI89" s="1" t="e">
        <f t="shared" si="239"/>
        <v>#REF!</v>
      </c>
      <c r="BJ89" s="1">
        <f t="shared" ref="BJ89:BJ100" si="359">AS89</f>
        <v>0.0</v>
      </c>
      <c r="BK89" s="1">
        <f t="shared" si="336"/>
      </c>
      <c r="BL89" s="3" t="e">
        <f t="shared" si="242"/>
        <v>#REF!</v>
      </c>
      <c r="BM89" s="1">
        <f t="shared" ref="BM89:BM100" si="360">AT89</f>
        <v>0.0</v>
      </c>
      <c r="BN89" s="1">
        <f t="shared" si="338"/>
      </c>
      <c r="BO89" s="3" t="e">
        <f t="shared" si="245"/>
        <v>#REF!</v>
      </c>
      <c r="BP89" s="1">
        <f t="shared" ref="BP89:BP100" si="361">AU89</f>
        <v>0.0</v>
      </c>
      <c r="BR89" s="3" t="e">
        <f t="shared" si="247"/>
        <v>#REF!</v>
      </c>
      <c r="BS89" s="1">
        <f t="shared" ref="BS89:BS100" si="362">AV89</f>
        <v>0.0</v>
      </c>
      <c r="BU89" s="3" t="e">
        <f t="shared" si="249"/>
        <v>#REF!</v>
      </c>
      <c r="BV89" s="1">
        <f t="shared" ref="BV89:BV100" si="363">AW89</f>
        <v>0.0</v>
      </c>
      <c r="BX89" s="3" t="e">
        <f t="shared" si="251"/>
        <v>#REF!</v>
      </c>
      <c r="BY89" s="1">
        <f t="shared" ref="BY89:BY100" si="364">AX89</f>
        <v>0.0</v>
      </c>
      <c r="CA89" s="3" t="e">
        <f t="shared" si="253"/>
        <v>#REF!</v>
      </c>
    </row>
    <row r="90" ht="14.0" outlineLevel="1">
      <c r="A90" s="27" t="s">
        <v>45</v>
      </c>
      <c r="B90" s="27" t="s">
        <v>151</v>
      </c>
      <c r="C90" s="27" t="s">
        <v>154</v>
      </c>
      <c r="D90" s="27" t="s">
        <v>155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192.0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8">
        <f t="shared" si="225"/>
        <v>0.0</v>
      </c>
      <c r="AP90" s="28">
        <f t="shared" si="226"/>
        <v>0.0</v>
      </c>
      <c r="AQ90" s="28">
        <f t="shared" si="227"/>
        <v>0.0</v>
      </c>
      <c r="AS90" s="3">
        <f t="shared" si="310"/>
        <v>0.0</v>
      </c>
      <c r="AT90" s="3">
        <f t="shared" si="311"/>
        <v>0.0</v>
      </c>
      <c r="AU90" s="3">
        <f t="shared" si="312"/>
        <v>0.0</v>
      </c>
      <c r="AV90" s="3">
        <f t="shared" si="322"/>
        <v>0.0</v>
      </c>
      <c r="AW90" s="3">
        <f t="shared" si="323"/>
        <v>0.0</v>
      </c>
      <c r="AX90" s="3">
        <f t="shared" si="324"/>
        <v>0.0</v>
      </c>
      <c r="AY90" s="28"/>
      <c r="AZ90" s="28"/>
      <c r="BA90" s="28">
        <f t="shared" si="332"/>
        <v>0.0</v>
      </c>
      <c r="BB90" s="2" t="e">
        <f t="shared" si="333"/>
        <v>#REF!</v>
      </c>
      <c r="BE90" s="3" t="e">
        <f t="shared" si="358"/>
        <v>#REF!</v>
      </c>
      <c r="BF90" s="1">
        <f>VLOOKUP(C90,MOQ,3,FALSE())</f>
        <v>1008.0</v>
      </c>
      <c r="BG90" s="31"/>
      <c r="BI90" s="1" t="e">
        <f t="shared" si="239"/>
        <v>#REF!</v>
      </c>
      <c r="BJ90" s="1">
        <f t="shared" si="359"/>
        <v>0.0</v>
      </c>
      <c r="BK90" s="1">
        <f t="shared" si="336"/>
      </c>
      <c r="BL90" s="3" t="e">
        <f t="shared" si="242"/>
        <v>#REF!</v>
      </c>
      <c r="BM90" s="1">
        <f t="shared" si="360"/>
        <v>0.0</v>
      </c>
      <c r="BN90" s="1">
        <f t="shared" si="338"/>
      </c>
      <c r="BO90" s="3" t="e">
        <f t="shared" si="245"/>
        <v>#REF!</v>
      </c>
      <c r="BP90" s="1">
        <f t="shared" si="361"/>
        <v>0.0</v>
      </c>
      <c r="BR90" s="3" t="e">
        <f t="shared" si="247"/>
        <v>#REF!</v>
      </c>
      <c r="BS90" s="1">
        <f t="shared" si="362"/>
        <v>0.0</v>
      </c>
      <c r="BU90" s="3" t="e">
        <f t="shared" si="249"/>
        <v>#REF!</v>
      </c>
      <c r="BV90" s="1">
        <f t="shared" si="363"/>
        <v>0.0</v>
      </c>
      <c r="BX90" s="3" t="e">
        <f t="shared" si="251"/>
        <v>#REF!</v>
      </c>
      <c r="BY90" s="1">
        <f t="shared" si="364"/>
        <v>0.0</v>
      </c>
      <c r="CA90" s="3" t="e">
        <f t="shared" si="253"/>
        <v>#REF!</v>
      </c>
    </row>
    <row r="91" ht="14.0" outlineLevel="1">
      <c r="A91" s="27" t="s">
        <v>45</v>
      </c>
      <c r="B91" s="27" t="s">
        <v>151</v>
      </c>
      <c r="C91" s="27" t="s">
        <v>156</v>
      </c>
      <c r="D91" s="27" t="s">
        <v>157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240.0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168.0</v>
      </c>
      <c r="AE91" s="27">
        <v>0.0</v>
      </c>
      <c r="AF91" s="27">
        <v>48.0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8">
        <f t="shared" si="225"/>
        <v>216.0</v>
      </c>
      <c r="AP91" s="28">
        <f t="shared" si="226"/>
        <v>0.0</v>
      </c>
      <c r="AQ91" s="28">
        <f t="shared" si="227"/>
        <v>0.0</v>
      </c>
      <c r="AS91" s="3">
        <f t="shared" si="310"/>
        <v>0.0</v>
      </c>
      <c r="AT91" s="3">
        <f t="shared" si="311"/>
        <v>0.0</v>
      </c>
      <c r="AU91" s="3">
        <f t="shared" si="312"/>
        <v>184.8</v>
      </c>
      <c r="AV91" s="3">
        <f t="shared" si="322"/>
        <v>0.0</v>
      </c>
      <c r="AW91" s="3">
        <f t="shared" si="323"/>
        <v>52.8</v>
      </c>
      <c r="AX91" s="3">
        <f t="shared" si="324"/>
        <v>0.0</v>
      </c>
      <c r="AY91" s="28"/>
      <c r="AZ91" s="28"/>
      <c r="BA91" s="28">
        <f t="shared" si="332"/>
        <v>237.6</v>
      </c>
      <c r="BB91" s="2" t="e">
        <f t="shared" si="333"/>
        <v>#REF!</v>
      </c>
      <c r="BE91" s="3" t="e">
        <f t="shared" si="358"/>
        <v>#REF!</v>
      </c>
      <c r="BF91" s="1">
        <f>VLOOKUP(C91,MOQ,3,FALSE())</f>
        <v>1008.0</v>
      </c>
      <c r="BG91" s="31">
        <f>BF91</f>
        <v>1008.0</v>
      </c>
      <c r="BH91" s="1" t="s">
        <v>7</v>
      </c>
      <c r="BI91" s="1" t="e">
        <f t="shared" si="239"/>
        <v>#REF!</v>
      </c>
      <c r="BJ91" s="1">
        <f t="shared" si="359"/>
        <v>0.0</v>
      </c>
      <c r="BK91" s="1">
        <f t="shared" si="336"/>
      </c>
      <c r="BL91" s="3" t="e">
        <f t="shared" si="242"/>
        <v>#REF!</v>
      </c>
      <c r="BM91" s="1">
        <f t="shared" si="360"/>
        <v>0.0</v>
      </c>
      <c r="BN91" s="1">
        <f t="shared" si="338"/>
      </c>
      <c r="BO91" s="3" t="e">
        <f t="shared" si="245"/>
        <v>#REF!</v>
      </c>
      <c r="BP91" s="1">
        <f t="shared" si="361"/>
        <v>184.8</v>
      </c>
      <c r="BR91" s="3" t="e">
        <f t="shared" si="247"/>
        <v>#REF!</v>
      </c>
      <c r="BS91" s="1">
        <f t="shared" si="362"/>
        <v>0.0</v>
      </c>
      <c r="BU91" s="3" t="e">
        <f t="shared" si="249"/>
        <v>#REF!</v>
      </c>
      <c r="BV91" s="1">
        <f t="shared" si="363"/>
        <v>52.8</v>
      </c>
      <c r="BX91" s="3" t="e">
        <f t="shared" si="251"/>
        <v>#REF!</v>
      </c>
      <c r="BY91" s="1">
        <f t="shared" si="364"/>
        <v>0.0</v>
      </c>
      <c r="CA91" s="3" t="e">
        <f t="shared" si="253"/>
        <v>#REF!</v>
      </c>
    </row>
    <row r="92" ht="14.0" outlineLevel="1">
      <c r="A92" s="27" t="s">
        <v>45</v>
      </c>
      <c r="B92" s="27" t="s">
        <v>151</v>
      </c>
      <c r="C92" s="27" t="s">
        <v>158</v>
      </c>
      <c r="D92" s="27" t="s">
        <v>159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144.0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0.0</v>
      </c>
      <c r="AG92" s="27">
        <v>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8">
        <f t="shared" si="225"/>
        <v>0.0</v>
      </c>
      <c r="AP92" s="28">
        <f t="shared" si="226"/>
        <v>0.0</v>
      </c>
      <c r="AQ92" s="28">
        <f t="shared" si="227"/>
        <v>0.0</v>
      </c>
      <c r="AS92" s="3">
        <f t="shared" si="310"/>
        <v>0.0</v>
      </c>
      <c r="AT92" s="3">
        <f t="shared" si="311"/>
        <v>0.0</v>
      </c>
      <c r="AU92" s="3">
        <f t="shared" si="312"/>
        <v>0.0</v>
      </c>
      <c r="AV92" s="3">
        <f t="shared" si="322"/>
        <v>0.0</v>
      </c>
      <c r="AW92" s="3">
        <f t="shared" si="323"/>
        <v>0.0</v>
      </c>
      <c r="AX92" s="3">
        <f t="shared" si="324"/>
        <v>0.0</v>
      </c>
      <c r="AY92" s="28"/>
      <c r="AZ92" s="28"/>
      <c r="BA92" s="28">
        <f t="shared" si="332"/>
        <v>0.0</v>
      </c>
      <c r="BB92" s="2" t="e">
        <f t="shared" si="333"/>
        <v>#REF!</v>
      </c>
      <c r="BE92" s="3" t="e">
        <f t="shared" si="358"/>
        <v>#REF!</v>
      </c>
      <c r="BF92" s="1">
        <v>1008.0</v>
      </c>
      <c r="BG92" s="31"/>
      <c r="BI92" s="1" t="e">
        <f t="shared" si="239"/>
        <v>#REF!</v>
      </c>
      <c r="BJ92" s="1">
        <f t="shared" si="359"/>
        <v>0.0</v>
      </c>
      <c r="BK92" s="1">
        <f t="shared" si="336"/>
      </c>
      <c r="BL92" s="3" t="e">
        <f t="shared" si="242"/>
        <v>#REF!</v>
      </c>
      <c r="BM92" s="1">
        <f t="shared" si="360"/>
        <v>0.0</v>
      </c>
      <c r="BN92" s="1">
        <f t="shared" si="338"/>
      </c>
      <c r="BO92" s="3" t="e">
        <f t="shared" si="245"/>
        <v>#REF!</v>
      </c>
      <c r="BP92" s="1">
        <f t="shared" si="361"/>
        <v>0.0</v>
      </c>
      <c r="BR92" s="3" t="e">
        <f t="shared" si="247"/>
        <v>#REF!</v>
      </c>
      <c r="BS92" s="1">
        <f t="shared" si="362"/>
        <v>0.0</v>
      </c>
      <c r="BU92" s="3" t="e">
        <f t="shared" si="249"/>
        <v>#REF!</v>
      </c>
      <c r="BV92" s="1">
        <f t="shared" si="363"/>
        <v>0.0</v>
      </c>
      <c r="BX92" s="3" t="e">
        <f t="shared" si="251"/>
        <v>#REF!</v>
      </c>
      <c r="BY92" s="1">
        <f t="shared" si="364"/>
        <v>0.0</v>
      </c>
      <c r="CA92" s="3" t="e">
        <f t="shared" si="253"/>
        <v>#REF!</v>
      </c>
    </row>
    <row r="93" ht="14.0" outlineLevel="1">
      <c r="A93" s="27" t="s">
        <v>45</v>
      </c>
      <c r="B93" s="27" t="s">
        <v>151</v>
      </c>
      <c r="C93" s="27" t="s">
        <v>160</v>
      </c>
      <c r="D93" s="27" t="s">
        <v>161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0.0</v>
      </c>
      <c r="N93" s="27">
        <v>0.0</v>
      </c>
      <c r="O93" s="27">
        <v>0.0</v>
      </c>
      <c r="P93" s="27">
        <v>0.0</v>
      </c>
      <c r="Q93" s="27">
        <v>144.0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47.0</v>
      </c>
      <c r="AF93" s="27">
        <v>-1.0</v>
      </c>
      <c r="AG93" s="27">
        <v>0.0</v>
      </c>
      <c r="AH93" s="27">
        <v>16.0</v>
      </c>
      <c r="AI93" s="27">
        <v>16.0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8">
        <f t="shared" si="225"/>
        <v>78.0</v>
      </c>
      <c r="AP93" s="28">
        <f t="shared" si="226"/>
        <v>32.0</v>
      </c>
      <c r="AQ93" s="28">
        <f t="shared" si="227"/>
        <v>35.2</v>
      </c>
      <c r="AS93" s="3">
        <f t="shared" si="310"/>
        <v>0.0</v>
      </c>
      <c r="AT93" s="3">
        <f t="shared" si="311"/>
        <v>0.0</v>
      </c>
      <c r="AU93" s="3">
        <f t="shared" si="312"/>
        <v>0.0</v>
      </c>
      <c r="AV93" s="3">
        <f t="shared" si="322"/>
        <v>51.7</v>
      </c>
      <c r="AW93" s="3">
        <f t="shared" si="323"/>
        <v>-1.1</v>
      </c>
      <c r="AX93" s="3">
        <f t="shared" si="324"/>
        <v>0.0</v>
      </c>
      <c r="AY93" s="28"/>
      <c r="AZ93" s="28"/>
      <c r="BA93" s="28">
        <f t="shared" si="332"/>
        <v>50.6</v>
      </c>
      <c r="BB93" s="2" t="e">
        <f t="shared" si="333"/>
        <v>#REF!</v>
      </c>
      <c r="BE93" s="3" t="e">
        <f t="shared" si="358"/>
        <v>#REF!</v>
      </c>
      <c r="BF93" s="1">
        <f>VLOOKUP(C93,MOQ,3,FALSE())</f>
        <v>1000.0</v>
      </c>
      <c r="BG93" s="31">
        <f>BF93</f>
        <v>1000.0</v>
      </c>
      <c r="BH93" s="1" t="s">
        <v>8</v>
      </c>
      <c r="BI93" s="1" t="e">
        <f t="shared" si="239"/>
        <v>#REF!</v>
      </c>
      <c r="BJ93" s="1">
        <f t="shared" si="359"/>
        <v>0.0</v>
      </c>
      <c r="BK93" s="1">
        <f t="shared" si="336"/>
      </c>
      <c r="BL93" s="3" t="e">
        <f t="shared" si="242"/>
        <v>#REF!</v>
      </c>
      <c r="BM93" s="1">
        <f t="shared" si="360"/>
        <v>0.0</v>
      </c>
      <c r="BN93" s="1">
        <f t="shared" si="338"/>
      </c>
      <c r="BO93" s="3" t="e">
        <f t="shared" si="245"/>
        <v>#REF!</v>
      </c>
      <c r="BP93" s="1">
        <f t="shared" si="361"/>
        <v>0.0</v>
      </c>
      <c r="BR93" s="3" t="e">
        <f t="shared" si="247"/>
        <v>#REF!</v>
      </c>
      <c r="BS93" s="1">
        <f t="shared" si="362"/>
        <v>51.7</v>
      </c>
      <c r="BU93" s="3" t="e">
        <f t="shared" si="249"/>
        <v>#REF!</v>
      </c>
      <c r="BV93" s="1">
        <f t="shared" si="363"/>
        <v>-1.1</v>
      </c>
      <c r="BX93" s="3" t="e">
        <f t="shared" si="251"/>
        <v>#REF!</v>
      </c>
      <c r="BY93" s="1">
        <f t="shared" si="364"/>
        <v>0.0</v>
      </c>
      <c r="CA93" s="3" t="e">
        <f t="shared" si="253"/>
        <v>#REF!</v>
      </c>
    </row>
    <row r="94" ht="14.0" outlineLevel="1">
      <c r="A94" s="27" t="s">
        <v>150</v>
      </c>
      <c r="B94" s="27" t="s">
        <v>151</v>
      </c>
      <c r="C94" s="27" t="s">
        <v>162</v>
      </c>
      <c r="D94" s="27" t="s">
        <v>163</v>
      </c>
      <c r="E94" s="27">
        <v>0.0</v>
      </c>
      <c r="F94" s="27">
        <v>0.0</v>
      </c>
      <c r="G94" s="27">
        <v>0.0</v>
      </c>
      <c r="H94" s="27">
        <v>0.0</v>
      </c>
      <c r="I94" s="27">
        <v>0.0</v>
      </c>
      <c r="J94" s="27">
        <v>0.0</v>
      </c>
      <c r="K94" s="27">
        <v>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7">
        <v>144.0</v>
      </c>
      <c r="R94" s="27">
        <v>0.0</v>
      </c>
      <c r="S94" s="27">
        <v>0.0</v>
      </c>
      <c r="T94" s="27">
        <v>0.0</v>
      </c>
      <c r="U94" s="27">
        <v>0.0</v>
      </c>
      <c r="V94" s="27">
        <v>0.0</v>
      </c>
      <c r="W94" s="27">
        <v>0.0</v>
      </c>
      <c r="X94" s="27">
        <v>0.0</v>
      </c>
      <c r="Y94" s="27">
        <v>0.0</v>
      </c>
      <c r="Z94" s="27">
        <v>0.0</v>
      </c>
      <c r="AA94" s="27">
        <v>0.0</v>
      </c>
      <c r="AB94" s="27">
        <v>0.0</v>
      </c>
      <c r="AC94" s="27">
        <v>0.0</v>
      </c>
      <c r="AD94" s="27">
        <v>0.0</v>
      </c>
      <c r="AE94" s="27">
        <v>31.0</v>
      </c>
      <c r="AF94" s="27">
        <v>0.0</v>
      </c>
      <c r="AG94" s="27">
        <v>0.0</v>
      </c>
      <c r="AH94" s="27">
        <v>0.0</v>
      </c>
      <c r="AI94" s="27">
        <v>8.0</v>
      </c>
      <c r="AJ94" s="27">
        <v>8.0</v>
      </c>
      <c r="AK94" s="27">
        <v>24.0</v>
      </c>
      <c r="AL94" s="27">
        <v>0.0</v>
      </c>
      <c r="AM94" s="27">
        <v>0.0</v>
      </c>
      <c r="AN94" s="27">
        <v>0.0</v>
      </c>
      <c r="AO94" s="28">
        <f t="shared" si="225"/>
        <v>71.0</v>
      </c>
      <c r="AP94" s="28">
        <f t="shared" si="226"/>
        <v>40.0</v>
      </c>
      <c r="AQ94" s="28">
        <f t="shared" si="227"/>
        <v>44.0</v>
      </c>
      <c r="AS94" s="3">
        <f t="shared" si="310"/>
        <v>0.0</v>
      </c>
      <c r="AT94" s="3">
        <f t="shared" si="311"/>
        <v>0.0</v>
      </c>
      <c r="AU94" s="3">
        <f t="shared" si="312"/>
        <v>0.0</v>
      </c>
      <c r="AV94" s="3">
        <f t="shared" si="322"/>
        <v>34.1</v>
      </c>
      <c r="AW94" s="3">
        <f t="shared" si="323"/>
        <v>0.0</v>
      </c>
      <c r="AX94" s="3">
        <f t="shared" si="324"/>
        <v>0.0</v>
      </c>
      <c r="AY94" s="28"/>
      <c r="AZ94" s="28"/>
      <c r="BA94" s="28">
        <f t="shared" si="332"/>
        <v>34.1</v>
      </c>
      <c r="BB94" s="2" t="e">
        <f t="shared" si="333"/>
        <v>#REF!</v>
      </c>
      <c r="BE94" s="3" t="e">
        <f t="shared" si="358"/>
        <v>#REF!</v>
      </c>
      <c r="BF94" s="1">
        <f>VLOOKUP(C94,MOQ,3,FALSE())</f>
        <v>1008.0</v>
      </c>
      <c r="BI94" s="1" t="e">
        <f t="shared" si="239"/>
        <v>#REF!</v>
      </c>
      <c r="BJ94" s="1">
        <f t="shared" si="359"/>
        <v>0.0</v>
      </c>
      <c r="BK94" s="1">
        <f t="shared" si="336"/>
      </c>
      <c r="BL94" s="3" t="e">
        <f t="shared" si="242"/>
        <v>#REF!</v>
      </c>
      <c r="BM94" s="1">
        <f t="shared" si="360"/>
        <v>0.0</v>
      </c>
      <c r="BN94" s="1">
        <f t="shared" si="338"/>
      </c>
      <c r="BO94" s="3" t="e">
        <f t="shared" si="245"/>
        <v>#REF!</v>
      </c>
      <c r="BP94" s="1">
        <f t="shared" si="361"/>
        <v>0.0</v>
      </c>
      <c r="BR94" s="3" t="e">
        <f t="shared" si="247"/>
        <v>#REF!</v>
      </c>
      <c r="BS94" s="1">
        <f t="shared" si="362"/>
        <v>34.1</v>
      </c>
      <c r="BU94" s="3" t="e">
        <f t="shared" si="249"/>
        <v>#REF!</v>
      </c>
      <c r="BV94" s="1">
        <f t="shared" si="363"/>
        <v>0.0</v>
      </c>
      <c r="BX94" s="3" t="e">
        <f t="shared" si="251"/>
        <v>#REF!</v>
      </c>
      <c r="BY94" s="1">
        <f t="shared" si="364"/>
        <v>0.0</v>
      </c>
      <c r="CA94" s="3" t="e">
        <f t="shared" si="253"/>
        <v>#REF!</v>
      </c>
    </row>
    <row r="95" ht="14.0" outlineLevel="1">
      <c r="A95" s="27" t="s">
        <v>45</v>
      </c>
      <c r="B95" s="27" t="s">
        <v>151</v>
      </c>
      <c r="C95" s="27" t="s">
        <v>164</v>
      </c>
      <c r="D95" s="27" t="s">
        <v>165</v>
      </c>
      <c r="E95" s="27">
        <v>0.0</v>
      </c>
      <c r="F95" s="27">
        <v>0.0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0.0</v>
      </c>
      <c r="M95" s="27">
        <v>0.0</v>
      </c>
      <c r="N95" s="27">
        <v>0.0</v>
      </c>
      <c r="O95" s="27">
        <v>0.0</v>
      </c>
      <c r="P95" s="27">
        <v>0.0</v>
      </c>
      <c r="Q95" s="27">
        <v>0.0</v>
      </c>
      <c r="R95" s="27">
        <v>0.0</v>
      </c>
      <c r="S95" s="27">
        <v>0.0</v>
      </c>
      <c r="T95" s="27">
        <v>0.0</v>
      </c>
      <c r="U95" s="27">
        <v>0.0</v>
      </c>
      <c r="V95" s="27">
        <v>0.0</v>
      </c>
      <c r="W95" s="27">
        <v>0.0</v>
      </c>
      <c r="X95" s="27">
        <v>0.0</v>
      </c>
      <c r="Y95" s="27">
        <v>0.0</v>
      </c>
      <c r="Z95" s="27">
        <v>0.0</v>
      </c>
      <c r="AA95" s="27">
        <v>0.0</v>
      </c>
      <c r="AB95" s="27">
        <v>0.0</v>
      </c>
      <c r="AC95" s="27">
        <v>0.0</v>
      </c>
      <c r="AD95" s="27">
        <v>0.0</v>
      </c>
      <c r="AE95" s="27">
        <v>0.0</v>
      </c>
      <c r="AF95" s="27">
        <v>1.0</v>
      </c>
      <c r="AG95" s="27">
        <v>224.0</v>
      </c>
      <c r="AH95" s="27">
        <v>0.0</v>
      </c>
      <c r="AI95" s="27">
        <v>0.0</v>
      </c>
      <c r="AJ95" s="27">
        <v>0.0</v>
      </c>
      <c r="AK95" s="27">
        <v>0.0</v>
      </c>
      <c r="AL95" s="27">
        <v>0.0</v>
      </c>
      <c r="AM95" s="27">
        <v>0.0</v>
      </c>
      <c r="AN95" s="27">
        <v>0.0</v>
      </c>
      <c r="AO95" s="28">
        <f t="shared" si="225"/>
        <v>225.0</v>
      </c>
      <c r="AP95" s="28">
        <f t="shared" si="226"/>
        <v>0.0</v>
      </c>
      <c r="AQ95" s="28">
        <f t="shared" si="227"/>
        <v>0.0</v>
      </c>
      <c r="AS95" s="3">
        <f t="shared" si="310"/>
        <v>0.0</v>
      </c>
      <c r="AT95" s="3">
        <f t="shared" si="311"/>
        <v>0.0</v>
      </c>
      <c r="AU95" s="3">
        <f t="shared" si="312"/>
        <v>0.0</v>
      </c>
      <c r="AV95" s="3">
        <f t="shared" si="322"/>
        <v>0.0</v>
      </c>
      <c r="AW95" s="3">
        <f t="shared" si="323"/>
        <v>1.1</v>
      </c>
      <c r="AX95" s="3">
        <f t="shared" si="324"/>
        <v>246.4</v>
      </c>
      <c r="AY95" s="28"/>
      <c r="AZ95" s="28"/>
      <c r="BA95" s="28">
        <f t="shared" si="332"/>
        <v>247.5</v>
      </c>
      <c r="BB95" s="2" t="e">
        <f t="shared" si="333"/>
        <v>#REF!</v>
      </c>
      <c r="BE95" s="3" t="e">
        <f t="shared" si="358"/>
        <v>#REF!</v>
      </c>
      <c r="BF95" s="1">
        <f>VLOOKUP(C95,MOQ,3,FALSE())</f>
        <v>1002.0</v>
      </c>
      <c r="BG95" s="31">
        <f>BF95</f>
        <v>1002.0</v>
      </c>
      <c r="BH95" s="1" t="s">
        <v>10</v>
      </c>
      <c r="BI95" s="1" t="e">
        <f t="shared" si="239"/>
        <v>#REF!</v>
      </c>
      <c r="BJ95" s="1">
        <f t="shared" si="359"/>
        <v>0.0</v>
      </c>
      <c r="BK95" s="1">
        <f t="shared" si="336"/>
      </c>
      <c r="BL95" s="3" t="e">
        <f t="shared" si="242"/>
        <v>#REF!</v>
      </c>
      <c r="BM95" s="1">
        <f t="shared" si="360"/>
        <v>0.0</v>
      </c>
      <c r="BN95" s="1">
        <f t="shared" si="338"/>
      </c>
      <c r="BO95" s="3" t="e">
        <f t="shared" si="245"/>
        <v>#REF!</v>
      </c>
      <c r="BP95" s="1">
        <f t="shared" si="361"/>
        <v>0.0</v>
      </c>
      <c r="BR95" s="3" t="e">
        <f t="shared" si="247"/>
        <v>#REF!</v>
      </c>
      <c r="BS95" s="1">
        <f t="shared" si="362"/>
        <v>0.0</v>
      </c>
      <c r="BU95" s="3" t="e">
        <f t="shared" si="249"/>
        <v>#REF!</v>
      </c>
      <c r="BV95" s="1">
        <f t="shared" si="363"/>
        <v>1.1</v>
      </c>
      <c r="BX95" s="3" t="e">
        <f t="shared" si="251"/>
        <v>#REF!</v>
      </c>
      <c r="BY95" s="1">
        <f t="shared" si="364"/>
        <v>246.4</v>
      </c>
      <c r="CA95" s="3" t="e">
        <f t="shared" si="253"/>
        <v>#REF!</v>
      </c>
    </row>
    <row r="96" ht="14.0" outlineLevel="1">
      <c r="A96" s="27" t="s">
        <v>150</v>
      </c>
      <c r="B96" s="27" t="s">
        <v>166</v>
      </c>
      <c r="C96" s="27" t="s">
        <v>167</v>
      </c>
      <c r="D96" s="27" t="s">
        <v>168</v>
      </c>
      <c r="E96" s="27">
        <v>0.0</v>
      </c>
      <c r="F96" s="27">
        <v>0.0</v>
      </c>
      <c r="G96" s="27">
        <v>0.0</v>
      </c>
      <c r="H96" s="27">
        <v>0.0</v>
      </c>
      <c r="I96" s="27">
        <v>0.0</v>
      </c>
      <c r="J96" s="27">
        <v>0.0</v>
      </c>
      <c r="K96" s="27">
        <v>0.0</v>
      </c>
      <c r="L96" s="27">
        <v>0.0</v>
      </c>
      <c r="M96" s="27">
        <v>0.0</v>
      </c>
      <c r="N96" s="27">
        <v>0.0</v>
      </c>
      <c r="O96" s="27">
        <v>0.0</v>
      </c>
      <c r="P96" s="27">
        <v>0.0</v>
      </c>
      <c r="Q96" s="27">
        <v>0.0</v>
      </c>
      <c r="R96" s="27">
        <v>0.0</v>
      </c>
      <c r="S96" s="27">
        <v>0.0</v>
      </c>
      <c r="T96" s="27">
        <v>0.0</v>
      </c>
      <c r="U96" s="27">
        <v>0.0</v>
      </c>
      <c r="V96" s="27">
        <v>0.0</v>
      </c>
      <c r="W96" s="27">
        <v>0.0</v>
      </c>
      <c r="X96" s="27">
        <v>0.0</v>
      </c>
      <c r="Y96" s="27">
        <v>0.0</v>
      </c>
      <c r="Z96" s="27">
        <v>0.0</v>
      </c>
      <c r="AA96" s="27">
        <v>0.0</v>
      </c>
      <c r="AB96" s="27">
        <v>0.0</v>
      </c>
      <c r="AC96" s="27">
        <v>0.0</v>
      </c>
      <c r="AD96" s="27">
        <v>0.0</v>
      </c>
      <c r="AE96" s="27">
        <v>0.0</v>
      </c>
      <c r="AF96" s="27">
        <v>1.0</v>
      </c>
      <c r="AG96" s="27">
        <v>60.0</v>
      </c>
      <c r="AH96" s="27">
        <v>0.0</v>
      </c>
      <c r="AI96" s="27">
        <v>0.0</v>
      </c>
      <c r="AJ96" s="27">
        <v>0.0</v>
      </c>
      <c r="AK96" s="27">
        <v>0.0</v>
      </c>
      <c r="AL96" s="27">
        <v>0.0</v>
      </c>
      <c r="AM96" s="27">
        <v>0.0</v>
      </c>
      <c r="AN96" s="27">
        <v>0.0</v>
      </c>
      <c r="AO96" s="28">
        <f t="shared" si="225"/>
        <v>61.0</v>
      </c>
      <c r="AP96" s="28">
        <f t="shared" si="226"/>
        <v>0.0</v>
      </c>
      <c r="AQ96" s="28">
        <f t="shared" si="227"/>
        <v>0.0</v>
      </c>
      <c r="AS96" s="3">
        <f t="shared" si="310"/>
        <v>0.0</v>
      </c>
      <c r="AT96" s="3">
        <f t="shared" si="311"/>
        <v>0.0</v>
      </c>
      <c r="AU96" s="3">
        <f t="shared" si="312"/>
        <v>0.0</v>
      </c>
      <c r="AV96" s="3">
        <f t="shared" si="322"/>
        <v>0.0</v>
      </c>
      <c r="AW96" s="3">
        <f t="shared" si="323"/>
        <v>1.1</v>
      </c>
      <c r="AX96" s="3">
        <f t="shared" si="324"/>
        <v>66.0</v>
      </c>
      <c r="AY96" s="28"/>
      <c r="AZ96" s="28"/>
      <c r="BA96" s="28">
        <f t="shared" si="332"/>
        <v>67.1</v>
      </c>
      <c r="BB96" s="2" t="e">
        <f t="shared" si="333"/>
        <v>#REF!</v>
      </c>
      <c r="BE96" s="3" t="e">
        <f t="shared" si="358"/>
        <v>#REF!</v>
      </c>
      <c r="BF96" s="1">
        <v>1002.0</v>
      </c>
      <c r="BI96" s="1" t="e">
        <f t="shared" si="239"/>
        <v>#REF!</v>
      </c>
      <c r="BJ96" s="1">
        <f t="shared" si="359"/>
        <v>0.0</v>
      </c>
      <c r="BK96" s="1">
        <f t="shared" si="336"/>
      </c>
      <c r="BL96" s="3" t="e">
        <f t="shared" si="242"/>
        <v>#REF!</v>
      </c>
      <c r="BM96" s="1">
        <f t="shared" si="360"/>
        <v>0.0</v>
      </c>
      <c r="BN96" s="1">
        <f t="shared" si="338"/>
      </c>
      <c r="BO96" s="3" t="e">
        <f t="shared" si="245"/>
        <v>#REF!</v>
      </c>
      <c r="BP96" s="1">
        <f t="shared" si="361"/>
        <v>0.0</v>
      </c>
      <c r="BR96" s="3" t="e">
        <f t="shared" si="247"/>
        <v>#REF!</v>
      </c>
      <c r="BS96" s="1">
        <f t="shared" si="362"/>
        <v>0.0</v>
      </c>
      <c r="BU96" s="3" t="e">
        <f t="shared" si="249"/>
        <v>#REF!</v>
      </c>
      <c r="BV96" s="1">
        <f t="shared" si="363"/>
        <v>1.1</v>
      </c>
      <c r="BX96" s="3" t="e">
        <f t="shared" si="251"/>
        <v>#REF!</v>
      </c>
      <c r="BY96" s="1">
        <f t="shared" si="364"/>
        <v>66.0</v>
      </c>
      <c r="CA96" s="3" t="e">
        <f t="shared" si="253"/>
        <v>#REF!</v>
      </c>
    </row>
    <row r="97" ht="14.0" outlineLevel="1">
      <c r="A97" s="27" t="s">
        <v>169</v>
      </c>
      <c r="B97" s="27" t="s">
        <v>170</v>
      </c>
      <c r="C97" s="27" t="s">
        <v>171</v>
      </c>
      <c r="D97" s="27" t="s">
        <v>172</v>
      </c>
      <c r="E97" s="27">
        <v>24.0</v>
      </c>
      <c r="F97" s="27">
        <v>0.0</v>
      </c>
      <c r="G97" s="27">
        <v>192.0</v>
      </c>
      <c r="H97" s="27">
        <v>21.0</v>
      </c>
      <c r="I97" s="27">
        <v>24.0</v>
      </c>
      <c r="J97" s="27">
        <v>0.0</v>
      </c>
      <c r="K97" s="27">
        <v>24.0</v>
      </c>
      <c r="L97" s="27">
        <v>24.0</v>
      </c>
      <c r="M97" s="27">
        <v>48.0</v>
      </c>
      <c r="N97" s="27">
        <v>24.0</v>
      </c>
      <c r="O97" s="27">
        <v>0.0</v>
      </c>
      <c r="P97" s="27">
        <v>24.0</v>
      </c>
      <c r="Q97" s="27">
        <v>24.0</v>
      </c>
      <c r="R97" s="27">
        <v>24.0</v>
      </c>
      <c r="S97" s="27">
        <v>192.0</v>
      </c>
      <c r="T97" s="27">
        <v>0.0</v>
      </c>
      <c r="U97" s="27">
        <v>48.0</v>
      </c>
      <c r="V97" s="27">
        <v>0.0</v>
      </c>
      <c r="W97" s="27">
        <v>24.0</v>
      </c>
      <c r="X97" s="27">
        <v>24.0</v>
      </c>
      <c r="Y97" s="27">
        <v>24.0</v>
      </c>
      <c r="Z97" s="27">
        <v>24.0</v>
      </c>
      <c r="AA97" s="27">
        <v>0.0</v>
      </c>
      <c r="AB97" s="27">
        <v>24.0</v>
      </c>
      <c r="AC97" s="27">
        <v>24.0</v>
      </c>
      <c r="AD97" s="27">
        <v>0.0</v>
      </c>
      <c r="AE97" s="27">
        <v>24.0</v>
      </c>
      <c r="AF97" s="27">
        <v>168.0</v>
      </c>
      <c r="AG97" s="27">
        <v>120.0</v>
      </c>
      <c r="AH97" s="27">
        <v>24.0</v>
      </c>
      <c r="AI97" s="27">
        <v>48.0</v>
      </c>
      <c r="AJ97" s="27">
        <v>72.0</v>
      </c>
      <c r="AK97" s="27">
        <v>144.0</v>
      </c>
      <c r="AL97" s="27">
        <v>24.0</v>
      </c>
      <c r="AM97" s="27">
        <v>24.0</v>
      </c>
      <c r="AN97" s="27">
        <v>24.0</v>
      </c>
      <c r="AO97" s="28">
        <f t="shared" si="225"/>
        <v>696.0</v>
      </c>
      <c r="AP97" s="28">
        <f t="shared" si="226"/>
        <v>336.0</v>
      </c>
      <c r="AQ97" s="28">
        <f t="shared" si="227"/>
        <v>369.6</v>
      </c>
      <c r="AS97" s="3">
        <f t="shared" si="310"/>
        <v>26.4</v>
      </c>
      <c r="AT97" s="3">
        <f t="shared" si="311"/>
        <v>26.4</v>
      </c>
      <c r="AU97" s="3">
        <f t="shared" si="312"/>
        <v>0.0</v>
      </c>
      <c r="AV97" s="3">
        <f t="shared" si="322"/>
        <v>26.4</v>
      </c>
      <c r="AW97" s="3">
        <f t="shared" si="323"/>
        <v>184.8</v>
      </c>
      <c r="AX97" s="3">
        <f t="shared" si="324"/>
        <v>132.0</v>
      </c>
      <c r="AY97" s="28"/>
      <c r="AZ97" s="28"/>
      <c r="BA97" s="28">
        <f t="shared" si="332"/>
        <v>396.0</v>
      </c>
      <c r="BB97" s="2" t="e">
        <f t="shared" si="333"/>
        <v>#REF!</v>
      </c>
      <c r="BC97" s="1" t="e">
        <f t="shared" ref="BC97:BC100" si="369">VLOOKUP(C97,FYTM1,3,false)</f>
        <v>#REF!</v>
      </c>
      <c r="BD97" s="1" t="e">
        <f t="shared" ref="BD97:BD98" si="370">VLOOKUP(C97,FYTM2,3,false)</f>
        <v>#REF!</v>
      </c>
      <c r="BE97" s="3" t="e">
        <f t="shared" si="358"/>
        <v>#REF!</v>
      </c>
      <c r="BF97" s="1">
        <f>VLOOKUP(C97,MOQ,3,FALSE())</f>
        <v>200.0</v>
      </c>
      <c r="BI97" s="1" t="e">
        <f t="shared" si="239"/>
        <v>#REF!</v>
      </c>
      <c r="BJ97" s="1">
        <f t="shared" si="359"/>
        <v>26.4</v>
      </c>
      <c r="BK97" s="1" t="e">
        <f t="shared" si="336"/>
        <v>#REF!</v>
      </c>
      <c r="BL97" s="3" t="e">
        <f t="shared" si="242"/>
        <v>#REF!</v>
      </c>
      <c r="BM97" s="1">
        <f t="shared" si="360"/>
        <v>26.4</v>
      </c>
      <c r="BN97" s="1" t="e">
        <f t="shared" si="338"/>
        <v>#REF!</v>
      </c>
      <c r="BO97" s="3" t="e">
        <f t="shared" si="245"/>
        <v>#REF!</v>
      </c>
      <c r="BP97" s="1">
        <f t="shared" si="361"/>
        <v>0.0</v>
      </c>
      <c r="BR97" s="3" t="e">
        <f t="shared" si="247"/>
        <v>#REF!</v>
      </c>
      <c r="BS97" s="1">
        <f t="shared" si="362"/>
        <v>26.4</v>
      </c>
      <c r="BU97" s="3" t="e">
        <f t="shared" si="249"/>
        <v>#REF!</v>
      </c>
      <c r="BV97" s="1">
        <f t="shared" si="363"/>
        <v>184.8</v>
      </c>
      <c r="BX97" s="3" t="e">
        <f t="shared" si="251"/>
        <v>#REF!</v>
      </c>
      <c r="BY97" s="1">
        <f t="shared" si="364"/>
        <v>132.0</v>
      </c>
      <c r="CA97" s="3" t="e">
        <f t="shared" si="253"/>
        <v>#REF!</v>
      </c>
    </row>
    <row r="98" ht="14.0" outlineLevel="1">
      <c r="A98" s="27" t="s">
        <v>169</v>
      </c>
      <c r="B98" s="27" t="s">
        <v>170</v>
      </c>
      <c r="C98" s="27" t="s">
        <v>173</v>
      </c>
      <c r="D98" s="27" t="s">
        <v>174</v>
      </c>
      <c r="E98" s="27">
        <v>24.0</v>
      </c>
      <c r="F98" s="27">
        <v>24.0</v>
      </c>
      <c r="G98" s="27">
        <v>192.0</v>
      </c>
      <c r="H98" s="27">
        <v>0.0</v>
      </c>
      <c r="I98" s="27">
        <v>24.0</v>
      </c>
      <c r="J98" s="27">
        <v>0.0</v>
      </c>
      <c r="K98" s="27">
        <v>24.0</v>
      </c>
      <c r="L98" s="27">
        <v>72.0</v>
      </c>
      <c r="M98" s="27">
        <v>24.0</v>
      </c>
      <c r="N98" s="27">
        <v>24.0</v>
      </c>
      <c r="O98" s="27">
        <v>24.0</v>
      </c>
      <c r="P98" s="27">
        <v>24.0</v>
      </c>
      <c r="Q98" s="27">
        <v>24.0</v>
      </c>
      <c r="R98" s="27">
        <v>24.0</v>
      </c>
      <c r="S98" s="27">
        <v>192.0</v>
      </c>
      <c r="T98" s="27">
        <v>0.0</v>
      </c>
      <c r="U98" s="27">
        <v>24.0</v>
      </c>
      <c r="V98" s="27">
        <v>0.0</v>
      </c>
      <c r="W98" s="27">
        <v>24.0</v>
      </c>
      <c r="X98" s="27">
        <v>24.0</v>
      </c>
      <c r="Y98" s="27">
        <v>48.0</v>
      </c>
      <c r="Z98" s="27">
        <v>24.0</v>
      </c>
      <c r="AA98" s="27">
        <v>0.0</v>
      </c>
      <c r="AB98" s="27">
        <v>24.0</v>
      </c>
      <c r="AC98" s="27">
        <v>24.0</v>
      </c>
      <c r="AD98" s="27">
        <v>24.0</v>
      </c>
      <c r="AE98" s="27">
        <v>0.0</v>
      </c>
      <c r="AF98" s="27">
        <v>120.0</v>
      </c>
      <c r="AG98" s="27">
        <v>48.0</v>
      </c>
      <c r="AH98" s="27">
        <v>24.0</v>
      </c>
      <c r="AI98" s="27">
        <v>24.0</v>
      </c>
      <c r="AJ98" s="27">
        <v>48.0</v>
      </c>
      <c r="AK98" s="27">
        <v>96.0</v>
      </c>
      <c r="AL98" s="27">
        <v>0.0</v>
      </c>
      <c r="AM98" s="27">
        <v>24.0</v>
      </c>
      <c r="AN98" s="27">
        <v>0.0</v>
      </c>
      <c r="AO98" s="28">
        <f t="shared" si="225"/>
        <v>456.0</v>
      </c>
      <c r="AP98" s="28">
        <f t="shared" si="226"/>
        <v>216.0</v>
      </c>
      <c r="AQ98" s="28">
        <f t="shared" si="227"/>
        <v>237.6</v>
      </c>
      <c r="AS98" s="3">
        <f t="shared" si="310"/>
        <v>26.4</v>
      </c>
      <c r="AT98" s="3">
        <f t="shared" si="311"/>
        <v>26.4</v>
      </c>
      <c r="AU98" s="3">
        <f t="shared" si="312"/>
        <v>26.4</v>
      </c>
      <c r="AV98" s="3">
        <f t="shared" si="322"/>
        <v>0.0</v>
      </c>
      <c r="AW98" s="3">
        <f t="shared" si="323"/>
        <v>132.0</v>
      </c>
      <c r="AX98" s="3">
        <f t="shared" si="324"/>
        <v>52.8</v>
      </c>
      <c r="AY98" s="28"/>
      <c r="AZ98" s="28"/>
      <c r="BA98" s="28">
        <f t="shared" si="332"/>
        <v>264.0</v>
      </c>
      <c r="BB98" s="2" t="e">
        <f t="shared" si="333"/>
        <v>#REF!</v>
      </c>
      <c r="BC98" s="1" t="e">
        <f t="shared" si="369"/>
        <v>#REF!</v>
      </c>
      <c r="BD98" s="1" t="e">
        <f t="shared" si="370"/>
        <v>#REF!</v>
      </c>
      <c r="BE98" s="3" t="e">
        <f t="shared" si="358"/>
        <v>#REF!</v>
      </c>
      <c r="BF98" s="1">
        <f>VLOOKUP(C98,MOQ,3,FALSE())</f>
        <v>200.0</v>
      </c>
      <c r="BI98" s="1" t="e">
        <f t="shared" si="239"/>
        <v>#REF!</v>
      </c>
      <c r="BJ98" s="1">
        <f t="shared" si="359"/>
        <v>26.4</v>
      </c>
      <c r="BK98" s="1" t="e">
        <f t="shared" si="336"/>
        <v>#REF!</v>
      </c>
      <c r="BL98" s="3" t="e">
        <f t="shared" si="242"/>
        <v>#REF!</v>
      </c>
      <c r="BM98" s="1">
        <f t="shared" si="360"/>
        <v>26.4</v>
      </c>
      <c r="BN98" s="1" t="e">
        <f t="shared" si="338"/>
        <v>#REF!</v>
      </c>
      <c r="BO98" s="3" t="e">
        <f t="shared" si="245"/>
        <v>#REF!</v>
      </c>
      <c r="BP98" s="1">
        <f t="shared" si="361"/>
        <v>26.4</v>
      </c>
      <c r="BR98" s="3" t="e">
        <f t="shared" si="247"/>
        <v>#REF!</v>
      </c>
      <c r="BS98" s="1">
        <f t="shared" si="362"/>
        <v>0.0</v>
      </c>
      <c r="BU98" s="3" t="e">
        <f t="shared" si="249"/>
        <v>#REF!</v>
      </c>
      <c r="BV98" s="1">
        <f t="shared" si="363"/>
        <v>132.0</v>
      </c>
      <c r="BX98" s="3" t="e">
        <f t="shared" si="251"/>
        <v>#REF!</v>
      </c>
      <c r="BY98" s="1">
        <f t="shared" si="364"/>
        <v>52.8</v>
      </c>
      <c r="CA98" s="3" t="e">
        <f t="shared" si="253"/>
        <v>#REF!</v>
      </c>
    </row>
    <row r="99" ht="14.0" outlineLevel="1">
      <c r="A99" s="27" t="s">
        <v>169</v>
      </c>
      <c r="B99" s="27" t="s">
        <v>170</v>
      </c>
      <c r="C99" s="27" t="s">
        <v>175</v>
      </c>
      <c r="D99" s="27" t="s">
        <v>176</v>
      </c>
      <c r="E99" s="27">
        <v>23.0</v>
      </c>
      <c r="F99" s="27">
        <v>24.0</v>
      </c>
      <c r="G99" s="27">
        <v>24.0</v>
      </c>
      <c r="H99" s="27">
        <v>24.0</v>
      </c>
      <c r="I99" s="27">
        <v>24.0</v>
      </c>
      <c r="J99" s="27">
        <v>24.0</v>
      </c>
      <c r="K99" s="27">
        <v>0.0</v>
      </c>
      <c r="L99" s="27">
        <v>96.0</v>
      </c>
      <c r="M99" s="27">
        <v>24.0</v>
      </c>
      <c r="N99" s="27">
        <v>48.0</v>
      </c>
      <c r="O99" s="27">
        <v>24.0</v>
      </c>
      <c r="P99" s="27">
        <v>216.0</v>
      </c>
      <c r="Q99" s="27">
        <v>24.0</v>
      </c>
      <c r="R99" s="27">
        <v>24.0</v>
      </c>
      <c r="S99" s="27">
        <v>24.0</v>
      </c>
      <c r="T99" s="27">
        <v>24.0</v>
      </c>
      <c r="U99" s="27">
        <v>24.0</v>
      </c>
      <c r="V99" s="27">
        <v>24.0</v>
      </c>
      <c r="W99" s="27">
        <v>24.0</v>
      </c>
      <c r="X99" s="27">
        <v>96.0</v>
      </c>
      <c r="Y99" s="27">
        <v>48.0</v>
      </c>
      <c r="Z99" s="27">
        <v>24.0</v>
      </c>
      <c r="AA99" s="27">
        <v>240.0</v>
      </c>
      <c r="AB99" s="27">
        <v>0.0</v>
      </c>
      <c r="AC99" s="27">
        <v>0.0</v>
      </c>
      <c r="AD99" s="27">
        <v>24.0</v>
      </c>
      <c r="AE99" s="27">
        <v>0.0</v>
      </c>
      <c r="AF99" s="27">
        <v>48.0</v>
      </c>
      <c r="AG99" s="27">
        <v>24.0</v>
      </c>
      <c r="AH99" s="27">
        <v>24.0</v>
      </c>
      <c r="AI99" s="27">
        <v>24.0</v>
      </c>
      <c r="AJ99" s="27">
        <v>72.0</v>
      </c>
      <c r="AK99" s="27">
        <v>144.0</v>
      </c>
      <c r="AL99" s="27">
        <v>12.0</v>
      </c>
      <c r="AM99" s="27">
        <v>24.0</v>
      </c>
      <c r="AN99" s="27">
        <v>216.0</v>
      </c>
      <c r="AO99" s="28">
        <f t="shared" si="225"/>
        <v>636.0</v>
      </c>
      <c r="AP99" s="28">
        <f t="shared" si="226"/>
        <v>300.0</v>
      </c>
      <c r="AQ99" s="28">
        <f t="shared" si="227"/>
        <v>330.0</v>
      </c>
      <c r="AS99" s="3">
        <f t="shared" si="310"/>
        <v>0.0</v>
      </c>
      <c r="AT99" s="3">
        <f t="shared" si="311"/>
        <v>0.0</v>
      </c>
      <c r="AU99" s="3">
        <f t="shared" si="312"/>
        <v>26.4</v>
      </c>
      <c r="AV99" s="3">
        <f t="shared" si="322"/>
        <v>0.0</v>
      </c>
      <c r="AW99" s="3">
        <f t="shared" si="323"/>
        <v>52.8</v>
      </c>
      <c r="AX99" s="3">
        <f t="shared" si="324"/>
        <v>26.4</v>
      </c>
      <c r="AY99" s="28"/>
      <c r="AZ99" s="28"/>
      <c r="BA99" s="28">
        <f t="shared" si="332"/>
        <v>105.6</v>
      </c>
      <c r="BB99" s="2" t="e">
        <f t="shared" si="333"/>
        <v>#REF!</v>
      </c>
      <c r="BC99" s="1" t="e">
        <f t="shared" si="369"/>
        <v>#REF!</v>
      </c>
      <c r="BE99" s="3" t="e">
        <f t="shared" si="358"/>
        <v>#REF!</v>
      </c>
      <c r="BF99" s="1">
        <f>VLOOKUP(C99,MOQ,3,FALSE())</f>
        <v>120.0</v>
      </c>
      <c r="BI99" s="1" t="e">
        <f t="shared" si="239"/>
        <v>#REF!</v>
      </c>
      <c r="BJ99" s="1">
        <f t="shared" si="359"/>
        <v>0.0</v>
      </c>
      <c r="BK99" s="1" t="e">
        <f t="shared" si="336"/>
        <v>#REF!</v>
      </c>
      <c r="BL99" s="3" t="e">
        <f t="shared" si="242"/>
        <v>#REF!</v>
      </c>
      <c r="BM99" s="1">
        <f t="shared" si="360"/>
        <v>0.0</v>
      </c>
      <c r="BN99" s="1">
        <f t="shared" si="338"/>
      </c>
      <c r="BO99" s="3" t="e">
        <f t="shared" si="245"/>
        <v>#REF!</v>
      </c>
      <c r="BP99" s="1">
        <f t="shared" si="361"/>
        <v>26.4</v>
      </c>
      <c r="BR99" s="3" t="e">
        <f t="shared" si="247"/>
        <v>#REF!</v>
      </c>
      <c r="BS99" s="1">
        <f t="shared" si="362"/>
        <v>0.0</v>
      </c>
      <c r="BU99" s="3" t="e">
        <f t="shared" si="249"/>
        <v>#REF!</v>
      </c>
      <c r="BV99" s="1">
        <f t="shared" si="363"/>
        <v>52.8</v>
      </c>
      <c r="BX99" s="3" t="e">
        <f t="shared" si="251"/>
        <v>#REF!</v>
      </c>
      <c r="BY99" s="1">
        <f t="shared" si="364"/>
        <v>26.4</v>
      </c>
      <c r="CA99" s="3" t="e">
        <f t="shared" si="253"/>
        <v>#REF!</v>
      </c>
    </row>
    <row r="100" ht="14.0" outlineLevel="1">
      <c r="A100" s="27" t="s">
        <v>169</v>
      </c>
      <c r="B100" s="27" t="s">
        <v>170</v>
      </c>
      <c r="C100" s="27" t="s">
        <v>177</v>
      </c>
      <c r="D100" s="27" t="s">
        <v>178</v>
      </c>
      <c r="E100" s="27">
        <v>24.0</v>
      </c>
      <c r="F100" s="27">
        <v>24.0</v>
      </c>
      <c r="G100" s="27">
        <v>0.0</v>
      </c>
      <c r="H100" s="27">
        <v>24.0</v>
      </c>
      <c r="I100" s="27">
        <v>24.0</v>
      </c>
      <c r="J100" s="27">
        <v>24.0</v>
      </c>
      <c r="K100" s="27">
        <v>24.0</v>
      </c>
      <c r="L100" s="27">
        <v>72.0</v>
      </c>
      <c r="M100" s="27">
        <v>48.0</v>
      </c>
      <c r="N100" s="27">
        <v>48.0</v>
      </c>
      <c r="O100" s="27">
        <v>24.0</v>
      </c>
      <c r="P100" s="27">
        <v>240.0</v>
      </c>
      <c r="Q100" s="27">
        <v>48.0</v>
      </c>
      <c r="R100" s="27">
        <v>24.0</v>
      </c>
      <c r="S100" s="27">
        <v>24.0</v>
      </c>
      <c r="T100" s="27">
        <v>24.0</v>
      </c>
      <c r="U100" s="27">
        <v>48.0</v>
      </c>
      <c r="V100" s="27">
        <v>24.0</v>
      </c>
      <c r="W100" s="27">
        <v>0.0</v>
      </c>
      <c r="X100" s="27">
        <v>72.0</v>
      </c>
      <c r="Y100" s="27">
        <v>48.0</v>
      </c>
      <c r="Z100" s="27">
        <v>72.0</v>
      </c>
      <c r="AA100" s="27">
        <v>240.0</v>
      </c>
      <c r="AB100" s="27">
        <v>0.0</v>
      </c>
      <c r="AC100" s="27">
        <v>24.0</v>
      </c>
      <c r="AD100" s="27">
        <v>0.0</v>
      </c>
      <c r="AE100" s="27">
        <v>48.0</v>
      </c>
      <c r="AF100" s="27">
        <v>24.0</v>
      </c>
      <c r="AG100" s="27">
        <v>72.0</v>
      </c>
      <c r="AH100" s="27">
        <v>24.0</v>
      </c>
      <c r="AI100" s="27">
        <v>48.0</v>
      </c>
      <c r="AJ100" s="27">
        <v>120.0</v>
      </c>
      <c r="AK100" s="27">
        <v>120.0</v>
      </c>
      <c r="AL100" s="27">
        <v>72.0</v>
      </c>
      <c r="AM100" s="27">
        <v>0.0</v>
      </c>
      <c r="AN100" s="27">
        <v>264.0</v>
      </c>
      <c r="AO100" s="28">
        <f t="shared" si="225"/>
        <v>792.0</v>
      </c>
      <c r="AP100" s="28">
        <f t="shared" si="226"/>
        <v>384.0</v>
      </c>
      <c r="AQ100" s="28">
        <f t="shared" si="227"/>
        <v>422.4</v>
      </c>
      <c r="AS100" s="3">
        <f t="shared" si="310"/>
        <v>0.0</v>
      </c>
      <c r="AT100" s="3">
        <f t="shared" si="311"/>
        <v>26.4</v>
      </c>
      <c r="AU100" s="3">
        <f t="shared" si="312"/>
        <v>0.0</v>
      </c>
      <c r="AV100" s="3">
        <f t="shared" si="322"/>
        <v>52.8</v>
      </c>
      <c r="AW100" s="3">
        <f t="shared" si="323"/>
        <v>26.4</v>
      </c>
      <c r="AX100" s="3">
        <f t="shared" si="324"/>
        <v>79.2</v>
      </c>
      <c r="AY100" s="28"/>
      <c r="AZ100" s="28"/>
      <c r="BA100" s="28">
        <f t="shared" si="332"/>
        <v>184.8</v>
      </c>
      <c r="BB100" s="2" t="e">
        <f t="shared" si="333"/>
        <v>#REF!</v>
      </c>
      <c r="BC100" s="1" t="e">
        <f t="shared" si="369"/>
        <v>#REF!</v>
      </c>
      <c r="BD100" s="1" t="e">
        <f>VLOOKUP(C100,FYTM2,3,false)</f>
        <v>#REF!</v>
      </c>
      <c r="BE100" s="3" t="e">
        <f t="shared" si="358"/>
        <v>#REF!</v>
      </c>
      <c r="BF100" s="1">
        <f>VLOOKUP(C100,MOQ,3,FALSE())</f>
        <v>120.0</v>
      </c>
      <c r="BI100" s="1" t="e">
        <f t="shared" si="239"/>
        <v>#REF!</v>
      </c>
      <c r="BJ100" s="1">
        <f t="shared" si="359"/>
        <v>0.0</v>
      </c>
      <c r="BK100" s="1" t="e">
        <f t="shared" si="336"/>
        <v>#REF!</v>
      </c>
      <c r="BL100" s="3" t="e">
        <f t="shared" si="242"/>
        <v>#REF!</v>
      </c>
      <c r="BM100" s="1">
        <f t="shared" si="360"/>
        <v>26.4</v>
      </c>
      <c r="BN100" s="1" t="e">
        <f t="shared" si="338"/>
        <v>#REF!</v>
      </c>
      <c r="BO100" s="3" t="e">
        <f t="shared" si="245"/>
        <v>#REF!</v>
      </c>
      <c r="BP100" s="1">
        <f t="shared" si="361"/>
        <v>0.0</v>
      </c>
      <c r="BR100" s="3" t="e">
        <f t="shared" si="247"/>
        <v>#REF!</v>
      </c>
      <c r="BS100" s="1">
        <f t="shared" si="362"/>
        <v>52.8</v>
      </c>
      <c r="BU100" s="3" t="e">
        <f t="shared" si="249"/>
        <v>#REF!</v>
      </c>
      <c r="BV100" s="1">
        <f t="shared" si="363"/>
        <v>26.4</v>
      </c>
      <c r="BX100" s="3" t="e">
        <f t="shared" si="251"/>
        <v>#REF!</v>
      </c>
      <c r="BY100" s="1">
        <f t="shared" si="364"/>
        <v>79.2</v>
      </c>
      <c r="CA100" s="3" t="e">
        <f t="shared" si="253"/>
        <v>#REF!</v>
      </c>
    </row>
    <row r="103">
      <c r="BG103" s="48"/>
    </row>
    <row r="104">
      <c r="BG104" s="15"/>
    </row>
  </sheetData>
  <mergeCells count="16">
    <mergeCell ref="BM6:BO6"/>
    <mergeCell ref="BP71:BR71"/>
    <mergeCell ref="BM71:BO71"/>
    <mergeCell ref="BP6:BR6"/>
    <mergeCell ref="BS71:BU71"/>
    <mergeCell ref="BS6:BU6"/>
    <mergeCell ref="BV6:BX6"/>
    <mergeCell ref="BV71:BX71"/>
    <mergeCell ref="BY6:CA6"/>
    <mergeCell ref="CB71:CD71"/>
    <mergeCell ref="BY71:CA71"/>
    <mergeCell ref="CB6:CD6"/>
    <mergeCell ref="CE71:CG71"/>
    <mergeCell ref="CE6:CG6"/>
    <mergeCell ref="BJ6:BL6"/>
    <mergeCell ref="BJ71:BL71"/>
  </mergeCells>
  <conditionalFormatting sqref="E8:AN67">
    <cfRule dxfId="0" operator="equal" type="cellIs" priority="1">
      <formula>0</formula>
    </cfRule>
  </conditionalFormatting>
  <conditionalFormatting sqref="C73:AN100 E70:AA70">
    <cfRule dxfId="0" operator="equal" type="cellIs" priority="2">
      <formula>0</formula>
    </cfRule>
  </conditionalFormatting>
  <conditionalFormatting sqref="C1:C262142">
    <cfRule dxfId="1" operator="containsText" type="containsText" priority="3" text="set up">
      <formula>NOT(ISERROR(SEARCH("set up",C1)))</formula>
    </cfRule>
  </conditionalFormatting>
  <conditionalFormatting sqref="BE101:BE262142 BE22:BE72 BE1:BE9">
    <cfRule dxfId="2" operator="lessThan" type="cellIs" priority="4">
      <formula>0</formula>
    </cfRule>
  </conditionalFormatting>
  <conditionalFormatting sqref="BI8:CA8 BI9:BP67 BR9:BS67 BU9:CA67 BQ9:BQ9 BQ22:BQ29 BQ64:BQ67 BT9:BT9 BT22:BT29 BT64:BT67">
    <cfRule dxfId="3" operator="lessThan" type="cellIs" priority="5">
      <formula>0</formula>
    </cfRule>
  </conditionalFormatting>
  <conditionalFormatting sqref="BL73:BM100 BI73:BJ100 BO73:CA100">
    <cfRule dxfId="3" operator="lessThan" type="cellIs" priority="6">
      <formula>0</formula>
    </cfRule>
  </conditionalFormatting>
  <conditionalFormatting sqref="BK73:BK100">
    <cfRule dxfId="3" operator="lessThan" type="cellIs" priority="7">
      <formula>0</formula>
    </cfRule>
  </conditionalFormatting>
  <conditionalFormatting sqref="BN73:BN100">
    <cfRule dxfId="3" operator="lessThan" type="cellIs" priority="8">
      <formula>0</formula>
    </cfRule>
  </conditionalFormatting>
  <conditionalFormatting sqref="BE73:BE100">
    <cfRule dxfId="2" operator="lessThan" type="cellIs" priority="9">
      <formula>0</formula>
    </cfRule>
  </conditionalFormatting>
  <conditionalFormatting sqref="CB8:CD9 CB22:CD29">
    <cfRule dxfId="3" operator="lessThan" type="cellIs" priority="10">
      <formula>0</formula>
    </cfRule>
  </conditionalFormatting>
  <conditionalFormatting sqref="CE8:CG9 CE22:CG29">
    <cfRule dxfId="3" operator="lessThan" type="cellIs" priority="11">
      <formula>0</formula>
    </cfRule>
  </conditionalFormatting>
  <conditionalFormatting sqref="CB80:CD84">
    <cfRule dxfId="3" operator="lessThan" type="cellIs" priority="12">
      <formula>0</formula>
    </cfRule>
  </conditionalFormatting>
  <conditionalFormatting sqref="CE80:CG84">
    <cfRule dxfId="3" operator="lessThan" type="cellIs" priority="13">
      <formula>0</formula>
    </cfRule>
  </conditionalFormatting>
  <conditionalFormatting sqref="CB64:CD67">
    <cfRule dxfId="3" operator="lessThan" type="cellIs" priority="14">
      <formula>0</formula>
    </cfRule>
  </conditionalFormatting>
  <conditionalFormatting sqref="CE64:CG65">
    <cfRule dxfId="3" operator="lessThan" type="cellIs" priority="15">
      <formula>0</formula>
    </cfRule>
  </conditionalFormatting>
  <conditionalFormatting sqref="CE66:CG66">
    <cfRule dxfId="3" operator="lessThan" type="cellIs" priority="16">
      <formula>0</formula>
    </cfRule>
  </conditionalFormatting>
  <conditionalFormatting sqref="CE67:CG67">
    <cfRule dxfId="3" operator="lessThan" type="cellIs" priority="17">
      <formula>0</formula>
    </cfRule>
  </conditionalFormatting>
  <conditionalFormatting sqref="BB8:BB67 BB80:BB84">
    <cfRule dxfId="3" operator="lessThanOrEqual" type="cellIs" priority="18">
      <formula>0</formula>
    </cfRule>
  </conditionalFormatting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A113"/>
  <sheetViews>
    <sheetView workbookViewId="0" showGridLines="0">
      <pane xSplit="4" ySplit="7" topLeftCell="E8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hidden="1" style="1" width="0.0" outlineLevel="1"/>
    <col min="30" max="30" hidden="1" style="1" width="0.0" outlineLevel="1"/>
    <col min="31" max="31" style="1" width="6.49" collapsed="1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39" style="1" width="8.21"/>
    <col min="40" max="40" style="1" width="8.21"/>
    <col min="41" max="42" style="1" width="7.15"/>
    <col min="43" max="43" style="2" width="7.68"/>
    <col min="44" max="44" style="2" width="9.8"/>
    <col min="45" max="45" style="2" width="12.45"/>
    <col min="46" max="46" style="1" width="3.17"/>
    <col min="47" max="47" style="1" width="7.28"/>
    <col min="48" max="50" style="1" width="11.12"/>
    <col min="51" max="52" style="2" width="11.12"/>
    <col min="53" max="53" style="2" width="9.67"/>
    <col min="54" max="54" style="2" width="9.67"/>
    <col min="55" max="55" style="1" width="13.24"/>
    <col min="56" max="56" style="1" width="13.24"/>
    <col min="57" max="57" style="3" width="10.06"/>
    <col min="58" max="58" style="1" width="6.62"/>
    <col min="59" max="59" style="4" width="12.05"/>
    <col min="60" max="60" style="1" width="14.7"/>
    <col min="61" max="61" style="1" width="8.87"/>
    <col min="62" max="73" style="1" width="8.87"/>
    <col min="74" max="77" style="1" width="7.94"/>
    <col min="78" max="79" style="1" width="8.21"/>
    <col min="80" max="1016" style="1" width="13.24"/>
    <col min="1017" max="1025" width="13.24"/>
  </cols>
  <sheetData>
    <row r="1">
      <c r="AQ1" s="5"/>
      <c r="AR1" s="5"/>
      <c r="AS1" s="5"/>
      <c r="BH1" s="6"/>
    </row>
    <row r="2">
      <c r="AQ2" s="5"/>
      <c r="AR2" s="5"/>
      <c r="AS2" s="5"/>
      <c r="AU2" s="170" t="s">
        <v>238</v>
      </c>
      <c r="AV2" s="183" t="s">
        <v>222</v>
      </c>
      <c r="AW2" s="170" t="s">
        <v>223</v>
      </c>
      <c r="AX2" s="170" t="s">
        <v>223</v>
      </c>
      <c r="AY2" s="170" t="s">
        <v>223</v>
      </c>
      <c r="AZ2" s="170" t="s">
        <v>223</v>
      </c>
      <c r="BG2" s="184" t="s">
        <v>246</v>
      </c>
      <c r="BH2" s="185"/>
    </row>
    <row r="3">
      <c r="AQ3" s="5"/>
      <c r="AR3" s="5"/>
      <c r="AS3" s="5"/>
      <c r="AV3" s="170" t="s">
        <v>224</v>
      </c>
      <c r="AW3" s="170" t="s">
        <v>225</v>
      </c>
      <c r="AX3" s="170" t="s">
        <v>225</v>
      </c>
      <c r="AY3" s="170" t="s">
        <v>225</v>
      </c>
      <c r="AZ3" s="170" t="s">
        <v>225</v>
      </c>
      <c r="BG3" s="175" t="s">
        <v>77</v>
      </c>
      <c r="BH3" s="6"/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L4" s="7"/>
      <c r="AM4" s="7"/>
      <c r="AN4" s="7"/>
      <c r="AO4" s="7"/>
      <c r="AP4" s="7"/>
      <c r="AQ4" s="5"/>
      <c r="AR4" s="8"/>
      <c r="AS4" s="8"/>
      <c r="AU4" s="7"/>
      <c r="AV4" s="7"/>
      <c r="AW4" s="7"/>
      <c r="AX4" s="7"/>
      <c r="AY4" s="7"/>
      <c r="AZ4" s="7"/>
      <c r="BH4" s="6"/>
    </row>
    <row r="5">
      <c r="E5" s="7">
        <v>0.097</v>
      </c>
      <c r="F5" s="7">
        <v>0.046</v>
      </c>
      <c r="G5" s="7">
        <v>0.089</v>
      </c>
      <c r="H5" s="7">
        <v>0.073</v>
      </c>
      <c r="I5" s="7">
        <v>0.057</v>
      </c>
      <c r="J5" s="7">
        <v>0.114</v>
      </c>
      <c r="K5" s="7">
        <v>0.127</v>
      </c>
      <c r="L5" s="7">
        <v>0.115</v>
      </c>
      <c r="M5" s="7">
        <v>0.094</v>
      </c>
      <c r="N5" s="7">
        <v>0.052</v>
      </c>
      <c r="O5" s="7">
        <v>0.065</v>
      </c>
      <c r="P5" s="7">
        <v>0.07</v>
      </c>
      <c r="Q5" s="7">
        <v>0.097</v>
      </c>
      <c r="R5" s="7">
        <v>0.046</v>
      </c>
      <c r="S5" s="7">
        <v>0.089</v>
      </c>
      <c r="T5" s="7">
        <v>0.073</v>
      </c>
      <c r="U5" s="7">
        <v>0.057</v>
      </c>
      <c r="V5" s="7">
        <v>0.114</v>
      </c>
      <c r="W5" s="7">
        <v>0.127</v>
      </c>
      <c r="X5" s="7">
        <v>0.115</v>
      </c>
      <c r="Y5" s="7">
        <v>0.094</v>
      </c>
      <c r="Z5" s="7">
        <v>0.052</v>
      </c>
      <c r="AA5" s="7">
        <v>0.065</v>
      </c>
      <c r="AB5" s="7">
        <v>0.07</v>
      </c>
      <c r="AC5" s="7">
        <v>0.097</v>
      </c>
      <c r="AD5" s="7">
        <v>0.046</v>
      </c>
      <c r="AE5" s="7">
        <v>0.089</v>
      </c>
      <c r="AF5" s="7">
        <v>0.073</v>
      </c>
      <c r="AG5" s="7">
        <v>0.057</v>
      </c>
      <c r="AH5" s="7">
        <v>0.114</v>
      </c>
      <c r="AI5" s="7">
        <v>0.127</v>
      </c>
      <c r="AJ5" s="7">
        <v>0.115</v>
      </c>
      <c r="AK5" s="7">
        <v>0.094</v>
      </c>
      <c r="AL5" s="7">
        <v>0.052</v>
      </c>
      <c r="AM5" s="7">
        <v>0.065</v>
      </c>
      <c r="AN5" s="152" t="s">
        <v>0</v>
      </c>
      <c r="AO5" s="7">
        <v>0.097</v>
      </c>
      <c r="AP5" s="7">
        <v>0.046</v>
      </c>
      <c r="AQ5" s="5">
        <f>SUM(AE5:AP5)</f>
        <v>0.929</v>
      </c>
      <c r="AR5" s="8">
        <f>SUM(AK5:AP5)</f>
        <v>0.354</v>
      </c>
      <c r="AS5" s="8">
        <f>AR5*1.1</f>
        <v>0.3894</v>
      </c>
      <c r="AU5" s="7">
        <v>0.089</v>
      </c>
      <c r="AV5" s="7">
        <v>0.073</v>
      </c>
      <c r="AW5" s="7">
        <v>0.057</v>
      </c>
      <c r="AX5" s="7">
        <v>0.114</v>
      </c>
      <c r="AY5" s="7">
        <v>0.127</v>
      </c>
      <c r="AZ5" s="7">
        <v>0.115</v>
      </c>
      <c r="BH5" s="6"/>
    </row>
    <row r="6" ht="14.0">
      <c r="A6" s="6"/>
      <c r="B6" s="6"/>
      <c r="C6" s="6"/>
      <c r="D6" s="6"/>
      <c r="E6" s="9">
        <v>45799</v>
      </c>
      <c r="F6" s="9">
        <v>45830</v>
      </c>
      <c r="G6" s="9">
        <v>45860</v>
      </c>
      <c r="H6" s="9">
        <v>45891</v>
      </c>
      <c r="I6" s="9">
        <v>45922</v>
      </c>
      <c r="J6" s="9">
        <v>45952</v>
      </c>
      <c r="K6" s="9">
        <v>45983</v>
      </c>
      <c r="L6" s="9">
        <v>46013</v>
      </c>
      <c r="M6" s="9">
        <v>45680</v>
      </c>
      <c r="N6" s="9">
        <v>45711</v>
      </c>
      <c r="O6" s="9">
        <v>45739</v>
      </c>
      <c r="P6" s="9">
        <v>45770</v>
      </c>
      <c r="Q6" s="10">
        <v>45800</v>
      </c>
      <c r="R6" s="10">
        <v>45831</v>
      </c>
      <c r="S6" s="10">
        <v>45861</v>
      </c>
      <c r="T6" s="10">
        <v>45892</v>
      </c>
      <c r="U6" s="10">
        <v>45923</v>
      </c>
      <c r="V6" s="10">
        <v>45953</v>
      </c>
      <c r="W6" s="10">
        <v>45984</v>
      </c>
      <c r="X6" s="10">
        <v>46014</v>
      </c>
      <c r="Y6" s="10">
        <v>45681</v>
      </c>
      <c r="Z6" s="10">
        <v>45712</v>
      </c>
      <c r="AA6" s="10">
        <v>45740</v>
      </c>
      <c r="AB6" s="10">
        <v>45771</v>
      </c>
      <c r="AC6" s="10">
        <v>45801</v>
      </c>
      <c r="AD6" s="10">
        <v>45832</v>
      </c>
      <c r="AE6" s="11">
        <v>45862</v>
      </c>
      <c r="AF6" s="11">
        <v>45893</v>
      </c>
      <c r="AG6" s="11">
        <v>45924</v>
      </c>
      <c r="AH6" s="11">
        <v>45954</v>
      </c>
      <c r="AI6" s="11">
        <v>45985</v>
      </c>
      <c r="AJ6" s="11">
        <v>46015</v>
      </c>
      <c r="AK6" s="11">
        <v>45682</v>
      </c>
      <c r="AL6" s="11">
        <v>45713</v>
      </c>
      <c r="AM6" s="11">
        <v>45741</v>
      </c>
      <c r="AN6" s="11">
        <v>45772</v>
      </c>
      <c r="AO6" s="11">
        <v>45802</v>
      </c>
      <c r="AP6" s="11">
        <v>45833</v>
      </c>
      <c r="AQ6" s="12" t="s">
        <v>1</v>
      </c>
      <c r="AR6" s="12" t="s">
        <v>247</v>
      </c>
      <c r="AS6" s="12" t="s">
        <v>247</v>
      </c>
      <c r="AT6" s="13"/>
      <c r="AU6" s="11">
        <v>45862</v>
      </c>
      <c r="AV6" s="11">
        <v>45893</v>
      </c>
      <c r="AW6" s="11">
        <v>45924</v>
      </c>
      <c r="AX6" s="11">
        <v>45955</v>
      </c>
      <c r="AY6" s="11">
        <v>45986</v>
      </c>
      <c r="AZ6" s="11">
        <v>46016</v>
      </c>
      <c r="BA6" s="13" t="s">
        <v>3</v>
      </c>
      <c r="BB6" s="13" t="s">
        <v>3</v>
      </c>
      <c r="BC6" s="13" t="s">
        <v>3</v>
      </c>
      <c r="BD6" s="13" t="s">
        <v>3</v>
      </c>
      <c r="BE6" s="14" t="s">
        <v>3</v>
      </c>
      <c r="BF6" s="13" t="s">
        <v>3</v>
      </c>
      <c r="BG6" s="15" t="s">
        <v>3</v>
      </c>
      <c r="BH6" s="13"/>
      <c r="BI6" s="13" t="s">
        <v>6</v>
      </c>
      <c r="BJ6" s="13" t="s">
        <v>7</v>
      </c>
      <c r="BK6" s="13"/>
      <c r="BL6" s="13"/>
      <c r="BM6" s="13" t="s">
        <v>8</v>
      </c>
      <c r="BN6" s="13"/>
      <c r="BO6" s="13"/>
      <c r="BP6" s="13" t="s">
        <v>9</v>
      </c>
      <c r="BQ6" s="13"/>
      <c r="BR6" s="13"/>
      <c r="BS6" s="13" t="s">
        <v>10</v>
      </c>
      <c r="BT6" s="13"/>
      <c r="BU6" s="13"/>
      <c r="BV6" s="13" t="s">
        <v>227</v>
      </c>
      <c r="BW6" s="13"/>
      <c r="BX6" s="13"/>
      <c r="BY6" s="13" t="s">
        <v>212</v>
      </c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</row>
    <row r="7" ht="29.0">
      <c r="A7" s="16" t="s">
        <v>11</v>
      </c>
      <c r="B7" s="16" t="s">
        <v>12</v>
      </c>
      <c r="C7" s="16" t="s">
        <v>13</v>
      </c>
      <c r="D7" s="17" t="s">
        <v>14</v>
      </c>
      <c r="E7" s="18" t="s">
        <v>15</v>
      </c>
      <c r="F7" s="18" t="s">
        <v>15</v>
      </c>
      <c r="G7" s="18" t="s">
        <v>15</v>
      </c>
      <c r="H7" s="18" t="s">
        <v>15</v>
      </c>
      <c r="I7" s="18" t="s">
        <v>15</v>
      </c>
      <c r="J7" s="18" t="s">
        <v>15</v>
      </c>
      <c r="K7" s="18" t="s">
        <v>15</v>
      </c>
      <c r="L7" s="18" t="s">
        <v>15</v>
      </c>
      <c r="M7" s="18" t="s">
        <v>15</v>
      </c>
      <c r="N7" s="18" t="s">
        <v>15</v>
      </c>
      <c r="O7" s="18" t="s">
        <v>15</v>
      </c>
      <c r="P7" s="18" t="s">
        <v>15</v>
      </c>
      <c r="Q7" s="18" t="s">
        <v>15</v>
      </c>
      <c r="R7" s="18" t="s">
        <v>15</v>
      </c>
      <c r="S7" s="18" t="s">
        <v>15</v>
      </c>
      <c r="T7" s="18" t="s">
        <v>15</v>
      </c>
      <c r="U7" s="18" t="s">
        <v>15</v>
      </c>
      <c r="V7" s="18" t="s">
        <v>15</v>
      </c>
      <c r="W7" s="18" t="s">
        <v>15</v>
      </c>
      <c r="X7" s="18" t="s">
        <v>15</v>
      </c>
      <c r="Y7" s="18" t="s">
        <v>15</v>
      </c>
      <c r="Z7" s="18" t="s">
        <v>15</v>
      </c>
      <c r="AA7" s="18" t="s">
        <v>15</v>
      </c>
      <c r="AB7" s="18" t="s">
        <v>15</v>
      </c>
      <c r="AC7" s="18" t="s">
        <v>15</v>
      </c>
      <c r="AD7" s="18" t="s">
        <v>15</v>
      </c>
      <c r="AE7" s="18" t="s">
        <v>15</v>
      </c>
      <c r="AF7" s="18" t="s">
        <v>15</v>
      </c>
      <c r="AG7" s="18" t="s">
        <v>15</v>
      </c>
      <c r="AH7" s="18" t="s">
        <v>15</v>
      </c>
      <c r="AI7" s="18" t="s">
        <v>15</v>
      </c>
      <c r="AJ7" s="18" t="s">
        <v>15</v>
      </c>
      <c r="AK7" s="18" t="s">
        <v>15</v>
      </c>
      <c r="AL7" s="18" t="s">
        <v>15</v>
      </c>
      <c r="AM7" s="18" t="s">
        <v>15</v>
      </c>
      <c r="AN7" s="18" t="s">
        <v>15</v>
      </c>
      <c r="AO7" s="18"/>
      <c r="AP7" s="18"/>
      <c r="AQ7" s="19" t="s">
        <v>3</v>
      </c>
      <c r="AR7" s="19" t="s">
        <v>3</v>
      </c>
      <c r="AS7" s="19" t="s">
        <v>16</v>
      </c>
      <c r="AT7" s="20"/>
      <c r="AU7" s="21" t="s">
        <v>17</v>
      </c>
      <c r="AV7" s="21" t="s">
        <v>17</v>
      </c>
      <c r="AW7" s="21" t="s">
        <v>17</v>
      </c>
      <c r="AX7" s="21" t="s">
        <v>17</v>
      </c>
      <c r="AY7" s="21" t="s">
        <v>17</v>
      </c>
      <c r="AZ7" s="21" t="s">
        <v>17</v>
      </c>
      <c r="BA7" s="21" t="s">
        <v>17</v>
      </c>
      <c r="BB7" s="18" t="s">
        <v>233</v>
      </c>
      <c r="BC7" s="22" t="s">
        <v>240</v>
      </c>
      <c r="BD7" s="22" t="s">
        <v>229</v>
      </c>
      <c r="BE7" s="23" t="s">
        <v>21</v>
      </c>
      <c r="BF7" s="18" t="s">
        <v>22</v>
      </c>
      <c r="BG7" s="24" t="s">
        <v>23</v>
      </c>
      <c r="BH7" s="25" t="s">
        <v>24</v>
      </c>
      <c r="BI7" s="18" t="s">
        <v>25</v>
      </c>
      <c r="BJ7" s="18" t="s">
        <v>17</v>
      </c>
      <c r="BK7" s="18" t="s">
        <v>26</v>
      </c>
      <c r="BL7" s="18" t="s">
        <v>27</v>
      </c>
      <c r="BM7" s="18" t="s">
        <v>17</v>
      </c>
      <c r="BN7" s="18" t="s">
        <v>26</v>
      </c>
      <c r="BO7" s="18" t="s">
        <v>27</v>
      </c>
      <c r="BP7" s="18" t="s">
        <v>17</v>
      </c>
      <c r="BQ7" s="18" t="s">
        <v>26</v>
      </c>
      <c r="BR7" s="18" t="s">
        <v>27</v>
      </c>
      <c r="BS7" s="18" t="s">
        <v>17</v>
      </c>
      <c r="BT7" s="18" t="s">
        <v>26</v>
      </c>
      <c r="BU7" s="18" t="s">
        <v>27</v>
      </c>
      <c r="BV7" s="18" t="s">
        <v>17</v>
      </c>
      <c r="BW7" s="18" t="s">
        <v>26</v>
      </c>
      <c r="BX7" s="18" t="s">
        <v>27</v>
      </c>
      <c r="BY7" s="18" t="s">
        <v>17</v>
      </c>
      <c r="BZ7" s="18" t="s">
        <v>26</v>
      </c>
      <c r="CA7" s="18" t="s">
        <v>27</v>
      </c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</row>
    <row r="8" ht="17.0">
      <c r="A8" s="166" t="s">
        <v>28</v>
      </c>
      <c r="B8" s="27" t="s">
        <v>29</v>
      </c>
      <c r="C8" s="166" t="s">
        <v>30</v>
      </c>
      <c r="D8" s="166" t="s">
        <v>31</v>
      </c>
      <c r="E8" s="27"/>
      <c r="F8" s="27">
        <v>571.0</v>
      </c>
      <c r="G8" s="27">
        <v>495.0</v>
      </c>
      <c r="H8" s="27">
        <v>826.0</v>
      </c>
      <c r="I8" s="27">
        <v>491.0</v>
      </c>
      <c r="J8" s="27">
        <v>372.0</v>
      </c>
      <c r="K8" s="27">
        <v>638.0</v>
      </c>
      <c r="L8" s="27">
        <v>765.0</v>
      </c>
      <c r="M8" s="27">
        <v>626.0</v>
      </c>
      <c r="N8" s="27">
        <v>646.0</v>
      </c>
      <c r="O8" s="27">
        <v>490.0</v>
      </c>
      <c r="P8" s="27">
        <v>880.0</v>
      </c>
      <c r="Q8" s="27">
        <v>456.0</v>
      </c>
      <c r="R8" s="27">
        <v>439.0</v>
      </c>
      <c r="S8" s="27">
        <v>396.0</v>
      </c>
      <c r="T8" s="27">
        <v>330.0</v>
      </c>
      <c r="U8" s="27">
        <v>377.0</v>
      </c>
      <c r="V8" s="27">
        <v>535.0</v>
      </c>
      <c r="W8" s="27">
        <v>489.0</v>
      </c>
      <c r="X8" s="27">
        <v>512.0</v>
      </c>
      <c r="Y8" s="27">
        <v>468.0</v>
      </c>
      <c r="Z8" s="27">
        <v>520.0</v>
      </c>
      <c r="AA8" s="27">
        <v>414.0</v>
      </c>
      <c r="AB8" s="27">
        <v>433.0</v>
      </c>
      <c r="AC8" s="27">
        <v>324.0</v>
      </c>
      <c r="AD8" s="27">
        <v>315.0</v>
      </c>
      <c r="AE8" s="27">
        <v>331.0</v>
      </c>
      <c r="AF8" s="27">
        <v>335.0</v>
      </c>
      <c r="AG8" s="27">
        <v>240.0</v>
      </c>
      <c r="AH8" s="27">
        <v>518.0</v>
      </c>
      <c r="AI8" s="27">
        <v>622.0</v>
      </c>
      <c r="AJ8" s="27">
        <v>496.0</v>
      </c>
      <c r="AK8" s="27">
        <v>325.0</v>
      </c>
      <c r="AL8" s="27">
        <v>355.0</v>
      </c>
      <c r="AM8" s="27">
        <v>415.0</v>
      </c>
      <c r="AN8" s="27">
        <v>240.0</v>
      </c>
      <c r="AO8" s="186">
        <v>143.0</v>
      </c>
      <c r="AP8" s="187">
        <v>307.0</v>
      </c>
      <c r="AQ8" s="28">
        <f t="shared" ref="AQ8:AQ67" si="3">SUM(AE8:AP8)</f>
        <v>4327.0</v>
      </c>
      <c r="AR8" s="28">
        <f t="shared" ref="AR8:AR67" si="4">SUM(AK8:AP8)</f>
        <v>1785.0</v>
      </c>
      <c r="AS8" s="28">
        <f t="shared" ref="AS8:AS63" si="5">AR8*1.1</f>
        <v>1963.5</v>
      </c>
      <c r="AU8" s="171">
        <f t="shared" ref="AU8:AU14" si="6">AS8*$AU$5/$AS$5+6*$AU$16</f>
        <v>454.77118644068</v>
      </c>
      <c r="AV8" s="171">
        <f t="shared" ref="AV8:AV14" si="7">AS8*$AV$5/$AS$5+6*$AV$16</f>
        <v>374.093220338983</v>
      </c>
      <c r="AW8" s="171">
        <f t="shared" ref="AW8:AW14" si="8">AS8*$AW$5/$AS$5+6*$AW$16</f>
        <v>293.415254237288</v>
      </c>
      <c r="AX8" s="171">
        <f t="shared" ref="AX8:AX14" si="9">AS8*$AX$5/$AS$5+6*$AX$16</f>
        <v>580.830508474576</v>
      </c>
      <c r="AY8" s="175">
        <f t="shared" ref="AY8:AY9" si="10">AS8*$AY$5/$AS$5+6*$AY$16</f>
        <v>646.381355932203</v>
      </c>
      <c r="AZ8" s="175">
        <f t="shared" ref="AZ8:AZ9" si="11">AS8*$AZ$5/$AS$5+6*$AZ$16</f>
        <v>585.872881355932</v>
      </c>
      <c r="BA8" s="2">
        <f t="shared" ref="BA8:BA69" si="12">SUM(AU8:AZ8)</f>
        <v>2935.36440677966</v>
      </c>
      <c r="BB8" s="2" t="e">
        <f t="shared" ref="BB8:BB63" si="13">VLOOKUP(D8,SOHJUNE30,3,false)</f>
        <v>#REF!</v>
      </c>
      <c r="BD8" s="36"/>
      <c r="BE8" s="28" t="e">
        <f t="shared" ref="BE8:BE20" si="14">BB8+BC8+BD8-BA8</f>
        <v>#REF!</v>
      </c>
      <c r="BF8" s="29">
        <f>VLOOKUP(C8,MOQ,3,FALSE())</f>
        <v>504.0</v>
      </c>
      <c r="BG8" s="30" t="s">
        <v>32</v>
      </c>
      <c r="BH8" s="29" t="s">
        <v>77</v>
      </c>
      <c r="BI8" s="1" t="e">
        <f t="shared" ref="BI8:BI20" si="16">BB8</f>
        <v>#REF!</v>
      </c>
      <c r="BJ8" s="1">
        <f t="shared" ref="BJ8:BJ20" si="17">AU8</f>
        <v>454.77118644068</v>
      </c>
      <c r="BK8">
        <f t="shared" ref="BK8:BK9" si="18">BC8</f>
      </c>
      <c r="BL8" s="3" t="e">
        <f t="shared" ref="BL8:BL29" si="19">BI8+BK8-BJ8</f>
        <v>#REF!</v>
      </c>
      <c r="BM8" s="1">
        <f t="shared" ref="BM8:BM20" si="20">AV8</f>
        <v>374.093220338983</v>
      </c>
      <c r="BN8">
        <f t="shared" ref="BN8:BN9" si="21">BD8</f>
      </c>
      <c r="BO8" s="3" t="e">
        <f t="shared" ref="BO8:BO20" si="22">BL8+BN8-BM8</f>
        <v>#REF!</v>
      </c>
      <c r="BP8" s="1">
        <f t="shared" ref="BP8:BP20" si="23">AW8</f>
        <v>293.415254237288</v>
      </c>
      <c r="BR8" s="3" t="e">
        <f t="shared" ref="BR8:BR20" si="24">BO8+BQ8-BP8</f>
        <v>#REF!</v>
      </c>
      <c r="BS8" s="1">
        <f t="shared" ref="BS8:BS20" si="25">AX8</f>
        <v>580.830508474576</v>
      </c>
      <c r="BU8" s="3" t="e">
        <f t="shared" ref="BU8:BU20" si="26">BR8+BT8-BS8</f>
        <v>#REF!</v>
      </c>
      <c r="BV8" s="1">
        <f t="shared" ref="BV8:BV9" si="27">AY8</f>
        <v>646.381355932203</v>
      </c>
      <c r="BX8" s="3" t="e">
        <f t="shared" ref="BX8:BX9" si="28">BU8+BW8-BV8</f>
        <v>#REF!</v>
      </c>
      <c r="BY8" s="1">
        <f t="shared" ref="BY8:BY9" si="29">AZ8</f>
        <v>585.872881355932</v>
      </c>
      <c r="CA8" s="3" t="e">
        <f t="shared" ref="CA8:CA9" si="30">BX8+BZ8-BY8</f>
        <v>#REF!</v>
      </c>
    </row>
    <row r="9" ht="17.0">
      <c r="A9" s="166" t="s">
        <v>28</v>
      </c>
      <c r="B9" s="27" t="s">
        <v>29</v>
      </c>
      <c r="C9" s="166" t="s">
        <v>33</v>
      </c>
      <c r="D9" s="166" t="s">
        <v>34</v>
      </c>
      <c r="E9" s="27"/>
      <c r="F9" s="27">
        <v>143.0</v>
      </c>
      <c r="G9" s="27">
        <v>257.0</v>
      </c>
      <c r="H9" s="27">
        <v>282.0</v>
      </c>
      <c r="I9" s="27">
        <v>353.0</v>
      </c>
      <c r="J9" s="27">
        <v>293.0</v>
      </c>
      <c r="K9" s="27">
        <v>447.0</v>
      </c>
      <c r="L9" s="27">
        <v>473.0</v>
      </c>
      <c r="M9" s="27">
        <v>257.0</v>
      </c>
      <c r="N9" s="27">
        <v>248.0</v>
      </c>
      <c r="O9" s="27">
        <v>237.0</v>
      </c>
      <c r="P9" s="27">
        <v>295.0</v>
      </c>
      <c r="Q9" s="27">
        <v>223.0</v>
      </c>
      <c r="R9" s="27">
        <v>180.0</v>
      </c>
      <c r="S9" s="27">
        <v>247.0</v>
      </c>
      <c r="T9" s="27">
        <v>250.0</v>
      </c>
      <c r="U9" s="27">
        <v>156.0</v>
      </c>
      <c r="V9" s="27">
        <v>155.0</v>
      </c>
      <c r="W9" s="27">
        <v>286.0</v>
      </c>
      <c r="X9" s="27">
        <v>305.0</v>
      </c>
      <c r="Y9" s="27">
        <v>297.0</v>
      </c>
      <c r="Z9" s="27">
        <v>264.0</v>
      </c>
      <c r="AA9" s="27">
        <v>196.0</v>
      </c>
      <c r="AB9" s="27">
        <v>262.0</v>
      </c>
      <c r="AC9" s="27">
        <v>180.0</v>
      </c>
      <c r="AD9" s="27">
        <v>126.0</v>
      </c>
      <c r="AE9" s="27">
        <v>185.0</v>
      </c>
      <c r="AF9" s="27">
        <v>156.0</v>
      </c>
      <c r="AG9" s="27">
        <v>186.0</v>
      </c>
      <c r="AH9" s="27">
        <v>344.0</v>
      </c>
      <c r="AI9" s="27">
        <v>397.0</v>
      </c>
      <c r="AJ9" s="27">
        <v>252.0</v>
      </c>
      <c r="AK9" s="27">
        <v>198.0</v>
      </c>
      <c r="AL9" s="27">
        <v>212.0</v>
      </c>
      <c r="AM9" s="27">
        <v>145.0</v>
      </c>
      <c r="AN9" s="27">
        <v>130.0</v>
      </c>
      <c r="AO9" s="186">
        <v>397.0</v>
      </c>
      <c r="AP9" s="186">
        <v>377.0</v>
      </c>
      <c r="AQ9" s="28">
        <f t="shared" si="3"/>
        <v>2979.0</v>
      </c>
      <c r="AR9" s="28">
        <f t="shared" si="4"/>
        <v>1459.0</v>
      </c>
      <c r="AS9" s="28">
        <f t="shared" si="5"/>
        <v>1604.9</v>
      </c>
      <c r="AU9" s="1">
        <f t="shared" si="6"/>
        <v>372.810734463277</v>
      </c>
      <c r="AV9" s="1">
        <f t="shared" si="7"/>
        <v>306.867231638418</v>
      </c>
      <c r="AW9" s="1">
        <f t="shared" si="8"/>
        <v>240.923728813559</v>
      </c>
      <c r="AX9" s="171">
        <f t="shared" si="9"/>
        <v>475.847457627119</v>
      </c>
      <c r="AY9" s="175">
        <f t="shared" si="10"/>
        <v>529.426553672316</v>
      </c>
      <c r="AZ9" s="175">
        <f t="shared" si="11"/>
        <v>479.968926553672</v>
      </c>
      <c r="BA9" s="2">
        <f t="shared" si="12"/>
        <v>2405.84463276836</v>
      </c>
      <c r="BB9" s="2" t="e">
        <f t="shared" si="13"/>
        <v>#REF!</v>
      </c>
      <c r="BD9" s="36"/>
      <c r="BE9" s="28" t="e">
        <f t="shared" si="14"/>
        <v>#REF!</v>
      </c>
      <c r="BF9" s="29">
        <f>VLOOKUP(C9,MOQ,3,FALSE())</f>
        <v>504.0</v>
      </c>
      <c r="BG9" s="30" t="s">
        <v>32</v>
      </c>
      <c r="BH9" s="29" t="s">
        <v>10</v>
      </c>
      <c r="BI9" s="1" t="e">
        <f t="shared" si="16"/>
        <v>#REF!</v>
      </c>
      <c r="BJ9" s="1">
        <f t="shared" si="17"/>
        <v>372.810734463277</v>
      </c>
      <c r="BK9" s="1">
        <f t="shared" si="18"/>
      </c>
      <c r="BL9" s="3" t="e">
        <f t="shared" si="19"/>
        <v>#REF!</v>
      </c>
      <c r="BM9" s="1">
        <f t="shared" si="20"/>
        <v>306.867231638418</v>
      </c>
      <c r="BN9" s="1">
        <f t="shared" si="21"/>
      </c>
      <c r="BO9" s="3" t="e">
        <f t="shared" si="22"/>
        <v>#REF!</v>
      </c>
      <c r="BP9" s="1">
        <f t="shared" si="23"/>
        <v>240.923728813559</v>
      </c>
      <c r="BR9" s="3" t="e">
        <f t="shared" si="24"/>
        <v>#REF!</v>
      </c>
      <c r="BS9" s="1">
        <f t="shared" si="25"/>
        <v>475.847457627119</v>
      </c>
      <c r="BU9" s="3" t="e">
        <f t="shared" si="26"/>
        <v>#REF!</v>
      </c>
      <c r="BV9" s="1">
        <f t="shared" si="27"/>
        <v>529.426553672316</v>
      </c>
      <c r="BX9" s="3" t="e">
        <f t="shared" si="28"/>
        <v>#REF!</v>
      </c>
      <c r="BY9" s="1">
        <f t="shared" si="29"/>
        <v>479.968926553672</v>
      </c>
      <c r="CA9" s="3" t="e">
        <f t="shared" si="30"/>
        <v>#REF!</v>
      </c>
    </row>
    <row hidden="1" r="10" ht="14.0" outlineLevel="1">
      <c r="A10" s="27" t="s">
        <v>28</v>
      </c>
      <c r="B10" s="27" t="s">
        <v>29</v>
      </c>
      <c r="C10" s="27" t="s">
        <v>35</v>
      </c>
      <c r="D10" s="27" t="s">
        <v>36</v>
      </c>
      <c r="E10" s="27"/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168.0</v>
      </c>
      <c r="AB10" s="27">
        <v>78.0</v>
      </c>
      <c r="AC10" s="27">
        <v>58.0</v>
      </c>
      <c r="AD10" s="27">
        <v>53.0</v>
      </c>
      <c r="AE10" s="27">
        <v>38.0</v>
      </c>
      <c r="AF10" s="27">
        <v>35.0</v>
      </c>
      <c r="AG10" s="27">
        <v>27.0</v>
      </c>
      <c r="AH10" s="27">
        <v>28.0</v>
      </c>
      <c r="AI10" s="27">
        <v>42.0</v>
      </c>
      <c r="AJ10" s="27">
        <v>95.0</v>
      </c>
      <c r="AK10" s="27">
        <v>65.0</v>
      </c>
      <c r="AL10" s="27">
        <v>31.0</v>
      </c>
      <c r="AM10" s="27">
        <v>34.0</v>
      </c>
      <c r="AN10" s="27">
        <v>47.0</v>
      </c>
      <c r="AO10" s="186">
        <v>35.0</v>
      </c>
      <c r="AP10" s="186">
        <v>40.0</v>
      </c>
      <c r="AQ10" s="28">
        <f t="shared" si="3"/>
        <v>517.0</v>
      </c>
      <c r="AR10" s="28">
        <f t="shared" si="4"/>
        <v>252.0</v>
      </c>
      <c r="AS10" s="28">
        <f t="shared" si="5"/>
        <v>277.2</v>
      </c>
      <c r="AU10" s="1">
        <f t="shared" si="6"/>
        <v>69.3559322033898</v>
      </c>
      <c r="AV10" s="1">
        <f t="shared" si="7"/>
        <v>57.9661016949152</v>
      </c>
      <c r="AW10" s="1">
        <f t="shared" si="8"/>
        <v>46.5762711864407</v>
      </c>
      <c r="AX10" s="1">
        <f t="shared" si="9"/>
        <v>87.1525423728813</v>
      </c>
      <c r="BA10" s="2">
        <f t="shared" si="12"/>
        <v>261.050847457627</v>
      </c>
      <c r="BB10" s="2" t="e">
        <f t="shared" si="13"/>
        <v>#REF!</v>
      </c>
      <c r="BE10" s="28" t="e">
        <f t="shared" si="14"/>
        <v>#REF!</v>
      </c>
      <c r="BF10" s="1">
        <f>VLOOKUP(C10,MOQ,3,FALSE())</f>
        <v>1000.0</v>
      </c>
      <c r="BI10" s="1" t="e">
        <f t="shared" si="16"/>
        <v>#REF!</v>
      </c>
      <c r="BJ10" s="1">
        <f t="shared" si="17"/>
        <v>69.3559322033898</v>
      </c>
      <c r="BL10" s="3" t="e">
        <f t="shared" si="19"/>
        <v>#REF!</v>
      </c>
      <c r="BM10" s="1">
        <f t="shared" si="20"/>
        <v>57.9661016949152</v>
      </c>
      <c r="BO10" s="3" t="e">
        <f t="shared" si="22"/>
        <v>#REF!</v>
      </c>
      <c r="BP10" s="1">
        <f t="shared" si="23"/>
        <v>46.5762711864407</v>
      </c>
      <c r="BR10" s="3" t="e">
        <f t="shared" si="24"/>
        <v>#REF!</v>
      </c>
      <c r="BS10" s="1">
        <f t="shared" si="25"/>
        <v>87.1525423728813</v>
      </c>
      <c r="BU10" s="3" t="e">
        <f t="shared" si="26"/>
        <v>#REF!</v>
      </c>
    </row>
    <row hidden="1" r="11" ht="14.0" outlineLevel="1">
      <c r="A11" s="27" t="s">
        <v>28</v>
      </c>
      <c r="B11" s="27" t="s">
        <v>29</v>
      </c>
      <c r="C11" s="27" t="s">
        <v>37</v>
      </c>
      <c r="D11" s="27" t="s">
        <v>38</v>
      </c>
      <c r="E11" s="27"/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288.0</v>
      </c>
      <c r="AB11" s="27">
        <v>150.0</v>
      </c>
      <c r="AC11" s="27">
        <v>104.0</v>
      </c>
      <c r="AD11" s="27">
        <v>130.0</v>
      </c>
      <c r="AE11" s="27">
        <v>90.0</v>
      </c>
      <c r="AF11" s="27">
        <v>23.0</v>
      </c>
      <c r="AG11" s="27">
        <v>51.0</v>
      </c>
      <c r="AH11" s="27">
        <v>91.0</v>
      </c>
      <c r="AI11" s="27">
        <v>130.0</v>
      </c>
      <c r="AJ11" s="27">
        <v>74.0</v>
      </c>
      <c r="AK11" s="27">
        <v>53.0</v>
      </c>
      <c r="AL11" s="27">
        <v>36.0</v>
      </c>
      <c r="AM11" s="27">
        <v>53.0</v>
      </c>
      <c r="AN11" s="27">
        <v>69.0</v>
      </c>
      <c r="AO11" s="186">
        <v>44.0</v>
      </c>
      <c r="AP11" s="186">
        <v>34.0</v>
      </c>
      <c r="AQ11" s="28">
        <f t="shared" si="3"/>
        <v>748.0</v>
      </c>
      <c r="AR11" s="28">
        <f t="shared" si="4"/>
        <v>289.0</v>
      </c>
      <c r="AS11" s="28">
        <f t="shared" si="5"/>
        <v>317.9</v>
      </c>
      <c r="AU11" s="1">
        <f t="shared" si="6"/>
        <v>78.6581920903954</v>
      </c>
      <c r="AV11" s="1">
        <f t="shared" si="7"/>
        <v>65.5960451977401</v>
      </c>
      <c r="AW11" s="1">
        <f t="shared" si="8"/>
        <v>52.5338983050847</v>
      </c>
      <c r="AX11" s="1">
        <f t="shared" si="9"/>
        <v>99.0677966101694</v>
      </c>
      <c r="BA11" s="2">
        <f t="shared" si="12"/>
        <v>295.85593220339</v>
      </c>
      <c r="BB11" s="2" t="e">
        <f t="shared" si="13"/>
        <v>#REF!</v>
      </c>
      <c r="BE11" s="28" t="e">
        <f t="shared" si="14"/>
        <v>#REF!</v>
      </c>
      <c r="BF11" s="1">
        <f>VLOOKUP(C11,MOQ,3,FALSE())</f>
        <v>1000.0</v>
      </c>
      <c r="BI11" s="1" t="e">
        <f t="shared" si="16"/>
        <v>#REF!</v>
      </c>
      <c r="BJ11" s="1">
        <f t="shared" si="17"/>
        <v>78.6581920903954</v>
      </c>
      <c r="BL11" s="3" t="e">
        <f t="shared" si="19"/>
        <v>#REF!</v>
      </c>
      <c r="BM11" s="1">
        <f t="shared" si="20"/>
        <v>65.5960451977401</v>
      </c>
      <c r="BO11" s="3" t="e">
        <f t="shared" si="22"/>
        <v>#REF!</v>
      </c>
      <c r="BP11" s="1">
        <f t="shared" si="23"/>
        <v>52.5338983050847</v>
      </c>
      <c r="BR11" s="3" t="e">
        <f t="shared" si="24"/>
        <v>#REF!</v>
      </c>
      <c r="BS11" s="1">
        <f t="shared" si="25"/>
        <v>99.0677966101694</v>
      </c>
      <c r="BU11" s="3" t="e">
        <f t="shared" si="26"/>
        <v>#REF!</v>
      </c>
    </row>
    <row hidden="1" r="12" ht="14.0" outlineLevel="1">
      <c r="A12" s="27" t="s">
        <v>28</v>
      </c>
      <c r="B12" s="27" t="s">
        <v>29</v>
      </c>
      <c r="C12" s="27" t="s">
        <v>39</v>
      </c>
      <c r="D12" s="27" t="s">
        <v>40</v>
      </c>
      <c r="E12" s="27"/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175.0</v>
      </c>
      <c r="AB12" s="27">
        <v>102.0</v>
      </c>
      <c r="AC12" s="27">
        <v>58.0</v>
      </c>
      <c r="AD12" s="27">
        <v>63.0</v>
      </c>
      <c r="AE12" s="27">
        <v>30.0</v>
      </c>
      <c r="AF12" s="27">
        <v>50.0</v>
      </c>
      <c r="AG12" s="27">
        <v>42.0</v>
      </c>
      <c r="AH12" s="27">
        <v>73.0</v>
      </c>
      <c r="AI12" s="27">
        <v>101.0</v>
      </c>
      <c r="AJ12" s="27">
        <v>94.0</v>
      </c>
      <c r="AK12" s="27">
        <v>34.0</v>
      </c>
      <c r="AL12" s="27">
        <v>48.0</v>
      </c>
      <c r="AM12" s="27">
        <v>66.0</v>
      </c>
      <c r="AN12" s="27">
        <v>42.0</v>
      </c>
      <c r="AO12" s="186">
        <v>51.0</v>
      </c>
      <c r="AP12" s="186">
        <v>48.0</v>
      </c>
      <c r="AQ12" s="28">
        <f t="shared" si="3"/>
        <v>679.0</v>
      </c>
      <c r="AR12" s="28">
        <f t="shared" si="4"/>
        <v>289.0</v>
      </c>
      <c r="AS12" s="28">
        <f t="shared" si="5"/>
        <v>317.9</v>
      </c>
      <c r="AU12" s="1">
        <f t="shared" si="6"/>
        <v>78.6581920903954</v>
      </c>
      <c r="AV12" s="1">
        <f t="shared" si="7"/>
        <v>65.5960451977401</v>
      </c>
      <c r="AW12" s="1">
        <f t="shared" si="8"/>
        <v>52.5338983050847</v>
      </c>
      <c r="AX12" s="1">
        <f t="shared" si="9"/>
        <v>99.0677966101694</v>
      </c>
      <c r="BA12" s="2">
        <f t="shared" si="12"/>
        <v>295.85593220339</v>
      </c>
      <c r="BB12" s="2" t="e">
        <f t="shared" si="13"/>
        <v>#REF!</v>
      </c>
      <c r="BE12" s="28" t="e">
        <f t="shared" si="14"/>
        <v>#REF!</v>
      </c>
      <c r="BF12" s="1">
        <f>VLOOKUP(C12,MOQ,3,FALSE())</f>
        <v>1000.0</v>
      </c>
      <c r="BG12" s="4">
        <f>BF12</f>
        <v>1000.0</v>
      </c>
      <c r="BH12" s="1" t="s">
        <v>10</v>
      </c>
      <c r="BI12" s="1" t="e">
        <f t="shared" si="16"/>
        <v>#REF!</v>
      </c>
      <c r="BJ12" s="1">
        <f t="shared" si="17"/>
        <v>78.6581920903954</v>
      </c>
      <c r="BL12" s="3" t="e">
        <f t="shared" si="19"/>
        <v>#REF!</v>
      </c>
      <c r="BM12" s="1">
        <f t="shared" si="20"/>
        <v>65.5960451977401</v>
      </c>
      <c r="BO12" s="3" t="e">
        <f t="shared" si="22"/>
        <v>#REF!</v>
      </c>
      <c r="BP12" s="1">
        <f t="shared" si="23"/>
        <v>52.5338983050847</v>
      </c>
      <c r="BR12" s="3" t="e">
        <f t="shared" si="24"/>
        <v>#REF!</v>
      </c>
      <c r="BS12" s="1">
        <f t="shared" si="25"/>
        <v>99.0677966101694</v>
      </c>
      <c r="BU12" s="3" t="e">
        <f t="shared" si="26"/>
        <v>#REF!</v>
      </c>
    </row>
    <row hidden="1" r="13" ht="14.0" outlineLevel="1">
      <c r="A13" s="27" t="s">
        <v>28</v>
      </c>
      <c r="B13" s="27" t="s">
        <v>29</v>
      </c>
      <c r="C13" s="27" t="s">
        <v>41</v>
      </c>
      <c r="D13" s="27" t="s">
        <v>42</v>
      </c>
      <c r="E13" s="27"/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168.0</v>
      </c>
      <c r="AB13" s="27">
        <v>69.0</v>
      </c>
      <c r="AC13" s="27">
        <v>43.0</v>
      </c>
      <c r="AD13" s="27">
        <v>30.0</v>
      </c>
      <c r="AE13" s="27">
        <v>19.0</v>
      </c>
      <c r="AF13" s="27">
        <v>19.0</v>
      </c>
      <c r="AG13" s="27">
        <v>12.0</v>
      </c>
      <c r="AH13" s="27">
        <v>27.0</v>
      </c>
      <c r="AI13" s="27">
        <v>30.0</v>
      </c>
      <c r="AJ13" s="27">
        <v>33.0</v>
      </c>
      <c r="AK13" s="27">
        <v>34.0</v>
      </c>
      <c r="AL13" s="27">
        <v>38.0</v>
      </c>
      <c r="AM13" s="27">
        <v>47.0</v>
      </c>
      <c r="AN13" s="27">
        <v>35.0</v>
      </c>
      <c r="AO13" s="186">
        <v>17.0</v>
      </c>
      <c r="AP13" s="186">
        <v>29.0</v>
      </c>
      <c r="AQ13" s="28">
        <f t="shared" si="3"/>
        <v>340.0</v>
      </c>
      <c r="AR13" s="28">
        <f t="shared" si="4"/>
        <v>200.0</v>
      </c>
      <c r="AS13" s="28">
        <f t="shared" si="5"/>
        <v>220.0</v>
      </c>
      <c r="AU13" s="1">
        <f t="shared" si="6"/>
        <v>56.2824858757062</v>
      </c>
      <c r="AV13" s="1">
        <f t="shared" si="7"/>
        <v>47.2429378531073</v>
      </c>
      <c r="AW13" s="1">
        <f t="shared" si="8"/>
        <v>38.2033898305084</v>
      </c>
      <c r="AX13" s="1">
        <f t="shared" si="9"/>
        <v>70.4067796610169</v>
      </c>
      <c r="BA13" s="2">
        <f t="shared" si="12"/>
        <v>212.135593220339</v>
      </c>
      <c r="BB13" s="2" t="e">
        <f t="shared" si="13"/>
        <v>#REF!</v>
      </c>
      <c r="BE13" s="28" t="e">
        <f t="shared" si="14"/>
        <v>#REF!</v>
      </c>
      <c r="BF13" s="1">
        <f>VLOOKUP(C13,MOQ,3,FALSE())</f>
        <v>1000.0</v>
      </c>
      <c r="BI13" s="1" t="e">
        <f t="shared" si="16"/>
        <v>#REF!</v>
      </c>
      <c r="BJ13" s="1">
        <f t="shared" si="17"/>
        <v>56.2824858757062</v>
      </c>
      <c r="BL13" s="3" t="e">
        <f t="shared" si="19"/>
        <v>#REF!</v>
      </c>
      <c r="BM13" s="1">
        <f t="shared" si="20"/>
        <v>47.2429378531073</v>
      </c>
      <c r="BO13" s="3" t="e">
        <f t="shared" si="22"/>
        <v>#REF!</v>
      </c>
      <c r="BP13" s="1">
        <f t="shared" si="23"/>
        <v>38.2033898305084</v>
      </c>
      <c r="BR13" s="3" t="e">
        <f t="shared" si="24"/>
        <v>#REF!</v>
      </c>
      <c r="BS13" s="1">
        <f t="shared" si="25"/>
        <v>70.4067796610169</v>
      </c>
      <c r="BU13" s="3" t="e">
        <f t="shared" si="26"/>
        <v>#REF!</v>
      </c>
    </row>
    <row hidden="1" r="14" ht="14.0" outlineLevel="1">
      <c r="A14" s="27" t="s">
        <v>28</v>
      </c>
      <c r="B14" s="27" t="s">
        <v>29</v>
      </c>
      <c r="C14" s="27" t="s">
        <v>43</v>
      </c>
      <c r="D14" s="27" t="s">
        <v>44</v>
      </c>
      <c r="E14" s="27"/>
      <c r="F14" s="27">
        <v>0.0</v>
      </c>
      <c r="G14" s="27">
        <v>0.0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234.0</v>
      </c>
      <c r="AB14" s="27">
        <v>144.0</v>
      </c>
      <c r="AC14" s="27">
        <v>112.0</v>
      </c>
      <c r="AD14" s="27">
        <v>89.0</v>
      </c>
      <c r="AE14" s="27">
        <v>72.0</v>
      </c>
      <c r="AF14" s="27">
        <v>39.0</v>
      </c>
      <c r="AG14" s="27">
        <v>61.0</v>
      </c>
      <c r="AH14" s="27">
        <v>103.0</v>
      </c>
      <c r="AI14" s="27">
        <v>114.0</v>
      </c>
      <c r="AJ14" s="27">
        <v>146.0</v>
      </c>
      <c r="AK14" s="27">
        <v>74.0</v>
      </c>
      <c r="AL14" s="27">
        <v>45.0</v>
      </c>
      <c r="AM14" s="27">
        <v>82.0</v>
      </c>
      <c r="AN14" s="27">
        <v>59.0</v>
      </c>
      <c r="AO14" s="186">
        <v>89.0</v>
      </c>
      <c r="AP14" s="186">
        <v>53.0</v>
      </c>
      <c r="AQ14" s="28">
        <f t="shared" si="3"/>
        <v>937.0</v>
      </c>
      <c r="AR14" s="28">
        <f t="shared" si="4"/>
        <v>402.0</v>
      </c>
      <c r="AS14" s="28">
        <f t="shared" si="5"/>
        <v>442.2</v>
      </c>
      <c r="AU14" s="1">
        <f t="shared" si="6"/>
        <v>107.06779661017</v>
      </c>
      <c r="AV14" s="1">
        <f t="shared" si="7"/>
        <v>88.8983050847458</v>
      </c>
      <c r="AW14" s="1">
        <f t="shared" si="8"/>
        <v>70.728813559322</v>
      </c>
      <c r="AX14" s="1">
        <f t="shared" si="9"/>
        <v>135.457627118644</v>
      </c>
      <c r="BA14" s="2">
        <f t="shared" si="12"/>
        <v>402.152542372881</v>
      </c>
      <c r="BB14" s="2" t="e">
        <f t="shared" si="13"/>
        <v>#REF!</v>
      </c>
      <c r="BE14" s="28" t="e">
        <f t="shared" si="14"/>
        <v>#REF!</v>
      </c>
      <c r="BF14" s="1">
        <f>VLOOKUP(C14,MOQ,3,FALSE())</f>
        <v>1000.0</v>
      </c>
      <c r="BI14" s="1" t="e">
        <f t="shared" si="16"/>
        <v>#REF!</v>
      </c>
      <c r="BJ14" s="1">
        <f t="shared" si="17"/>
        <v>107.06779661017</v>
      </c>
      <c r="BL14" s="3" t="e">
        <f t="shared" si="19"/>
        <v>#REF!</v>
      </c>
      <c r="BM14" s="1">
        <f t="shared" si="20"/>
        <v>88.8983050847458</v>
      </c>
      <c r="BO14" s="3" t="e">
        <f t="shared" si="22"/>
        <v>#REF!</v>
      </c>
      <c r="BP14" s="1">
        <f t="shared" si="23"/>
        <v>70.728813559322</v>
      </c>
      <c r="BR14" s="3" t="e">
        <f t="shared" si="24"/>
        <v>#REF!</v>
      </c>
      <c r="BS14" s="1">
        <f t="shared" si="25"/>
        <v>135.457627118644</v>
      </c>
      <c r="BU14" s="3" t="e">
        <f t="shared" si="26"/>
        <v>#REF!</v>
      </c>
    </row>
    <row hidden="1" r="15" ht="14.0" outlineLevel="1">
      <c r="A15" s="27" t="s">
        <v>45</v>
      </c>
      <c r="B15" s="27" t="s">
        <v>29</v>
      </c>
      <c r="C15" s="27" t="s">
        <v>46</v>
      </c>
      <c r="D15" s="27" t="s">
        <v>47</v>
      </c>
      <c r="E15" s="27"/>
      <c r="F15" s="27">
        <v>0.0</v>
      </c>
      <c r="G15" s="27">
        <v>1.0</v>
      </c>
      <c r="H15" s="27">
        <v>0.0</v>
      </c>
      <c r="I15" s="27">
        <v>2.0</v>
      </c>
      <c r="J15" s="27">
        <v>0.0</v>
      </c>
      <c r="K15" s="27">
        <v>2.0</v>
      </c>
      <c r="L15" s="27">
        <v>1.0</v>
      </c>
      <c r="M15" s="27">
        <v>0.0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7">
        <v>0.0</v>
      </c>
      <c r="W15" s="27">
        <v>0.0</v>
      </c>
      <c r="X15" s="27">
        <v>0.0</v>
      </c>
      <c r="Y15" s="27">
        <v>0.0</v>
      </c>
      <c r="Z15" s="27">
        <v>0.0</v>
      </c>
      <c r="AA15" s="27">
        <v>1.0</v>
      </c>
      <c r="AB15" s="27">
        <v>0.0</v>
      </c>
      <c r="AC15" s="27">
        <v>0.0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0.0</v>
      </c>
      <c r="AK15" s="27">
        <v>0.0</v>
      </c>
      <c r="AL15" s="27">
        <v>0.0</v>
      </c>
      <c r="AM15" s="27">
        <v>0.0</v>
      </c>
      <c r="AN15" s="27">
        <v>0.0</v>
      </c>
      <c r="AO15" s="186">
        <v>0.0</v>
      </c>
      <c r="AP15" s="186">
        <v>0.0</v>
      </c>
      <c r="AQ15" s="28">
        <f t="shared" si="3"/>
        <v>0.0</v>
      </c>
      <c r="AR15" s="28">
        <f t="shared" si="4"/>
        <v>0.0</v>
      </c>
      <c r="AS15" s="28">
        <f t="shared" si="5"/>
        <v>0.0</v>
      </c>
      <c r="AU15" s="1">
        <f>AU16</f>
        <v>1.0</v>
      </c>
      <c r="AV15" s="1">
        <f>AV16</f>
        <v>1.0</v>
      </c>
      <c r="AW15" s="1">
        <f>AW16</f>
        <v>1.0</v>
      </c>
      <c r="AX15" s="1">
        <f>AX16</f>
        <v>1.0</v>
      </c>
      <c r="BA15" s="2">
        <f t="shared" si="12"/>
        <v>4.0</v>
      </c>
      <c r="BB15" s="2" t="e">
        <f t="shared" si="13"/>
        <v>#REF!</v>
      </c>
      <c r="BE15" s="28" t="e">
        <f t="shared" si="14"/>
        <v>#REF!</v>
      </c>
      <c r="BF15" s="1">
        <f>VLOOKUP(C15,MOQ,3,FALSE())</f>
        <v>300.0</v>
      </c>
      <c r="BG15" s="31"/>
      <c r="BH15" s="1" t="s">
        <v>5</v>
      </c>
      <c r="BI15" s="1" t="e">
        <f t="shared" si="16"/>
        <v>#REF!</v>
      </c>
      <c r="BJ15" s="1">
        <f t="shared" si="17"/>
        <v>1.0</v>
      </c>
      <c r="BL15" s="3" t="e">
        <f t="shared" si="19"/>
        <v>#REF!</v>
      </c>
      <c r="BM15" s="1">
        <f t="shared" si="20"/>
        <v>1.0</v>
      </c>
      <c r="BO15" s="3" t="e">
        <f t="shared" si="22"/>
        <v>#REF!</v>
      </c>
      <c r="BP15" s="1">
        <f t="shared" si="23"/>
        <v>1.0</v>
      </c>
      <c r="BR15" s="3" t="e">
        <f t="shared" si="24"/>
        <v>#REF!</v>
      </c>
      <c r="BS15" s="1">
        <f t="shared" si="25"/>
        <v>1.0</v>
      </c>
      <c r="BU15" s="3" t="e">
        <f t="shared" si="26"/>
        <v>#REF!</v>
      </c>
    </row>
    <row hidden="1" r="16" ht="14.0" outlineLevel="1">
      <c r="A16" s="27" t="s">
        <v>28</v>
      </c>
      <c r="B16" s="27" t="s">
        <v>29</v>
      </c>
      <c r="C16" s="27" t="s">
        <v>48</v>
      </c>
      <c r="D16" s="27" t="s">
        <v>49</v>
      </c>
      <c r="E16" s="27"/>
      <c r="F16" s="27">
        <v>0.0</v>
      </c>
      <c r="G16" s="27">
        <v>0.0</v>
      </c>
      <c r="H16" s="27">
        <v>1.0</v>
      </c>
      <c r="I16" s="27">
        <v>1.0</v>
      </c>
      <c r="J16" s="27">
        <v>3.0</v>
      </c>
      <c r="K16" s="27">
        <v>5.0</v>
      </c>
      <c r="L16" s="27">
        <v>0.0</v>
      </c>
      <c r="M16" s="27">
        <v>1.0</v>
      </c>
      <c r="N16" s="27">
        <v>2.0</v>
      </c>
      <c r="O16" s="27">
        <v>4.0</v>
      </c>
      <c r="P16" s="27">
        <v>1.0</v>
      </c>
      <c r="Q16" s="27">
        <v>3.0</v>
      </c>
      <c r="R16" s="27">
        <v>0.0</v>
      </c>
      <c r="S16" s="27">
        <v>1.0</v>
      </c>
      <c r="T16" s="27">
        <v>2.0</v>
      </c>
      <c r="U16" s="27">
        <v>0.0</v>
      </c>
      <c r="V16" s="27">
        <v>1.0</v>
      </c>
      <c r="W16" s="27">
        <v>1.0</v>
      </c>
      <c r="X16" s="27">
        <v>0.0</v>
      </c>
      <c r="Y16" s="27">
        <v>0.0</v>
      </c>
      <c r="Z16" s="27">
        <v>0.0</v>
      </c>
      <c r="AA16" s="27">
        <v>0.0</v>
      </c>
      <c r="AB16" s="27">
        <v>1.0</v>
      </c>
      <c r="AC16" s="27">
        <v>0.0</v>
      </c>
      <c r="AD16" s="27">
        <v>0.0</v>
      </c>
      <c r="AE16" s="27">
        <v>2.0</v>
      </c>
      <c r="AF16" s="27">
        <v>0.0</v>
      </c>
      <c r="AG16" s="27">
        <v>0.0</v>
      </c>
      <c r="AH16" s="27">
        <v>2.0</v>
      </c>
      <c r="AI16" s="27">
        <v>4.0</v>
      </c>
      <c r="AJ16" s="27">
        <v>0.0</v>
      </c>
      <c r="AK16" s="27">
        <v>0.0</v>
      </c>
      <c r="AL16" s="27">
        <v>-1.0</v>
      </c>
      <c r="AM16" s="27">
        <v>0.0</v>
      </c>
      <c r="AN16" s="27">
        <v>0.0</v>
      </c>
      <c r="AO16" s="186">
        <v>0.0</v>
      </c>
      <c r="AP16" s="186">
        <v>0.0</v>
      </c>
      <c r="AQ16" s="28">
        <f t="shared" si="3"/>
        <v>7.0</v>
      </c>
      <c r="AR16" s="28">
        <f t="shared" si="4"/>
        <v>-1.0</v>
      </c>
      <c r="AS16" s="32">
        <f t="shared" si="5"/>
        <v>-1.1</v>
      </c>
      <c r="AT16" s="33"/>
      <c r="AU16" s="33">
        <v>1.0</v>
      </c>
      <c r="AV16" s="33">
        <v>1.0</v>
      </c>
      <c r="AW16" s="33">
        <v>1.0</v>
      </c>
      <c r="AX16" s="33">
        <v>1.0</v>
      </c>
      <c r="AY16" s="33">
        <v>1.0</v>
      </c>
      <c r="AZ16" s="33">
        <v>1.0</v>
      </c>
      <c r="BA16" s="2">
        <f t="shared" si="12"/>
        <v>6.0</v>
      </c>
      <c r="BB16" s="2" t="e">
        <f t="shared" si="13"/>
        <v>#REF!</v>
      </c>
      <c r="BE16" s="28" t="e">
        <f t="shared" si="14"/>
        <v>#REF!</v>
      </c>
      <c r="BF16">
        <f>VLOOKUP(C16,MOQ,3,FALSE())</f>
      </c>
      <c r="BI16" s="1" t="e">
        <f t="shared" si="16"/>
        <v>#REF!</v>
      </c>
      <c r="BJ16" s="1">
        <f t="shared" si="17"/>
        <v>1.0</v>
      </c>
      <c r="BL16" s="3" t="e">
        <f t="shared" si="19"/>
        <v>#REF!</v>
      </c>
      <c r="BM16" s="1">
        <f t="shared" si="20"/>
        <v>1.0</v>
      </c>
      <c r="BO16" s="3" t="e">
        <f t="shared" si="22"/>
        <v>#REF!</v>
      </c>
      <c r="BP16" s="1">
        <f t="shared" si="23"/>
        <v>1.0</v>
      </c>
      <c r="BR16" s="3" t="e">
        <f t="shared" si="24"/>
        <v>#REF!</v>
      </c>
      <c r="BS16" s="1">
        <f t="shared" si="25"/>
        <v>1.0</v>
      </c>
      <c r="BU16" s="3" t="e">
        <f t="shared" si="26"/>
        <v>#REF!</v>
      </c>
    </row>
    <row r="17" ht="14.0" collapsed="1">
      <c r="A17" s="166" t="s">
        <v>28</v>
      </c>
      <c r="B17" s="27" t="s">
        <v>29</v>
      </c>
      <c r="C17" s="166" t="s">
        <v>50</v>
      </c>
      <c r="D17" s="166" t="s">
        <v>51</v>
      </c>
      <c r="E17" s="27"/>
      <c r="F17" s="27">
        <v>90.0</v>
      </c>
      <c r="G17" s="27">
        <v>108.0</v>
      </c>
      <c r="H17" s="27">
        <v>84.0</v>
      </c>
      <c r="I17" s="27">
        <v>155.0</v>
      </c>
      <c r="J17" s="27">
        <v>120.0</v>
      </c>
      <c r="K17" s="27">
        <v>143.0</v>
      </c>
      <c r="L17" s="27">
        <v>144.0</v>
      </c>
      <c r="M17" s="27">
        <v>155.0</v>
      </c>
      <c r="N17" s="27">
        <v>60.0</v>
      </c>
      <c r="O17" s="27">
        <v>108.0</v>
      </c>
      <c r="P17" s="27">
        <v>131.0</v>
      </c>
      <c r="Q17" s="27">
        <v>91.0</v>
      </c>
      <c r="R17" s="27">
        <v>83.0</v>
      </c>
      <c r="S17" s="27">
        <v>60.0</v>
      </c>
      <c r="T17" s="27">
        <v>76.0</v>
      </c>
      <c r="U17" s="27">
        <v>101.0</v>
      </c>
      <c r="V17" s="27">
        <v>54.0</v>
      </c>
      <c r="W17" s="27">
        <v>70.0</v>
      </c>
      <c r="X17" s="27">
        <v>156.0</v>
      </c>
      <c r="Y17" s="27">
        <v>107.0</v>
      </c>
      <c r="Z17" s="27">
        <v>76.0</v>
      </c>
      <c r="AA17" s="27">
        <v>138.0</v>
      </c>
      <c r="AB17" s="27">
        <v>48.0</v>
      </c>
      <c r="AC17" s="27">
        <v>35.0</v>
      </c>
      <c r="AD17" s="27">
        <v>30.0</v>
      </c>
      <c r="AE17" s="27">
        <v>97.0</v>
      </c>
      <c r="AF17" s="27">
        <v>82.0</v>
      </c>
      <c r="AG17" s="27">
        <v>60.0</v>
      </c>
      <c r="AH17" s="27">
        <v>42.0</v>
      </c>
      <c r="AI17" s="27">
        <v>60.0</v>
      </c>
      <c r="AJ17" s="27">
        <v>77.0</v>
      </c>
      <c r="AK17" s="27">
        <v>67.0</v>
      </c>
      <c r="AL17" s="27">
        <v>23.0</v>
      </c>
      <c r="AM17" s="27">
        <v>47.0</v>
      </c>
      <c r="AN17" s="27">
        <v>24.0</v>
      </c>
      <c r="AO17" s="186">
        <v>36.0</v>
      </c>
      <c r="AP17" s="187">
        <v>36.0</v>
      </c>
      <c r="AQ17" s="28">
        <f t="shared" si="3"/>
        <v>651.0</v>
      </c>
      <c r="AR17" s="28">
        <f t="shared" si="4"/>
        <v>233.0</v>
      </c>
      <c r="AS17" s="28">
        <f t="shared" si="5"/>
        <v>256.3</v>
      </c>
      <c r="AU17" s="1">
        <f t="shared" ref="AU17:AU20" si="36">AS17*$AU$5/$AS$5+6*$AU$21</f>
        <v>64.5790960451977</v>
      </c>
      <c r="AV17" s="1">
        <f t="shared" ref="AV17:AV20" si="37">AS17*$AV$5/$AS$5+6*$AV$21</f>
        <v>54.04802259887</v>
      </c>
      <c r="AW17" s="1">
        <f t="shared" ref="AW17:AW20" si="38">AS17*$AW$5/$AS$5+6*$AW$21</f>
        <v>43.5169491525423</v>
      </c>
      <c r="AX17" s="1">
        <f t="shared" ref="AX17:AX20" si="39">AS17*$AX$5/$AS$5+6*$AX$21</f>
        <v>81.0338983050847</v>
      </c>
      <c r="AY17" s="1">
        <f t="shared" ref="AY17:AY20" si="40">AS17*$AY$5/$AS$5+6*$AY$21</f>
        <v>89.590395480226</v>
      </c>
      <c r="AZ17" s="1">
        <f t="shared" ref="AZ17:AZ20" si="41">AS17*$AZ$5/$AS$5+6*$AZ$21</f>
        <v>81.6920903954802</v>
      </c>
      <c r="BA17" s="2">
        <f t="shared" si="12"/>
        <v>414.4604519774</v>
      </c>
      <c r="BB17" s="2" t="e">
        <f t="shared" si="13"/>
        <v>#REF!</v>
      </c>
      <c r="BE17" s="28" t="e">
        <f t="shared" si="14"/>
        <v>#REF!</v>
      </c>
      <c r="BF17" s="1">
        <f>VLOOKUP(C17,MOQ,3,FALSE())</f>
        <v>480.0</v>
      </c>
      <c r="BG17" s="188"/>
      <c r="BI17" s="1" t="e">
        <f t="shared" si="16"/>
        <v>#REF!</v>
      </c>
      <c r="BJ17" s="1">
        <f t="shared" si="17"/>
        <v>64.5790960451977</v>
      </c>
      <c r="BL17" s="3" t="e">
        <f t="shared" si="19"/>
        <v>#REF!</v>
      </c>
      <c r="BM17" s="1">
        <f t="shared" si="20"/>
        <v>54.04802259887</v>
      </c>
      <c r="BO17" s="3" t="e">
        <f t="shared" si="22"/>
        <v>#REF!</v>
      </c>
      <c r="BP17" s="1">
        <f t="shared" si="23"/>
        <v>43.5169491525423</v>
      </c>
      <c r="BR17" s="3" t="e">
        <f t="shared" si="24"/>
        <v>#REF!</v>
      </c>
      <c r="BS17" s="1">
        <f t="shared" si="25"/>
        <v>81.0338983050847</v>
      </c>
      <c r="BU17" s="3" t="e">
        <f t="shared" si="26"/>
        <v>#REF!</v>
      </c>
    </row>
    <row r="18" ht="14.0">
      <c r="A18" s="166" t="s">
        <v>28</v>
      </c>
      <c r="B18" s="27" t="s">
        <v>29</v>
      </c>
      <c r="C18" s="166" t="s">
        <v>52</v>
      </c>
      <c r="D18" s="166" t="s">
        <v>53</v>
      </c>
      <c r="E18" s="27"/>
      <c r="F18" s="27">
        <v>58.0</v>
      </c>
      <c r="G18" s="27">
        <v>65.0</v>
      </c>
      <c r="H18" s="27">
        <v>66.0</v>
      </c>
      <c r="I18" s="27">
        <v>132.0</v>
      </c>
      <c r="J18" s="27">
        <v>78.0</v>
      </c>
      <c r="K18" s="27">
        <v>114.0</v>
      </c>
      <c r="L18" s="27">
        <v>114.0</v>
      </c>
      <c r="M18" s="27">
        <v>135.0</v>
      </c>
      <c r="N18" s="27">
        <v>42.0</v>
      </c>
      <c r="O18" s="27">
        <v>55.0</v>
      </c>
      <c r="P18" s="27">
        <v>95.0</v>
      </c>
      <c r="Q18" s="27">
        <v>66.0</v>
      </c>
      <c r="R18" s="27">
        <v>53.0</v>
      </c>
      <c r="S18" s="27">
        <v>72.0</v>
      </c>
      <c r="T18" s="27">
        <v>42.0</v>
      </c>
      <c r="U18" s="27">
        <v>41.0</v>
      </c>
      <c r="V18" s="27">
        <v>60.0</v>
      </c>
      <c r="W18" s="27">
        <v>65.0</v>
      </c>
      <c r="X18" s="27">
        <v>108.0</v>
      </c>
      <c r="Y18" s="27">
        <v>84.0</v>
      </c>
      <c r="Z18" s="27">
        <v>29.0</v>
      </c>
      <c r="AA18" s="27">
        <v>59.0</v>
      </c>
      <c r="AB18" s="27">
        <v>36.0</v>
      </c>
      <c r="AC18" s="27">
        <v>42.0</v>
      </c>
      <c r="AD18" s="27">
        <v>48.0</v>
      </c>
      <c r="AE18" s="27">
        <v>48.0</v>
      </c>
      <c r="AF18" s="27">
        <v>66.0</v>
      </c>
      <c r="AG18" s="27">
        <v>48.0</v>
      </c>
      <c r="AH18" s="27">
        <v>30.0</v>
      </c>
      <c r="AI18" s="27">
        <v>42.0</v>
      </c>
      <c r="AJ18" s="27">
        <v>52.0</v>
      </c>
      <c r="AK18" s="27">
        <v>48.0</v>
      </c>
      <c r="AL18" s="27">
        <v>18.0</v>
      </c>
      <c r="AM18" s="27">
        <v>65.0</v>
      </c>
      <c r="AN18" s="27">
        <v>24.0</v>
      </c>
      <c r="AO18" s="186">
        <v>30.0</v>
      </c>
      <c r="AP18" s="187">
        <v>18.0</v>
      </c>
      <c r="AQ18" s="28">
        <f t="shared" si="3"/>
        <v>489.0</v>
      </c>
      <c r="AR18" s="28">
        <f t="shared" si="4"/>
        <v>203.0</v>
      </c>
      <c r="AS18" s="28">
        <f t="shared" si="5"/>
        <v>223.3</v>
      </c>
      <c r="AU18" s="1">
        <f t="shared" si="36"/>
        <v>57.0367231638418</v>
      </c>
      <c r="AV18" s="1">
        <f t="shared" si="37"/>
        <v>47.861581920904</v>
      </c>
      <c r="AW18" s="1">
        <f t="shared" si="38"/>
        <v>38.6864406779661</v>
      </c>
      <c r="AX18" s="1">
        <f t="shared" si="39"/>
        <v>71.3728813559322</v>
      </c>
      <c r="AY18" s="1">
        <f t="shared" si="40"/>
        <v>78.8276836158192</v>
      </c>
      <c r="AZ18" s="1">
        <f t="shared" si="41"/>
        <v>71.9463276836158</v>
      </c>
      <c r="BA18" s="2">
        <f t="shared" si="12"/>
        <v>365.731638418079</v>
      </c>
      <c r="BB18" s="2" t="e">
        <f t="shared" si="13"/>
        <v>#REF!</v>
      </c>
      <c r="BE18" s="28" t="e">
        <f t="shared" si="14"/>
        <v>#REF!</v>
      </c>
      <c r="BF18" s="1">
        <f>VLOOKUP(C18,MOQ,3,FALSE())</f>
        <v>480.0</v>
      </c>
      <c r="BI18" s="1" t="e">
        <f t="shared" si="16"/>
        <v>#REF!</v>
      </c>
      <c r="BJ18" s="1">
        <f t="shared" si="17"/>
        <v>57.0367231638418</v>
      </c>
      <c r="BL18" s="3" t="e">
        <f t="shared" si="19"/>
        <v>#REF!</v>
      </c>
      <c r="BM18" s="1">
        <f t="shared" si="20"/>
        <v>47.861581920904</v>
      </c>
      <c r="BO18" s="3" t="e">
        <f t="shared" si="22"/>
        <v>#REF!</v>
      </c>
      <c r="BP18" s="1">
        <f t="shared" si="23"/>
        <v>38.6864406779661</v>
      </c>
      <c r="BR18" s="3" t="e">
        <f t="shared" si="24"/>
        <v>#REF!</v>
      </c>
      <c r="BS18" s="1">
        <f t="shared" si="25"/>
        <v>71.3728813559322</v>
      </c>
      <c r="BU18" s="3" t="e">
        <f t="shared" si="26"/>
        <v>#REF!</v>
      </c>
    </row>
    <row r="19" ht="14.0">
      <c r="A19" s="166" t="s">
        <v>28</v>
      </c>
      <c r="B19" s="27" t="s">
        <v>29</v>
      </c>
      <c r="C19" s="166" t="s">
        <v>54</v>
      </c>
      <c r="D19" s="166" t="s">
        <v>55</v>
      </c>
      <c r="E19" s="27"/>
      <c r="F19" s="27">
        <v>30.0</v>
      </c>
      <c r="G19" s="27">
        <v>65.0</v>
      </c>
      <c r="H19" s="27">
        <v>30.0</v>
      </c>
      <c r="I19" s="27">
        <v>65.0</v>
      </c>
      <c r="J19" s="27">
        <v>48.0</v>
      </c>
      <c r="K19" s="27">
        <v>77.0</v>
      </c>
      <c r="L19" s="27">
        <v>84.0</v>
      </c>
      <c r="M19" s="27">
        <v>36.0</v>
      </c>
      <c r="N19" s="27">
        <v>24.0</v>
      </c>
      <c r="O19" s="27">
        <v>30.0</v>
      </c>
      <c r="P19" s="27">
        <v>72.0</v>
      </c>
      <c r="Q19" s="27">
        <v>18.0</v>
      </c>
      <c r="R19" s="27">
        <v>42.0</v>
      </c>
      <c r="S19" s="27">
        <v>18.0</v>
      </c>
      <c r="T19" s="27">
        <v>48.0</v>
      </c>
      <c r="U19" s="27">
        <v>18.0</v>
      </c>
      <c r="V19" s="27">
        <v>48.0</v>
      </c>
      <c r="W19" s="27">
        <v>23.0</v>
      </c>
      <c r="X19" s="27">
        <v>48.0</v>
      </c>
      <c r="Y19" s="27">
        <v>35.0</v>
      </c>
      <c r="Z19" s="27">
        <v>18.0</v>
      </c>
      <c r="AA19" s="27">
        <v>60.0</v>
      </c>
      <c r="AB19" s="27">
        <v>36.0</v>
      </c>
      <c r="AC19" s="27">
        <v>5.0</v>
      </c>
      <c r="AD19" s="27">
        <v>18.0</v>
      </c>
      <c r="AE19" s="27">
        <v>25.0</v>
      </c>
      <c r="AF19" s="27">
        <v>36.0</v>
      </c>
      <c r="AG19" s="27">
        <v>54.0</v>
      </c>
      <c r="AH19" s="27">
        <v>0.0</v>
      </c>
      <c r="AI19" s="27">
        <v>18.0</v>
      </c>
      <c r="AJ19" s="27">
        <v>46.0</v>
      </c>
      <c r="AK19" s="27">
        <v>22.0</v>
      </c>
      <c r="AL19" s="27">
        <v>12.0</v>
      </c>
      <c r="AM19" s="27">
        <v>6.0</v>
      </c>
      <c r="AN19" s="27">
        <v>18.0</v>
      </c>
      <c r="AO19" s="186">
        <v>24.0</v>
      </c>
      <c r="AP19" s="187">
        <v>6.0</v>
      </c>
      <c r="AQ19" s="28">
        <f t="shared" si="3"/>
        <v>267.0</v>
      </c>
      <c r="AR19" s="28">
        <f t="shared" si="4"/>
        <v>88.0</v>
      </c>
      <c r="AS19" s="28">
        <f t="shared" si="5"/>
        <v>96.8</v>
      </c>
      <c r="AU19" s="1">
        <f t="shared" si="36"/>
        <v>28.1242937853107</v>
      </c>
      <c r="AV19" s="1">
        <f t="shared" si="37"/>
        <v>24.1468926553672</v>
      </c>
      <c r="AW19" s="1">
        <f t="shared" si="38"/>
        <v>20.1694915254237</v>
      </c>
      <c r="AX19" s="1">
        <f t="shared" si="39"/>
        <v>34.3389830508474</v>
      </c>
      <c r="AY19" s="1">
        <f t="shared" si="40"/>
        <v>37.5706214689266</v>
      </c>
      <c r="AZ19" s="1">
        <f t="shared" si="41"/>
        <v>34.5875706214689</v>
      </c>
      <c r="BA19" s="2">
        <f t="shared" si="12"/>
        <v>178.937853107344</v>
      </c>
      <c r="BB19" s="2" t="e">
        <f t="shared" si="13"/>
        <v>#REF!</v>
      </c>
      <c r="BE19" s="28" t="e">
        <f t="shared" si="14"/>
        <v>#REF!</v>
      </c>
      <c r="BF19" s="1">
        <f>VLOOKUP(C19,MOQ,3,FALSE())</f>
        <v>480.0</v>
      </c>
      <c r="BG19" s="188"/>
      <c r="BI19" s="1" t="e">
        <f t="shared" si="16"/>
        <v>#REF!</v>
      </c>
      <c r="BJ19" s="1">
        <f t="shared" si="17"/>
        <v>28.1242937853107</v>
      </c>
      <c r="BL19" s="3" t="e">
        <f t="shared" si="19"/>
        <v>#REF!</v>
      </c>
      <c r="BM19" s="1">
        <f t="shared" si="20"/>
        <v>24.1468926553672</v>
      </c>
      <c r="BO19" s="3" t="e">
        <f t="shared" si="22"/>
        <v>#REF!</v>
      </c>
      <c r="BP19" s="1">
        <f t="shared" si="23"/>
        <v>20.1694915254237</v>
      </c>
      <c r="BR19" s="3" t="e">
        <f t="shared" si="24"/>
        <v>#REF!</v>
      </c>
      <c r="BS19" s="1">
        <f t="shared" si="25"/>
        <v>34.3389830508474</v>
      </c>
      <c r="BU19" s="3" t="e">
        <f t="shared" si="26"/>
        <v>#REF!</v>
      </c>
    </row>
    <row r="20" ht="14.0">
      <c r="A20" s="166" t="s">
        <v>28</v>
      </c>
      <c r="B20" s="27" t="s">
        <v>29</v>
      </c>
      <c r="C20" s="166" t="s">
        <v>56</v>
      </c>
      <c r="D20" s="166" t="s">
        <v>57</v>
      </c>
      <c r="E20" s="27"/>
      <c r="F20" s="27">
        <v>30.0</v>
      </c>
      <c r="G20" s="27">
        <v>78.0</v>
      </c>
      <c r="H20" s="27">
        <v>42.0</v>
      </c>
      <c r="I20" s="27">
        <v>72.0</v>
      </c>
      <c r="J20" s="27">
        <v>40.0</v>
      </c>
      <c r="K20" s="27">
        <v>71.0</v>
      </c>
      <c r="L20" s="27">
        <v>113.0</v>
      </c>
      <c r="M20" s="27">
        <v>36.0</v>
      </c>
      <c r="N20" s="27">
        <v>24.0</v>
      </c>
      <c r="O20" s="27">
        <v>30.0</v>
      </c>
      <c r="P20" s="27">
        <v>66.0</v>
      </c>
      <c r="Q20" s="27">
        <v>42.0</v>
      </c>
      <c r="R20" s="27">
        <v>24.0</v>
      </c>
      <c r="S20" s="27">
        <v>54.0</v>
      </c>
      <c r="T20" s="27">
        <v>54.0</v>
      </c>
      <c r="U20" s="27">
        <v>36.0</v>
      </c>
      <c r="V20" s="27">
        <v>48.0</v>
      </c>
      <c r="W20" s="27">
        <v>30.0</v>
      </c>
      <c r="X20" s="27">
        <v>66.0</v>
      </c>
      <c r="Y20" s="27">
        <v>54.0</v>
      </c>
      <c r="Z20" s="27">
        <v>30.0</v>
      </c>
      <c r="AA20" s="27">
        <v>66.0</v>
      </c>
      <c r="AB20" s="27">
        <v>30.0</v>
      </c>
      <c r="AC20" s="27">
        <v>23.0</v>
      </c>
      <c r="AD20" s="27">
        <v>30.0</v>
      </c>
      <c r="AE20" s="27">
        <v>24.0</v>
      </c>
      <c r="AF20" s="27">
        <v>48.0</v>
      </c>
      <c r="AG20" s="27">
        <v>36.0</v>
      </c>
      <c r="AH20" s="27">
        <v>30.0</v>
      </c>
      <c r="AI20" s="27">
        <v>36.0</v>
      </c>
      <c r="AJ20" s="27">
        <v>36.0</v>
      </c>
      <c r="AK20" s="27">
        <v>18.0</v>
      </c>
      <c r="AL20" s="27">
        <v>24.0</v>
      </c>
      <c r="AM20" s="27">
        <v>48.0</v>
      </c>
      <c r="AN20" s="27">
        <v>18.0</v>
      </c>
      <c r="AO20" s="186">
        <v>18.0</v>
      </c>
      <c r="AP20" s="187">
        <v>18.0</v>
      </c>
      <c r="AQ20" s="28">
        <f t="shared" si="3"/>
        <v>354.0</v>
      </c>
      <c r="AR20" s="28">
        <f t="shared" si="4"/>
        <v>144.0</v>
      </c>
      <c r="AS20" s="28">
        <f t="shared" si="5"/>
        <v>158.4</v>
      </c>
      <c r="AU20" s="1">
        <f t="shared" si="36"/>
        <v>42.2033898305084</v>
      </c>
      <c r="AV20" s="1">
        <f t="shared" si="37"/>
        <v>35.6949152542372</v>
      </c>
      <c r="AW20" s="1">
        <f t="shared" si="38"/>
        <v>29.1864406779661</v>
      </c>
      <c r="AX20" s="1">
        <f t="shared" si="39"/>
        <v>52.3728813559322</v>
      </c>
      <c r="AY20" s="1">
        <f t="shared" si="40"/>
        <v>57.6610169491525</v>
      </c>
      <c r="AZ20" s="1">
        <f t="shared" si="41"/>
        <v>52.7796610169491</v>
      </c>
      <c r="BA20" s="2">
        <f t="shared" si="12"/>
        <v>269.898305084746</v>
      </c>
      <c r="BB20" s="2" t="e">
        <f t="shared" si="13"/>
        <v>#REF!</v>
      </c>
      <c r="BE20" s="28" t="e">
        <f t="shared" si="14"/>
        <v>#REF!</v>
      </c>
      <c r="BF20" s="1">
        <f>VLOOKUP(C20,MOQ,3,FALSE())</f>
        <v>480.0</v>
      </c>
      <c r="BI20" s="1" t="e">
        <f t="shared" si="16"/>
        <v>#REF!</v>
      </c>
      <c r="BJ20" s="1">
        <f t="shared" si="17"/>
        <v>42.2033898305084</v>
      </c>
      <c r="BL20" s="3" t="e">
        <f t="shared" si="19"/>
        <v>#REF!</v>
      </c>
      <c r="BM20" s="1">
        <f t="shared" si="20"/>
        <v>35.6949152542372</v>
      </c>
      <c r="BO20" s="3" t="e">
        <f t="shared" si="22"/>
        <v>#REF!</v>
      </c>
      <c r="BP20" s="1">
        <f t="shared" si="23"/>
        <v>29.1864406779661</v>
      </c>
      <c r="BR20" s="3" t="e">
        <f t="shared" si="24"/>
        <v>#REF!</v>
      </c>
      <c r="BS20" s="1">
        <f t="shared" si="25"/>
        <v>52.3728813559322</v>
      </c>
      <c r="BU20" s="3" t="e">
        <f t="shared" si="26"/>
        <v>#REF!</v>
      </c>
    </row>
    <row r="21" ht="14.0">
      <c r="A21" s="166" t="s">
        <v>28</v>
      </c>
      <c r="B21" s="27" t="s">
        <v>29</v>
      </c>
      <c r="C21" s="166" t="s">
        <v>58</v>
      </c>
      <c r="D21" s="166" t="s">
        <v>59</v>
      </c>
      <c r="E21" s="27"/>
      <c r="F21" s="27">
        <v>1.0</v>
      </c>
      <c r="G21" s="27">
        <v>3.0</v>
      </c>
      <c r="H21" s="27">
        <v>1.0</v>
      </c>
      <c r="I21" s="27">
        <v>4.0</v>
      </c>
      <c r="J21" s="27">
        <v>0.0</v>
      </c>
      <c r="K21" s="27">
        <v>3.0</v>
      </c>
      <c r="L21" s="27">
        <v>1.0</v>
      </c>
      <c r="M21" s="27">
        <v>2.0</v>
      </c>
      <c r="N21" s="27">
        <v>1.0</v>
      </c>
      <c r="O21" s="27">
        <v>3.0</v>
      </c>
      <c r="P21" s="27">
        <v>1.0</v>
      </c>
      <c r="Q21" s="27">
        <v>1.0</v>
      </c>
      <c r="R21" s="27">
        <v>5.0</v>
      </c>
      <c r="S21" s="27">
        <v>2.0</v>
      </c>
      <c r="T21" s="27">
        <v>2.0</v>
      </c>
      <c r="U21" s="27">
        <v>1.0</v>
      </c>
      <c r="V21" s="27">
        <v>0.0</v>
      </c>
      <c r="W21" s="27">
        <v>2.0</v>
      </c>
      <c r="X21" s="27">
        <v>0.0</v>
      </c>
      <c r="Y21" s="27">
        <v>0.0</v>
      </c>
      <c r="Z21" s="27">
        <v>1.0</v>
      </c>
      <c r="AA21" s="27">
        <v>4.0</v>
      </c>
      <c r="AB21" s="27">
        <v>4.0</v>
      </c>
      <c r="AC21" s="27">
        <v>0.0</v>
      </c>
      <c r="AD21" s="27">
        <v>0.0</v>
      </c>
      <c r="AE21" s="27">
        <v>0.0</v>
      </c>
      <c r="AF21" s="27">
        <v>2.0</v>
      </c>
      <c r="AG21" s="27">
        <v>1.0</v>
      </c>
      <c r="AH21" s="27">
        <v>1.0</v>
      </c>
      <c r="AI21" s="27">
        <v>0.0</v>
      </c>
      <c r="AJ21" s="27">
        <v>1.0</v>
      </c>
      <c r="AK21" s="27">
        <v>0.0</v>
      </c>
      <c r="AL21" s="27">
        <v>1.0</v>
      </c>
      <c r="AM21" s="27">
        <v>1.0</v>
      </c>
      <c r="AN21" s="27">
        <v>2.0</v>
      </c>
      <c r="AO21" s="186">
        <v>1.0</v>
      </c>
      <c r="AP21" s="186">
        <v>1.0</v>
      </c>
      <c r="AQ21" s="28">
        <f t="shared" si="3"/>
        <v>11.0</v>
      </c>
      <c r="AR21" s="28">
        <f t="shared" si="4"/>
        <v>6.0</v>
      </c>
      <c r="AS21" s="32">
        <f t="shared" si="5"/>
        <v>6.6</v>
      </c>
      <c r="AT21" s="33"/>
      <c r="AU21" s="33">
        <v>1.0</v>
      </c>
      <c r="AV21" s="33">
        <v>1.0</v>
      </c>
      <c r="AW21" s="33">
        <v>1.0</v>
      </c>
      <c r="AX21" s="33">
        <v>1.0</v>
      </c>
      <c r="AY21" s="2">
        <v>1.0</v>
      </c>
      <c r="AZ21" s="2">
        <v>1.0</v>
      </c>
      <c r="BA21" s="2">
        <f t="shared" si="12"/>
        <v>6.0</v>
      </c>
      <c r="BB21" s="2" t="e">
        <f t="shared" si="13"/>
        <v>#REF!</v>
      </c>
      <c r="BF21">
        <f>VLOOKUP(C21,MOQ,3,FALSE())</f>
      </c>
      <c r="BL21" s="3">
        <f t="shared" si="19"/>
        <v>0.0</v>
      </c>
      <c r="BO21" s="3"/>
      <c r="BR21" s="3"/>
      <c r="BU21" s="3"/>
    </row>
    <row r="22" ht="17.0">
      <c r="A22" s="189" t="s">
        <v>28</v>
      </c>
      <c r="B22" s="189" t="s">
        <v>29</v>
      </c>
      <c r="C22" s="40" t="s">
        <v>60</v>
      </c>
      <c r="D22" s="189" t="s">
        <v>61</v>
      </c>
      <c r="E22" s="189"/>
      <c r="F22" s="189">
        <v>0.0</v>
      </c>
      <c r="G22" s="189">
        <v>0.0</v>
      </c>
      <c r="H22" s="189">
        <v>0.0</v>
      </c>
      <c r="I22" s="189">
        <v>0.0</v>
      </c>
      <c r="J22" s="189">
        <v>0.0</v>
      </c>
      <c r="K22" s="189">
        <v>0.0</v>
      </c>
      <c r="L22" s="189">
        <v>0.0</v>
      </c>
      <c r="M22" s="189">
        <v>0.0</v>
      </c>
      <c r="N22" s="189">
        <v>0.0</v>
      </c>
      <c r="O22" s="189">
        <v>0.0</v>
      </c>
      <c r="P22" s="189">
        <v>0.0</v>
      </c>
      <c r="Q22" s="189">
        <v>0.0</v>
      </c>
      <c r="R22" s="189">
        <v>0.0</v>
      </c>
      <c r="S22" s="189">
        <v>0.0</v>
      </c>
      <c r="T22" s="189">
        <v>182.0</v>
      </c>
      <c r="U22" s="189">
        <v>96.0</v>
      </c>
      <c r="V22" s="189">
        <v>630.0</v>
      </c>
      <c r="W22" s="189">
        <v>714.0</v>
      </c>
      <c r="X22" s="189">
        <v>1034.0</v>
      </c>
      <c r="Y22" s="189">
        <v>266.0</v>
      </c>
      <c r="Z22" s="189">
        <v>66.0</v>
      </c>
      <c r="AA22" s="189">
        <v>12.0</v>
      </c>
      <c r="AB22" s="189">
        <v>18.0</v>
      </c>
      <c r="AC22" s="189">
        <v>1088.0</v>
      </c>
      <c r="AD22" s="189">
        <v>0.0</v>
      </c>
      <c r="AE22" s="34">
        <v>936.0</v>
      </c>
      <c r="AF22" s="34">
        <v>84.0</v>
      </c>
      <c r="AG22" s="34">
        <v>60.0</v>
      </c>
      <c r="AH22" s="34">
        <v>564.0</v>
      </c>
      <c r="AI22" s="34">
        <v>901.0</v>
      </c>
      <c r="AJ22" s="34">
        <v>660.0</v>
      </c>
      <c r="AK22" s="34">
        <v>811.0</v>
      </c>
      <c r="AL22" s="34">
        <v>234.0</v>
      </c>
      <c r="AM22" s="190">
        <v>54.0</v>
      </c>
      <c r="AN22" s="34">
        <v>348.0</v>
      </c>
      <c r="AO22" s="191">
        <v>595.0</v>
      </c>
      <c r="AP22" s="191">
        <v>402.0</v>
      </c>
      <c r="AQ22" s="35">
        <f t="shared" si="3"/>
        <v>5649.0</v>
      </c>
      <c r="AR22" s="35">
        <f t="shared" si="4"/>
        <v>2444.0</v>
      </c>
      <c r="AS22" s="35">
        <f t="shared" si="5"/>
        <v>2688.4</v>
      </c>
      <c r="AT22" s="36"/>
      <c r="AU22" s="176" t="e">
        <f>AS22*$AU$5/$AS$5+AU8+AU26-BB26</f>
        <v>#REF!</v>
      </c>
      <c r="AV22" s="176">
        <f>AS22*$AV$5/$AS$5+AV26*0.5+AV8*0.5</f>
        <v>855.384180790959</v>
      </c>
      <c r="AW22" s="176">
        <f>AS22*$AW$5/$AS$5+AW26*0.25+AW8*0.25</f>
        <v>531.330508474575</v>
      </c>
      <c r="AX22" s="176">
        <f>AS22*$AX$5/$AS$5+AX26*0.25+AX8*0.25</f>
        <v>1058.16101694915</v>
      </c>
      <c r="AY22" s="176">
        <f>AS22*$AY$5/$AS$5+AY26*0.25+AY8*0.25</f>
        <v>1155.2627118644</v>
      </c>
      <c r="AZ22" s="176">
        <f>AS22*$AZ$5/$AS$5+AZ26*0.25+AZ8*0.25</f>
        <v>1046.24576271186</v>
      </c>
      <c r="BA22" s="36" t="e">
        <f t="shared" si="12"/>
        <v>#REF!</v>
      </c>
      <c r="BB22" s="36" t="e">
        <f t="shared" si="13"/>
        <v>#REF!</v>
      </c>
      <c r="BC22" s="192"/>
      <c r="BD22" s="37"/>
      <c r="BE22" s="35" t="e">
        <f t="shared" ref="BE22:BE29" si="48">BB22+BC22+BD22-BA22</f>
        <v>#REF!</v>
      </c>
      <c r="BF22" s="37">
        <f>VLOOKUP(C22,MOQ,3,FALSE())</f>
        <v>3000.0</v>
      </c>
      <c r="BG22" s="38" t="s">
        <v>32</v>
      </c>
      <c r="BH22" s="29" t="s">
        <v>77</v>
      </c>
      <c r="BI22" s="36" t="e">
        <f t="shared" ref="BI22:BI29" si="49">BB22</f>
        <v>#REF!</v>
      </c>
      <c r="BJ22" s="36" t="e">
        <f t="shared" ref="BJ22:BJ29" si="50">AU22</f>
        <v>#REF!</v>
      </c>
      <c r="BK22" s="192">
        <f t="shared" ref="BK22:BK29" si="51">BC22</f>
      </c>
      <c r="BL22" s="193" t="e">
        <f t="shared" si="19"/>
        <v>#REF!</v>
      </c>
      <c r="BM22" s="36">
        <f t="shared" ref="BM22:BM29" si="52">AV22</f>
        <v>855.384180790959</v>
      </c>
      <c r="BN22" s="192">
        <f t="shared" ref="BN22:BN29" si="53">BD22</f>
      </c>
      <c r="BO22" s="35" t="e">
        <f t="shared" ref="BO22:BO29" si="54">BL22+BN22-BM22</f>
        <v>#REF!</v>
      </c>
      <c r="BP22" s="36">
        <f t="shared" ref="BP22:BP29" si="55">AW22</f>
        <v>531.330508474575</v>
      </c>
      <c r="BQ22" s="36"/>
      <c r="BR22" s="35" t="e">
        <f t="shared" ref="BR22:BR29" si="56">BO22+BQ22-BP22</f>
        <v>#REF!</v>
      </c>
      <c r="BS22" s="36">
        <f t="shared" ref="BS22:BS29" si="57">AX22</f>
        <v>1058.16101694915</v>
      </c>
      <c r="BT22" s="36"/>
      <c r="BU22" s="35" t="e">
        <f t="shared" ref="BU22:BU29" si="58">BR22+BT22-BS22</f>
        <v>#REF!</v>
      </c>
      <c r="BV22" s="192">
        <f t="shared" ref="BV22:BV29" si="59">AY22</f>
        <v>1155.2627118644</v>
      </c>
      <c r="BW22" s="192"/>
      <c r="BX22" s="193" t="e">
        <f t="shared" ref="BX22:BX29" si="60">BU22+BW22-BV22</f>
        <v>#REF!</v>
      </c>
      <c r="BY22" s="192">
        <f t="shared" ref="BY22:BY29" si="61">AZ22</f>
        <v>1046.24576271186</v>
      </c>
      <c r="BZ22" s="192"/>
      <c r="CA22" s="193" t="e">
        <f t="shared" ref="CA22:CA29" si="62">BX22+BZ22-BY22</f>
        <v>#REF!</v>
      </c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AMC22" s="194"/>
      <c r="AMD22" s="194"/>
      <c r="AME22" s="194"/>
      <c r="AMF22" s="194"/>
      <c r="AMG22" s="194"/>
      <c r="AMH22" s="194"/>
      <c r="AMI22" s="194"/>
      <c r="AMJ22" s="194"/>
    </row>
    <row r="23" ht="17.0">
      <c r="A23" s="189" t="s">
        <v>28</v>
      </c>
      <c r="B23" s="189" t="s">
        <v>29</v>
      </c>
      <c r="C23" s="189" t="s">
        <v>62</v>
      </c>
      <c r="D23" s="189" t="s">
        <v>63</v>
      </c>
      <c r="E23" s="189"/>
      <c r="F23" s="189">
        <v>0.0</v>
      </c>
      <c r="G23" s="189">
        <v>0.0</v>
      </c>
      <c r="H23" s="189">
        <v>0.0</v>
      </c>
      <c r="I23" s="189">
        <v>0.0</v>
      </c>
      <c r="J23" s="189">
        <v>0.0</v>
      </c>
      <c r="K23" s="189">
        <v>0.0</v>
      </c>
      <c r="L23" s="189">
        <v>0.0</v>
      </c>
      <c r="M23" s="189">
        <v>0.0</v>
      </c>
      <c r="N23" s="189">
        <v>0.0</v>
      </c>
      <c r="O23" s="189">
        <v>0.0</v>
      </c>
      <c r="P23" s="189">
        <v>0.0</v>
      </c>
      <c r="Q23" s="189">
        <v>0.0</v>
      </c>
      <c r="R23" s="189">
        <v>0.0</v>
      </c>
      <c r="S23" s="189">
        <v>0.0</v>
      </c>
      <c r="T23" s="189">
        <v>181.0</v>
      </c>
      <c r="U23" s="189">
        <v>96.0</v>
      </c>
      <c r="V23" s="189">
        <v>630.0</v>
      </c>
      <c r="W23" s="189">
        <v>618.0</v>
      </c>
      <c r="X23" s="189">
        <v>950.0</v>
      </c>
      <c r="Y23" s="189">
        <v>306.0</v>
      </c>
      <c r="Z23" s="189">
        <v>54.0</v>
      </c>
      <c r="AA23" s="189">
        <v>18.0</v>
      </c>
      <c r="AB23" s="189">
        <v>48.0</v>
      </c>
      <c r="AC23" s="189">
        <v>1135.0</v>
      </c>
      <c r="AD23" s="189">
        <v>0.0</v>
      </c>
      <c r="AE23" s="34">
        <v>828.0</v>
      </c>
      <c r="AF23" s="34">
        <v>24.0</v>
      </c>
      <c r="AG23" s="34">
        <v>60.0</v>
      </c>
      <c r="AH23" s="34">
        <v>666.0</v>
      </c>
      <c r="AI23" s="34">
        <v>733.0</v>
      </c>
      <c r="AJ23" s="34">
        <v>246.0</v>
      </c>
      <c r="AK23" s="34">
        <v>882.0</v>
      </c>
      <c r="AL23" s="34">
        <v>162.0</v>
      </c>
      <c r="AM23" s="190">
        <v>31.0</v>
      </c>
      <c r="AN23" s="34">
        <v>241.0</v>
      </c>
      <c r="AO23" s="191">
        <v>489.0</v>
      </c>
      <c r="AP23" s="191">
        <v>456.0</v>
      </c>
      <c r="AQ23" s="35">
        <f t="shared" si="3"/>
        <v>4818.0</v>
      </c>
      <c r="AR23" s="35">
        <f t="shared" si="4"/>
        <v>2261.0</v>
      </c>
      <c r="AS23" s="35">
        <f t="shared" si="5"/>
        <v>2487.1</v>
      </c>
      <c r="AT23" s="36"/>
      <c r="AU23" s="176">
        <f>AS23*$AU$5/$AS$5+AU29</f>
        <v>796.271186440678</v>
      </c>
      <c r="AV23" s="176">
        <f>AS23*$AV$5/$AS$5+AV29*0.5</f>
        <v>559.922316384181</v>
      </c>
      <c r="AW23" s="176">
        <f>AS23*$AW$5/$AS$5+AW29*0.25+AW83*0.25</f>
        <v>420.573305084746</v>
      </c>
      <c r="AX23" s="176">
        <f>AS23*$AX$5/$AS$5+AX29*0.25+AX83*0.25+AX9*0.25</f>
        <v>938.808474576272</v>
      </c>
      <c r="AY23" s="176">
        <f>AS23*$AY$5/$AS$5+AY29*0.25+AY9*0.25+AY83*0.25</f>
        <v>1031.73926553671</v>
      </c>
      <c r="AZ23" s="176">
        <f>AS23*$AZ$5/$AS$5+AZ29*0.25+AZ9*0.25+AZ83*0.25</f>
        <v>916.464689265528</v>
      </c>
      <c r="BA23" s="36">
        <f t="shared" si="12"/>
        <v>4663.77923728811</v>
      </c>
      <c r="BB23" s="36" t="e">
        <f t="shared" si="13"/>
        <v>#REF!</v>
      </c>
      <c r="BC23" s="192"/>
      <c r="BD23" s="37"/>
      <c r="BE23" s="35" t="e">
        <f t="shared" si="48"/>
        <v>#REF!</v>
      </c>
      <c r="BF23" s="37">
        <f>VLOOKUP(C23,MOQ,3,FALSE())</f>
        <v>3000.0</v>
      </c>
      <c r="BG23" s="41"/>
      <c r="BH23" s="29" t="s">
        <v>77</v>
      </c>
      <c r="BI23" s="36" t="e">
        <f t="shared" si="49"/>
        <v>#REF!</v>
      </c>
      <c r="BJ23" s="36">
        <f t="shared" si="50"/>
        <v>796.271186440678</v>
      </c>
      <c r="BK23" s="192">
        <f t="shared" si="51"/>
      </c>
      <c r="BL23" s="193" t="e">
        <f t="shared" si="19"/>
        <v>#REF!</v>
      </c>
      <c r="BM23" s="36">
        <f t="shared" si="52"/>
        <v>559.922316384181</v>
      </c>
      <c r="BN23" s="192">
        <f t="shared" si="53"/>
      </c>
      <c r="BO23" s="35" t="e">
        <f t="shared" si="54"/>
        <v>#REF!</v>
      </c>
      <c r="BP23" s="36">
        <f t="shared" si="55"/>
        <v>420.573305084746</v>
      </c>
      <c r="BQ23" s="36"/>
      <c r="BR23" s="35" t="e">
        <f t="shared" si="56"/>
        <v>#REF!</v>
      </c>
      <c r="BS23" s="36">
        <f t="shared" si="57"/>
        <v>938.808474576272</v>
      </c>
      <c r="BT23" s="36"/>
      <c r="BU23" s="35" t="e">
        <f t="shared" si="58"/>
        <v>#REF!</v>
      </c>
      <c r="BV23" s="192">
        <f t="shared" si="59"/>
        <v>1031.73926553671</v>
      </c>
      <c r="BW23" s="192"/>
      <c r="BX23" s="193" t="e">
        <f t="shared" si="60"/>
        <v>#REF!</v>
      </c>
      <c r="BY23" s="192">
        <f t="shared" si="61"/>
        <v>916.464689265528</v>
      </c>
      <c r="BZ23" s="192"/>
      <c r="CA23" s="193" t="e">
        <f t="shared" si="62"/>
        <v>#REF!</v>
      </c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AMC23" s="194"/>
      <c r="AMD23" s="194"/>
      <c r="AME23" s="194"/>
      <c r="AMF23" s="194"/>
      <c r="AMG23" s="194"/>
      <c r="AMH23" s="194"/>
      <c r="AMI23" s="194"/>
      <c r="AMJ23" s="194"/>
    </row>
    <row r="24" ht="14.0">
      <c r="A24" s="189" t="s">
        <v>28</v>
      </c>
      <c r="B24" s="189" t="s">
        <v>29</v>
      </c>
      <c r="C24" s="40" t="s">
        <v>65</v>
      </c>
      <c r="D24" s="189" t="s">
        <v>66</v>
      </c>
      <c r="E24" s="189"/>
      <c r="F24" s="189">
        <v>0.0</v>
      </c>
      <c r="G24" s="189">
        <v>0.0</v>
      </c>
      <c r="H24" s="189">
        <v>0.0</v>
      </c>
      <c r="I24" s="189">
        <v>0.0</v>
      </c>
      <c r="J24" s="189">
        <v>0.0</v>
      </c>
      <c r="K24" s="189">
        <v>0.0</v>
      </c>
      <c r="L24" s="189">
        <v>0.0</v>
      </c>
      <c r="M24" s="189">
        <v>0.0</v>
      </c>
      <c r="N24" s="189">
        <v>0.0</v>
      </c>
      <c r="O24" s="189">
        <v>0.0</v>
      </c>
      <c r="P24" s="189">
        <v>0.0</v>
      </c>
      <c r="Q24" s="189">
        <v>0.0</v>
      </c>
      <c r="R24" s="189">
        <v>0.0</v>
      </c>
      <c r="S24" s="189">
        <v>0.0</v>
      </c>
      <c r="T24" s="189">
        <v>1.0</v>
      </c>
      <c r="U24" s="189">
        <v>96.0</v>
      </c>
      <c r="V24" s="189">
        <v>36.0</v>
      </c>
      <c r="W24" s="189">
        <v>126.0</v>
      </c>
      <c r="X24" s="189">
        <v>44.0</v>
      </c>
      <c r="Y24" s="189">
        <v>408.0</v>
      </c>
      <c r="Z24" s="189">
        <v>31.0</v>
      </c>
      <c r="AA24" s="189">
        <v>36.0</v>
      </c>
      <c r="AB24" s="189">
        <v>30.0</v>
      </c>
      <c r="AC24" s="189">
        <v>594.0</v>
      </c>
      <c r="AD24" s="189">
        <v>6.0</v>
      </c>
      <c r="AE24" s="34">
        <v>486.0</v>
      </c>
      <c r="AF24" s="34">
        <v>60.0</v>
      </c>
      <c r="AG24" s="34">
        <v>12.0</v>
      </c>
      <c r="AH24" s="34">
        <v>498.0</v>
      </c>
      <c r="AI24" s="34">
        <v>572.0</v>
      </c>
      <c r="AJ24" s="34">
        <v>470.0</v>
      </c>
      <c r="AK24" s="34">
        <v>715.0</v>
      </c>
      <c r="AL24" s="34">
        <v>139.0</v>
      </c>
      <c r="AM24" s="190">
        <v>43.0</v>
      </c>
      <c r="AN24" s="34">
        <v>288.0</v>
      </c>
      <c r="AO24" s="191">
        <v>406.0</v>
      </c>
      <c r="AP24" s="191">
        <v>381.0</v>
      </c>
      <c r="AQ24" s="35">
        <f t="shared" si="3"/>
        <v>4070.0</v>
      </c>
      <c r="AR24" s="35">
        <f t="shared" si="4"/>
        <v>1972.0</v>
      </c>
      <c r="AS24" s="35">
        <f t="shared" si="5"/>
        <v>2169.2</v>
      </c>
      <c r="AT24" s="36"/>
      <c r="AU24" s="176">
        <f>AS24*$AU$5/$AS$5+AU28</f>
        <v>630.841807909604</v>
      </c>
      <c r="AV24" s="176">
        <f>AS24*$AV$5/$AS$5+AV28*0.5</f>
        <v>462.27966101694</v>
      </c>
      <c r="AW24" s="176">
        <f>AS24*$AW$5/$AS$5+AW28*0.25</f>
        <v>339.385593220338</v>
      </c>
      <c r="AX24" s="176">
        <f>AS24*$AX$5/$AS$5+AX28*0.25</f>
        <v>677.271186440678</v>
      </c>
      <c r="AY24" s="176">
        <f>AS24*$AY$5/$AS$5+AY28*0.25</f>
        <v>742.806497175141</v>
      </c>
      <c r="AZ24" s="176">
        <f>AS24*$AZ$5/$AS$5+AZ28*0.25</f>
        <v>672.620056497174</v>
      </c>
      <c r="BA24" s="36">
        <f t="shared" si="12"/>
        <v>3525.20480225988</v>
      </c>
      <c r="BB24" s="36" t="e">
        <f t="shared" si="13"/>
        <v>#REF!</v>
      </c>
      <c r="BC24" s="192"/>
      <c r="BD24" s="37"/>
      <c r="BE24" s="35" t="e">
        <f t="shared" si="48"/>
        <v>#REF!</v>
      </c>
      <c r="BF24" s="37">
        <f>VLOOKUP(C24,MOQ,3,FALSE())</f>
        <v>3000.0</v>
      </c>
      <c r="BG24" s="38" t="s">
        <v>32</v>
      </c>
      <c r="BH24" s="29" t="s">
        <v>241</v>
      </c>
      <c r="BI24" s="36" t="e">
        <f t="shared" si="49"/>
        <v>#REF!</v>
      </c>
      <c r="BJ24" s="36">
        <f t="shared" si="50"/>
        <v>630.841807909604</v>
      </c>
      <c r="BK24" s="192">
        <f t="shared" si="51"/>
      </c>
      <c r="BL24" s="193" t="e">
        <f t="shared" si="19"/>
        <v>#REF!</v>
      </c>
      <c r="BM24" s="36">
        <f t="shared" si="52"/>
        <v>462.27966101694</v>
      </c>
      <c r="BN24" s="192">
        <f t="shared" si="53"/>
      </c>
      <c r="BO24" s="35" t="e">
        <f t="shared" si="54"/>
        <v>#REF!</v>
      </c>
      <c r="BP24" s="36">
        <f t="shared" si="55"/>
        <v>339.385593220338</v>
      </c>
      <c r="BQ24" s="36"/>
      <c r="BR24" s="35" t="e">
        <f t="shared" si="56"/>
        <v>#REF!</v>
      </c>
      <c r="BS24" s="36">
        <f t="shared" si="57"/>
        <v>677.271186440678</v>
      </c>
      <c r="BT24" s="36"/>
      <c r="BU24" s="35" t="e">
        <f t="shared" si="58"/>
        <v>#REF!</v>
      </c>
      <c r="BV24" s="192">
        <f t="shared" si="59"/>
        <v>742.806497175141</v>
      </c>
      <c r="BW24" s="192"/>
      <c r="BX24" s="193" t="e">
        <f t="shared" si="60"/>
        <v>#REF!</v>
      </c>
      <c r="BY24" s="192">
        <f t="shared" si="61"/>
        <v>672.620056497174</v>
      </c>
      <c r="BZ24" s="192"/>
      <c r="CA24" s="193" t="e">
        <f t="shared" si="62"/>
        <v>#REF!</v>
      </c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AMC24" s="194"/>
      <c r="AMD24" s="194"/>
      <c r="AME24" s="194"/>
      <c r="AMF24" s="194"/>
      <c r="AMG24" s="194"/>
      <c r="AMH24" s="194"/>
      <c r="AMI24" s="194"/>
      <c r="AMJ24" s="194"/>
    </row>
    <row r="25" ht="17.0">
      <c r="A25" s="189" t="s">
        <v>28</v>
      </c>
      <c r="B25" s="189" t="s">
        <v>29</v>
      </c>
      <c r="C25" s="189" t="s">
        <v>67</v>
      </c>
      <c r="D25" s="189" t="s">
        <v>68</v>
      </c>
      <c r="E25" s="189"/>
      <c r="F25" s="189">
        <v>0.0</v>
      </c>
      <c r="G25" s="189">
        <v>0.0</v>
      </c>
      <c r="H25" s="189">
        <v>0.0</v>
      </c>
      <c r="I25" s="189">
        <v>0.0</v>
      </c>
      <c r="J25" s="189">
        <v>0.0</v>
      </c>
      <c r="K25" s="189">
        <v>0.0</v>
      </c>
      <c r="L25" s="189">
        <v>0.0</v>
      </c>
      <c r="M25" s="189">
        <v>0.0</v>
      </c>
      <c r="N25" s="189">
        <v>0.0</v>
      </c>
      <c r="O25" s="189">
        <v>0.0</v>
      </c>
      <c r="P25" s="189">
        <v>0.0</v>
      </c>
      <c r="Q25" s="189">
        <v>0.0</v>
      </c>
      <c r="R25" s="189">
        <v>0.0</v>
      </c>
      <c r="S25" s="189">
        <v>0.0</v>
      </c>
      <c r="T25" s="189">
        <v>1.0</v>
      </c>
      <c r="U25" s="189">
        <v>132.0</v>
      </c>
      <c r="V25" s="189">
        <v>36.0</v>
      </c>
      <c r="W25" s="189">
        <v>90.0</v>
      </c>
      <c r="X25" s="189">
        <v>37.0</v>
      </c>
      <c r="Y25" s="189">
        <v>383.0</v>
      </c>
      <c r="Z25" s="189">
        <v>36.0</v>
      </c>
      <c r="AA25" s="189">
        <v>30.0</v>
      </c>
      <c r="AB25" s="189">
        <v>66.0</v>
      </c>
      <c r="AC25" s="189">
        <v>606.0</v>
      </c>
      <c r="AD25" s="189">
        <v>6.0</v>
      </c>
      <c r="AE25" s="34">
        <v>492.0</v>
      </c>
      <c r="AF25" s="34">
        <v>60.0</v>
      </c>
      <c r="AG25" s="34">
        <v>24.0</v>
      </c>
      <c r="AH25" s="34">
        <v>464.0</v>
      </c>
      <c r="AI25" s="34">
        <v>595.0</v>
      </c>
      <c r="AJ25" s="34">
        <v>560.0</v>
      </c>
      <c r="AK25" s="34">
        <v>770.0</v>
      </c>
      <c r="AL25" s="34">
        <v>282.0</v>
      </c>
      <c r="AM25" s="190">
        <v>19.0</v>
      </c>
      <c r="AN25" s="34">
        <v>264.0</v>
      </c>
      <c r="AO25" s="191">
        <v>497.0</v>
      </c>
      <c r="AP25" s="191">
        <v>386.0</v>
      </c>
      <c r="AQ25" s="35">
        <f t="shared" si="3"/>
        <v>4413.0</v>
      </c>
      <c r="AR25" s="35">
        <f t="shared" si="4"/>
        <v>2218.0</v>
      </c>
      <c r="AS25" s="35">
        <f t="shared" si="5"/>
        <v>2439.8</v>
      </c>
      <c r="AT25" s="36"/>
      <c r="AU25" s="176">
        <f>AS25*$AU$5/$AS$5+AU27</f>
        <v>740.457627118643</v>
      </c>
      <c r="AV25" s="176">
        <f>AS25*$AV$5/$AS$5+AV27*0.5</f>
        <v>532.598870056496</v>
      </c>
      <c r="AW25" s="176">
        <f>AS25*$AW$5/$AS$5+AW27*0.25</f>
        <v>386.64406779661</v>
      </c>
      <c r="AX25" s="176">
        <f>AS25*$AX$5/$AS$5+AX27*0.25</f>
        <v>771.78813559322</v>
      </c>
      <c r="AY25" s="176">
        <f>AS25*$AY$5/$AS$5+AY27*0.25</f>
        <v>848.101694915246</v>
      </c>
      <c r="AZ25" s="176">
        <f>AS25*$AZ$5/$AS$5+AZ27*0.25</f>
        <v>767.966101694914</v>
      </c>
      <c r="BA25" s="36">
        <f t="shared" si="12"/>
        <v>4047.55649717512</v>
      </c>
      <c r="BB25" s="36" t="e">
        <f t="shared" si="13"/>
        <v>#REF!</v>
      </c>
      <c r="BC25" s="192"/>
      <c r="BD25" s="37"/>
      <c r="BE25" s="35" t="e">
        <f t="shared" si="48"/>
        <v>#REF!</v>
      </c>
      <c r="BF25" s="37">
        <f>VLOOKUP(C25,MOQ,3,FALSE())</f>
        <v>3000.0</v>
      </c>
      <c r="BG25" s="41"/>
      <c r="BH25" s="29" t="s">
        <v>77</v>
      </c>
      <c r="BI25" s="36" t="e">
        <f t="shared" si="49"/>
        <v>#REF!</v>
      </c>
      <c r="BJ25" s="36">
        <f t="shared" si="50"/>
        <v>740.457627118643</v>
      </c>
      <c r="BK25" s="192">
        <f t="shared" si="51"/>
      </c>
      <c r="BL25" s="193" t="e">
        <f t="shared" si="19"/>
        <v>#REF!</v>
      </c>
      <c r="BM25" s="36">
        <f t="shared" si="52"/>
        <v>532.598870056496</v>
      </c>
      <c r="BN25" s="192">
        <f t="shared" si="53"/>
      </c>
      <c r="BO25" s="35" t="e">
        <f t="shared" si="54"/>
        <v>#REF!</v>
      </c>
      <c r="BP25" s="36">
        <f t="shared" si="55"/>
        <v>386.64406779661</v>
      </c>
      <c r="BQ25" s="36"/>
      <c r="BR25" s="35" t="e">
        <f t="shared" si="56"/>
        <v>#REF!</v>
      </c>
      <c r="BS25" s="36">
        <f t="shared" si="57"/>
        <v>771.78813559322</v>
      </c>
      <c r="BT25" s="36"/>
      <c r="BU25" s="35" t="e">
        <f t="shared" si="58"/>
        <v>#REF!</v>
      </c>
      <c r="BV25" s="192">
        <f t="shared" si="59"/>
        <v>848.101694915246</v>
      </c>
      <c r="BW25" s="192"/>
      <c r="BX25" s="193" t="e">
        <f t="shared" si="60"/>
        <v>#REF!</v>
      </c>
      <c r="BY25" s="192">
        <f t="shared" si="61"/>
        <v>767.966101694914</v>
      </c>
      <c r="BZ25" s="192"/>
      <c r="CA25" s="193" t="e">
        <f t="shared" si="62"/>
        <v>#REF!</v>
      </c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AMC25" s="194"/>
      <c r="AMD25" s="194"/>
      <c r="AME25" s="194"/>
      <c r="AMF25" s="194"/>
      <c r="AMG25" s="194"/>
      <c r="AMH25" s="194"/>
      <c r="AMI25" s="194"/>
      <c r="AMJ25" s="194"/>
    </row>
    <row r="26" customHeight="1" ht="12.0">
      <c r="A26" s="166" t="s">
        <v>28</v>
      </c>
      <c r="B26" s="27" t="s">
        <v>29</v>
      </c>
      <c r="C26" s="166" t="s">
        <v>69</v>
      </c>
      <c r="D26" s="166" t="s">
        <v>70</v>
      </c>
      <c r="E26" s="27"/>
      <c r="F26" s="27">
        <v>332.0</v>
      </c>
      <c r="G26" s="27">
        <v>484.0</v>
      </c>
      <c r="H26" s="27">
        <v>408.0</v>
      </c>
      <c r="I26" s="27">
        <v>455.0</v>
      </c>
      <c r="J26" s="27">
        <v>567.0</v>
      </c>
      <c r="K26" s="27">
        <v>558.0</v>
      </c>
      <c r="L26" s="27">
        <v>495.0</v>
      </c>
      <c r="M26" s="27">
        <v>424.0</v>
      </c>
      <c r="N26" s="27">
        <v>304.0</v>
      </c>
      <c r="O26" s="27">
        <v>295.0</v>
      </c>
      <c r="P26" s="27">
        <v>322.0</v>
      </c>
      <c r="Q26" s="27">
        <v>300.0</v>
      </c>
      <c r="R26" s="27">
        <v>173.0</v>
      </c>
      <c r="S26" s="27">
        <v>276.0</v>
      </c>
      <c r="T26" s="27">
        <v>312.0</v>
      </c>
      <c r="U26" s="27">
        <v>254.0</v>
      </c>
      <c r="V26" s="27">
        <v>385.0</v>
      </c>
      <c r="W26" s="27">
        <v>508.0</v>
      </c>
      <c r="X26" s="27">
        <v>550.0</v>
      </c>
      <c r="Y26" s="27">
        <v>332.0</v>
      </c>
      <c r="Z26" s="27">
        <v>132.0</v>
      </c>
      <c r="AA26" s="27">
        <v>443.0</v>
      </c>
      <c r="AB26" s="27">
        <v>242.0</v>
      </c>
      <c r="AC26" s="27">
        <v>274.0</v>
      </c>
      <c r="AD26" s="27">
        <v>273.0</v>
      </c>
      <c r="AE26" s="27">
        <v>219.0</v>
      </c>
      <c r="AF26" s="27">
        <v>346.0</v>
      </c>
      <c r="AG26" s="27">
        <v>163.0</v>
      </c>
      <c r="AH26" s="27">
        <v>421.0</v>
      </c>
      <c r="AI26" s="27">
        <v>306.0</v>
      </c>
      <c r="AJ26" s="27">
        <v>466.0</v>
      </c>
      <c r="AK26" s="27">
        <v>193.0</v>
      </c>
      <c r="AL26" s="27">
        <v>239.0</v>
      </c>
      <c r="AM26" s="27">
        <v>238.0</v>
      </c>
      <c r="AN26" s="27">
        <v>147.0</v>
      </c>
      <c r="AO26" s="186">
        <v>223.0</v>
      </c>
      <c r="AP26" s="187">
        <v>263.0</v>
      </c>
      <c r="AQ26" s="28">
        <f t="shared" si="3"/>
        <v>3224.0</v>
      </c>
      <c r="AR26" s="28">
        <f t="shared" si="4"/>
        <v>1303.0</v>
      </c>
      <c r="AS26" s="28">
        <f t="shared" si="5"/>
        <v>1433.3</v>
      </c>
      <c r="AU26" s="1">
        <f>AS26*$AU$5/$AS$5+12*$AU$30</f>
        <v>399.59039548022</v>
      </c>
      <c r="AV26" s="171">
        <f>AS26*$AV$5/$AS$5+12*$AV$30</f>
        <v>328.697740112994</v>
      </c>
      <c r="AW26" s="171">
        <f>AS26*$AW$5/$AS$5+12*$AW$30</f>
        <v>257.805084745762</v>
      </c>
      <c r="AX26" s="171">
        <f>AS26*$AX$5/$AS$5+12*$AX$30</f>
        <v>503.610169491525</v>
      </c>
      <c r="AY26" s="175">
        <f t="shared" ref="AY26:AY29" si="85">AS26*$AY$5/$AS$5</f>
        <v>467.460451977401</v>
      </c>
      <c r="AZ26" s="175">
        <f t="shared" ref="AZ26:AZ29" si="86">AS26*$AZ$5/$AS$5</f>
        <v>423.290960451977</v>
      </c>
      <c r="BA26" s="2">
        <f t="shared" si="12"/>
        <v>2380.45480225988</v>
      </c>
      <c r="BB26" s="2" t="e">
        <f t="shared" si="13"/>
        <v>#REF!</v>
      </c>
      <c r="BD26" s="36"/>
      <c r="BE26" s="28" t="e">
        <f t="shared" si="48"/>
        <v>#REF!</v>
      </c>
      <c r="BF26" s="29">
        <f>VLOOKUP(C26,MOQ,3,FALSE())</f>
        <v>1620.0</v>
      </c>
      <c r="BG26" s="177" t="e">
        <f>BE26*-1</f>
        <v>#REF!</v>
      </c>
      <c r="BH26" s="29" t="s">
        <v>7</v>
      </c>
      <c r="BI26" s="1" t="e">
        <f t="shared" si="49"/>
        <v>#REF!</v>
      </c>
      <c r="BJ26" s="1">
        <f t="shared" si="50"/>
        <v>399.59039548022</v>
      </c>
      <c r="BK26" s="1">
        <f t="shared" si="51"/>
      </c>
      <c r="BL26" s="3" t="e">
        <f t="shared" si="19"/>
        <v>#REF!</v>
      </c>
      <c r="BM26" s="1">
        <f t="shared" si="52"/>
        <v>328.697740112994</v>
      </c>
      <c r="BN26" s="1">
        <f t="shared" si="53"/>
      </c>
      <c r="BO26" s="3" t="e">
        <f t="shared" si="54"/>
        <v>#REF!</v>
      </c>
      <c r="BP26" s="1">
        <f t="shared" si="55"/>
        <v>257.805084745762</v>
      </c>
      <c r="BR26" s="3" t="e">
        <f t="shared" si="56"/>
        <v>#REF!</v>
      </c>
      <c r="BS26" s="1">
        <f t="shared" si="57"/>
        <v>503.610169491525</v>
      </c>
      <c r="BU26" s="3" t="e">
        <f t="shared" si="58"/>
        <v>#REF!</v>
      </c>
      <c r="BV26" s="1">
        <f t="shared" si="59"/>
        <v>467.460451977401</v>
      </c>
      <c r="BX26" s="3" t="e">
        <f t="shared" si="60"/>
        <v>#REF!</v>
      </c>
      <c r="BY26" s="1">
        <f t="shared" si="61"/>
        <v>423.290960451977</v>
      </c>
      <c r="CA26" s="3" t="e">
        <f t="shared" si="62"/>
        <v>#REF!</v>
      </c>
    </row>
    <row r="27" ht="17.0">
      <c r="A27" s="166" t="s">
        <v>45</v>
      </c>
      <c r="B27" s="27" t="s">
        <v>29</v>
      </c>
      <c r="C27" s="166" t="s">
        <v>71</v>
      </c>
      <c r="D27" s="166" t="s">
        <v>72</v>
      </c>
      <c r="E27" s="27"/>
      <c r="F27" s="27">
        <v>187.0</v>
      </c>
      <c r="G27" s="27">
        <v>234.0</v>
      </c>
      <c r="H27" s="27">
        <v>244.0</v>
      </c>
      <c r="I27" s="27">
        <v>248.0</v>
      </c>
      <c r="J27" s="27">
        <v>263.0</v>
      </c>
      <c r="K27" s="27">
        <v>354.0</v>
      </c>
      <c r="L27" s="27">
        <v>309.0</v>
      </c>
      <c r="M27" s="27">
        <v>307.0</v>
      </c>
      <c r="N27" s="27">
        <v>199.0</v>
      </c>
      <c r="O27" s="27">
        <v>153.0</v>
      </c>
      <c r="P27" s="27">
        <v>251.0</v>
      </c>
      <c r="Q27" s="27">
        <v>171.0</v>
      </c>
      <c r="R27" s="27">
        <v>111.0</v>
      </c>
      <c r="S27" s="27">
        <v>166.0</v>
      </c>
      <c r="T27" s="27">
        <v>179.0</v>
      </c>
      <c r="U27" s="27">
        <v>149.0</v>
      </c>
      <c r="V27" s="27">
        <v>245.0</v>
      </c>
      <c r="W27" s="27">
        <v>257.0</v>
      </c>
      <c r="X27" s="27">
        <v>312.0</v>
      </c>
      <c r="Y27" s="27">
        <v>255.0</v>
      </c>
      <c r="Z27" s="27">
        <v>286.0</v>
      </c>
      <c r="AA27" s="27">
        <v>65.0</v>
      </c>
      <c r="AB27" s="27">
        <v>130.0</v>
      </c>
      <c r="AC27" s="27">
        <v>292.0</v>
      </c>
      <c r="AD27" s="27">
        <v>143.0</v>
      </c>
      <c r="AE27" s="27">
        <v>184.0</v>
      </c>
      <c r="AF27" s="27">
        <v>191.0</v>
      </c>
      <c r="AG27" s="27">
        <v>137.0</v>
      </c>
      <c r="AH27" s="27">
        <v>259.0</v>
      </c>
      <c r="AI27" s="27">
        <v>131.0</v>
      </c>
      <c r="AJ27" s="27">
        <v>282.0</v>
      </c>
      <c r="AK27" s="27">
        <v>190.0</v>
      </c>
      <c r="AL27" s="27">
        <v>171.0</v>
      </c>
      <c r="AM27" s="27">
        <v>217.0</v>
      </c>
      <c r="AN27" s="27">
        <v>5.0</v>
      </c>
      <c r="AO27" s="186">
        <v>1.0</v>
      </c>
      <c r="AP27" s="186">
        <v>0.0</v>
      </c>
      <c r="AQ27" s="28">
        <f t="shared" si="3"/>
        <v>1768.0</v>
      </c>
      <c r="AR27" s="28">
        <f t="shared" si="4"/>
        <v>584.0</v>
      </c>
      <c r="AS27" s="28">
        <f t="shared" si="5"/>
        <v>642.4</v>
      </c>
      <c r="AU27" s="171">
        <f t="shared" ref="AU27:AU29" si="88">AS27*$AU$5/$AS$5+6*$AU$30</f>
        <v>182.824858757062</v>
      </c>
      <c r="AV27" s="171">
        <f t="shared" ref="AV27:AV29" si="89">AS27*$AV$5/$AS$5+6*$AV$30</f>
        <v>150.429378531072</v>
      </c>
      <c r="AW27" s="171">
        <f t="shared" ref="AW27:AW29" si="90">AS27*$AW$5/$AS$5+6*$AW$30</f>
        <v>118.033898305084</v>
      </c>
      <c r="AX27" s="171">
        <f t="shared" ref="AX27:AX29" si="91">AS27*$AX$5/$AS$5+6*$AX$30</f>
        <v>230.067796610169</v>
      </c>
      <c r="AY27" s="175">
        <f t="shared" si="85"/>
        <v>209.514124293785</v>
      </c>
      <c r="AZ27" s="175">
        <f t="shared" si="86"/>
        <v>189.717514124293</v>
      </c>
      <c r="BA27" s="2">
        <f t="shared" si="12"/>
        <v>1080.58757062147</v>
      </c>
      <c r="BB27" s="2" t="e">
        <f t="shared" si="13"/>
        <v>#REF!</v>
      </c>
      <c r="BD27" s="36"/>
      <c r="BE27" s="28" t="e">
        <f t="shared" si="48"/>
        <v>#REF!</v>
      </c>
      <c r="BF27" s="29">
        <f>VLOOKUP(C27,MOQ,3,FALSE())</f>
        <v>1080.0</v>
      </c>
      <c r="BG27" s="30"/>
      <c r="BH27" s="29" t="s">
        <v>77</v>
      </c>
      <c r="BI27" s="1" t="e">
        <f t="shared" si="49"/>
        <v>#REF!</v>
      </c>
      <c r="BJ27" s="1">
        <f t="shared" si="50"/>
        <v>182.824858757062</v>
      </c>
      <c r="BK27" s="1">
        <f t="shared" si="51"/>
      </c>
      <c r="BL27" s="3" t="e">
        <f t="shared" si="19"/>
        <v>#REF!</v>
      </c>
      <c r="BM27" s="1">
        <f t="shared" si="52"/>
        <v>150.429378531072</v>
      </c>
      <c r="BN27" s="1">
        <f t="shared" si="53"/>
      </c>
      <c r="BO27" s="3" t="e">
        <f t="shared" si="54"/>
        <v>#REF!</v>
      </c>
      <c r="BP27" s="1">
        <f t="shared" si="55"/>
        <v>118.033898305084</v>
      </c>
      <c r="BR27" s="3" t="e">
        <f t="shared" si="56"/>
        <v>#REF!</v>
      </c>
      <c r="BS27" s="1">
        <f t="shared" si="57"/>
        <v>230.067796610169</v>
      </c>
      <c r="BU27" s="3" t="e">
        <f t="shared" si="58"/>
        <v>#REF!</v>
      </c>
      <c r="BV27" s="1">
        <f t="shared" si="59"/>
        <v>209.514124293785</v>
      </c>
      <c r="BX27" s="3" t="e">
        <f t="shared" si="60"/>
        <v>#REF!</v>
      </c>
      <c r="BY27" s="1">
        <f t="shared" si="61"/>
        <v>189.717514124293</v>
      </c>
      <c r="CA27" s="3" t="e">
        <f t="shared" si="62"/>
        <v>#REF!</v>
      </c>
    </row>
    <row r="28" ht="17.0">
      <c r="A28" s="166" t="s">
        <v>45</v>
      </c>
      <c r="B28" s="27" t="s">
        <v>29</v>
      </c>
      <c r="C28" s="166" t="s">
        <v>73</v>
      </c>
      <c r="D28" s="166" t="s">
        <v>74</v>
      </c>
      <c r="E28" s="27"/>
      <c r="F28" s="27">
        <v>105.0</v>
      </c>
      <c r="G28" s="27">
        <v>264.0</v>
      </c>
      <c r="H28" s="27">
        <v>181.0</v>
      </c>
      <c r="I28" s="27">
        <v>261.0</v>
      </c>
      <c r="J28" s="27">
        <v>159.0</v>
      </c>
      <c r="K28" s="27">
        <v>297.0</v>
      </c>
      <c r="L28" s="27">
        <v>282.0</v>
      </c>
      <c r="M28" s="27">
        <v>186.0</v>
      </c>
      <c r="N28" s="27">
        <v>147.0</v>
      </c>
      <c r="O28" s="27">
        <v>141.0</v>
      </c>
      <c r="P28" s="27">
        <v>137.0</v>
      </c>
      <c r="Q28" s="27">
        <v>147.0</v>
      </c>
      <c r="R28" s="27">
        <v>65.0</v>
      </c>
      <c r="S28" s="27">
        <v>106.0</v>
      </c>
      <c r="T28" s="27">
        <v>108.0</v>
      </c>
      <c r="U28" s="27">
        <v>111.0</v>
      </c>
      <c r="V28" s="27">
        <v>160.0</v>
      </c>
      <c r="W28" s="27">
        <v>164.0</v>
      </c>
      <c r="X28" s="27">
        <v>281.0</v>
      </c>
      <c r="Y28" s="27">
        <v>221.0</v>
      </c>
      <c r="Z28" s="27">
        <v>174.0</v>
      </c>
      <c r="AA28" s="27">
        <v>122.0</v>
      </c>
      <c r="AB28" s="27">
        <v>96.0</v>
      </c>
      <c r="AC28" s="27">
        <v>121.0</v>
      </c>
      <c r="AD28" s="27">
        <v>111.0</v>
      </c>
      <c r="AE28" s="27">
        <v>96.0</v>
      </c>
      <c r="AF28" s="27">
        <v>124.0</v>
      </c>
      <c r="AG28" s="27">
        <v>77.0</v>
      </c>
      <c r="AH28" s="27">
        <v>151.0</v>
      </c>
      <c r="AI28" s="27">
        <v>143.0</v>
      </c>
      <c r="AJ28" s="27">
        <v>151.0</v>
      </c>
      <c r="AK28" s="27">
        <v>114.0</v>
      </c>
      <c r="AL28" s="27">
        <v>126.0</v>
      </c>
      <c r="AM28" s="27">
        <v>71.0</v>
      </c>
      <c r="AN28" s="27">
        <v>82.0</v>
      </c>
      <c r="AO28" s="186">
        <v>2.0</v>
      </c>
      <c r="AP28" s="195">
        <v>-1.0</v>
      </c>
      <c r="AQ28" s="28">
        <f t="shared" si="3"/>
        <v>1136.0</v>
      </c>
      <c r="AR28" s="28">
        <f t="shared" si="4"/>
        <v>394.0</v>
      </c>
      <c r="AS28" s="28">
        <f t="shared" si="5"/>
        <v>433.4</v>
      </c>
      <c r="AU28" s="171">
        <f t="shared" si="88"/>
        <v>135.056497175141</v>
      </c>
      <c r="AV28" s="171">
        <f t="shared" si="89"/>
        <v>111.248587570621</v>
      </c>
      <c r="AW28" s="171">
        <f t="shared" si="90"/>
        <v>87.4406779661017</v>
      </c>
      <c r="AX28" s="171">
        <f t="shared" si="91"/>
        <v>168.881355932203</v>
      </c>
      <c r="AY28" s="175">
        <f t="shared" si="85"/>
        <v>141.350282485876</v>
      </c>
      <c r="AZ28" s="175">
        <f t="shared" si="86"/>
        <v>127.994350282486</v>
      </c>
      <c r="BA28" s="2">
        <f t="shared" si="12"/>
        <v>771.97175141242</v>
      </c>
      <c r="BB28" s="2" t="e">
        <f t="shared" si="13"/>
        <v>#REF!</v>
      </c>
      <c r="BD28" s="36"/>
      <c r="BE28" s="28" t="e">
        <f t="shared" si="48"/>
        <v>#REF!</v>
      </c>
      <c r="BF28" s="29">
        <f>VLOOKUP(C28,MOQ,3,FALSE())</f>
        <v>660.0</v>
      </c>
      <c r="BG28" s="30"/>
      <c r="BH28" s="29" t="s">
        <v>77</v>
      </c>
      <c r="BI28" s="1" t="e">
        <f t="shared" si="49"/>
        <v>#REF!</v>
      </c>
      <c r="BJ28" s="1">
        <f t="shared" si="50"/>
        <v>135.056497175141</v>
      </c>
      <c r="BK28" s="1">
        <f t="shared" si="51"/>
      </c>
      <c r="BL28" s="3" t="e">
        <f t="shared" si="19"/>
        <v>#REF!</v>
      </c>
      <c r="BM28" s="1">
        <f t="shared" si="52"/>
        <v>111.248587570621</v>
      </c>
      <c r="BN28" s="1">
        <f t="shared" si="53"/>
      </c>
      <c r="BO28" s="3" t="e">
        <f t="shared" si="54"/>
        <v>#REF!</v>
      </c>
      <c r="BP28" s="1">
        <f t="shared" si="55"/>
        <v>87.4406779661017</v>
      </c>
      <c r="BR28" s="3" t="e">
        <f t="shared" si="56"/>
        <v>#REF!</v>
      </c>
      <c r="BS28" s="1">
        <f t="shared" si="57"/>
        <v>168.881355932203</v>
      </c>
      <c r="BU28" s="3" t="e">
        <f t="shared" si="58"/>
        <v>#REF!</v>
      </c>
      <c r="BV28" s="1">
        <f t="shared" si="59"/>
        <v>141.350282485876</v>
      </c>
      <c r="BX28" s="3" t="e">
        <f t="shared" si="60"/>
        <v>#REF!</v>
      </c>
      <c r="BY28" s="1">
        <f t="shared" si="61"/>
        <v>127.994350282486</v>
      </c>
      <c r="CA28" s="3" t="e">
        <f t="shared" si="62"/>
        <v>#REF!</v>
      </c>
    </row>
    <row r="29" ht="17.0">
      <c r="A29" s="166" t="s">
        <v>45</v>
      </c>
      <c r="B29" s="27" t="s">
        <v>29</v>
      </c>
      <c r="C29" s="166" t="s">
        <v>75</v>
      </c>
      <c r="D29" s="166" t="s">
        <v>76</v>
      </c>
      <c r="E29" s="27"/>
      <c r="F29" s="27">
        <v>310.0</v>
      </c>
      <c r="G29" s="27">
        <v>397.0</v>
      </c>
      <c r="H29" s="27">
        <v>272.0</v>
      </c>
      <c r="I29" s="27">
        <v>366.0</v>
      </c>
      <c r="J29" s="27">
        <v>379.0</v>
      </c>
      <c r="K29" s="27">
        <v>383.0</v>
      </c>
      <c r="L29" s="27">
        <v>420.0</v>
      </c>
      <c r="M29" s="27">
        <v>425.0</v>
      </c>
      <c r="N29" s="27">
        <v>338.0</v>
      </c>
      <c r="O29" s="27">
        <v>201.0</v>
      </c>
      <c r="P29" s="27">
        <v>336.0</v>
      </c>
      <c r="Q29" s="27">
        <v>218.0</v>
      </c>
      <c r="R29" s="27">
        <v>181.0</v>
      </c>
      <c r="S29" s="27">
        <v>199.0</v>
      </c>
      <c r="T29" s="27">
        <v>272.0</v>
      </c>
      <c r="U29" s="27">
        <v>184.0</v>
      </c>
      <c r="V29" s="27">
        <v>311.0</v>
      </c>
      <c r="W29" s="27">
        <v>325.0</v>
      </c>
      <c r="X29" s="27">
        <v>432.0</v>
      </c>
      <c r="Y29" s="27">
        <v>331.0</v>
      </c>
      <c r="Z29" s="27">
        <v>335.0</v>
      </c>
      <c r="AA29" s="27">
        <v>264.0</v>
      </c>
      <c r="AB29" s="27">
        <v>127.0</v>
      </c>
      <c r="AC29" s="27">
        <v>246.0</v>
      </c>
      <c r="AD29" s="27">
        <v>180.0</v>
      </c>
      <c r="AE29" s="27">
        <v>248.0</v>
      </c>
      <c r="AF29" s="27">
        <v>243.0</v>
      </c>
      <c r="AG29" s="27">
        <v>192.0</v>
      </c>
      <c r="AH29" s="27">
        <v>286.0</v>
      </c>
      <c r="AI29" s="27">
        <v>262.0</v>
      </c>
      <c r="AJ29" s="27">
        <v>329.0</v>
      </c>
      <c r="AK29" s="27">
        <v>193.0</v>
      </c>
      <c r="AL29" s="27">
        <v>214.0</v>
      </c>
      <c r="AM29" s="27">
        <v>207.0</v>
      </c>
      <c r="AN29" s="27">
        <v>144.0</v>
      </c>
      <c r="AO29" s="195">
        <v>-1.0</v>
      </c>
      <c r="AP29" s="187">
        <v>6.0</v>
      </c>
      <c r="AQ29" s="28">
        <f t="shared" si="3"/>
        <v>2323.0</v>
      </c>
      <c r="AR29" s="28">
        <f t="shared" si="4"/>
        <v>763.0</v>
      </c>
      <c r="AS29" s="28">
        <f t="shared" si="5"/>
        <v>839.3</v>
      </c>
      <c r="AU29" s="171">
        <f t="shared" si="88"/>
        <v>227.827683615819</v>
      </c>
      <c r="AV29" s="171">
        <f t="shared" si="89"/>
        <v>187.341807909604</v>
      </c>
      <c r="AW29" s="171">
        <f t="shared" si="90"/>
        <v>146.85593220339</v>
      </c>
      <c r="AX29" s="171">
        <f t="shared" si="91"/>
        <v>287.71186440678</v>
      </c>
      <c r="AY29" s="175">
        <f t="shared" si="85"/>
        <v>273.731638418079</v>
      </c>
      <c r="AZ29" s="175">
        <f t="shared" si="86"/>
        <v>247.867231638418</v>
      </c>
      <c r="BA29" s="2">
        <f t="shared" si="12"/>
        <v>1371.33615819209</v>
      </c>
      <c r="BB29" s="2" t="e">
        <f t="shared" si="13"/>
        <v>#REF!</v>
      </c>
      <c r="BD29" s="36"/>
      <c r="BE29" s="28" t="e">
        <f t="shared" si="48"/>
        <v>#REF!</v>
      </c>
      <c r="BF29" s="29">
        <f>VLOOKUP(C29,MOQ,3,FALSE())</f>
        <v>480.0</v>
      </c>
      <c r="BG29" s="30"/>
      <c r="BH29" s="29" t="s">
        <v>77</v>
      </c>
      <c r="BI29" s="1" t="e">
        <f t="shared" si="49"/>
        <v>#REF!</v>
      </c>
      <c r="BJ29" s="1">
        <f t="shared" si="50"/>
        <v>227.827683615819</v>
      </c>
      <c r="BK29" s="1">
        <f t="shared" si="51"/>
      </c>
      <c r="BL29" s="3" t="e">
        <f t="shared" si="19"/>
        <v>#REF!</v>
      </c>
      <c r="BM29" s="1">
        <f t="shared" si="52"/>
        <v>187.341807909604</v>
      </c>
      <c r="BN29" s="1">
        <f t="shared" si="53"/>
      </c>
      <c r="BO29" s="3" t="e">
        <f t="shared" si="54"/>
        <v>#REF!</v>
      </c>
      <c r="BP29" s="1">
        <f t="shared" si="55"/>
        <v>146.85593220339</v>
      </c>
      <c r="BR29" s="3" t="e">
        <f t="shared" si="56"/>
        <v>#REF!</v>
      </c>
      <c r="BS29" s="1">
        <f t="shared" si="57"/>
        <v>287.71186440678</v>
      </c>
      <c r="BU29" s="3" t="e">
        <f t="shared" si="58"/>
        <v>#REF!</v>
      </c>
      <c r="BV29" s="1">
        <f t="shared" si="59"/>
        <v>273.731638418079</v>
      </c>
      <c r="BX29" s="3" t="e">
        <f t="shared" si="60"/>
        <v>#REF!</v>
      </c>
      <c r="BY29" s="1">
        <f t="shared" si="61"/>
        <v>247.867231638418</v>
      </c>
      <c r="CA29" s="3" t="e">
        <f t="shared" si="62"/>
        <v>#REF!</v>
      </c>
    </row>
    <row r="30" ht="17.0">
      <c r="A30" s="166" t="s">
        <v>28</v>
      </c>
      <c r="B30" s="27" t="s">
        <v>29</v>
      </c>
      <c r="C30" s="166" t="s">
        <v>78</v>
      </c>
      <c r="D30" s="166" t="s">
        <v>79</v>
      </c>
      <c r="E30" s="27"/>
      <c r="F30" s="27">
        <v>3.0</v>
      </c>
      <c r="G30" s="27">
        <v>8.0</v>
      </c>
      <c r="H30" s="27">
        <v>9.0</v>
      </c>
      <c r="I30" s="27">
        <v>9.0</v>
      </c>
      <c r="J30" s="27">
        <v>12.0</v>
      </c>
      <c r="K30" s="27">
        <v>14.0</v>
      </c>
      <c r="L30" s="27">
        <v>4.0</v>
      </c>
      <c r="M30" s="27">
        <v>9.0</v>
      </c>
      <c r="N30" s="27">
        <v>9.0</v>
      </c>
      <c r="O30" s="27">
        <v>13.0</v>
      </c>
      <c r="P30" s="27">
        <v>7.0</v>
      </c>
      <c r="Q30" s="27">
        <v>6.0</v>
      </c>
      <c r="R30" s="27">
        <v>9.0</v>
      </c>
      <c r="S30" s="27">
        <v>9.0</v>
      </c>
      <c r="T30" s="27">
        <v>10.0</v>
      </c>
      <c r="U30" s="27">
        <v>8.0</v>
      </c>
      <c r="V30" s="27">
        <v>9.0</v>
      </c>
      <c r="W30" s="27">
        <v>4.0</v>
      </c>
      <c r="X30" s="27">
        <v>7.0</v>
      </c>
      <c r="Y30" s="27">
        <v>5.0</v>
      </c>
      <c r="Z30" s="27">
        <v>1.0</v>
      </c>
      <c r="AA30" s="27">
        <v>1.0</v>
      </c>
      <c r="AB30" s="27">
        <v>0.0</v>
      </c>
      <c r="AC30" s="27">
        <v>8.0</v>
      </c>
      <c r="AD30" s="27">
        <v>3.0</v>
      </c>
      <c r="AE30" s="27">
        <v>4.0</v>
      </c>
      <c r="AF30" s="27">
        <v>4.0</v>
      </c>
      <c r="AG30" s="27">
        <v>11.0</v>
      </c>
      <c r="AH30" s="27">
        <v>7.0</v>
      </c>
      <c r="AI30" s="27">
        <v>9.0</v>
      </c>
      <c r="AJ30" s="27">
        <v>5.0</v>
      </c>
      <c r="AK30" s="27">
        <v>3.0</v>
      </c>
      <c r="AL30" s="27">
        <v>1.0</v>
      </c>
      <c r="AM30" s="27">
        <v>3.0</v>
      </c>
      <c r="AN30" s="27">
        <v>2.0</v>
      </c>
      <c r="AO30" s="186">
        <v>0.0</v>
      </c>
      <c r="AP30" s="186">
        <v>0.0</v>
      </c>
      <c r="AQ30" s="28">
        <f t="shared" si="3"/>
        <v>49.0</v>
      </c>
      <c r="AR30" s="28">
        <f t="shared" si="4"/>
        <v>9.0</v>
      </c>
      <c r="AS30" s="32">
        <f t="shared" si="5"/>
        <v>9.9</v>
      </c>
      <c r="AT30" s="33"/>
      <c r="AU30" s="33">
        <v>6.0</v>
      </c>
      <c r="AV30" s="33">
        <v>5.0</v>
      </c>
      <c r="AW30" s="33">
        <v>4.0</v>
      </c>
      <c r="AX30" s="33">
        <v>7.0</v>
      </c>
      <c r="AY30" s="36">
        <v>8.0</v>
      </c>
      <c r="AZ30" s="36">
        <v>7.0</v>
      </c>
      <c r="BA30" s="2">
        <f t="shared" si="12"/>
        <v>37.0</v>
      </c>
      <c r="BB30" s="2" t="e">
        <f t="shared" si="13"/>
        <v>#REF!</v>
      </c>
      <c r="BD30" s="36"/>
      <c r="BF30">
        <f>VLOOKUP(C30,MOQ,3,FALSE())</f>
      </c>
      <c r="BH30" s="29"/>
      <c r="BL30" s="3"/>
      <c r="BO30" s="3"/>
      <c r="BR30" s="3"/>
      <c r="BU30" s="3"/>
    </row>
    <row hidden="1" r="31" ht="14.0" outlineLevel="1">
      <c r="A31" s="27" t="s">
        <v>28</v>
      </c>
      <c r="B31" s="27" t="s">
        <v>29</v>
      </c>
      <c r="C31" s="27" t="s">
        <v>80</v>
      </c>
      <c r="D31" s="27" t="s">
        <v>81</v>
      </c>
      <c r="E31" s="27"/>
      <c r="F31" s="27">
        <v>0.0</v>
      </c>
      <c r="G31" s="27">
        <v>48.0</v>
      </c>
      <c r="H31" s="27">
        <v>1409.0</v>
      </c>
      <c r="I31" s="27">
        <v>1121.0</v>
      </c>
      <c r="J31" s="27">
        <v>210.0</v>
      </c>
      <c r="K31" s="27">
        <v>177.0</v>
      </c>
      <c r="L31" s="27">
        <v>1956.0</v>
      </c>
      <c r="M31" s="27">
        <v>195.0</v>
      </c>
      <c r="N31" s="27">
        <v>643.0</v>
      </c>
      <c r="O31" s="27">
        <v>4.0</v>
      </c>
      <c r="P31" s="27">
        <v>1219.0</v>
      </c>
      <c r="Q31" s="27">
        <v>222.0</v>
      </c>
      <c r="R31" s="27">
        <v>162.0</v>
      </c>
      <c r="S31" s="27">
        <v>678.0</v>
      </c>
      <c r="T31" s="27">
        <v>936.0</v>
      </c>
      <c r="U31" s="27">
        <v>26.0</v>
      </c>
      <c r="V31" s="27">
        <v>960.0</v>
      </c>
      <c r="W31" s="27">
        <v>876.0</v>
      </c>
      <c r="X31" s="27">
        <v>534.0</v>
      </c>
      <c r="Y31" s="27">
        <v>464.0</v>
      </c>
      <c r="Z31" s="27">
        <v>223.0</v>
      </c>
      <c r="AA31" s="27">
        <v>760.0</v>
      </c>
      <c r="AB31" s="27">
        <v>229.0</v>
      </c>
      <c r="AC31" s="27">
        <v>985.0</v>
      </c>
      <c r="AD31" s="27">
        <v>96.0</v>
      </c>
      <c r="AE31" s="27">
        <v>809.0</v>
      </c>
      <c r="AF31" s="27">
        <v>144.0</v>
      </c>
      <c r="AG31" s="27">
        <v>162.0</v>
      </c>
      <c r="AH31" s="27">
        <v>611.0</v>
      </c>
      <c r="AI31" s="27">
        <v>679.0</v>
      </c>
      <c r="AJ31" s="27">
        <v>600.0</v>
      </c>
      <c r="AK31" s="27">
        <v>642.0</v>
      </c>
      <c r="AL31" s="27">
        <v>285.0</v>
      </c>
      <c r="AM31" s="27">
        <v>168.0</v>
      </c>
      <c r="AN31" s="27">
        <v>384.0</v>
      </c>
      <c r="AO31" s="186">
        <v>318.0</v>
      </c>
      <c r="AP31" s="186">
        <v>292.0</v>
      </c>
      <c r="AQ31" s="28">
        <f t="shared" si="3"/>
        <v>5094.0</v>
      </c>
      <c r="AR31" s="28">
        <f t="shared" si="4"/>
        <v>2089.0</v>
      </c>
      <c r="AS31" s="28">
        <f t="shared" si="5"/>
        <v>2297.9</v>
      </c>
      <c r="AU31" s="1">
        <f>AS31*$AU$5/$AS$5+12*$AU$36</f>
        <v>597.200564971751</v>
      </c>
      <c r="AV31" s="1">
        <f>AS31*$AV$5/$AS$5+12*$AV$36</f>
        <v>490.782485875706</v>
      </c>
      <c r="AW31" s="1">
        <f>AS31*$AW$5/$AS$5+12*$AW$36</f>
        <v>384.364406779661</v>
      </c>
      <c r="AX31" s="1">
        <f>AS31*$AX$5/$AS$5+12*$AX$36</f>
        <v>768.728813559322</v>
      </c>
      <c r="BA31" s="2">
        <f t="shared" si="12"/>
        <v>2241.07627118644</v>
      </c>
      <c r="BB31" s="2" t="e">
        <f t="shared" si="13"/>
        <v>#REF!</v>
      </c>
      <c r="BD31" s="36" t="e">
        <f t="shared" ref="BD31:BD32" si="96">VLOOKUP(C31,AUGUST,3,false)</f>
        <v>#REF!</v>
      </c>
      <c r="BE31" s="3" t="e">
        <f t="shared" ref="BE31:BE35" si="97">BB31+BC31+BD31-BA31</f>
        <v>#REF!</v>
      </c>
      <c r="BF31" s="1">
        <f>VLOOKUP(C31,MOQ,3,FALSE())</f>
        <v>3000.0</v>
      </c>
      <c r="BG31" s="43" t="s">
        <v>32</v>
      </c>
      <c r="BI31" s="1" t="e">
        <f t="shared" ref="BI31:BI35" si="98">BB31</f>
        <v>#REF!</v>
      </c>
      <c r="BJ31" s="1">
        <f t="shared" ref="BJ31:BJ35" si="99">AU31</f>
        <v>597.200564971751</v>
      </c>
      <c r="BL31" s="3" t="e">
        <f t="shared" ref="BL31:BL69" si="100">BI31+BK31-BJ31</f>
        <v>#REF!</v>
      </c>
      <c r="BM31" s="1">
        <f t="shared" ref="BM31:BM35" si="101">AV31</f>
        <v>490.782485875706</v>
      </c>
      <c r="BO31" s="3" t="e">
        <f t="shared" ref="BO31:BO35" si="102">BL31+BN31-BM31</f>
        <v>#REF!</v>
      </c>
      <c r="BP31" s="1">
        <f t="shared" ref="BP31:BP35" si="103">AW31</f>
        <v>384.364406779661</v>
      </c>
      <c r="BR31" s="3" t="e">
        <f t="shared" ref="BR31:BR35" si="104">BO31+BQ31-BP31</f>
        <v>#REF!</v>
      </c>
      <c r="BS31" s="1">
        <f t="shared" ref="BS31:BS35" si="105">AX31</f>
        <v>768.728813559322</v>
      </c>
      <c r="BU31" s="3" t="e">
        <f t="shared" ref="BU31:BU35" si="106">BR31+BT31-BS31</f>
        <v>#REF!</v>
      </c>
    </row>
    <row hidden="1" r="32" ht="14.0" outlineLevel="1">
      <c r="A32" s="27" t="s">
        <v>28</v>
      </c>
      <c r="B32" s="27" t="s">
        <v>29</v>
      </c>
      <c r="C32" s="27" t="s">
        <v>82</v>
      </c>
      <c r="D32" s="27" t="s">
        <v>83</v>
      </c>
      <c r="E32" s="27"/>
      <c r="F32" s="27">
        <v>0.0</v>
      </c>
      <c r="G32" s="27">
        <v>36.0</v>
      </c>
      <c r="H32" s="27">
        <v>1290.0</v>
      </c>
      <c r="I32" s="27">
        <v>899.0</v>
      </c>
      <c r="J32" s="27">
        <v>228.0</v>
      </c>
      <c r="K32" s="27">
        <v>280.0</v>
      </c>
      <c r="L32" s="27">
        <v>1686.0</v>
      </c>
      <c r="M32" s="27">
        <v>157.0</v>
      </c>
      <c r="N32" s="27">
        <v>882.0</v>
      </c>
      <c r="O32" s="27">
        <v>222.0</v>
      </c>
      <c r="P32" s="27">
        <v>1068.0</v>
      </c>
      <c r="Q32" s="27">
        <v>175.0</v>
      </c>
      <c r="R32" s="27">
        <v>142.0</v>
      </c>
      <c r="S32" s="27">
        <v>690.0</v>
      </c>
      <c r="T32" s="27">
        <v>682.0</v>
      </c>
      <c r="U32" s="27">
        <v>-14.0</v>
      </c>
      <c r="V32" s="27">
        <v>669.0</v>
      </c>
      <c r="W32" s="27">
        <v>637.0</v>
      </c>
      <c r="X32" s="27">
        <v>556.0</v>
      </c>
      <c r="Y32" s="27">
        <v>502.0</v>
      </c>
      <c r="Z32" s="27">
        <v>172.0</v>
      </c>
      <c r="AA32" s="27">
        <v>642.0</v>
      </c>
      <c r="AB32" s="27">
        <v>131.0</v>
      </c>
      <c r="AC32" s="27">
        <v>1033.0</v>
      </c>
      <c r="AD32" s="27">
        <v>90.0</v>
      </c>
      <c r="AE32" s="27">
        <v>652.0</v>
      </c>
      <c r="AF32" s="27">
        <v>132.0</v>
      </c>
      <c r="AG32" s="27">
        <v>108.0</v>
      </c>
      <c r="AH32" s="27">
        <v>548.0</v>
      </c>
      <c r="AI32" s="27">
        <v>642.0</v>
      </c>
      <c r="AJ32" s="27">
        <v>446.0</v>
      </c>
      <c r="AK32" s="27">
        <v>657.0</v>
      </c>
      <c r="AL32" s="27">
        <v>312.0</v>
      </c>
      <c r="AM32" s="27">
        <v>144.0</v>
      </c>
      <c r="AN32" s="27">
        <v>309.0</v>
      </c>
      <c r="AO32" s="186">
        <v>282.0</v>
      </c>
      <c r="AP32" s="186">
        <v>228.0</v>
      </c>
      <c r="AQ32" s="28">
        <f t="shared" si="3"/>
        <v>4460.0</v>
      </c>
      <c r="AR32" s="28">
        <f t="shared" si="4"/>
        <v>1932.0</v>
      </c>
      <c r="AS32" s="28">
        <f t="shared" si="5"/>
        <v>2125.2</v>
      </c>
      <c r="AU32" s="1">
        <f t="shared" ref="AU32:AU35" si="107">AS32*$AU$5/$AS$5+6*$AU$36</f>
        <v>521.728813559321</v>
      </c>
      <c r="AV32" s="1">
        <f t="shared" ref="AV32:AV35" si="108">AS32*$AV$5/$AS$5+6*$AV$36</f>
        <v>428.406779661017</v>
      </c>
      <c r="AW32" s="1">
        <f t="shared" ref="AW32:AW35" si="109">AS32*$AW$5/$AS$5+6*$AW$36</f>
        <v>335.084745762711</v>
      </c>
      <c r="AX32" s="1">
        <f t="shared" ref="AX32:AX35" si="110">AS32*$AX$5/$AS$5+6*$AX$36</f>
        <v>670.169491525423</v>
      </c>
      <c r="BA32" s="2">
        <f t="shared" si="12"/>
        <v>1955.38983050847</v>
      </c>
      <c r="BB32" s="2" t="e">
        <f t="shared" si="13"/>
        <v>#REF!</v>
      </c>
      <c r="BD32" s="36" t="e">
        <f t="shared" si="96"/>
        <v>#REF!</v>
      </c>
      <c r="BE32" s="3" t="e">
        <f t="shared" si="97"/>
        <v>#REF!</v>
      </c>
      <c r="BF32" s="1">
        <f>VLOOKUP(C32,MOQ,3,FALSE())</f>
        <v>3000.0</v>
      </c>
      <c r="BG32" s="4">
        <f>BF32</f>
        <v>3000.0</v>
      </c>
      <c r="BH32" s="1" t="s">
        <v>8</v>
      </c>
      <c r="BI32" s="1" t="e">
        <f t="shared" si="98"/>
        <v>#REF!</v>
      </c>
      <c r="BJ32" s="1">
        <f t="shared" si="99"/>
        <v>521.728813559321</v>
      </c>
      <c r="BL32" s="3" t="e">
        <f t="shared" si="100"/>
        <v>#REF!</v>
      </c>
      <c r="BM32" s="1">
        <f t="shared" si="101"/>
        <v>428.406779661017</v>
      </c>
      <c r="BO32" s="3" t="e">
        <f t="shared" si="102"/>
        <v>#REF!</v>
      </c>
      <c r="BP32" s="1">
        <f t="shared" si="103"/>
        <v>335.084745762711</v>
      </c>
      <c r="BR32" s="3" t="e">
        <f t="shared" si="104"/>
        <v>#REF!</v>
      </c>
      <c r="BS32" s="1">
        <f t="shared" si="105"/>
        <v>670.169491525423</v>
      </c>
      <c r="BU32" s="3" t="e">
        <f t="shared" si="106"/>
        <v>#REF!</v>
      </c>
    </row>
    <row hidden="1" r="33" ht="14.0" outlineLevel="1">
      <c r="A33" s="27" t="s">
        <v>28</v>
      </c>
      <c r="B33" s="27" t="s">
        <v>29</v>
      </c>
      <c r="C33" s="27" t="s">
        <v>84</v>
      </c>
      <c r="D33" s="27" t="s">
        <v>85</v>
      </c>
      <c r="E33" s="27"/>
      <c r="F33" s="27">
        <v>0.0</v>
      </c>
      <c r="G33" s="27">
        <v>30.0</v>
      </c>
      <c r="H33" s="27">
        <v>48.0</v>
      </c>
      <c r="I33" s="27">
        <v>107.0</v>
      </c>
      <c r="J33" s="27">
        <v>102.0</v>
      </c>
      <c r="K33" s="27">
        <v>179.0</v>
      </c>
      <c r="L33" s="27">
        <v>454.0</v>
      </c>
      <c r="M33" s="27">
        <v>140.0</v>
      </c>
      <c r="N33" s="27">
        <v>258.0</v>
      </c>
      <c r="O33" s="27">
        <v>232.0</v>
      </c>
      <c r="P33" s="27">
        <v>524.0</v>
      </c>
      <c r="Q33" s="27">
        <v>86.0</v>
      </c>
      <c r="R33" s="27">
        <v>71.0</v>
      </c>
      <c r="S33" s="27">
        <v>293.0</v>
      </c>
      <c r="T33" s="27">
        <v>130.0</v>
      </c>
      <c r="U33" s="27">
        <v>71.0</v>
      </c>
      <c r="V33" s="27">
        <v>142.0</v>
      </c>
      <c r="W33" s="27">
        <v>137.0</v>
      </c>
      <c r="X33" s="27">
        <v>150.0</v>
      </c>
      <c r="Y33" s="27">
        <v>160.0</v>
      </c>
      <c r="Z33" s="27">
        <v>135.0</v>
      </c>
      <c r="AA33" s="27">
        <v>144.0</v>
      </c>
      <c r="AB33" s="27">
        <v>110.0</v>
      </c>
      <c r="AC33" s="27">
        <v>108.0</v>
      </c>
      <c r="AD33" s="27">
        <v>60.0</v>
      </c>
      <c r="AE33" s="27">
        <v>114.0</v>
      </c>
      <c r="AF33" s="27">
        <v>88.0</v>
      </c>
      <c r="AG33" s="27">
        <v>66.0</v>
      </c>
      <c r="AH33" s="27">
        <v>173.0</v>
      </c>
      <c r="AI33" s="27">
        <v>134.0</v>
      </c>
      <c r="AJ33" s="27">
        <v>127.0</v>
      </c>
      <c r="AK33" s="27">
        <v>150.0</v>
      </c>
      <c r="AL33" s="27">
        <v>125.0</v>
      </c>
      <c r="AM33" s="27">
        <v>123.0</v>
      </c>
      <c r="AN33" s="27">
        <v>78.0</v>
      </c>
      <c r="AO33" s="186">
        <v>91.0</v>
      </c>
      <c r="AP33" s="186">
        <v>59.0</v>
      </c>
      <c r="AQ33" s="28">
        <f t="shared" si="3"/>
        <v>1328.0</v>
      </c>
      <c r="AR33" s="28">
        <f t="shared" si="4"/>
        <v>626.0</v>
      </c>
      <c r="AS33" s="28">
        <f t="shared" si="5"/>
        <v>688.6</v>
      </c>
      <c r="AU33" s="1">
        <f t="shared" si="107"/>
        <v>193.38418079096</v>
      </c>
      <c r="AV33" s="1">
        <f t="shared" si="108"/>
        <v>159.090395480226</v>
      </c>
      <c r="AW33" s="1">
        <f t="shared" si="109"/>
        <v>124.796610169491</v>
      </c>
      <c r="AX33" s="1">
        <f t="shared" si="110"/>
        <v>249.593220338983</v>
      </c>
      <c r="BA33" s="2">
        <f t="shared" si="12"/>
        <v>726.86440677966</v>
      </c>
      <c r="BB33" s="2" t="e">
        <f t="shared" si="13"/>
        <v>#REF!</v>
      </c>
      <c r="BD33" s="36"/>
      <c r="BE33" s="3" t="e">
        <f t="shared" si="97"/>
        <v>#REF!</v>
      </c>
      <c r="BF33" s="1">
        <f>VLOOKUP(C33,MOQ,3,FALSE())</f>
        <v>3000.0</v>
      </c>
      <c r="BI33" s="1" t="e">
        <f t="shared" si="98"/>
        <v>#REF!</v>
      </c>
      <c r="BJ33" s="1">
        <f t="shared" si="99"/>
        <v>193.38418079096</v>
      </c>
      <c r="BL33" s="3" t="e">
        <f t="shared" si="100"/>
        <v>#REF!</v>
      </c>
      <c r="BM33" s="1">
        <f t="shared" si="101"/>
        <v>159.090395480226</v>
      </c>
      <c r="BO33" s="3" t="e">
        <f t="shared" si="102"/>
        <v>#REF!</v>
      </c>
      <c r="BP33" s="1">
        <f t="shared" si="103"/>
        <v>124.796610169491</v>
      </c>
      <c r="BR33" s="3" t="e">
        <f t="shared" si="104"/>
        <v>#REF!</v>
      </c>
      <c r="BS33" s="1">
        <f t="shared" si="105"/>
        <v>249.593220338983</v>
      </c>
      <c r="BU33" s="3" t="e">
        <f t="shared" si="106"/>
        <v>#REF!</v>
      </c>
    </row>
    <row hidden="1" r="34" ht="14.0" outlineLevel="1">
      <c r="A34" s="27" t="s">
        <v>28</v>
      </c>
      <c r="B34" s="27" t="s">
        <v>29</v>
      </c>
      <c r="C34" s="27" t="s">
        <v>86</v>
      </c>
      <c r="D34" s="27" t="s">
        <v>87</v>
      </c>
      <c r="E34" s="27"/>
      <c r="F34" s="27">
        <v>0.0</v>
      </c>
      <c r="G34" s="27">
        <v>36.0</v>
      </c>
      <c r="H34" s="27">
        <v>90.0</v>
      </c>
      <c r="I34" s="27">
        <v>84.0</v>
      </c>
      <c r="J34" s="27">
        <v>142.0</v>
      </c>
      <c r="K34" s="27">
        <v>112.0</v>
      </c>
      <c r="L34" s="27">
        <v>462.0</v>
      </c>
      <c r="M34" s="27">
        <v>101.0</v>
      </c>
      <c r="N34" s="27">
        <v>306.0</v>
      </c>
      <c r="O34" s="27">
        <v>155.0</v>
      </c>
      <c r="P34" s="27">
        <v>576.0</v>
      </c>
      <c r="Q34" s="27">
        <v>147.0</v>
      </c>
      <c r="R34" s="27">
        <v>116.0</v>
      </c>
      <c r="S34" s="27">
        <v>429.0</v>
      </c>
      <c r="T34" s="27">
        <v>451.0</v>
      </c>
      <c r="U34" s="27">
        <v>-44.0</v>
      </c>
      <c r="V34" s="27">
        <v>773.0</v>
      </c>
      <c r="W34" s="27">
        <v>663.0</v>
      </c>
      <c r="X34" s="27">
        <v>714.0</v>
      </c>
      <c r="Y34" s="27">
        <v>532.0</v>
      </c>
      <c r="Z34" s="27">
        <v>157.0</v>
      </c>
      <c r="AA34" s="27">
        <v>576.0</v>
      </c>
      <c r="AB34" s="27">
        <v>107.0</v>
      </c>
      <c r="AC34" s="27">
        <v>983.0</v>
      </c>
      <c r="AD34" s="27">
        <v>78.0</v>
      </c>
      <c r="AE34" s="27">
        <v>642.0</v>
      </c>
      <c r="AF34" s="27">
        <v>119.0</v>
      </c>
      <c r="AG34" s="27">
        <v>108.0</v>
      </c>
      <c r="AH34" s="27">
        <v>487.0</v>
      </c>
      <c r="AI34" s="27">
        <v>563.0</v>
      </c>
      <c r="AJ34" s="27">
        <v>618.0</v>
      </c>
      <c r="AK34" s="27">
        <v>516.0</v>
      </c>
      <c r="AL34" s="27">
        <v>249.0</v>
      </c>
      <c r="AM34" s="27">
        <v>100.0</v>
      </c>
      <c r="AN34" s="27">
        <v>268.0</v>
      </c>
      <c r="AO34" s="186">
        <v>306.0</v>
      </c>
      <c r="AP34" s="186">
        <v>222.0</v>
      </c>
      <c r="AQ34" s="28">
        <f t="shared" si="3"/>
        <v>4198.0</v>
      </c>
      <c r="AR34" s="28">
        <f t="shared" si="4"/>
        <v>1661.0</v>
      </c>
      <c r="AS34" s="28">
        <f t="shared" si="5"/>
        <v>1827.1</v>
      </c>
      <c r="AU34" s="1">
        <f t="shared" si="107"/>
        <v>453.59604519774</v>
      </c>
      <c r="AV34" s="1">
        <f t="shared" si="108"/>
        <v>372.522598870056</v>
      </c>
      <c r="AW34" s="1">
        <f t="shared" si="109"/>
        <v>291.449152542372</v>
      </c>
      <c r="AX34" s="1">
        <f t="shared" si="110"/>
        <v>582.898305084746</v>
      </c>
      <c r="BA34" s="2">
        <f t="shared" si="12"/>
        <v>1700.46610169491</v>
      </c>
      <c r="BB34" s="2" t="e">
        <f t="shared" si="13"/>
        <v>#REF!</v>
      </c>
      <c r="BD34" s="36" t="e">
        <f>VLOOKUP(C34,AUGUST,3,false)</f>
        <v>#REF!</v>
      </c>
      <c r="BE34" s="3" t="e">
        <f t="shared" si="97"/>
        <v>#REF!</v>
      </c>
      <c r="BF34" s="1">
        <f>VLOOKUP(C34,MOQ,3,FALSE())</f>
        <v>3000.0</v>
      </c>
      <c r="BG34" s="43" t="s">
        <v>32</v>
      </c>
      <c r="BH34" s="1" t="s">
        <v>10</v>
      </c>
      <c r="BI34" s="1" t="e">
        <f t="shared" si="98"/>
        <v>#REF!</v>
      </c>
      <c r="BJ34" s="1">
        <f t="shared" si="99"/>
        <v>453.59604519774</v>
      </c>
      <c r="BL34" s="3" t="e">
        <f t="shared" si="100"/>
        <v>#REF!</v>
      </c>
      <c r="BM34" s="1">
        <f t="shared" si="101"/>
        <v>372.522598870056</v>
      </c>
      <c r="BO34" s="3" t="e">
        <f t="shared" si="102"/>
        <v>#REF!</v>
      </c>
      <c r="BP34" s="1">
        <f t="shared" si="103"/>
        <v>291.449152542372</v>
      </c>
      <c r="BR34" s="3" t="e">
        <f t="shared" si="104"/>
        <v>#REF!</v>
      </c>
      <c r="BS34" s="1">
        <f t="shared" si="105"/>
        <v>582.898305084746</v>
      </c>
      <c r="BU34" s="3" t="e">
        <f t="shared" si="106"/>
        <v>#REF!</v>
      </c>
    </row>
    <row hidden="1" r="35" ht="14.0" outlineLevel="1">
      <c r="A35" s="27" t="s">
        <v>28</v>
      </c>
      <c r="B35" s="27" t="s">
        <v>29</v>
      </c>
      <c r="C35" s="27" t="s">
        <v>88</v>
      </c>
      <c r="D35" s="27" t="s">
        <v>89</v>
      </c>
      <c r="E35" s="27"/>
      <c r="F35" s="27">
        <v>0.0</v>
      </c>
      <c r="G35" s="27">
        <v>42.0</v>
      </c>
      <c r="H35" s="27">
        <v>1067.0</v>
      </c>
      <c r="I35" s="27">
        <v>713.0</v>
      </c>
      <c r="J35" s="27">
        <v>186.0</v>
      </c>
      <c r="K35" s="27">
        <v>184.0</v>
      </c>
      <c r="L35" s="27">
        <v>1600.0</v>
      </c>
      <c r="M35" s="27">
        <v>115.0</v>
      </c>
      <c r="N35" s="27">
        <v>618.0</v>
      </c>
      <c r="O35" s="27">
        <v>143.0</v>
      </c>
      <c r="P35" s="27">
        <v>882.0</v>
      </c>
      <c r="Q35" s="27">
        <v>132.0</v>
      </c>
      <c r="R35" s="27">
        <v>95.0</v>
      </c>
      <c r="S35" s="27">
        <v>350.0</v>
      </c>
      <c r="T35" s="27">
        <v>506.0</v>
      </c>
      <c r="U35" s="27">
        <v>48.0</v>
      </c>
      <c r="V35" s="27">
        <v>522.0</v>
      </c>
      <c r="W35" s="27">
        <v>523.0</v>
      </c>
      <c r="X35" s="27">
        <v>434.0</v>
      </c>
      <c r="Y35" s="27">
        <v>314.0</v>
      </c>
      <c r="Z35" s="27">
        <v>98.0</v>
      </c>
      <c r="AA35" s="27">
        <v>438.0</v>
      </c>
      <c r="AB35" s="27">
        <v>129.0</v>
      </c>
      <c r="AC35" s="27">
        <v>825.0</v>
      </c>
      <c r="AD35" s="27">
        <v>60.0</v>
      </c>
      <c r="AE35" s="27">
        <v>468.0</v>
      </c>
      <c r="AF35" s="27">
        <v>84.0</v>
      </c>
      <c r="AG35" s="27">
        <v>77.0</v>
      </c>
      <c r="AH35" s="27">
        <v>332.0</v>
      </c>
      <c r="AI35" s="27">
        <v>498.0</v>
      </c>
      <c r="AJ35" s="27">
        <v>390.0</v>
      </c>
      <c r="AK35" s="27">
        <v>467.0</v>
      </c>
      <c r="AL35" s="27">
        <v>210.0</v>
      </c>
      <c r="AM35" s="27">
        <v>96.0</v>
      </c>
      <c r="AN35" s="27">
        <v>162.0</v>
      </c>
      <c r="AO35" s="186">
        <v>132.0</v>
      </c>
      <c r="AP35" s="186">
        <v>144.0</v>
      </c>
      <c r="AQ35" s="28">
        <f t="shared" si="3"/>
        <v>3060.0</v>
      </c>
      <c r="AR35" s="28">
        <f t="shared" si="4"/>
        <v>1211.0</v>
      </c>
      <c r="AS35" s="28">
        <f t="shared" si="5"/>
        <v>1332.1</v>
      </c>
      <c r="AU35" s="1">
        <f t="shared" si="107"/>
        <v>340.460451977401</v>
      </c>
      <c r="AV35" s="1">
        <f t="shared" si="108"/>
        <v>279.725988700564</v>
      </c>
      <c r="AW35" s="1">
        <f t="shared" si="109"/>
        <v>218.991525423729</v>
      </c>
      <c r="AX35" s="1">
        <f t="shared" si="110"/>
        <v>437.983050847458</v>
      </c>
      <c r="BA35" s="2">
        <f t="shared" si="12"/>
        <v>1277.16101694915</v>
      </c>
      <c r="BB35" s="2" t="e">
        <f t="shared" si="13"/>
        <v>#REF!</v>
      </c>
      <c r="BD35" s="36"/>
      <c r="BE35" s="3" t="e">
        <f t="shared" si="97"/>
        <v>#REF!</v>
      </c>
      <c r="BF35" s="1">
        <f>VLOOKUP(C35,MOQ,3,FALSE())</f>
        <v>3000.0</v>
      </c>
      <c r="BG35" s="43" t="s">
        <v>32</v>
      </c>
      <c r="BI35" s="1" t="e">
        <f t="shared" si="98"/>
        <v>#REF!</v>
      </c>
      <c r="BJ35" s="1">
        <f t="shared" si="99"/>
        <v>340.460451977401</v>
      </c>
      <c r="BL35" s="3" t="e">
        <f t="shared" si="100"/>
        <v>#REF!</v>
      </c>
      <c r="BM35" s="1">
        <f t="shared" si="101"/>
        <v>279.725988700564</v>
      </c>
      <c r="BO35" s="3" t="e">
        <f t="shared" si="102"/>
        <v>#REF!</v>
      </c>
      <c r="BP35" s="1">
        <f t="shared" si="103"/>
        <v>218.991525423729</v>
      </c>
      <c r="BR35" s="3" t="e">
        <f t="shared" si="104"/>
        <v>#REF!</v>
      </c>
      <c r="BS35" s="1">
        <f t="shared" si="105"/>
        <v>437.983050847458</v>
      </c>
      <c r="BU35" s="3" t="e">
        <f t="shared" si="106"/>
        <v>#REF!</v>
      </c>
    </row>
    <row hidden="1" r="36" ht="14.0" outlineLevel="1">
      <c r="A36" s="27" t="s">
        <v>28</v>
      </c>
      <c r="B36" s="27" t="s">
        <v>29</v>
      </c>
      <c r="C36" s="27" t="s">
        <v>90</v>
      </c>
      <c r="D36" s="27" t="s">
        <v>91</v>
      </c>
      <c r="E36" s="27"/>
      <c r="F36" s="27">
        <v>0.0</v>
      </c>
      <c r="G36" s="27">
        <v>11.0</v>
      </c>
      <c r="H36" s="27">
        <v>19.0</v>
      </c>
      <c r="I36" s="27">
        <v>6.0</v>
      </c>
      <c r="J36" s="27">
        <v>0.0</v>
      </c>
      <c r="K36" s="27">
        <v>2.0</v>
      </c>
      <c r="L36" s="27">
        <v>2.0</v>
      </c>
      <c r="M36" s="27">
        <v>3.0</v>
      </c>
      <c r="N36" s="27">
        <v>2.0</v>
      </c>
      <c r="O36" s="27">
        <v>0.0</v>
      </c>
      <c r="P36" s="27">
        <v>1.0</v>
      </c>
      <c r="Q36" s="27">
        <v>4.0</v>
      </c>
      <c r="R36" s="27">
        <v>14.0</v>
      </c>
      <c r="S36" s="27">
        <v>8.0</v>
      </c>
      <c r="T36" s="27">
        <v>4.0</v>
      </c>
      <c r="U36" s="27">
        <v>11.0</v>
      </c>
      <c r="V36" s="27">
        <v>9.0</v>
      </c>
      <c r="W36" s="27">
        <v>6.0</v>
      </c>
      <c r="X36" s="27">
        <v>1.0</v>
      </c>
      <c r="Y36" s="27">
        <v>5.0</v>
      </c>
      <c r="Z36" s="27">
        <v>1.0</v>
      </c>
      <c r="AA36" s="27">
        <v>8.0</v>
      </c>
      <c r="AB36" s="27">
        <v>5.0</v>
      </c>
      <c r="AC36" s="27">
        <v>3.0</v>
      </c>
      <c r="AD36" s="27">
        <v>3.0</v>
      </c>
      <c r="AE36" s="27">
        <v>4.0</v>
      </c>
      <c r="AF36" s="27">
        <v>2.0</v>
      </c>
      <c r="AG36" s="27">
        <v>6.0</v>
      </c>
      <c r="AH36" s="27">
        <v>9.0</v>
      </c>
      <c r="AI36" s="27">
        <v>8.0</v>
      </c>
      <c r="AJ36" s="27">
        <v>0.0</v>
      </c>
      <c r="AK36" s="27">
        <v>4.0</v>
      </c>
      <c r="AL36" s="27">
        <v>7.0</v>
      </c>
      <c r="AM36" s="27">
        <v>4.0</v>
      </c>
      <c r="AN36" s="27">
        <v>2.0</v>
      </c>
      <c r="AO36" s="186">
        <v>2.0</v>
      </c>
      <c r="AP36" s="186">
        <v>1.0</v>
      </c>
      <c r="AQ36" s="28">
        <f t="shared" si="3"/>
        <v>49.0</v>
      </c>
      <c r="AR36" s="28">
        <f t="shared" si="4"/>
        <v>20.0</v>
      </c>
      <c r="AS36" s="32">
        <f t="shared" si="5"/>
        <v>22.0</v>
      </c>
      <c r="AT36" s="33"/>
      <c r="AU36" s="33">
        <v>6.0</v>
      </c>
      <c r="AV36" s="33">
        <v>5.0</v>
      </c>
      <c r="AW36" s="33">
        <v>4.0</v>
      </c>
      <c r="AX36" s="33">
        <v>8.0</v>
      </c>
      <c r="BA36" s="2">
        <f t="shared" si="12"/>
        <v>23.0</v>
      </c>
      <c r="BB36" s="2" t="e">
        <f t="shared" si="13"/>
        <v>#REF!</v>
      </c>
      <c r="BD36" s="36"/>
      <c r="BF36">
        <f>VLOOKUP(C36,MOQ,3,FALSE())</f>
      </c>
      <c r="BL36" s="3">
        <f t="shared" si="100"/>
        <v>0.0</v>
      </c>
      <c r="BO36" s="3"/>
      <c r="BR36" s="3"/>
      <c r="BU36" s="3"/>
    </row>
    <row hidden="1" r="37" ht="14.0" outlineLevel="1">
      <c r="A37" s="27" t="s">
        <v>28</v>
      </c>
      <c r="B37" s="27" t="s">
        <v>29</v>
      </c>
      <c r="C37" s="27" t="s">
        <v>92</v>
      </c>
      <c r="D37" s="27" t="s">
        <v>93</v>
      </c>
      <c r="E37" s="27"/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180.0</v>
      </c>
      <c r="R37" s="27">
        <v>204.0</v>
      </c>
      <c r="S37" s="27">
        <v>162.0</v>
      </c>
      <c r="T37" s="27">
        <v>165.0</v>
      </c>
      <c r="U37" s="27">
        <v>187.0</v>
      </c>
      <c r="V37" s="27">
        <v>168.0</v>
      </c>
      <c r="W37" s="27">
        <v>192.0</v>
      </c>
      <c r="X37" s="27">
        <v>282.0</v>
      </c>
      <c r="Y37" s="27">
        <v>219.0</v>
      </c>
      <c r="Z37" s="27">
        <v>191.0</v>
      </c>
      <c r="AA37" s="27">
        <v>255.0</v>
      </c>
      <c r="AB37" s="27">
        <v>150.0</v>
      </c>
      <c r="AC37" s="27">
        <v>222.0</v>
      </c>
      <c r="AD37" s="27">
        <v>159.0</v>
      </c>
      <c r="AE37" s="27">
        <v>176.0</v>
      </c>
      <c r="AF37" s="27">
        <v>185.0</v>
      </c>
      <c r="AG37" s="27">
        <v>168.0</v>
      </c>
      <c r="AH37" s="27">
        <v>240.0</v>
      </c>
      <c r="AI37" s="27">
        <v>347.0</v>
      </c>
      <c r="AJ37" s="27">
        <v>209.0</v>
      </c>
      <c r="AK37" s="27">
        <v>173.0</v>
      </c>
      <c r="AL37" s="27">
        <v>172.0</v>
      </c>
      <c r="AM37" s="27">
        <v>162.0</v>
      </c>
      <c r="AN37" s="27">
        <v>160.0</v>
      </c>
      <c r="AO37" s="186">
        <v>181.0</v>
      </c>
      <c r="AP37" s="186">
        <v>163.0</v>
      </c>
      <c r="AQ37" s="28">
        <f t="shared" si="3"/>
        <v>2336.0</v>
      </c>
      <c r="AR37" s="28">
        <f t="shared" si="4"/>
        <v>1011.0</v>
      </c>
      <c r="AS37" s="28">
        <f t="shared" si="5"/>
        <v>1112.1</v>
      </c>
      <c r="AU37" s="1">
        <f t="shared" ref="AU37:AU61" si="113">AS37*$AU$5/$AS$5</f>
        <v>254.177966101694</v>
      </c>
      <c r="AV37" s="1">
        <f t="shared" ref="AV37:AV61" si="114">AS37*$AV$5/$AS$5</f>
        <v>208.483050847458</v>
      </c>
      <c r="AW37" s="1">
        <f t="shared" ref="AW37:AW61" si="115">AS37*$AW$5/$AS$5</f>
        <v>162.78813559322</v>
      </c>
      <c r="AX37" s="1">
        <f t="shared" ref="AX37:AX61" si="116">AS37*$AX$5/$AS$5</f>
        <v>325.57627118644</v>
      </c>
      <c r="BA37" s="2">
        <f t="shared" si="12"/>
        <v>951.025423728812</v>
      </c>
      <c r="BB37" s="2" t="e">
        <f t="shared" si="13"/>
        <v>#REF!</v>
      </c>
      <c r="BD37" s="36"/>
      <c r="BE37" s="3" t="e">
        <f t="shared" ref="BE37:BE61" si="117">BB37+BC37+BD37-BA37</f>
        <v>#REF!</v>
      </c>
      <c r="BF37" s="1">
        <f>VLOOKUP(C37,MOQ,3,FALSE())</f>
        <v>504.0</v>
      </c>
      <c r="BG37" s="4">
        <f>BF37</f>
        <v>504.0</v>
      </c>
      <c r="BH37" s="1" t="s">
        <v>9</v>
      </c>
      <c r="BI37" s="1" t="e">
        <f t="shared" ref="BI37:BI61" si="119">BB37</f>
        <v>#REF!</v>
      </c>
      <c r="BJ37" s="1">
        <f t="shared" ref="BJ37:BJ61" si="120">AU37</f>
        <v>254.177966101694</v>
      </c>
      <c r="BL37" s="3" t="e">
        <f t="shared" si="100"/>
        <v>#REF!</v>
      </c>
      <c r="BM37" s="1">
        <f t="shared" ref="BM37:BM61" si="121">AV37</f>
        <v>208.483050847458</v>
      </c>
      <c r="BO37" s="3" t="e">
        <f t="shared" ref="BO37:BO61" si="122">BL37+BN37-BM37</f>
        <v>#REF!</v>
      </c>
      <c r="BP37" s="1">
        <f t="shared" ref="BP37:BP61" si="123">AW37</f>
        <v>162.78813559322</v>
      </c>
      <c r="BR37" s="3" t="e">
        <f t="shared" ref="BR37:BR61" si="124">BO37+BQ37-BP37</f>
        <v>#REF!</v>
      </c>
      <c r="BS37" s="1">
        <f t="shared" ref="BS37:BS61" si="125">AX37</f>
        <v>325.57627118644</v>
      </c>
      <c r="BU37" s="3" t="e">
        <f t="shared" ref="BU37:BU61" si="126">BR37+BT37-BS37</f>
        <v>#REF!</v>
      </c>
    </row>
    <row hidden="1" r="38" ht="14.0" outlineLevel="1">
      <c r="A38" s="27" t="s">
        <v>28</v>
      </c>
      <c r="B38" s="27" t="s">
        <v>29</v>
      </c>
      <c r="C38" s="27" t="s">
        <v>94</v>
      </c>
      <c r="D38" s="27" t="s">
        <v>95</v>
      </c>
      <c r="E38" s="27"/>
      <c r="F38" s="27">
        <v>74.0</v>
      </c>
      <c r="G38" s="27">
        <v>99.0</v>
      </c>
      <c r="H38" s="27">
        <v>99.0</v>
      </c>
      <c r="I38" s="27">
        <v>163.0</v>
      </c>
      <c r="J38" s="27">
        <v>111.0</v>
      </c>
      <c r="K38" s="27">
        <v>139.0</v>
      </c>
      <c r="L38" s="27">
        <v>141.0</v>
      </c>
      <c r="M38" s="27">
        <v>147.0</v>
      </c>
      <c r="N38" s="27">
        <v>64.0</v>
      </c>
      <c r="O38" s="27">
        <v>86.0</v>
      </c>
      <c r="P38" s="27">
        <v>150.0</v>
      </c>
      <c r="Q38" s="27">
        <v>75.0</v>
      </c>
      <c r="R38" s="27">
        <v>86.0</v>
      </c>
      <c r="S38" s="27">
        <v>187.0</v>
      </c>
      <c r="T38" s="27">
        <v>151.0</v>
      </c>
      <c r="U38" s="27">
        <v>191.0</v>
      </c>
      <c r="V38" s="27">
        <v>146.0</v>
      </c>
      <c r="W38" s="27">
        <v>178.0</v>
      </c>
      <c r="X38" s="27">
        <v>258.0</v>
      </c>
      <c r="Y38" s="27">
        <v>106.0</v>
      </c>
      <c r="Z38" s="27">
        <v>1.0</v>
      </c>
      <c r="AA38" s="27">
        <v>245.0</v>
      </c>
      <c r="AB38" s="27">
        <v>137.0</v>
      </c>
      <c r="AC38" s="27">
        <v>177.0</v>
      </c>
      <c r="AD38" s="27">
        <v>162.0</v>
      </c>
      <c r="AE38" s="27">
        <v>151.0</v>
      </c>
      <c r="AF38" s="27">
        <v>144.0</v>
      </c>
      <c r="AG38" s="27">
        <v>141.0</v>
      </c>
      <c r="AH38" s="27">
        <v>176.0</v>
      </c>
      <c r="AI38" s="27">
        <v>209.0</v>
      </c>
      <c r="AJ38" s="27">
        <v>186.0</v>
      </c>
      <c r="AK38" s="27">
        <v>126.0</v>
      </c>
      <c r="AL38" s="27">
        <v>141.0</v>
      </c>
      <c r="AM38" s="27">
        <v>137.0</v>
      </c>
      <c r="AN38" s="27">
        <v>42.0</v>
      </c>
      <c r="AO38" s="186">
        <v>-1.0</v>
      </c>
      <c r="AP38" s="186">
        <v>0.0</v>
      </c>
      <c r="AQ38" s="28">
        <f t="shared" si="3"/>
        <v>1452.0</v>
      </c>
      <c r="AR38" s="28">
        <f t="shared" si="4"/>
        <v>445.0</v>
      </c>
      <c r="AS38" s="28">
        <f t="shared" si="5"/>
        <v>489.5</v>
      </c>
      <c r="AU38" s="1">
        <f t="shared" si="113"/>
        <v>111.878531073446</v>
      </c>
      <c r="AV38" s="1">
        <f t="shared" si="114"/>
        <v>91.7655367231638</v>
      </c>
      <c r="AW38" s="1">
        <f t="shared" si="115"/>
        <v>71.6525423728813</v>
      </c>
      <c r="AX38" s="1">
        <f t="shared" si="116"/>
        <v>143.305084745762</v>
      </c>
      <c r="BA38" s="2">
        <f t="shared" si="12"/>
        <v>418.601694915253</v>
      </c>
      <c r="BB38" s="2" t="e">
        <f t="shared" si="13"/>
        <v>#REF!</v>
      </c>
      <c r="BD38" s="36"/>
      <c r="BE38" s="3" t="e">
        <f t="shared" si="117"/>
        <v>#REF!</v>
      </c>
      <c r="BF38" s="1">
        <f>VLOOKUP(C38,MOQ,3,FALSE())</f>
        <v>480.0</v>
      </c>
      <c r="BG38" s="43" t="s">
        <v>32</v>
      </c>
      <c r="BH38" s="1" t="s">
        <v>10</v>
      </c>
      <c r="BI38" s="1" t="e">
        <f t="shared" si="119"/>
        <v>#REF!</v>
      </c>
      <c r="BJ38" s="1">
        <f t="shared" si="120"/>
        <v>111.878531073446</v>
      </c>
      <c r="BL38" s="3" t="e">
        <f t="shared" si="100"/>
        <v>#REF!</v>
      </c>
      <c r="BM38" s="1">
        <f t="shared" si="121"/>
        <v>91.7655367231638</v>
      </c>
      <c r="BO38" s="3" t="e">
        <f t="shared" si="122"/>
        <v>#REF!</v>
      </c>
      <c r="BP38" s="1">
        <f t="shared" si="123"/>
        <v>71.6525423728813</v>
      </c>
      <c r="BR38" s="3" t="e">
        <f t="shared" si="124"/>
        <v>#REF!</v>
      </c>
      <c r="BS38" s="1">
        <f t="shared" si="125"/>
        <v>143.305084745762</v>
      </c>
      <c r="BU38" s="3" t="e">
        <f t="shared" si="126"/>
        <v>#REF!</v>
      </c>
    </row>
    <row hidden="1" r="39" ht="14.0" outlineLevel="1">
      <c r="A39" s="27" t="s">
        <v>28</v>
      </c>
      <c r="B39" s="27" t="s">
        <v>29</v>
      </c>
      <c r="C39" s="27" t="s">
        <v>96</v>
      </c>
      <c r="D39" s="27" t="s">
        <v>97</v>
      </c>
      <c r="E39" s="27"/>
      <c r="F39" s="27">
        <v>65.0</v>
      </c>
      <c r="G39" s="27">
        <v>33.0</v>
      </c>
      <c r="H39" s="27">
        <v>77.0</v>
      </c>
      <c r="I39" s="27">
        <v>125.0</v>
      </c>
      <c r="J39" s="27">
        <v>110.0</v>
      </c>
      <c r="K39" s="27">
        <v>86.0</v>
      </c>
      <c r="L39" s="27">
        <v>108.0</v>
      </c>
      <c r="M39" s="27">
        <v>116.0</v>
      </c>
      <c r="N39" s="27">
        <v>35.0</v>
      </c>
      <c r="O39" s="27">
        <v>57.0</v>
      </c>
      <c r="P39" s="27">
        <v>104.0</v>
      </c>
      <c r="Q39" s="27">
        <v>81.0</v>
      </c>
      <c r="R39" s="27">
        <v>92.0</v>
      </c>
      <c r="S39" s="27">
        <v>120.0</v>
      </c>
      <c r="T39" s="27">
        <v>116.0</v>
      </c>
      <c r="U39" s="27">
        <v>126.0</v>
      </c>
      <c r="V39" s="27">
        <v>92.0</v>
      </c>
      <c r="W39" s="27">
        <v>221.0</v>
      </c>
      <c r="X39" s="27">
        <v>156.0</v>
      </c>
      <c r="Y39" s="27">
        <v>68.0</v>
      </c>
      <c r="Z39" s="27">
        <v>0.0</v>
      </c>
      <c r="AA39" s="27">
        <v>157.0</v>
      </c>
      <c r="AB39" s="27">
        <v>62.0</v>
      </c>
      <c r="AC39" s="27">
        <v>70.0</v>
      </c>
      <c r="AD39" s="27">
        <v>96.0</v>
      </c>
      <c r="AE39" s="27">
        <v>50.0</v>
      </c>
      <c r="AF39" s="27">
        <v>73.0</v>
      </c>
      <c r="AG39" s="27">
        <v>77.0</v>
      </c>
      <c r="AH39" s="27">
        <v>122.0</v>
      </c>
      <c r="AI39" s="27">
        <v>100.0</v>
      </c>
      <c r="AJ39" s="27">
        <v>95.0</v>
      </c>
      <c r="AK39" s="27">
        <v>95.0</v>
      </c>
      <c r="AL39" s="27">
        <v>53.0</v>
      </c>
      <c r="AM39" s="27">
        <v>75.0</v>
      </c>
      <c r="AN39" s="27">
        <v>44.0</v>
      </c>
      <c r="AO39" s="186">
        <v>142.0</v>
      </c>
      <c r="AP39" s="186">
        <v>93.0</v>
      </c>
      <c r="AQ39" s="28">
        <f t="shared" si="3"/>
        <v>1019.0</v>
      </c>
      <c r="AR39" s="28">
        <f t="shared" si="4"/>
        <v>502.0</v>
      </c>
      <c r="AS39" s="28">
        <f t="shared" si="5"/>
        <v>552.2</v>
      </c>
      <c r="AU39" s="1">
        <f t="shared" si="113"/>
        <v>126.209039548022</v>
      </c>
      <c r="AV39" s="1">
        <f t="shared" si="114"/>
        <v>103.519774011299</v>
      </c>
      <c r="AW39" s="1">
        <f t="shared" si="115"/>
        <v>80.8305084745762</v>
      </c>
      <c r="AX39" s="1">
        <f t="shared" si="116"/>
        <v>161.661016949152</v>
      </c>
      <c r="BA39" s="2">
        <f t="shared" si="12"/>
        <v>472.220338983049</v>
      </c>
      <c r="BB39" s="2" t="e">
        <f t="shared" si="13"/>
        <v>#REF!</v>
      </c>
      <c r="BD39" s="36"/>
      <c r="BE39" s="3" t="e">
        <f t="shared" si="117"/>
        <v>#REF!</v>
      </c>
      <c r="BF39" s="1">
        <f>VLOOKUP(C39,MOQ,3,FALSE())</f>
        <v>480.0</v>
      </c>
      <c r="BI39" s="1" t="e">
        <f t="shared" si="119"/>
        <v>#REF!</v>
      </c>
      <c r="BJ39" s="1">
        <f t="shared" si="120"/>
        <v>126.209039548022</v>
      </c>
      <c r="BL39" s="3" t="e">
        <f t="shared" si="100"/>
        <v>#REF!</v>
      </c>
      <c r="BM39" s="1">
        <f t="shared" si="121"/>
        <v>103.519774011299</v>
      </c>
      <c r="BO39" s="3" t="e">
        <f t="shared" si="122"/>
        <v>#REF!</v>
      </c>
      <c r="BP39" s="1">
        <f t="shared" si="123"/>
        <v>80.8305084745762</v>
      </c>
      <c r="BR39" s="3" t="e">
        <f t="shared" si="124"/>
        <v>#REF!</v>
      </c>
      <c r="BS39" s="1">
        <f t="shared" si="125"/>
        <v>161.661016949152</v>
      </c>
      <c r="BU39" s="3" t="e">
        <f t="shared" si="126"/>
        <v>#REF!</v>
      </c>
    </row>
    <row hidden="1" r="40" ht="14.0" outlineLevel="1">
      <c r="A40" s="27" t="s">
        <v>28</v>
      </c>
      <c r="B40" s="27" t="s">
        <v>98</v>
      </c>
      <c r="C40" s="27" t="s">
        <v>99</v>
      </c>
      <c r="D40" s="27" t="s">
        <v>100</v>
      </c>
      <c r="E40" s="27"/>
      <c r="F40" s="27">
        <v>276.0</v>
      </c>
      <c r="G40" s="27">
        <v>360.0</v>
      </c>
      <c r="H40" s="27">
        <v>371.0</v>
      </c>
      <c r="I40" s="27">
        <v>762.0</v>
      </c>
      <c r="J40" s="27">
        <v>492.0</v>
      </c>
      <c r="K40" s="27">
        <v>922.0</v>
      </c>
      <c r="L40" s="27">
        <v>793.0</v>
      </c>
      <c r="M40" s="27">
        <v>480.0</v>
      </c>
      <c r="N40" s="27">
        <v>504.0</v>
      </c>
      <c r="O40" s="27">
        <v>368.0</v>
      </c>
      <c r="P40" s="27">
        <v>841.0</v>
      </c>
      <c r="Q40" s="27">
        <v>505.0</v>
      </c>
      <c r="R40" s="27">
        <v>458.0</v>
      </c>
      <c r="S40" s="27">
        <v>594.0</v>
      </c>
      <c r="T40" s="27">
        <v>865.0</v>
      </c>
      <c r="U40" s="27">
        <v>603.0</v>
      </c>
      <c r="V40" s="27">
        <v>890.0</v>
      </c>
      <c r="W40" s="27">
        <v>788.0</v>
      </c>
      <c r="X40" s="27">
        <v>792.0</v>
      </c>
      <c r="Y40" s="27">
        <v>492.0</v>
      </c>
      <c r="Z40" s="27">
        <v>440.0</v>
      </c>
      <c r="AA40" s="27">
        <v>324.0</v>
      </c>
      <c r="AB40" s="27">
        <v>0.0</v>
      </c>
      <c r="AC40" s="27">
        <v>948.0</v>
      </c>
      <c r="AD40" s="27">
        <v>402.0</v>
      </c>
      <c r="AE40" s="27">
        <v>601.0</v>
      </c>
      <c r="AF40" s="27">
        <v>414.0</v>
      </c>
      <c r="AG40" s="27">
        <v>432.0</v>
      </c>
      <c r="AH40" s="27">
        <v>739.0</v>
      </c>
      <c r="AI40" s="27">
        <v>882.0</v>
      </c>
      <c r="AJ40" s="27">
        <v>600.0</v>
      </c>
      <c r="AK40" s="27">
        <v>436.0</v>
      </c>
      <c r="AL40" s="27">
        <v>450.0</v>
      </c>
      <c r="AM40" s="27">
        <v>303.0</v>
      </c>
      <c r="AN40" s="27">
        <v>372.0</v>
      </c>
      <c r="AO40" s="186">
        <v>457.0</v>
      </c>
      <c r="AP40" s="186">
        <v>480.0</v>
      </c>
      <c r="AQ40" s="28">
        <f t="shared" si="3"/>
        <v>6166.0</v>
      </c>
      <c r="AR40" s="28">
        <f t="shared" si="4"/>
        <v>2498.0</v>
      </c>
      <c r="AS40" s="28">
        <f t="shared" si="5"/>
        <v>2747.8</v>
      </c>
      <c r="AU40" s="1">
        <f t="shared" si="113"/>
        <v>628.02824858757</v>
      </c>
      <c r="AV40" s="1">
        <f t="shared" si="114"/>
        <v>515.12429378531</v>
      </c>
      <c r="AW40" s="1">
        <f t="shared" si="115"/>
        <v>402.22033898305</v>
      </c>
      <c r="AX40" s="1">
        <f t="shared" si="116"/>
        <v>804.440677966101</v>
      </c>
      <c r="BA40" s="2">
        <f t="shared" si="12"/>
        <v>2349.81355932203</v>
      </c>
      <c r="BB40" s="2" t="e">
        <f t="shared" si="13"/>
        <v>#REF!</v>
      </c>
      <c r="BD40" s="36" t="e">
        <f>VLOOKUP(C40,AUGUST,3,false)</f>
        <v>#REF!</v>
      </c>
      <c r="BE40" s="3" t="e">
        <f t="shared" si="117"/>
        <v>#REF!</v>
      </c>
      <c r="BF40" s="1">
        <f>VLOOKUP(C40,MOQ,3,FALSE())</f>
        <v>1008.0</v>
      </c>
      <c r="BG40" s="43" t="s">
        <v>32</v>
      </c>
      <c r="BH40" s="1" t="s">
        <v>10</v>
      </c>
      <c r="BI40" s="1" t="e">
        <f t="shared" si="119"/>
        <v>#REF!</v>
      </c>
      <c r="BJ40" s="1">
        <f t="shared" si="120"/>
        <v>628.02824858757</v>
      </c>
      <c r="BL40" s="3" t="e">
        <f t="shared" si="100"/>
        <v>#REF!</v>
      </c>
      <c r="BM40" s="1">
        <f t="shared" si="121"/>
        <v>515.12429378531</v>
      </c>
      <c r="BO40" s="3" t="e">
        <f t="shared" si="122"/>
        <v>#REF!</v>
      </c>
      <c r="BP40" s="1">
        <f t="shared" si="123"/>
        <v>402.22033898305</v>
      </c>
      <c r="BR40" s="3" t="e">
        <f t="shared" si="124"/>
        <v>#REF!</v>
      </c>
      <c r="BS40" s="1">
        <f t="shared" si="125"/>
        <v>804.440677966101</v>
      </c>
      <c r="BU40" s="3" t="e">
        <f t="shared" si="126"/>
        <v>#REF!</v>
      </c>
    </row>
    <row hidden="1" r="41" ht="14.0" outlineLevel="1">
      <c r="A41" s="27" t="s">
        <v>28</v>
      </c>
      <c r="B41" s="27" t="s">
        <v>98</v>
      </c>
      <c r="C41" s="27" t="s">
        <v>101</v>
      </c>
      <c r="D41" s="27" t="s">
        <v>102</v>
      </c>
      <c r="E41" s="27"/>
      <c r="F41" s="27">
        <v>204.0</v>
      </c>
      <c r="G41" s="27">
        <v>186.0</v>
      </c>
      <c r="H41" s="27">
        <v>204.0</v>
      </c>
      <c r="I41" s="27">
        <v>276.0</v>
      </c>
      <c r="J41" s="27">
        <v>264.0</v>
      </c>
      <c r="K41" s="27">
        <v>474.0</v>
      </c>
      <c r="L41" s="27">
        <v>264.0</v>
      </c>
      <c r="M41" s="27">
        <v>186.0</v>
      </c>
      <c r="N41" s="27">
        <v>144.0</v>
      </c>
      <c r="O41" s="27">
        <v>192.0</v>
      </c>
      <c r="P41" s="27">
        <v>156.0</v>
      </c>
      <c r="Q41" s="27">
        <v>162.0</v>
      </c>
      <c r="R41" s="27">
        <v>111.0</v>
      </c>
      <c r="S41" s="27">
        <v>78.0</v>
      </c>
      <c r="T41" s="27">
        <v>138.0</v>
      </c>
      <c r="U41" s="27">
        <v>133.0</v>
      </c>
      <c r="V41" s="27">
        <v>157.0</v>
      </c>
      <c r="W41" s="27">
        <v>132.0</v>
      </c>
      <c r="X41" s="27">
        <v>162.0</v>
      </c>
      <c r="Y41" s="27">
        <v>120.0</v>
      </c>
      <c r="Z41" s="27">
        <v>91.0</v>
      </c>
      <c r="AA41" s="27">
        <v>126.0</v>
      </c>
      <c r="AB41" s="27">
        <v>121.0</v>
      </c>
      <c r="AC41" s="27">
        <v>102.0</v>
      </c>
      <c r="AD41" s="27">
        <v>84.0</v>
      </c>
      <c r="AE41" s="27">
        <v>78.0</v>
      </c>
      <c r="AF41" s="27">
        <v>90.0</v>
      </c>
      <c r="AG41" s="27">
        <v>90.0</v>
      </c>
      <c r="AH41" s="27">
        <v>150.0</v>
      </c>
      <c r="AI41" s="27">
        <v>144.0</v>
      </c>
      <c r="AJ41" s="27">
        <v>90.0</v>
      </c>
      <c r="AK41" s="27">
        <v>61.0</v>
      </c>
      <c r="AL41" s="27">
        <v>60.0</v>
      </c>
      <c r="AM41" s="27">
        <v>96.0</v>
      </c>
      <c r="AN41" s="27">
        <v>24.0</v>
      </c>
      <c r="AO41" s="186">
        <v>78.0</v>
      </c>
      <c r="AP41" s="186">
        <v>48.0</v>
      </c>
      <c r="AQ41" s="28">
        <f t="shared" si="3"/>
        <v>1009.0</v>
      </c>
      <c r="AR41" s="28">
        <f t="shared" si="4"/>
        <v>367.0</v>
      </c>
      <c r="AS41" s="28">
        <f t="shared" si="5"/>
        <v>403.7</v>
      </c>
      <c r="AU41" s="1">
        <f t="shared" si="113"/>
        <v>92.2683615819209</v>
      </c>
      <c r="AV41" s="1">
        <f t="shared" si="114"/>
        <v>75.680790960452</v>
      </c>
      <c r="AW41" s="1">
        <f t="shared" si="115"/>
        <v>59.093220338983</v>
      </c>
      <c r="AX41" s="1">
        <f t="shared" si="116"/>
        <v>118.186440677966</v>
      </c>
      <c r="BA41" s="2">
        <f t="shared" si="12"/>
        <v>345.228813559321</v>
      </c>
      <c r="BB41" s="2" t="e">
        <f t="shared" si="13"/>
        <v>#REF!</v>
      </c>
      <c r="BD41" s="36"/>
      <c r="BE41" s="3" t="e">
        <f t="shared" si="117"/>
        <v>#REF!</v>
      </c>
      <c r="BF41" s="1">
        <f>VLOOKUP(C41,MOQ,3,FALSE())</f>
        <v>1008.0</v>
      </c>
      <c r="BI41" s="1" t="e">
        <f t="shared" si="119"/>
        <v>#REF!</v>
      </c>
      <c r="BJ41" s="1">
        <f t="shared" si="120"/>
        <v>92.2683615819209</v>
      </c>
      <c r="BL41" s="3" t="e">
        <f t="shared" si="100"/>
        <v>#REF!</v>
      </c>
      <c r="BM41" s="1">
        <f t="shared" si="121"/>
        <v>75.680790960452</v>
      </c>
      <c r="BO41" s="3" t="e">
        <f t="shared" si="122"/>
        <v>#REF!</v>
      </c>
      <c r="BP41" s="1">
        <f t="shared" si="123"/>
        <v>59.093220338983</v>
      </c>
      <c r="BR41" s="3" t="e">
        <f t="shared" si="124"/>
        <v>#REF!</v>
      </c>
      <c r="BS41" s="1">
        <f t="shared" si="125"/>
        <v>118.186440677966</v>
      </c>
      <c r="BU41" s="3" t="e">
        <f t="shared" si="126"/>
        <v>#REF!</v>
      </c>
    </row>
    <row hidden="1" r="42" ht="14.0" outlineLevel="1">
      <c r="A42" s="27" t="s">
        <v>28</v>
      </c>
      <c r="B42" s="27" t="s">
        <v>98</v>
      </c>
      <c r="C42" s="27" t="s">
        <v>103</v>
      </c>
      <c r="D42" s="27" t="s">
        <v>104</v>
      </c>
      <c r="E42" s="27"/>
      <c r="F42" s="27">
        <v>247.0</v>
      </c>
      <c r="G42" s="27">
        <v>342.0</v>
      </c>
      <c r="H42" s="27">
        <v>318.0</v>
      </c>
      <c r="I42" s="27">
        <v>594.0</v>
      </c>
      <c r="J42" s="27">
        <v>378.0</v>
      </c>
      <c r="K42" s="27">
        <v>649.0</v>
      </c>
      <c r="L42" s="27">
        <v>648.0</v>
      </c>
      <c r="M42" s="27">
        <v>85.0</v>
      </c>
      <c r="N42" s="27">
        <v>270.0</v>
      </c>
      <c r="O42" s="27">
        <v>278.0</v>
      </c>
      <c r="P42" s="27">
        <v>559.0</v>
      </c>
      <c r="Q42" s="27">
        <v>271.0</v>
      </c>
      <c r="R42" s="27">
        <v>235.0</v>
      </c>
      <c r="S42" s="27">
        <v>408.0</v>
      </c>
      <c r="T42" s="27">
        <v>390.0</v>
      </c>
      <c r="U42" s="27">
        <v>372.0</v>
      </c>
      <c r="V42" s="27">
        <v>648.0</v>
      </c>
      <c r="W42" s="27">
        <v>692.0</v>
      </c>
      <c r="X42" s="27">
        <v>853.0</v>
      </c>
      <c r="Y42" s="27">
        <v>499.0</v>
      </c>
      <c r="Z42" s="27">
        <v>427.0</v>
      </c>
      <c r="AA42" s="27">
        <v>501.0</v>
      </c>
      <c r="AB42" s="27">
        <v>0.0</v>
      </c>
      <c r="AC42" s="27">
        <v>672.0</v>
      </c>
      <c r="AD42" s="27">
        <v>0.0</v>
      </c>
      <c r="AE42" s="27">
        <v>492.0</v>
      </c>
      <c r="AF42" s="27">
        <v>324.0</v>
      </c>
      <c r="AG42" s="27">
        <v>288.0</v>
      </c>
      <c r="AH42" s="27">
        <v>732.0</v>
      </c>
      <c r="AI42" s="27">
        <v>978.0</v>
      </c>
      <c r="AJ42" s="27">
        <v>546.0</v>
      </c>
      <c r="AK42" s="27">
        <v>480.0</v>
      </c>
      <c r="AL42" s="27">
        <v>390.0</v>
      </c>
      <c r="AM42" s="27">
        <v>288.0</v>
      </c>
      <c r="AN42" s="27">
        <v>390.0</v>
      </c>
      <c r="AO42" s="186">
        <v>356.0</v>
      </c>
      <c r="AP42" s="186">
        <v>330.0</v>
      </c>
      <c r="AQ42" s="28">
        <f t="shared" si="3"/>
        <v>5594.0</v>
      </c>
      <c r="AR42" s="28">
        <f t="shared" si="4"/>
        <v>2234.0</v>
      </c>
      <c r="AS42" s="28">
        <f t="shared" si="5"/>
        <v>2457.4</v>
      </c>
      <c r="AU42" s="1">
        <f t="shared" si="113"/>
        <v>561.655367231638</v>
      </c>
      <c r="AV42" s="1">
        <f t="shared" si="114"/>
        <v>460.683615819209</v>
      </c>
      <c r="AW42" s="1">
        <f t="shared" si="115"/>
        <v>359.71186440678</v>
      </c>
      <c r="AX42" s="1">
        <f t="shared" si="116"/>
        <v>719.423728813559</v>
      </c>
      <c r="BA42" s="2">
        <f t="shared" si="12"/>
        <v>2101.47457627119</v>
      </c>
      <c r="BB42" s="2" t="e">
        <f t="shared" si="13"/>
        <v>#REF!</v>
      </c>
      <c r="BD42" s="36" t="e">
        <f t="shared" ref="BD42:BD45" si="128">VLOOKUP(C42,AUGUST,3,false)</f>
        <v>#REF!</v>
      </c>
      <c r="BE42" s="3" t="e">
        <f t="shared" si="117"/>
        <v>#REF!</v>
      </c>
      <c r="BF42" s="1">
        <f>VLOOKUP(C42,MOQ,3,FALSE())</f>
        <v>1008.0</v>
      </c>
      <c r="BG42" s="43" t="s">
        <v>32</v>
      </c>
      <c r="BH42" s="1" t="s">
        <v>10</v>
      </c>
      <c r="BI42" s="1" t="e">
        <f t="shared" si="119"/>
        <v>#REF!</v>
      </c>
      <c r="BJ42" s="1">
        <f t="shared" si="120"/>
        <v>561.655367231638</v>
      </c>
      <c r="BL42" s="3" t="e">
        <f t="shared" si="100"/>
        <v>#REF!</v>
      </c>
      <c r="BM42" s="1">
        <f t="shared" si="121"/>
        <v>460.683615819209</v>
      </c>
      <c r="BO42" s="3" t="e">
        <f t="shared" si="122"/>
        <v>#REF!</v>
      </c>
      <c r="BP42" s="1">
        <f t="shared" si="123"/>
        <v>359.71186440678</v>
      </c>
      <c r="BR42" s="3" t="e">
        <f t="shared" si="124"/>
        <v>#REF!</v>
      </c>
      <c r="BS42" s="1">
        <f t="shared" si="125"/>
        <v>719.423728813559</v>
      </c>
      <c r="BU42" s="3" t="e">
        <f t="shared" si="126"/>
        <v>#REF!</v>
      </c>
    </row>
    <row hidden="1" r="43" ht="14.0" outlineLevel="1">
      <c r="A43" s="27" t="s">
        <v>28</v>
      </c>
      <c r="B43" s="27" t="s">
        <v>98</v>
      </c>
      <c r="C43" s="27" t="s">
        <v>105</v>
      </c>
      <c r="D43" s="27" t="s">
        <v>106</v>
      </c>
      <c r="E43" s="27"/>
      <c r="F43" s="27">
        <v>201.0</v>
      </c>
      <c r="G43" s="27">
        <v>294.0</v>
      </c>
      <c r="H43" s="27">
        <v>306.0</v>
      </c>
      <c r="I43" s="27">
        <v>173.0</v>
      </c>
      <c r="J43" s="27">
        <v>0.0</v>
      </c>
      <c r="K43" s="27">
        <v>847.0</v>
      </c>
      <c r="L43" s="27">
        <v>558.0</v>
      </c>
      <c r="M43" s="27">
        <v>252.0</v>
      </c>
      <c r="N43" s="27">
        <v>294.0</v>
      </c>
      <c r="O43" s="27">
        <v>6.0</v>
      </c>
      <c r="P43" s="27">
        <v>0.0</v>
      </c>
      <c r="Q43" s="27">
        <v>187.0</v>
      </c>
      <c r="R43" s="27">
        <v>277.0</v>
      </c>
      <c r="S43" s="27">
        <v>432.0</v>
      </c>
      <c r="T43" s="27">
        <v>312.0</v>
      </c>
      <c r="U43" s="27">
        <v>315.0</v>
      </c>
      <c r="V43" s="27">
        <v>519.0</v>
      </c>
      <c r="W43" s="27">
        <v>525.0</v>
      </c>
      <c r="X43" s="27">
        <v>839.0</v>
      </c>
      <c r="Y43" s="27">
        <v>565.0</v>
      </c>
      <c r="Z43" s="27">
        <v>313.0</v>
      </c>
      <c r="AA43" s="27">
        <v>58.0</v>
      </c>
      <c r="AB43" s="27">
        <v>0.0</v>
      </c>
      <c r="AC43" s="27">
        <v>844.0</v>
      </c>
      <c r="AD43" s="27">
        <v>162.0</v>
      </c>
      <c r="AE43" s="27">
        <v>402.0</v>
      </c>
      <c r="AF43" s="27">
        <v>282.0</v>
      </c>
      <c r="AG43" s="27">
        <v>222.0</v>
      </c>
      <c r="AH43" s="27">
        <v>528.0</v>
      </c>
      <c r="AI43" s="27">
        <v>528.0</v>
      </c>
      <c r="AJ43" s="27">
        <v>414.0</v>
      </c>
      <c r="AK43" s="27">
        <v>330.0</v>
      </c>
      <c r="AL43" s="27">
        <v>318.0</v>
      </c>
      <c r="AM43" s="27">
        <v>222.0</v>
      </c>
      <c r="AN43" s="27">
        <v>204.0</v>
      </c>
      <c r="AO43" s="186">
        <v>289.0</v>
      </c>
      <c r="AP43" s="186">
        <v>294.0</v>
      </c>
      <c r="AQ43" s="28">
        <f t="shared" si="3"/>
        <v>4033.0</v>
      </c>
      <c r="AR43" s="28">
        <f t="shared" si="4"/>
        <v>1657.0</v>
      </c>
      <c r="AS43" s="28">
        <f t="shared" si="5"/>
        <v>1822.7</v>
      </c>
      <c r="AU43" s="1">
        <f t="shared" si="113"/>
        <v>416.590395480226</v>
      </c>
      <c r="AV43" s="1">
        <f t="shared" si="114"/>
        <v>341.697740112994</v>
      </c>
      <c r="AW43" s="1">
        <f t="shared" si="115"/>
        <v>266.805084745762</v>
      </c>
      <c r="AX43" s="1">
        <f t="shared" si="116"/>
        <v>533.610169491525</v>
      </c>
      <c r="BA43" s="2">
        <f t="shared" si="12"/>
        <v>1558.7033898305</v>
      </c>
      <c r="BB43" s="2" t="e">
        <f t="shared" si="13"/>
        <v>#REF!</v>
      </c>
      <c r="BD43" s="36" t="e">
        <f t="shared" si="128"/>
        <v>#REF!</v>
      </c>
      <c r="BE43" s="3" t="e">
        <f t="shared" si="117"/>
        <v>#REF!</v>
      </c>
      <c r="BF43" s="1">
        <f>VLOOKUP(C43,MOQ,3,FALSE())</f>
        <v>1008.0</v>
      </c>
      <c r="BG43" s="4">
        <f t="shared" ref="BG43:BG44" si="129">BF43</f>
        <v>1008.0</v>
      </c>
      <c r="BH43" s="1" t="s">
        <v>10</v>
      </c>
      <c r="BI43" s="1" t="e">
        <f t="shared" si="119"/>
        <v>#REF!</v>
      </c>
      <c r="BJ43" s="1">
        <f t="shared" si="120"/>
        <v>416.590395480226</v>
      </c>
      <c r="BL43" s="3" t="e">
        <f t="shared" si="100"/>
        <v>#REF!</v>
      </c>
      <c r="BM43" s="1">
        <f t="shared" si="121"/>
        <v>341.697740112994</v>
      </c>
      <c r="BO43" s="3" t="e">
        <f t="shared" si="122"/>
        <v>#REF!</v>
      </c>
      <c r="BP43" s="1">
        <f t="shared" si="123"/>
        <v>266.805084745762</v>
      </c>
      <c r="BR43" s="3" t="e">
        <f t="shared" si="124"/>
        <v>#REF!</v>
      </c>
      <c r="BS43" s="1">
        <f t="shared" si="125"/>
        <v>533.610169491525</v>
      </c>
      <c r="BU43" s="3" t="e">
        <f t="shared" si="126"/>
        <v>#REF!</v>
      </c>
    </row>
    <row hidden="1" r="44" ht="14.0" outlineLevel="1">
      <c r="A44" s="27" t="s">
        <v>28</v>
      </c>
      <c r="B44" s="27" t="s">
        <v>98</v>
      </c>
      <c r="C44" s="27" t="s">
        <v>107</v>
      </c>
      <c r="D44" s="27" t="s">
        <v>108</v>
      </c>
      <c r="E44" s="27"/>
      <c r="F44" s="27">
        <v>192.0</v>
      </c>
      <c r="G44" s="27">
        <v>222.0</v>
      </c>
      <c r="H44" s="27">
        <v>829.0</v>
      </c>
      <c r="I44" s="27">
        <v>846.0</v>
      </c>
      <c r="J44" s="27">
        <v>306.0</v>
      </c>
      <c r="K44" s="27">
        <v>201.0</v>
      </c>
      <c r="L44" s="27">
        <v>1114.0</v>
      </c>
      <c r="M44" s="27">
        <v>250.0</v>
      </c>
      <c r="N44" s="27">
        <v>479.0</v>
      </c>
      <c r="O44" s="27">
        <v>242.0</v>
      </c>
      <c r="P44" s="27">
        <v>798.0</v>
      </c>
      <c r="Q44" s="27">
        <v>374.0</v>
      </c>
      <c r="R44" s="27">
        <v>252.0</v>
      </c>
      <c r="S44" s="27">
        <v>480.0</v>
      </c>
      <c r="T44" s="27">
        <v>537.0</v>
      </c>
      <c r="U44" s="27">
        <v>401.0</v>
      </c>
      <c r="V44" s="27">
        <v>591.0</v>
      </c>
      <c r="W44" s="27">
        <v>605.0</v>
      </c>
      <c r="X44" s="27">
        <v>595.0</v>
      </c>
      <c r="Y44" s="27">
        <v>388.0</v>
      </c>
      <c r="Z44" s="27">
        <v>312.0</v>
      </c>
      <c r="AA44" s="27">
        <v>552.0</v>
      </c>
      <c r="AB44" s="27">
        <v>254.0</v>
      </c>
      <c r="AC44" s="27">
        <v>630.0</v>
      </c>
      <c r="AD44" s="27">
        <v>209.0</v>
      </c>
      <c r="AE44" s="27">
        <v>348.0</v>
      </c>
      <c r="AF44" s="27">
        <v>288.0</v>
      </c>
      <c r="AG44" s="27">
        <v>336.0</v>
      </c>
      <c r="AH44" s="27">
        <v>498.0</v>
      </c>
      <c r="AI44" s="27">
        <v>624.0</v>
      </c>
      <c r="AJ44" s="27">
        <v>414.0</v>
      </c>
      <c r="AK44" s="27">
        <v>384.0</v>
      </c>
      <c r="AL44" s="27">
        <v>306.0</v>
      </c>
      <c r="AM44" s="27">
        <v>284.0</v>
      </c>
      <c r="AN44" s="27">
        <v>252.0</v>
      </c>
      <c r="AO44" s="186">
        <v>282.0</v>
      </c>
      <c r="AP44" s="186">
        <v>239.0</v>
      </c>
      <c r="AQ44" s="28">
        <f t="shared" si="3"/>
        <v>4255.0</v>
      </c>
      <c r="AR44" s="28">
        <f t="shared" si="4"/>
        <v>1747.0</v>
      </c>
      <c r="AS44" s="28">
        <f t="shared" si="5"/>
        <v>1921.7</v>
      </c>
      <c r="AU44" s="1">
        <f t="shared" si="113"/>
        <v>439.217514124293</v>
      </c>
      <c r="AV44" s="1">
        <f t="shared" si="114"/>
        <v>360.257062146892</v>
      </c>
      <c r="AW44" s="1">
        <f t="shared" si="115"/>
        <v>281.296610169491</v>
      </c>
      <c r="AX44" s="1">
        <f t="shared" si="116"/>
        <v>562.593220338983</v>
      </c>
      <c r="BA44" s="2">
        <f t="shared" si="12"/>
        <v>1643.36440677966</v>
      </c>
      <c r="BB44" s="2" t="e">
        <f t="shared" si="13"/>
        <v>#REF!</v>
      </c>
      <c r="BD44" s="36" t="e">
        <f t="shared" si="128"/>
        <v>#REF!</v>
      </c>
      <c r="BE44" s="3" t="e">
        <f t="shared" si="117"/>
        <v>#REF!</v>
      </c>
      <c r="BF44" s="1">
        <f>VLOOKUP(C44,MOQ,3,FALSE())</f>
        <v>1008.0</v>
      </c>
      <c r="BG44" s="4">
        <f t="shared" si="129"/>
        <v>1008.0</v>
      </c>
      <c r="BH44" s="1" t="s">
        <v>10</v>
      </c>
      <c r="BI44" s="1" t="e">
        <f t="shared" si="119"/>
        <v>#REF!</v>
      </c>
      <c r="BJ44" s="1">
        <f t="shared" si="120"/>
        <v>439.217514124293</v>
      </c>
      <c r="BL44" s="3" t="e">
        <f t="shared" si="100"/>
        <v>#REF!</v>
      </c>
      <c r="BM44" s="1">
        <f t="shared" si="121"/>
        <v>360.257062146892</v>
      </c>
      <c r="BO44" s="3" t="e">
        <f t="shared" si="122"/>
        <v>#REF!</v>
      </c>
      <c r="BP44" s="1">
        <f t="shared" si="123"/>
        <v>281.296610169491</v>
      </c>
      <c r="BR44" s="3" t="e">
        <f t="shared" si="124"/>
        <v>#REF!</v>
      </c>
      <c r="BS44" s="1">
        <f t="shared" si="125"/>
        <v>562.593220338983</v>
      </c>
      <c r="BU44" s="3" t="e">
        <f t="shared" si="126"/>
        <v>#REF!</v>
      </c>
    </row>
    <row hidden="1" r="45" ht="14.0" outlineLevel="1">
      <c r="A45" s="27" t="s">
        <v>28</v>
      </c>
      <c r="B45" s="27" t="s">
        <v>98</v>
      </c>
      <c r="C45" s="27" t="s">
        <v>109</v>
      </c>
      <c r="D45" s="27" t="s">
        <v>110</v>
      </c>
      <c r="E45" s="27"/>
      <c r="F45" s="27">
        <v>0.0</v>
      </c>
      <c r="G45" s="27">
        <v>90.0</v>
      </c>
      <c r="H45" s="27">
        <v>834.0</v>
      </c>
      <c r="I45" s="27">
        <v>456.0</v>
      </c>
      <c r="J45" s="27">
        <v>0.0</v>
      </c>
      <c r="K45" s="27">
        <v>222.0</v>
      </c>
      <c r="L45" s="27">
        <v>1014.0</v>
      </c>
      <c r="M45" s="27">
        <v>229.0</v>
      </c>
      <c r="N45" s="27">
        <v>444.0</v>
      </c>
      <c r="O45" s="27">
        <v>180.0</v>
      </c>
      <c r="P45" s="27">
        <v>690.0</v>
      </c>
      <c r="Q45" s="27">
        <v>300.0</v>
      </c>
      <c r="R45" s="27">
        <v>362.0</v>
      </c>
      <c r="S45" s="27">
        <v>450.0</v>
      </c>
      <c r="T45" s="27">
        <v>613.0</v>
      </c>
      <c r="U45" s="27">
        <v>303.0</v>
      </c>
      <c r="V45" s="27">
        <v>554.0</v>
      </c>
      <c r="W45" s="27">
        <v>594.0</v>
      </c>
      <c r="X45" s="27">
        <v>516.0</v>
      </c>
      <c r="Y45" s="27">
        <v>318.0</v>
      </c>
      <c r="Z45" s="27">
        <v>360.0</v>
      </c>
      <c r="AA45" s="27">
        <v>286.0</v>
      </c>
      <c r="AB45" s="27">
        <v>0.0</v>
      </c>
      <c r="AC45" s="27">
        <v>658.0</v>
      </c>
      <c r="AD45" s="27">
        <v>222.0</v>
      </c>
      <c r="AE45" s="27">
        <v>258.0</v>
      </c>
      <c r="AF45" s="27">
        <v>234.0</v>
      </c>
      <c r="AG45" s="27">
        <v>270.0</v>
      </c>
      <c r="AH45" s="27">
        <v>528.0</v>
      </c>
      <c r="AI45" s="27">
        <v>618.0</v>
      </c>
      <c r="AJ45" s="27">
        <v>366.0</v>
      </c>
      <c r="AK45" s="27">
        <v>359.0</v>
      </c>
      <c r="AL45" s="27">
        <v>288.0</v>
      </c>
      <c r="AM45" s="27">
        <v>284.0</v>
      </c>
      <c r="AN45" s="27">
        <v>246.0</v>
      </c>
      <c r="AO45" s="186">
        <v>234.0</v>
      </c>
      <c r="AP45" s="186">
        <v>258.0</v>
      </c>
      <c r="AQ45" s="28">
        <f t="shared" si="3"/>
        <v>3943.0</v>
      </c>
      <c r="AR45" s="28">
        <f t="shared" si="4"/>
        <v>1669.0</v>
      </c>
      <c r="AS45" s="28">
        <f t="shared" si="5"/>
        <v>1835.9</v>
      </c>
      <c r="AU45" s="1">
        <f t="shared" si="113"/>
        <v>419.607344632768</v>
      </c>
      <c r="AV45" s="1">
        <f t="shared" si="114"/>
        <v>344.17231638418</v>
      </c>
      <c r="AW45" s="1">
        <f t="shared" si="115"/>
        <v>268.737288135593</v>
      </c>
      <c r="AX45" s="1">
        <f t="shared" si="116"/>
        <v>537.474576271186</v>
      </c>
      <c r="BA45" s="2">
        <f t="shared" si="12"/>
        <v>1569.99152542372</v>
      </c>
      <c r="BB45" s="2" t="e">
        <f t="shared" si="13"/>
        <v>#REF!</v>
      </c>
      <c r="BD45" s="36" t="e">
        <f t="shared" si="128"/>
        <v>#REF!</v>
      </c>
      <c r="BE45" s="3" t="e">
        <f t="shared" si="117"/>
        <v>#REF!</v>
      </c>
      <c r="BF45" s="1">
        <f>VLOOKUP(C45,MOQ,3,FALSE())</f>
        <v>1008.0</v>
      </c>
      <c r="BG45" s="4">
        <v>1008.0</v>
      </c>
      <c r="BH45" s="1" t="s">
        <v>10</v>
      </c>
      <c r="BI45" s="1" t="e">
        <f t="shared" si="119"/>
        <v>#REF!</v>
      </c>
      <c r="BJ45" s="1">
        <f t="shared" si="120"/>
        <v>419.607344632768</v>
      </c>
      <c r="BL45" s="3" t="e">
        <f t="shared" si="100"/>
        <v>#REF!</v>
      </c>
      <c r="BM45" s="1">
        <f t="shared" si="121"/>
        <v>344.17231638418</v>
      </c>
      <c r="BO45" s="3" t="e">
        <f t="shared" si="122"/>
        <v>#REF!</v>
      </c>
      <c r="BP45" s="1">
        <f t="shared" si="123"/>
        <v>268.737288135593</v>
      </c>
      <c r="BR45" s="3" t="e">
        <f t="shared" si="124"/>
        <v>#REF!</v>
      </c>
      <c r="BS45" s="1">
        <f t="shared" si="125"/>
        <v>537.474576271186</v>
      </c>
      <c r="BU45" s="3" t="e">
        <f t="shared" si="126"/>
        <v>#REF!</v>
      </c>
    </row>
    <row hidden="1" r="46" ht="14.0" outlineLevel="1">
      <c r="A46" s="27" t="s">
        <v>28</v>
      </c>
      <c r="B46" s="27" t="s">
        <v>98</v>
      </c>
      <c r="C46" s="27" t="s">
        <v>111</v>
      </c>
      <c r="D46" s="27" t="s">
        <v>112</v>
      </c>
      <c r="E46" s="27"/>
      <c r="F46" s="27">
        <v>144.0</v>
      </c>
      <c r="G46" s="27">
        <v>120.0</v>
      </c>
      <c r="H46" s="27">
        <v>188.0</v>
      </c>
      <c r="I46" s="27">
        <v>354.0</v>
      </c>
      <c r="J46" s="27">
        <v>223.0</v>
      </c>
      <c r="K46" s="27">
        <v>324.0</v>
      </c>
      <c r="L46" s="27">
        <v>181.0</v>
      </c>
      <c r="M46" s="27">
        <v>295.0</v>
      </c>
      <c r="N46" s="27">
        <v>137.0</v>
      </c>
      <c r="O46" s="27">
        <v>151.0</v>
      </c>
      <c r="P46" s="27">
        <v>150.0</v>
      </c>
      <c r="Q46" s="27">
        <v>144.0</v>
      </c>
      <c r="R46" s="27">
        <v>152.0</v>
      </c>
      <c r="S46" s="27">
        <v>114.0</v>
      </c>
      <c r="T46" s="27">
        <v>105.0</v>
      </c>
      <c r="U46" s="27">
        <v>187.0</v>
      </c>
      <c r="V46" s="27">
        <v>182.0</v>
      </c>
      <c r="W46" s="27">
        <v>124.0</v>
      </c>
      <c r="X46" s="27">
        <v>170.0</v>
      </c>
      <c r="Y46" s="27">
        <v>108.0</v>
      </c>
      <c r="Z46" s="27">
        <v>102.0</v>
      </c>
      <c r="AA46" s="27">
        <v>168.0</v>
      </c>
      <c r="AB46" s="27">
        <v>142.0</v>
      </c>
      <c r="AC46" s="27">
        <v>138.0</v>
      </c>
      <c r="AD46" s="27">
        <v>78.0</v>
      </c>
      <c r="AE46" s="27">
        <v>48.0</v>
      </c>
      <c r="AF46" s="27">
        <v>132.0</v>
      </c>
      <c r="AG46" s="27">
        <v>102.0</v>
      </c>
      <c r="AH46" s="27">
        <v>132.0</v>
      </c>
      <c r="AI46" s="27">
        <v>193.0</v>
      </c>
      <c r="AJ46" s="27">
        <v>84.0</v>
      </c>
      <c r="AK46" s="27">
        <v>96.0</v>
      </c>
      <c r="AL46" s="27">
        <v>78.0</v>
      </c>
      <c r="AM46" s="27">
        <v>66.0</v>
      </c>
      <c r="AN46" s="27">
        <v>6.0</v>
      </c>
      <c r="AO46" s="186">
        <v>72.0</v>
      </c>
      <c r="AP46" s="186">
        <v>31.0</v>
      </c>
      <c r="AQ46" s="28">
        <f t="shared" si="3"/>
        <v>1040.0</v>
      </c>
      <c r="AR46" s="28">
        <f t="shared" si="4"/>
        <v>349.0</v>
      </c>
      <c r="AS46" s="28">
        <f t="shared" si="5"/>
        <v>383.9</v>
      </c>
      <c r="AU46" s="1">
        <f t="shared" si="113"/>
        <v>87.7429378531073</v>
      </c>
      <c r="AV46" s="1">
        <f t="shared" si="114"/>
        <v>71.9689265536723</v>
      </c>
      <c r="AW46" s="1">
        <f t="shared" si="115"/>
        <v>56.1949152542372</v>
      </c>
      <c r="AX46" s="1">
        <f t="shared" si="116"/>
        <v>112.389830508474</v>
      </c>
      <c r="BA46" s="2">
        <f t="shared" si="12"/>
        <v>328.29661016949</v>
      </c>
      <c r="BB46" s="2" t="e">
        <f t="shared" si="13"/>
        <v>#REF!</v>
      </c>
      <c r="BD46" s="36"/>
      <c r="BE46" s="3" t="e">
        <f t="shared" si="117"/>
        <v>#REF!</v>
      </c>
      <c r="BF46" s="1">
        <f>VLOOKUP(C46,MOQ,3,FALSE())</f>
        <v>1008.0</v>
      </c>
      <c r="BG46" s="43" t="s">
        <v>32</v>
      </c>
      <c r="BI46" s="1" t="e">
        <f t="shared" si="119"/>
        <v>#REF!</v>
      </c>
      <c r="BJ46" s="1">
        <f t="shared" si="120"/>
        <v>87.7429378531073</v>
      </c>
      <c r="BL46" s="3" t="e">
        <f t="shared" si="100"/>
        <v>#REF!</v>
      </c>
      <c r="BM46" s="1">
        <f t="shared" si="121"/>
        <v>71.9689265536723</v>
      </c>
      <c r="BO46" s="3" t="e">
        <f t="shared" si="122"/>
        <v>#REF!</v>
      </c>
      <c r="BP46" s="1">
        <f t="shared" si="123"/>
        <v>56.1949152542372</v>
      </c>
      <c r="BR46" s="3" t="e">
        <f t="shared" si="124"/>
        <v>#REF!</v>
      </c>
      <c r="BS46" s="1">
        <f t="shared" si="125"/>
        <v>112.389830508474</v>
      </c>
      <c r="BU46" s="3" t="e">
        <f t="shared" si="126"/>
        <v>#REF!</v>
      </c>
    </row>
    <row hidden="1" r="47" ht="14.0" outlineLevel="1">
      <c r="A47" s="27" t="s">
        <v>28</v>
      </c>
      <c r="B47" s="27" t="s">
        <v>98</v>
      </c>
      <c r="C47" s="27" t="s">
        <v>113</v>
      </c>
      <c r="D47" s="27" t="s">
        <v>114</v>
      </c>
      <c r="E47" s="27"/>
      <c r="F47" s="27">
        <v>24.0</v>
      </c>
      <c r="G47" s="27">
        <v>18.0</v>
      </c>
      <c r="H47" s="27">
        <v>53.0</v>
      </c>
      <c r="I47" s="27">
        <v>54.0</v>
      </c>
      <c r="J47" s="27">
        <v>30.0</v>
      </c>
      <c r="K47" s="27">
        <v>54.0</v>
      </c>
      <c r="L47" s="27">
        <v>18.0</v>
      </c>
      <c r="M47" s="27">
        <v>24.0</v>
      </c>
      <c r="N47" s="27">
        <v>12.0</v>
      </c>
      <c r="O47" s="27">
        <v>30.0</v>
      </c>
      <c r="P47" s="27">
        <v>36.0</v>
      </c>
      <c r="Q47" s="27">
        <v>54.0</v>
      </c>
      <c r="R47" s="27">
        <v>24.0</v>
      </c>
      <c r="S47" s="27">
        <v>12.0</v>
      </c>
      <c r="T47" s="27">
        <v>25.0</v>
      </c>
      <c r="U47" s="27">
        <v>39.0</v>
      </c>
      <c r="V47" s="27">
        <v>30.0</v>
      </c>
      <c r="W47" s="27">
        <v>25.0</v>
      </c>
      <c r="X47" s="27">
        <v>31.0</v>
      </c>
      <c r="Y47" s="27">
        <v>39.0</v>
      </c>
      <c r="Z47" s="27">
        <v>44.0</v>
      </c>
      <c r="AA47" s="27">
        <v>24.0</v>
      </c>
      <c r="AB47" s="27">
        <v>12.0</v>
      </c>
      <c r="AC47" s="27">
        <v>30.0</v>
      </c>
      <c r="AD47" s="27">
        <v>30.0</v>
      </c>
      <c r="AE47" s="27">
        <v>6.0</v>
      </c>
      <c r="AF47" s="27">
        <v>60.0</v>
      </c>
      <c r="AG47" s="27">
        <v>18.0</v>
      </c>
      <c r="AH47" s="27">
        <v>18.0</v>
      </c>
      <c r="AI47" s="27">
        <v>36.0</v>
      </c>
      <c r="AJ47" s="27">
        <v>18.0</v>
      </c>
      <c r="AK47" s="27">
        <v>18.0</v>
      </c>
      <c r="AL47" s="27">
        <v>48.0</v>
      </c>
      <c r="AM47" s="27">
        <v>42.0</v>
      </c>
      <c r="AN47" s="27">
        <v>18.0</v>
      </c>
      <c r="AO47" s="186">
        <v>7.0</v>
      </c>
      <c r="AP47" s="186">
        <v>12.0</v>
      </c>
      <c r="AQ47" s="28">
        <f t="shared" si="3"/>
        <v>301.0</v>
      </c>
      <c r="AR47" s="28">
        <f t="shared" si="4"/>
        <v>145.0</v>
      </c>
      <c r="AS47" s="28">
        <f t="shared" si="5"/>
        <v>159.5</v>
      </c>
      <c r="AU47" s="1">
        <f t="shared" si="113"/>
        <v>36.454802259887</v>
      </c>
      <c r="AV47" s="1">
        <f t="shared" si="114"/>
        <v>29.9011299435028</v>
      </c>
      <c r="AW47" s="1">
        <f t="shared" si="115"/>
        <v>23.3474576271186</v>
      </c>
      <c r="AX47" s="1">
        <f t="shared" si="116"/>
        <v>46.6949152542372</v>
      </c>
      <c r="BA47" s="2">
        <f t="shared" si="12"/>
        <v>136.398305084746</v>
      </c>
      <c r="BB47" s="2" t="e">
        <f t="shared" si="13"/>
        <v>#REF!</v>
      </c>
      <c r="BD47" s="36"/>
      <c r="BE47" s="3" t="e">
        <f t="shared" si="117"/>
        <v>#REF!</v>
      </c>
      <c r="BF47" s="1">
        <f>VLOOKUP(C47,MOQ,3,FALSE())</f>
        <v>1008.0</v>
      </c>
      <c r="BG47" s="43" t="s">
        <v>32</v>
      </c>
      <c r="BI47" s="1" t="e">
        <f t="shared" si="119"/>
        <v>#REF!</v>
      </c>
      <c r="BJ47" s="1">
        <f t="shared" si="120"/>
        <v>36.454802259887</v>
      </c>
      <c r="BL47" s="3" t="e">
        <f t="shared" si="100"/>
        <v>#REF!</v>
      </c>
      <c r="BM47" s="1">
        <f t="shared" si="121"/>
        <v>29.9011299435028</v>
      </c>
      <c r="BO47" s="3" t="e">
        <f t="shared" si="122"/>
        <v>#REF!</v>
      </c>
      <c r="BP47" s="1">
        <f t="shared" si="123"/>
        <v>23.3474576271186</v>
      </c>
      <c r="BR47" s="3" t="e">
        <f t="shared" si="124"/>
        <v>#REF!</v>
      </c>
      <c r="BS47" s="1">
        <f t="shared" si="125"/>
        <v>46.6949152542372</v>
      </c>
      <c r="BU47" s="3" t="e">
        <f t="shared" si="126"/>
        <v>#REF!</v>
      </c>
    </row>
    <row hidden="1" r="48" ht="14.0" outlineLevel="1">
      <c r="A48" s="27" t="s">
        <v>28</v>
      </c>
      <c r="B48" s="27" t="s">
        <v>98</v>
      </c>
      <c r="C48" s="27" t="s">
        <v>115</v>
      </c>
      <c r="D48" s="27" t="s">
        <v>116</v>
      </c>
      <c r="E48" s="27"/>
      <c r="F48" s="27">
        <v>228.0</v>
      </c>
      <c r="G48" s="27">
        <v>210.0</v>
      </c>
      <c r="H48" s="27">
        <v>204.0</v>
      </c>
      <c r="I48" s="27">
        <v>450.0</v>
      </c>
      <c r="J48" s="27">
        <v>288.0</v>
      </c>
      <c r="K48" s="27">
        <v>444.0</v>
      </c>
      <c r="L48" s="27">
        <v>197.0</v>
      </c>
      <c r="M48" s="27">
        <v>258.0</v>
      </c>
      <c r="N48" s="27">
        <v>186.0</v>
      </c>
      <c r="O48" s="27">
        <v>210.0</v>
      </c>
      <c r="P48" s="27">
        <v>198.0</v>
      </c>
      <c r="Q48" s="27">
        <v>187.0</v>
      </c>
      <c r="R48" s="27">
        <v>120.0</v>
      </c>
      <c r="S48" s="27">
        <v>162.0</v>
      </c>
      <c r="T48" s="27">
        <v>163.0</v>
      </c>
      <c r="U48" s="27">
        <v>150.0</v>
      </c>
      <c r="V48" s="27">
        <v>177.0</v>
      </c>
      <c r="W48" s="27">
        <v>178.0</v>
      </c>
      <c r="X48" s="27">
        <v>274.0</v>
      </c>
      <c r="Y48" s="27">
        <v>120.0</v>
      </c>
      <c r="Z48" s="27">
        <v>126.0</v>
      </c>
      <c r="AA48" s="27">
        <v>228.0</v>
      </c>
      <c r="AB48" s="27">
        <v>102.0</v>
      </c>
      <c r="AC48" s="27">
        <v>222.0</v>
      </c>
      <c r="AD48" s="27">
        <v>168.0</v>
      </c>
      <c r="AE48" s="27">
        <v>108.0</v>
      </c>
      <c r="AF48" s="27">
        <v>120.0</v>
      </c>
      <c r="AG48" s="27">
        <v>180.0</v>
      </c>
      <c r="AH48" s="27">
        <v>216.0</v>
      </c>
      <c r="AI48" s="27">
        <v>258.0</v>
      </c>
      <c r="AJ48" s="27">
        <v>180.0</v>
      </c>
      <c r="AK48" s="27">
        <v>120.0</v>
      </c>
      <c r="AL48" s="27">
        <v>66.0</v>
      </c>
      <c r="AM48" s="27">
        <v>108.0</v>
      </c>
      <c r="AN48" s="27">
        <v>114.0</v>
      </c>
      <c r="AO48" s="186">
        <v>90.0</v>
      </c>
      <c r="AP48" s="186">
        <v>102.0</v>
      </c>
      <c r="AQ48" s="28">
        <f t="shared" si="3"/>
        <v>1662.0</v>
      </c>
      <c r="AR48" s="28">
        <f t="shared" si="4"/>
        <v>600.0</v>
      </c>
      <c r="AS48" s="28">
        <f t="shared" si="5"/>
        <v>660.0</v>
      </c>
      <c r="AU48" s="1">
        <f t="shared" si="113"/>
        <v>150.84745762711</v>
      </c>
      <c r="AV48" s="1">
        <f t="shared" si="114"/>
        <v>123.728813559322</v>
      </c>
      <c r="AW48" s="1">
        <f t="shared" si="115"/>
        <v>96.6101694915254</v>
      </c>
      <c r="AX48" s="1">
        <f t="shared" si="116"/>
        <v>193.22033898305</v>
      </c>
      <c r="BA48" s="2">
        <f t="shared" si="12"/>
        <v>564.406779661008</v>
      </c>
      <c r="BB48" s="2" t="e">
        <f t="shared" si="13"/>
        <v>#REF!</v>
      </c>
      <c r="BD48" s="36"/>
      <c r="BE48" s="3" t="e">
        <f t="shared" si="117"/>
        <v>#REF!</v>
      </c>
      <c r="BF48" s="1">
        <f>VLOOKUP(C48,MOQ,3,FALSE())</f>
        <v>1008.0</v>
      </c>
      <c r="BI48" s="1" t="e">
        <f t="shared" si="119"/>
        <v>#REF!</v>
      </c>
      <c r="BJ48" s="1">
        <f t="shared" si="120"/>
        <v>150.84745762711</v>
      </c>
      <c r="BL48" s="3" t="e">
        <f t="shared" si="100"/>
        <v>#REF!</v>
      </c>
      <c r="BM48" s="1">
        <f t="shared" si="121"/>
        <v>123.728813559322</v>
      </c>
      <c r="BO48" s="3" t="e">
        <f t="shared" si="122"/>
        <v>#REF!</v>
      </c>
      <c r="BP48" s="1">
        <f t="shared" si="123"/>
        <v>96.6101694915254</v>
      </c>
      <c r="BR48" s="3" t="e">
        <f t="shared" si="124"/>
        <v>#REF!</v>
      </c>
      <c r="BS48" s="1">
        <f t="shared" si="125"/>
        <v>193.22033898305</v>
      </c>
      <c r="BU48" s="3" t="e">
        <f t="shared" si="126"/>
        <v>#REF!</v>
      </c>
    </row>
    <row hidden="1" r="49" ht="14.0" outlineLevel="1">
      <c r="A49" s="27" t="s">
        <v>28</v>
      </c>
      <c r="B49" s="27" t="s">
        <v>98</v>
      </c>
      <c r="C49" s="27" t="s">
        <v>117</v>
      </c>
      <c r="D49" s="27" t="s">
        <v>118</v>
      </c>
      <c r="E49" s="27"/>
      <c r="F49" s="27">
        <v>228.0</v>
      </c>
      <c r="G49" s="27">
        <v>288.0</v>
      </c>
      <c r="H49" s="27">
        <v>1043.0</v>
      </c>
      <c r="I49" s="27">
        <v>1044.0</v>
      </c>
      <c r="J49" s="27">
        <v>402.0</v>
      </c>
      <c r="K49" s="27">
        <v>438.0</v>
      </c>
      <c r="L49" s="27">
        <v>1121.0</v>
      </c>
      <c r="M49" s="27">
        <v>0.0</v>
      </c>
      <c r="N49" s="27">
        <v>540.0</v>
      </c>
      <c r="O49" s="27">
        <v>396.0</v>
      </c>
      <c r="P49" s="27">
        <v>822.0</v>
      </c>
      <c r="Q49" s="27">
        <v>372.0</v>
      </c>
      <c r="R49" s="27">
        <v>272.0</v>
      </c>
      <c r="S49" s="27">
        <v>504.0</v>
      </c>
      <c r="T49" s="27">
        <v>649.0</v>
      </c>
      <c r="U49" s="27">
        <v>380.0</v>
      </c>
      <c r="V49" s="27">
        <v>836.0</v>
      </c>
      <c r="W49" s="27">
        <v>742.0</v>
      </c>
      <c r="X49" s="27">
        <v>919.0</v>
      </c>
      <c r="Y49" s="27">
        <v>433.0</v>
      </c>
      <c r="Z49" s="27">
        <v>313.0</v>
      </c>
      <c r="AA49" s="27">
        <v>276.0</v>
      </c>
      <c r="AB49" s="27">
        <v>0.0</v>
      </c>
      <c r="AC49" s="27">
        <v>937.0</v>
      </c>
      <c r="AD49" s="27">
        <v>259.0</v>
      </c>
      <c r="AE49" s="27">
        <v>552.0</v>
      </c>
      <c r="AF49" s="27">
        <v>354.0</v>
      </c>
      <c r="AG49" s="27">
        <v>408.0</v>
      </c>
      <c r="AH49" s="27">
        <v>732.0</v>
      </c>
      <c r="AI49" s="27">
        <v>804.0</v>
      </c>
      <c r="AJ49" s="27">
        <v>564.0</v>
      </c>
      <c r="AK49" s="27">
        <v>459.0</v>
      </c>
      <c r="AL49" s="27">
        <v>408.0</v>
      </c>
      <c r="AM49" s="27">
        <v>266.0</v>
      </c>
      <c r="AN49" s="27">
        <v>300.0</v>
      </c>
      <c r="AO49" s="186">
        <v>360.0</v>
      </c>
      <c r="AP49" s="186">
        <v>348.0</v>
      </c>
      <c r="AQ49" s="28">
        <f t="shared" si="3"/>
        <v>5555.0</v>
      </c>
      <c r="AR49" s="28">
        <f t="shared" si="4"/>
        <v>2141.0</v>
      </c>
      <c r="AS49" s="28">
        <f t="shared" si="5"/>
        <v>2355.1</v>
      </c>
      <c r="AU49" s="1">
        <f t="shared" si="113"/>
        <v>538.274011299435</v>
      </c>
      <c r="AV49" s="1">
        <f t="shared" si="114"/>
        <v>441.505649717514</v>
      </c>
      <c r="AW49" s="1">
        <f t="shared" si="115"/>
        <v>344.737288135593</v>
      </c>
      <c r="AX49" s="1">
        <f t="shared" si="116"/>
        <v>689.474576271186</v>
      </c>
      <c r="BA49" s="2">
        <f t="shared" si="12"/>
        <v>2013.99152542372</v>
      </c>
      <c r="BB49" s="2" t="e">
        <f t="shared" si="13"/>
        <v>#REF!</v>
      </c>
      <c r="BD49" s="36" t="e">
        <f t="shared" ref="BD49:BD51" si="130">VLOOKUP(C49,AUGUST,3,false)</f>
        <v>#REF!</v>
      </c>
      <c r="BE49" s="3" t="e">
        <f t="shared" si="117"/>
        <v>#REF!</v>
      </c>
      <c r="BF49" s="1">
        <f>VLOOKUP(C49,MOQ,3,FALSE())</f>
        <v>1008.0</v>
      </c>
      <c r="BG49" s="43" t="s">
        <v>32</v>
      </c>
      <c r="BH49" s="1" t="s">
        <v>10</v>
      </c>
      <c r="BI49" s="1" t="e">
        <f t="shared" si="119"/>
        <v>#REF!</v>
      </c>
      <c r="BJ49" s="1">
        <f t="shared" si="120"/>
        <v>538.274011299435</v>
      </c>
      <c r="BL49" s="3" t="e">
        <f t="shared" si="100"/>
        <v>#REF!</v>
      </c>
      <c r="BM49" s="1">
        <f t="shared" si="121"/>
        <v>441.505649717514</v>
      </c>
      <c r="BO49" s="3" t="e">
        <f t="shared" si="122"/>
        <v>#REF!</v>
      </c>
      <c r="BP49" s="1">
        <f t="shared" si="123"/>
        <v>344.737288135593</v>
      </c>
      <c r="BR49" s="3" t="e">
        <f t="shared" si="124"/>
        <v>#REF!</v>
      </c>
      <c r="BS49" s="1">
        <f t="shared" si="125"/>
        <v>689.474576271186</v>
      </c>
      <c r="BU49" s="3" t="e">
        <f t="shared" si="126"/>
        <v>#REF!</v>
      </c>
    </row>
    <row hidden="1" r="50" ht="14.0" outlineLevel="1">
      <c r="A50" s="27" t="s">
        <v>28</v>
      </c>
      <c r="B50" s="27" t="s">
        <v>98</v>
      </c>
      <c r="C50" s="27" t="s">
        <v>119</v>
      </c>
      <c r="D50" s="27" t="s">
        <v>120</v>
      </c>
      <c r="E50" s="27"/>
      <c r="F50" s="27">
        <v>171.0</v>
      </c>
      <c r="G50" s="27">
        <v>258.0</v>
      </c>
      <c r="H50" s="27">
        <v>114.0</v>
      </c>
      <c r="I50" s="27">
        <v>0.0</v>
      </c>
      <c r="J50" s="27">
        <v>0.0</v>
      </c>
      <c r="K50" s="27">
        <v>854.0</v>
      </c>
      <c r="L50" s="27">
        <v>252.0</v>
      </c>
      <c r="M50" s="27">
        <v>216.0</v>
      </c>
      <c r="N50" s="27">
        <v>187.0</v>
      </c>
      <c r="O50" s="27">
        <v>252.0</v>
      </c>
      <c r="P50" s="27">
        <v>343.0</v>
      </c>
      <c r="Q50" s="27">
        <v>186.0</v>
      </c>
      <c r="R50" s="27">
        <v>253.0</v>
      </c>
      <c r="S50" s="27">
        <v>186.0</v>
      </c>
      <c r="T50" s="27">
        <v>258.0</v>
      </c>
      <c r="U50" s="27">
        <v>264.0</v>
      </c>
      <c r="V50" s="27">
        <v>348.0</v>
      </c>
      <c r="W50" s="27">
        <v>330.0</v>
      </c>
      <c r="X50" s="27">
        <v>367.0</v>
      </c>
      <c r="Y50" s="27">
        <v>240.0</v>
      </c>
      <c r="Z50" s="27">
        <v>192.0</v>
      </c>
      <c r="AA50" s="27">
        <v>162.0</v>
      </c>
      <c r="AB50" s="27">
        <v>12.0</v>
      </c>
      <c r="AC50" s="27">
        <v>258.0</v>
      </c>
      <c r="AD50" s="27">
        <v>180.0</v>
      </c>
      <c r="AE50" s="27">
        <v>198.0</v>
      </c>
      <c r="AF50" s="27">
        <v>240.0</v>
      </c>
      <c r="AG50" s="27">
        <v>174.0</v>
      </c>
      <c r="AH50" s="27">
        <v>211.0</v>
      </c>
      <c r="AI50" s="27">
        <v>423.0</v>
      </c>
      <c r="AJ50" s="27">
        <v>162.0</v>
      </c>
      <c r="AK50" s="27">
        <v>150.0</v>
      </c>
      <c r="AL50" s="27">
        <v>138.0</v>
      </c>
      <c r="AM50" s="27">
        <v>186.0</v>
      </c>
      <c r="AN50" s="27">
        <v>96.0</v>
      </c>
      <c r="AO50" s="186">
        <v>134.0</v>
      </c>
      <c r="AP50" s="186">
        <v>90.0</v>
      </c>
      <c r="AQ50" s="28">
        <f t="shared" si="3"/>
        <v>2202.0</v>
      </c>
      <c r="AR50" s="28">
        <f t="shared" si="4"/>
        <v>794.0</v>
      </c>
      <c r="AS50" s="28">
        <f t="shared" si="5"/>
        <v>873.4</v>
      </c>
      <c r="AU50" s="1">
        <f t="shared" si="113"/>
        <v>199.621468926553</v>
      </c>
      <c r="AV50" s="1">
        <f t="shared" si="114"/>
        <v>163.734463276836</v>
      </c>
      <c r="AW50" s="1">
        <f t="shared" si="115"/>
        <v>127.847457627119</v>
      </c>
      <c r="AX50" s="1">
        <f t="shared" si="116"/>
        <v>255.694915254237</v>
      </c>
      <c r="BA50" s="2">
        <f t="shared" si="12"/>
        <v>746.898305084745</v>
      </c>
      <c r="BB50" s="2" t="e">
        <f t="shared" si="13"/>
        <v>#REF!</v>
      </c>
      <c r="BD50" s="36" t="e">
        <f t="shared" si="130"/>
        <v>#REF!</v>
      </c>
      <c r="BE50" s="3" t="e">
        <f t="shared" si="117"/>
        <v>#REF!</v>
      </c>
      <c r="BF50" s="1">
        <f>VLOOKUP(C50,MOQ,3,FALSE())</f>
        <v>1008.0</v>
      </c>
      <c r="BG50" s="43" t="s">
        <v>32</v>
      </c>
      <c r="BI50" s="1" t="e">
        <f t="shared" si="119"/>
        <v>#REF!</v>
      </c>
      <c r="BJ50" s="1">
        <f t="shared" si="120"/>
        <v>199.621468926553</v>
      </c>
      <c r="BL50" s="3" t="e">
        <f t="shared" si="100"/>
        <v>#REF!</v>
      </c>
      <c r="BM50" s="1">
        <f t="shared" si="121"/>
        <v>163.734463276836</v>
      </c>
      <c r="BO50" s="3" t="e">
        <f t="shared" si="122"/>
        <v>#REF!</v>
      </c>
      <c r="BP50" s="1">
        <f t="shared" si="123"/>
        <v>127.847457627119</v>
      </c>
      <c r="BR50" s="3" t="e">
        <f t="shared" si="124"/>
        <v>#REF!</v>
      </c>
      <c r="BS50" s="1">
        <f t="shared" si="125"/>
        <v>255.694915254237</v>
      </c>
      <c r="BU50" s="3" t="e">
        <f t="shared" si="126"/>
        <v>#REF!</v>
      </c>
    </row>
    <row hidden="1" r="51" ht="14.0" outlineLevel="1">
      <c r="A51" s="27" t="s">
        <v>28</v>
      </c>
      <c r="B51" s="27" t="s">
        <v>98</v>
      </c>
      <c r="C51" s="27" t="s">
        <v>121</v>
      </c>
      <c r="D51" s="27" t="s">
        <v>122</v>
      </c>
      <c r="E51" s="27"/>
      <c r="F51" s="27">
        <v>213.0</v>
      </c>
      <c r="G51" s="27">
        <v>438.0</v>
      </c>
      <c r="H51" s="27">
        <v>84.0</v>
      </c>
      <c r="I51" s="27">
        <v>0.0</v>
      </c>
      <c r="J51" s="27">
        <v>0.0</v>
      </c>
      <c r="K51" s="27">
        <v>1095.0</v>
      </c>
      <c r="L51" s="27">
        <v>476.0</v>
      </c>
      <c r="M51" s="27">
        <v>331.0</v>
      </c>
      <c r="N51" s="27">
        <v>372.0</v>
      </c>
      <c r="O51" s="27">
        <v>168.0</v>
      </c>
      <c r="P51" s="27">
        <v>0.0</v>
      </c>
      <c r="Q51" s="27">
        <v>187.0</v>
      </c>
      <c r="R51" s="27">
        <v>278.0</v>
      </c>
      <c r="S51" s="27">
        <v>270.0</v>
      </c>
      <c r="T51" s="27">
        <v>301.0</v>
      </c>
      <c r="U51" s="27">
        <v>366.0</v>
      </c>
      <c r="V51" s="27">
        <v>283.0</v>
      </c>
      <c r="W51" s="27">
        <v>512.0</v>
      </c>
      <c r="X51" s="27">
        <v>583.0</v>
      </c>
      <c r="Y51" s="27">
        <v>330.0</v>
      </c>
      <c r="Z51" s="27">
        <v>410.0</v>
      </c>
      <c r="AA51" s="27">
        <v>82.0</v>
      </c>
      <c r="AB51" s="27">
        <v>0.0</v>
      </c>
      <c r="AC51" s="27">
        <v>510.0</v>
      </c>
      <c r="AD51" s="27">
        <v>198.0</v>
      </c>
      <c r="AE51" s="27">
        <v>276.0</v>
      </c>
      <c r="AF51" s="27">
        <v>312.0</v>
      </c>
      <c r="AG51" s="27">
        <v>246.0</v>
      </c>
      <c r="AH51" s="27">
        <v>318.0</v>
      </c>
      <c r="AI51" s="27">
        <v>450.0</v>
      </c>
      <c r="AJ51" s="27">
        <v>187.0</v>
      </c>
      <c r="AK51" s="27">
        <v>253.0</v>
      </c>
      <c r="AL51" s="27">
        <v>237.0</v>
      </c>
      <c r="AM51" s="27">
        <v>378.0</v>
      </c>
      <c r="AN51" s="27">
        <v>246.0</v>
      </c>
      <c r="AO51" s="186">
        <v>241.0</v>
      </c>
      <c r="AP51" s="186">
        <v>224.0</v>
      </c>
      <c r="AQ51" s="28">
        <f t="shared" si="3"/>
        <v>3368.0</v>
      </c>
      <c r="AR51" s="28">
        <f t="shared" si="4"/>
        <v>1579.0</v>
      </c>
      <c r="AS51" s="28">
        <f t="shared" si="5"/>
        <v>1736.9</v>
      </c>
      <c r="AU51" s="1">
        <f t="shared" si="113"/>
        <v>396.9802259887</v>
      </c>
      <c r="AV51" s="1">
        <f t="shared" si="114"/>
        <v>325.612994350282</v>
      </c>
      <c r="AW51" s="1">
        <f t="shared" si="115"/>
        <v>254.245762711864</v>
      </c>
      <c r="AX51" s="1">
        <f t="shared" si="116"/>
        <v>508.491525423729</v>
      </c>
      <c r="BA51" s="2">
        <f t="shared" si="12"/>
        <v>1485.33050847458</v>
      </c>
      <c r="BB51" s="2" t="e">
        <f t="shared" si="13"/>
        <v>#REF!</v>
      </c>
      <c r="BD51" s="36" t="e">
        <f t="shared" si="130"/>
        <v>#REF!</v>
      </c>
      <c r="BE51" s="3" t="e">
        <f t="shared" si="117"/>
        <v>#REF!</v>
      </c>
      <c r="BF51" s="1">
        <f>VLOOKUP(C51,MOQ,3,FALSE())</f>
        <v>1008.0</v>
      </c>
      <c r="BG51" s="43" t="s">
        <v>32</v>
      </c>
      <c r="BI51" s="1" t="e">
        <f t="shared" si="119"/>
        <v>#REF!</v>
      </c>
      <c r="BJ51" s="1">
        <f t="shared" si="120"/>
        <v>396.9802259887</v>
      </c>
      <c r="BL51" s="3" t="e">
        <f t="shared" si="100"/>
        <v>#REF!</v>
      </c>
      <c r="BM51" s="1">
        <f t="shared" si="121"/>
        <v>325.612994350282</v>
      </c>
      <c r="BO51" s="3" t="e">
        <f t="shared" si="122"/>
        <v>#REF!</v>
      </c>
      <c r="BP51" s="1">
        <f t="shared" si="123"/>
        <v>254.245762711864</v>
      </c>
      <c r="BR51" s="3" t="e">
        <f t="shared" si="124"/>
        <v>#REF!</v>
      </c>
      <c r="BS51" s="1">
        <f t="shared" si="125"/>
        <v>508.491525423729</v>
      </c>
      <c r="BU51" s="3" t="e">
        <f t="shared" si="126"/>
        <v>#REF!</v>
      </c>
    </row>
    <row hidden="1" r="52" ht="14.0" outlineLevel="1">
      <c r="A52" s="27" t="s">
        <v>28</v>
      </c>
      <c r="B52" s="27" t="s">
        <v>98</v>
      </c>
      <c r="C52" s="27" t="s">
        <v>123</v>
      </c>
      <c r="D52" s="27" t="s">
        <v>124</v>
      </c>
      <c r="E52" s="27"/>
      <c r="F52" s="27">
        <v>201.0</v>
      </c>
      <c r="G52" s="27">
        <v>306.0</v>
      </c>
      <c r="H52" s="27">
        <v>246.0</v>
      </c>
      <c r="I52" s="27">
        <v>156.0</v>
      </c>
      <c r="J52" s="27">
        <v>0.0</v>
      </c>
      <c r="K52" s="27">
        <v>661.0</v>
      </c>
      <c r="L52" s="27">
        <v>295.0</v>
      </c>
      <c r="M52" s="27">
        <v>192.0</v>
      </c>
      <c r="N52" s="27">
        <v>108.0</v>
      </c>
      <c r="O52" s="27">
        <v>186.0</v>
      </c>
      <c r="P52" s="27">
        <v>138.0</v>
      </c>
      <c r="Q52" s="27">
        <v>174.0</v>
      </c>
      <c r="R52" s="27">
        <v>103.0</v>
      </c>
      <c r="S52" s="27">
        <v>150.0</v>
      </c>
      <c r="T52" s="27">
        <v>180.0</v>
      </c>
      <c r="U52" s="27">
        <v>168.0</v>
      </c>
      <c r="V52" s="27">
        <v>162.0</v>
      </c>
      <c r="W52" s="27">
        <v>118.0</v>
      </c>
      <c r="X52" s="27">
        <v>193.0</v>
      </c>
      <c r="Y52" s="27">
        <v>194.0</v>
      </c>
      <c r="Z52" s="27">
        <v>132.0</v>
      </c>
      <c r="AA52" s="27">
        <v>162.0</v>
      </c>
      <c r="AB52" s="27">
        <v>84.0</v>
      </c>
      <c r="AC52" s="27">
        <v>114.0</v>
      </c>
      <c r="AD52" s="27">
        <v>42.0</v>
      </c>
      <c r="AE52" s="27">
        <v>66.0</v>
      </c>
      <c r="AF52" s="27">
        <v>120.0</v>
      </c>
      <c r="AG52" s="27">
        <v>120.0</v>
      </c>
      <c r="AH52" s="27">
        <v>90.0</v>
      </c>
      <c r="AI52" s="27">
        <v>198.0</v>
      </c>
      <c r="AJ52" s="27">
        <v>90.0</v>
      </c>
      <c r="AK52" s="27">
        <v>114.0</v>
      </c>
      <c r="AL52" s="27">
        <v>102.0</v>
      </c>
      <c r="AM52" s="27">
        <v>126.0</v>
      </c>
      <c r="AN52" s="27">
        <v>54.0</v>
      </c>
      <c r="AO52" s="186">
        <v>73.0</v>
      </c>
      <c r="AP52" s="186">
        <v>97.0</v>
      </c>
      <c r="AQ52" s="28">
        <f t="shared" si="3"/>
        <v>1250.0</v>
      </c>
      <c r="AR52" s="28">
        <f t="shared" si="4"/>
        <v>566.0</v>
      </c>
      <c r="AS52" s="28">
        <f t="shared" si="5"/>
        <v>622.6</v>
      </c>
      <c r="AU52" s="1">
        <f t="shared" si="113"/>
        <v>142.299435028249</v>
      </c>
      <c r="AV52" s="1">
        <f t="shared" si="114"/>
        <v>116.717514124293</v>
      </c>
      <c r="AW52" s="1">
        <f t="shared" si="115"/>
        <v>91.135593220339</v>
      </c>
      <c r="AX52" s="1">
        <f t="shared" si="116"/>
        <v>182.271186440678</v>
      </c>
      <c r="BA52" s="2">
        <f t="shared" si="12"/>
        <v>532.423728813559</v>
      </c>
      <c r="BB52" s="2" t="e">
        <f t="shared" si="13"/>
        <v>#REF!</v>
      </c>
      <c r="BD52" s="36"/>
      <c r="BE52" s="3" t="e">
        <f t="shared" si="117"/>
        <v>#REF!</v>
      </c>
      <c r="BF52" s="1">
        <f>VLOOKUP(C52,MOQ,3,FALSE())</f>
        <v>1008.0</v>
      </c>
      <c r="BI52" s="1" t="e">
        <f t="shared" si="119"/>
        <v>#REF!</v>
      </c>
      <c r="BJ52" s="1">
        <f t="shared" si="120"/>
        <v>142.299435028249</v>
      </c>
      <c r="BL52" s="3" t="e">
        <f t="shared" si="100"/>
        <v>#REF!</v>
      </c>
      <c r="BM52" s="1">
        <f t="shared" si="121"/>
        <v>116.717514124293</v>
      </c>
      <c r="BO52" s="3" t="e">
        <f t="shared" si="122"/>
        <v>#REF!</v>
      </c>
      <c r="BP52" s="1">
        <f t="shared" si="123"/>
        <v>91.135593220339</v>
      </c>
      <c r="BR52" s="3" t="e">
        <f t="shared" si="124"/>
        <v>#REF!</v>
      </c>
      <c r="BS52" s="1">
        <f t="shared" si="125"/>
        <v>182.271186440678</v>
      </c>
      <c r="BU52" s="3" t="e">
        <f t="shared" si="126"/>
        <v>#REF!</v>
      </c>
    </row>
    <row hidden="1" r="53" ht="14.0" outlineLevel="1">
      <c r="A53" s="27" t="s">
        <v>28</v>
      </c>
      <c r="B53" s="27" t="s">
        <v>98</v>
      </c>
      <c r="C53" s="27" t="s">
        <v>125</v>
      </c>
      <c r="D53" s="27" t="s">
        <v>126</v>
      </c>
      <c r="E53" s="27"/>
      <c r="F53" s="27">
        <v>195.0</v>
      </c>
      <c r="G53" s="27">
        <v>336.0</v>
      </c>
      <c r="H53" s="27">
        <v>276.0</v>
      </c>
      <c r="I53" s="27">
        <v>89.0</v>
      </c>
      <c r="J53" s="27">
        <v>0.0</v>
      </c>
      <c r="K53" s="27">
        <v>733.0</v>
      </c>
      <c r="L53" s="27">
        <v>228.0</v>
      </c>
      <c r="M53" s="27">
        <v>132.0</v>
      </c>
      <c r="N53" s="27">
        <v>140.0</v>
      </c>
      <c r="O53" s="27">
        <v>140.0</v>
      </c>
      <c r="P53" s="27">
        <v>146.0</v>
      </c>
      <c r="Q53" s="27">
        <v>186.0</v>
      </c>
      <c r="R53" s="27">
        <v>114.0</v>
      </c>
      <c r="S53" s="27">
        <v>126.0</v>
      </c>
      <c r="T53" s="27">
        <v>138.0</v>
      </c>
      <c r="U53" s="27">
        <v>144.0</v>
      </c>
      <c r="V53" s="27">
        <v>132.0</v>
      </c>
      <c r="W53" s="27">
        <v>150.0</v>
      </c>
      <c r="X53" s="27">
        <v>103.0</v>
      </c>
      <c r="Y53" s="27">
        <v>144.0</v>
      </c>
      <c r="Z53" s="27">
        <v>156.0</v>
      </c>
      <c r="AA53" s="27">
        <v>168.0</v>
      </c>
      <c r="AB53" s="27">
        <v>77.0</v>
      </c>
      <c r="AC53" s="27">
        <v>72.0</v>
      </c>
      <c r="AD53" s="27">
        <v>60.0</v>
      </c>
      <c r="AE53" s="27">
        <v>48.0</v>
      </c>
      <c r="AF53" s="27">
        <v>48.0</v>
      </c>
      <c r="AG53" s="27">
        <v>96.0</v>
      </c>
      <c r="AH53" s="27">
        <v>138.0</v>
      </c>
      <c r="AI53" s="27">
        <v>180.0</v>
      </c>
      <c r="AJ53" s="27">
        <v>72.0</v>
      </c>
      <c r="AK53" s="27">
        <v>61.0</v>
      </c>
      <c r="AL53" s="27">
        <v>42.0</v>
      </c>
      <c r="AM53" s="27">
        <v>90.0</v>
      </c>
      <c r="AN53" s="27">
        <v>54.0</v>
      </c>
      <c r="AO53" s="186">
        <v>61.0</v>
      </c>
      <c r="AP53" s="186">
        <v>30.0</v>
      </c>
      <c r="AQ53" s="28">
        <f t="shared" si="3"/>
        <v>920.0</v>
      </c>
      <c r="AR53" s="28">
        <f t="shared" si="4"/>
        <v>338.0</v>
      </c>
      <c r="AS53" s="28">
        <f t="shared" si="5"/>
        <v>371.8</v>
      </c>
      <c r="AU53" s="1">
        <f t="shared" si="113"/>
        <v>84.9774011299435</v>
      </c>
      <c r="AV53" s="1">
        <f t="shared" si="114"/>
        <v>69.7005649717514</v>
      </c>
      <c r="AW53" s="1">
        <f t="shared" si="115"/>
        <v>54.4237288135593</v>
      </c>
      <c r="AX53" s="1">
        <f t="shared" si="116"/>
        <v>108.847457627119</v>
      </c>
      <c r="BA53" s="2">
        <f t="shared" si="12"/>
        <v>317.949152542373</v>
      </c>
      <c r="BB53" s="2" t="e">
        <f t="shared" si="13"/>
        <v>#REF!</v>
      </c>
      <c r="BD53" s="36"/>
      <c r="BE53" s="3" t="e">
        <f t="shared" si="117"/>
        <v>#REF!</v>
      </c>
      <c r="BF53" s="1">
        <f>VLOOKUP(C53,MOQ,3,FALSE())</f>
        <v>1008.0</v>
      </c>
      <c r="BI53" s="1" t="e">
        <f t="shared" si="119"/>
        <v>#REF!</v>
      </c>
      <c r="BJ53" s="1">
        <f t="shared" si="120"/>
        <v>84.9774011299435</v>
      </c>
      <c r="BL53" s="3" t="e">
        <f t="shared" si="100"/>
        <v>#REF!</v>
      </c>
      <c r="BM53" s="1">
        <f t="shared" si="121"/>
        <v>69.7005649717514</v>
      </c>
      <c r="BO53" s="3" t="e">
        <f t="shared" si="122"/>
        <v>#REF!</v>
      </c>
      <c r="BP53" s="1">
        <f t="shared" si="123"/>
        <v>54.4237288135593</v>
      </c>
      <c r="BR53" s="3" t="e">
        <f t="shared" si="124"/>
        <v>#REF!</v>
      </c>
      <c r="BS53" s="1">
        <f t="shared" si="125"/>
        <v>108.847457627119</v>
      </c>
      <c r="BU53" s="3" t="e">
        <f t="shared" si="126"/>
        <v>#REF!</v>
      </c>
    </row>
    <row hidden="1" r="54" ht="14.0" outlineLevel="1">
      <c r="A54" s="27" t="s">
        <v>28</v>
      </c>
      <c r="B54" s="27" t="s">
        <v>98</v>
      </c>
      <c r="C54" s="27" t="s">
        <v>127</v>
      </c>
      <c r="D54" s="27" t="s">
        <v>128</v>
      </c>
      <c r="E54" s="27"/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222.0</v>
      </c>
      <c r="S54" s="27">
        <v>366.0</v>
      </c>
      <c r="T54" s="27">
        <v>266.0</v>
      </c>
      <c r="U54" s="27">
        <v>381.0</v>
      </c>
      <c r="V54" s="27">
        <v>324.0</v>
      </c>
      <c r="W54" s="27">
        <v>306.0</v>
      </c>
      <c r="X54" s="27">
        <v>354.0</v>
      </c>
      <c r="Y54" s="27">
        <v>240.0</v>
      </c>
      <c r="Z54" s="27">
        <v>246.0</v>
      </c>
      <c r="AA54" s="27">
        <v>136.0</v>
      </c>
      <c r="AB54" s="27">
        <v>0.0</v>
      </c>
      <c r="AC54" s="27">
        <v>270.0</v>
      </c>
      <c r="AD54" s="27">
        <v>132.0</v>
      </c>
      <c r="AE54" s="27">
        <v>150.0</v>
      </c>
      <c r="AF54" s="27">
        <v>192.0</v>
      </c>
      <c r="AG54" s="27">
        <v>192.0</v>
      </c>
      <c r="AH54" s="27">
        <v>198.0</v>
      </c>
      <c r="AI54" s="27">
        <v>336.0</v>
      </c>
      <c r="AJ54" s="27">
        <v>180.0</v>
      </c>
      <c r="AK54" s="27">
        <v>180.0</v>
      </c>
      <c r="AL54" s="27">
        <v>138.0</v>
      </c>
      <c r="AM54" s="27">
        <v>174.0</v>
      </c>
      <c r="AN54" s="27">
        <v>120.0</v>
      </c>
      <c r="AO54" s="186">
        <v>144.0</v>
      </c>
      <c r="AP54" s="186">
        <v>120.0</v>
      </c>
      <c r="AQ54" s="28">
        <f t="shared" si="3"/>
        <v>2124.0</v>
      </c>
      <c r="AR54" s="28">
        <f t="shared" si="4"/>
        <v>876.0</v>
      </c>
      <c r="AS54" s="28">
        <f t="shared" si="5"/>
        <v>963.6</v>
      </c>
      <c r="AU54" s="1">
        <f t="shared" si="113"/>
        <v>220.237288135593</v>
      </c>
      <c r="AV54" s="1">
        <f t="shared" si="114"/>
        <v>180.64406779661</v>
      </c>
      <c r="AW54" s="1">
        <f t="shared" si="115"/>
        <v>141.050847457627</v>
      </c>
      <c r="AX54" s="1">
        <f t="shared" si="116"/>
        <v>282.101694915254</v>
      </c>
      <c r="BA54" s="2">
        <f t="shared" si="12"/>
        <v>824.033898305084</v>
      </c>
      <c r="BB54" s="2" t="e">
        <f t="shared" si="13"/>
        <v>#REF!</v>
      </c>
      <c r="BD54" s="36"/>
      <c r="BE54" s="3" t="e">
        <f t="shared" si="117"/>
        <v>#REF!</v>
      </c>
      <c r="BF54" s="1">
        <f>VLOOKUP(C54,MOQ,3,FALSE())</f>
        <v>1008.0</v>
      </c>
      <c r="BI54" s="1" t="e">
        <f t="shared" si="119"/>
        <v>#REF!</v>
      </c>
      <c r="BJ54" s="1">
        <f t="shared" si="120"/>
        <v>220.237288135593</v>
      </c>
      <c r="BL54" s="3" t="e">
        <f t="shared" si="100"/>
        <v>#REF!</v>
      </c>
      <c r="BM54" s="1">
        <f t="shared" si="121"/>
        <v>180.64406779661</v>
      </c>
      <c r="BO54" s="3" t="e">
        <f t="shared" si="122"/>
        <v>#REF!</v>
      </c>
      <c r="BP54" s="1">
        <f t="shared" si="123"/>
        <v>141.050847457627</v>
      </c>
      <c r="BR54" s="3" t="e">
        <f t="shared" si="124"/>
        <v>#REF!</v>
      </c>
      <c r="BS54" s="1">
        <f t="shared" si="125"/>
        <v>282.101694915254</v>
      </c>
      <c r="BU54" s="3" t="e">
        <f t="shared" si="126"/>
        <v>#REF!</v>
      </c>
    </row>
    <row hidden="1" r="55" ht="14.0" outlineLevel="1">
      <c r="A55" s="27" t="s">
        <v>28</v>
      </c>
      <c r="B55" s="27" t="s">
        <v>98</v>
      </c>
      <c r="C55" s="27" t="s">
        <v>129</v>
      </c>
      <c r="D55" s="27" t="s">
        <v>130</v>
      </c>
      <c r="E55" s="27"/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204.0</v>
      </c>
      <c r="S55" s="27">
        <v>294.0</v>
      </c>
      <c r="T55" s="27">
        <v>211.0</v>
      </c>
      <c r="U55" s="27">
        <v>298.0</v>
      </c>
      <c r="V55" s="27">
        <v>300.0</v>
      </c>
      <c r="W55" s="27">
        <v>252.0</v>
      </c>
      <c r="X55" s="27">
        <v>313.0</v>
      </c>
      <c r="Y55" s="27">
        <v>174.0</v>
      </c>
      <c r="Z55" s="27">
        <v>168.0</v>
      </c>
      <c r="AA55" s="27">
        <v>288.0</v>
      </c>
      <c r="AB55" s="27">
        <v>180.0</v>
      </c>
      <c r="AC55" s="27">
        <v>156.0</v>
      </c>
      <c r="AD55" s="27">
        <v>102.0</v>
      </c>
      <c r="AE55" s="27">
        <v>114.0</v>
      </c>
      <c r="AF55" s="27">
        <v>156.0</v>
      </c>
      <c r="AG55" s="27">
        <v>120.0</v>
      </c>
      <c r="AH55" s="27">
        <v>192.0</v>
      </c>
      <c r="AI55" s="27">
        <v>264.0</v>
      </c>
      <c r="AJ55" s="27">
        <v>156.0</v>
      </c>
      <c r="AK55" s="27">
        <v>78.0</v>
      </c>
      <c r="AL55" s="27">
        <v>120.0</v>
      </c>
      <c r="AM55" s="27">
        <v>132.0</v>
      </c>
      <c r="AN55" s="27">
        <v>138.0</v>
      </c>
      <c r="AO55" s="186">
        <v>132.0</v>
      </c>
      <c r="AP55" s="186">
        <v>78.0</v>
      </c>
      <c r="AQ55" s="28">
        <f t="shared" si="3"/>
        <v>1680.0</v>
      </c>
      <c r="AR55" s="28">
        <f t="shared" si="4"/>
        <v>678.0</v>
      </c>
      <c r="AS55" s="28">
        <f t="shared" si="5"/>
        <v>745.8</v>
      </c>
      <c r="AU55" s="1">
        <f t="shared" si="113"/>
        <v>170.457627118644</v>
      </c>
      <c r="AV55" s="1">
        <f t="shared" si="114"/>
        <v>139.813559322033</v>
      </c>
      <c r="AW55" s="1">
        <f t="shared" si="115"/>
        <v>109.169491525423</v>
      </c>
      <c r="AX55" s="1">
        <f t="shared" si="116"/>
        <v>218.338983050847</v>
      </c>
      <c r="BA55" s="2">
        <f t="shared" si="12"/>
        <v>637.779661016947</v>
      </c>
      <c r="BB55" s="2" t="e">
        <f t="shared" si="13"/>
        <v>#REF!</v>
      </c>
      <c r="BD55" s="36"/>
      <c r="BE55" s="3" t="e">
        <f t="shared" si="117"/>
        <v>#REF!</v>
      </c>
      <c r="BF55" s="1">
        <f>VLOOKUP(C55,MOQ,3,FALSE())</f>
        <v>1008.0</v>
      </c>
      <c r="BI55" s="1" t="e">
        <f t="shared" si="119"/>
        <v>#REF!</v>
      </c>
      <c r="BJ55" s="1">
        <f t="shared" si="120"/>
        <v>170.457627118644</v>
      </c>
      <c r="BL55" s="3" t="e">
        <f t="shared" si="100"/>
        <v>#REF!</v>
      </c>
      <c r="BM55" s="1">
        <f t="shared" si="121"/>
        <v>139.813559322033</v>
      </c>
      <c r="BO55" s="3" t="e">
        <f t="shared" si="122"/>
        <v>#REF!</v>
      </c>
      <c r="BP55" s="1">
        <f t="shared" si="123"/>
        <v>109.169491525423</v>
      </c>
      <c r="BR55" s="3" t="e">
        <f t="shared" si="124"/>
        <v>#REF!</v>
      </c>
      <c r="BS55" s="1">
        <f t="shared" si="125"/>
        <v>218.338983050847</v>
      </c>
      <c r="BU55" s="3" t="e">
        <f t="shared" si="126"/>
        <v>#REF!</v>
      </c>
    </row>
    <row hidden="1" r="56" ht="14.0" outlineLevel="1">
      <c r="A56" s="27" t="s">
        <v>28</v>
      </c>
      <c r="B56" s="27" t="s">
        <v>98</v>
      </c>
      <c r="C56" s="27" t="s">
        <v>131</v>
      </c>
      <c r="D56" s="27" t="s">
        <v>132</v>
      </c>
      <c r="E56" s="27"/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114.0</v>
      </c>
      <c r="S56" s="27">
        <v>216.0</v>
      </c>
      <c r="T56" s="27">
        <v>156.0</v>
      </c>
      <c r="U56" s="27">
        <v>230.0</v>
      </c>
      <c r="V56" s="27">
        <v>241.0</v>
      </c>
      <c r="W56" s="27">
        <v>217.0</v>
      </c>
      <c r="X56" s="27">
        <v>248.0</v>
      </c>
      <c r="Y56" s="27">
        <v>204.0</v>
      </c>
      <c r="Z56" s="27">
        <v>180.0</v>
      </c>
      <c r="AA56" s="27">
        <v>33.0</v>
      </c>
      <c r="AB56" s="27">
        <v>0.0</v>
      </c>
      <c r="AC56" s="27">
        <v>252.0</v>
      </c>
      <c r="AD56" s="27">
        <v>96.0</v>
      </c>
      <c r="AE56" s="27">
        <v>84.0</v>
      </c>
      <c r="AF56" s="27">
        <v>126.0</v>
      </c>
      <c r="AG56" s="27">
        <v>126.0</v>
      </c>
      <c r="AH56" s="27">
        <v>246.0</v>
      </c>
      <c r="AI56" s="27">
        <v>221.0</v>
      </c>
      <c r="AJ56" s="27">
        <v>126.0</v>
      </c>
      <c r="AK56" s="27">
        <v>96.0</v>
      </c>
      <c r="AL56" s="27">
        <v>114.0</v>
      </c>
      <c r="AM56" s="27">
        <v>138.0</v>
      </c>
      <c r="AN56" s="27">
        <v>66.0</v>
      </c>
      <c r="AO56" s="186">
        <v>102.0</v>
      </c>
      <c r="AP56" s="186">
        <v>42.0</v>
      </c>
      <c r="AQ56" s="28">
        <f t="shared" si="3"/>
        <v>1487.0</v>
      </c>
      <c r="AR56" s="28">
        <f t="shared" si="4"/>
        <v>558.0</v>
      </c>
      <c r="AS56" s="28">
        <f t="shared" si="5"/>
        <v>613.8</v>
      </c>
      <c r="AU56" s="1">
        <f t="shared" si="113"/>
        <v>140.28813559322</v>
      </c>
      <c r="AV56" s="1">
        <f t="shared" si="114"/>
        <v>115.067796610169</v>
      </c>
      <c r="AW56" s="1">
        <f t="shared" si="115"/>
        <v>89.8474576271186</v>
      </c>
      <c r="AX56" s="1">
        <f t="shared" si="116"/>
        <v>179.694915254237</v>
      </c>
      <c r="BA56" s="2">
        <f t="shared" si="12"/>
        <v>524.898305084744</v>
      </c>
      <c r="BB56" s="2" t="e">
        <f t="shared" si="13"/>
        <v>#REF!</v>
      </c>
      <c r="BD56" s="36"/>
      <c r="BE56" s="3" t="e">
        <f t="shared" si="117"/>
        <v>#REF!</v>
      </c>
      <c r="BF56" s="1">
        <f>VLOOKUP(C56,MOQ,3,FALSE())</f>
        <v>1008.0</v>
      </c>
      <c r="BI56" s="1" t="e">
        <f t="shared" si="119"/>
        <v>#REF!</v>
      </c>
      <c r="BJ56" s="1">
        <f t="shared" si="120"/>
        <v>140.28813559322</v>
      </c>
      <c r="BL56" s="3" t="e">
        <f t="shared" si="100"/>
        <v>#REF!</v>
      </c>
      <c r="BM56" s="1">
        <f t="shared" si="121"/>
        <v>115.067796610169</v>
      </c>
      <c r="BO56" s="3" t="e">
        <f t="shared" si="122"/>
        <v>#REF!</v>
      </c>
      <c r="BP56" s="1">
        <f t="shared" si="123"/>
        <v>89.8474576271186</v>
      </c>
      <c r="BR56" s="3" t="e">
        <f t="shared" si="124"/>
        <v>#REF!</v>
      </c>
      <c r="BS56" s="1">
        <f t="shared" si="125"/>
        <v>179.694915254237</v>
      </c>
      <c r="BU56" s="3" t="e">
        <f t="shared" si="126"/>
        <v>#REF!</v>
      </c>
    </row>
    <row hidden="1" r="57" ht="14.0" outlineLevel="1">
      <c r="A57" s="27" t="s">
        <v>28</v>
      </c>
      <c r="B57" s="27" t="s">
        <v>98</v>
      </c>
      <c r="C57" s="27" t="s">
        <v>133</v>
      </c>
      <c r="D57" s="27" t="s">
        <v>134</v>
      </c>
      <c r="E57" s="27"/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252.0</v>
      </c>
      <c r="AH57" s="27">
        <v>336.0</v>
      </c>
      <c r="AI57" s="27">
        <v>420.0</v>
      </c>
      <c r="AJ57" s="27">
        <v>0.0</v>
      </c>
      <c r="AK57" s="27">
        <v>0.0</v>
      </c>
      <c r="AL57" s="27">
        <v>0.0</v>
      </c>
      <c r="AM57" s="27">
        <v>90.0</v>
      </c>
      <c r="AN57" s="27">
        <v>126.0</v>
      </c>
      <c r="AO57" s="186">
        <v>108.0</v>
      </c>
      <c r="AP57" s="186">
        <v>78.0</v>
      </c>
      <c r="AQ57" s="28">
        <f t="shared" si="3"/>
        <v>1410.0</v>
      </c>
      <c r="AR57" s="28">
        <f t="shared" si="4"/>
        <v>402.0</v>
      </c>
      <c r="AS57" s="28">
        <f t="shared" si="5"/>
        <v>442.2</v>
      </c>
      <c r="AU57" s="1">
        <f t="shared" si="113"/>
        <v>101.06779661017</v>
      </c>
      <c r="AV57" s="1">
        <f t="shared" si="114"/>
        <v>82.8983050847458</v>
      </c>
      <c r="AW57" s="1">
        <f t="shared" si="115"/>
        <v>64.728813559322</v>
      </c>
      <c r="AX57" s="1">
        <f t="shared" si="116"/>
        <v>129.457627118644</v>
      </c>
      <c r="BA57" s="2">
        <f t="shared" si="12"/>
        <v>378.152542372881</v>
      </c>
      <c r="BB57" s="2" t="e">
        <f t="shared" si="13"/>
        <v>#REF!</v>
      </c>
      <c r="BD57" s="36" t="e">
        <f>VLOOKUP(C57,AUGUST,3,false)</f>
        <v>#REF!</v>
      </c>
      <c r="BE57" s="3" t="e">
        <f t="shared" si="117"/>
        <v>#REF!</v>
      </c>
      <c r="BF57" s="1">
        <v>1008.0</v>
      </c>
      <c r="BG57" s="4">
        <f>BF57</f>
        <v>1008.0</v>
      </c>
      <c r="BH57" s="1" t="s">
        <v>10</v>
      </c>
      <c r="BI57" s="1" t="e">
        <f t="shared" si="119"/>
        <v>#REF!</v>
      </c>
      <c r="BJ57" s="1">
        <f t="shared" si="120"/>
        <v>101.06779661017</v>
      </c>
      <c r="BL57" s="3" t="e">
        <f t="shared" si="100"/>
        <v>#REF!</v>
      </c>
      <c r="BM57" s="1">
        <f t="shared" si="121"/>
        <v>82.8983050847458</v>
      </c>
      <c r="BO57" s="3" t="e">
        <f t="shared" si="122"/>
        <v>#REF!</v>
      </c>
      <c r="BP57" s="1">
        <f t="shared" si="123"/>
        <v>64.728813559322</v>
      </c>
      <c r="BR57" s="3" t="e">
        <f t="shared" si="124"/>
        <v>#REF!</v>
      </c>
      <c r="BS57" s="1">
        <f t="shared" si="125"/>
        <v>129.457627118644</v>
      </c>
      <c r="BU57" s="3" t="e">
        <f t="shared" si="126"/>
        <v>#REF!</v>
      </c>
    </row>
    <row hidden="1" r="58" ht="14.0" outlineLevel="1">
      <c r="A58" s="27" t="s">
        <v>28</v>
      </c>
      <c r="B58" s="27" t="s">
        <v>98</v>
      </c>
      <c r="C58" s="27" t="s">
        <v>135</v>
      </c>
      <c r="D58" s="27" t="s">
        <v>136</v>
      </c>
      <c r="E58" s="27"/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102.0</v>
      </c>
      <c r="AN58" s="27">
        <v>144.0</v>
      </c>
      <c r="AO58" s="186">
        <v>168.0</v>
      </c>
      <c r="AP58" s="186">
        <v>92.0</v>
      </c>
      <c r="AQ58" s="28">
        <f t="shared" si="3"/>
        <v>506.0</v>
      </c>
      <c r="AR58" s="28">
        <f t="shared" si="4"/>
        <v>506.0</v>
      </c>
      <c r="AS58" s="28">
        <f t="shared" si="5"/>
        <v>556.6</v>
      </c>
      <c r="AU58" s="1">
        <f t="shared" si="113"/>
        <v>127.21468926553</v>
      </c>
      <c r="AV58" s="1">
        <f t="shared" si="114"/>
        <v>104.344632768361</v>
      </c>
      <c r="AW58" s="1">
        <f t="shared" si="115"/>
        <v>81.4745762711864</v>
      </c>
      <c r="AX58" s="1">
        <f t="shared" si="116"/>
        <v>162.949152542372</v>
      </c>
      <c r="BA58" s="2">
        <f t="shared" si="12"/>
        <v>475.983050847449</v>
      </c>
      <c r="BB58" s="2" t="e">
        <f t="shared" si="13"/>
        <v>#REF!</v>
      </c>
      <c r="BD58" s="36"/>
      <c r="BE58" s="3" t="e">
        <f t="shared" si="117"/>
        <v>#REF!</v>
      </c>
      <c r="BF58" s="1">
        <v>1008.0</v>
      </c>
      <c r="BI58" s="1" t="e">
        <f t="shared" si="119"/>
        <v>#REF!</v>
      </c>
      <c r="BJ58" s="1">
        <f t="shared" si="120"/>
        <v>127.21468926553</v>
      </c>
      <c r="BL58" s="3" t="e">
        <f t="shared" si="100"/>
        <v>#REF!</v>
      </c>
      <c r="BM58" s="1">
        <f t="shared" si="121"/>
        <v>104.344632768361</v>
      </c>
      <c r="BO58" s="3" t="e">
        <f t="shared" si="122"/>
        <v>#REF!</v>
      </c>
      <c r="BP58" s="1">
        <f t="shared" si="123"/>
        <v>81.4745762711864</v>
      </c>
      <c r="BR58" s="3" t="e">
        <f t="shared" si="124"/>
        <v>#REF!</v>
      </c>
      <c r="BS58" s="1">
        <f t="shared" si="125"/>
        <v>162.949152542372</v>
      </c>
      <c r="BU58" s="3" t="e">
        <f t="shared" si="126"/>
        <v>#REF!</v>
      </c>
    </row>
    <row hidden="1" r="59" ht="14.0" outlineLevel="1">
      <c r="A59" s="27" t="s">
        <v>28</v>
      </c>
      <c r="B59" s="27" t="s">
        <v>98</v>
      </c>
      <c r="C59" s="27" t="s">
        <v>137</v>
      </c>
      <c r="D59" s="27" t="s">
        <v>138</v>
      </c>
      <c r="E59" s="27"/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126.0</v>
      </c>
      <c r="AN59" s="27">
        <v>168.0</v>
      </c>
      <c r="AO59" s="186">
        <v>180.0</v>
      </c>
      <c r="AP59" s="186">
        <v>104.0</v>
      </c>
      <c r="AQ59" s="28">
        <f t="shared" si="3"/>
        <v>578.0</v>
      </c>
      <c r="AR59" s="28">
        <f t="shared" si="4"/>
        <v>578.0</v>
      </c>
      <c r="AS59" s="28">
        <f t="shared" si="5"/>
        <v>635.8</v>
      </c>
      <c r="AU59" s="1">
        <f t="shared" si="113"/>
        <v>145.31638418079</v>
      </c>
      <c r="AV59" s="1">
        <f t="shared" si="114"/>
        <v>119.19209039548</v>
      </c>
      <c r="AW59" s="1">
        <f t="shared" si="115"/>
        <v>93.0677966101694</v>
      </c>
      <c r="AX59" s="1">
        <f t="shared" si="116"/>
        <v>186.135593220339</v>
      </c>
      <c r="BA59" s="2">
        <f t="shared" si="12"/>
        <v>543.711864406778</v>
      </c>
      <c r="BB59" s="2" t="e">
        <f t="shared" si="13"/>
        <v>#REF!</v>
      </c>
      <c r="BD59" s="36"/>
      <c r="BE59" s="3" t="e">
        <f t="shared" si="117"/>
        <v>#REF!</v>
      </c>
      <c r="BF59" s="1">
        <v>1008.0</v>
      </c>
      <c r="BI59" s="1" t="e">
        <f t="shared" si="119"/>
        <v>#REF!</v>
      </c>
      <c r="BJ59" s="1">
        <f t="shared" si="120"/>
        <v>145.31638418079</v>
      </c>
      <c r="BL59" s="3" t="e">
        <f t="shared" si="100"/>
        <v>#REF!</v>
      </c>
      <c r="BM59" s="1">
        <f t="shared" si="121"/>
        <v>119.19209039548</v>
      </c>
      <c r="BO59" s="3" t="e">
        <f t="shared" si="122"/>
        <v>#REF!</v>
      </c>
      <c r="BP59" s="1">
        <f t="shared" si="123"/>
        <v>93.0677966101694</v>
      </c>
      <c r="BR59" s="3" t="e">
        <f t="shared" si="124"/>
        <v>#REF!</v>
      </c>
      <c r="BS59" s="1">
        <f t="shared" si="125"/>
        <v>186.135593220339</v>
      </c>
      <c r="BU59" s="3" t="e">
        <f t="shared" si="126"/>
        <v>#REF!</v>
      </c>
    </row>
    <row hidden="1" r="60" ht="14.0" outlineLevel="1">
      <c r="A60" s="27" t="s">
        <v>28</v>
      </c>
      <c r="B60" s="27" t="s">
        <v>98</v>
      </c>
      <c r="C60" s="27" t="s">
        <v>139</v>
      </c>
      <c r="D60" s="27" t="s">
        <v>140</v>
      </c>
      <c r="E60" s="27"/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114.0</v>
      </c>
      <c r="AN60" s="27">
        <v>156.0</v>
      </c>
      <c r="AO60" s="186">
        <v>216.0</v>
      </c>
      <c r="AP60" s="186">
        <v>146.0</v>
      </c>
      <c r="AQ60" s="28">
        <f t="shared" si="3"/>
        <v>632.0</v>
      </c>
      <c r="AR60" s="28">
        <f t="shared" si="4"/>
        <v>632.0</v>
      </c>
      <c r="AS60" s="28">
        <f t="shared" si="5"/>
        <v>695.2</v>
      </c>
      <c r="AU60" s="1">
        <f t="shared" si="113"/>
        <v>158.892655367231</v>
      </c>
      <c r="AV60" s="1">
        <f t="shared" si="114"/>
        <v>130.327683615819</v>
      </c>
      <c r="AW60" s="1">
        <f t="shared" si="115"/>
        <v>101.762711864407</v>
      </c>
      <c r="AX60" s="1">
        <f t="shared" si="116"/>
        <v>203.525423728813</v>
      </c>
      <c r="BA60" s="2">
        <f t="shared" si="12"/>
        <v>594.50847457627</v>
      </c>
      <c r="BB60" s="2" t="e">
        <f t="shared" si="13"/>
        <v>#REF!</v>
      </c>
      <c r="BD60" s="36"/>
      <c r="BE60" s="3" t="e">
        <f t="shared" si="117"/>
        <v>#REF!</v>
      </c>
      <c r="BF60" s="1">
        <v>1008.0</v>
      </c>
      <c r="BI60" s="1" t="e">
        <f t="shared" si="119"/>
        <v>#REF!</v>
      </c>
      <c r="BJ60" s="1">
        <f t="shared" si="120"/>
        <v>158.892655367231</v>
      </c>
      <c r="BL60" s="3" t="e">
        <f t="shared" si="100"/>
        <v>#REF!</v>
      </c>
      <c r="BM60" s="1">
        <f t="shared" si="121"/>
        <v>130.327683615819</v>
      </c>
      <c r="BO60" s="3" t="e">
        <f t="shared" si="122"/>
        <v>#REF!</v>
      </c>
      <c r="BP60" s="1">
        <f t="shared" si="123"/>
        <v>101.762711864407</v>
      </c>
      <c r="BR60" s="3" t="e">
        <f t="shared" si="124"/>
        <v>#REF!</v>
      </c>
      <c r="BS60" s="1">
        <f t="shared" si="125"/>
        <v>203.525423728813</v>
      </c>
      <c r="BU60" s="3" t="e">
        <f t="shared" si="126"/>
        <v>#REF!</v>
      </c>
    </row>
    <row hidden="1" r="61" ht="14.0" outlineLevel="1">
      <c r="A61" s="27" t="s">
        <v>28</v>
      </c>
      <c r="B61" s="27" t="s">
        <v>98</v>
      </c>
      <c r="C61" s="27" t="s">
        <v>141</v>
      </c>
      <c r="D61" s="27" t="s">
        <v>142</v>
      </c>
      <c r="E61" s="27"/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7">
        <v>0.0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7">
        <v>0.0</v>
      </c>
      <c r="X61" s="27">
        <v>0.0</v>
      </c>
      <c r="Y61" s="27">
        <v>0.0</v>
      </c>
      <c r="Z61" s="27">
        <v>0.0</v>
      </c>
      <c r="AA61" s="27">
        <v>0.0</v>
      </c>
      <c r="AB61" s="27">
        <v>0.0</v>
      </c>
      <c r="AC61" s="27">
        <v>0.0</v>
      </c>
      <c r="AD61" s="27">
        <v>0.0</v>
      </c>
      <c r="AE61" s="27">
        <v>0.0</v>
      </c>
      <c r="AF61" s="27">
        <v>0.0</v>
      </c>
      <c r="AG61" s="27">
        <v>0.0</v>
      </c>
      <c r="AH61" s="27">
        <v>0.0</v>
      </c>
      <c r="AI61" s="27">
        <v>0.0</v>
      </c>
      <c r="AJ61" s="27">
        <v>0.0</v>
      </c>
      <c r="AK61" s="27">
        <v>0.0</v>
      </c>
      <c r="AL61" s="27">
        <v>0.0</v>
      </c>
      <c r="AM61" s="27">
        <v>120.0</v>
      </c>
      <c r="AN61" s="27">
        <v>216.0</v>
      </c>
      <c r="AO61" s="186">
        <v>240.0</v>
      </c>
      <c r="AP61" s="186">
        <v>128.0</v>
      </c>
      <c r="AQ61" s="28">
        <f t="shared" si="3"/>
        <v>704.0</v>
      </c>
      <c r="AR61" s="28">
        <f t="shared" si="4"/>
        <v>704.0</v>
      </c>
      <c r="AS61" s="28">
        <f t="shared" si="5"/>
        <v>774.4</v>
      </c>
      <c r="AU61" s="1">
        <f t="shared" si="113"/>
        <v>176.9943502824</v>
      </c>
      <c r="AV61" s="1">
        <f t="shared" si="114"/>
        <v>145.175141242938</v>
      </c>
      <c r="AW61" s="1">
        <f t="shared" si="115"/>
        <v>113.35593220339</v>
      </c>
      <c r="AX61" s="1">
        <f t="shared" si="116"/>
        <v>226.71186440678</v>
      </c>
      <c r="BA61" s="2">
        <f t="shared" si="12"/>
        <v>662.237288135508</v>
      </c>
      <c r="BB61" s="2" t="e">
        <f t="shared" si="13"/>
        <v>#REF!</v>
      </c>
      <c r="BD61" s="36"/>
      <c r="BE61" s="3" t="e">
        <f t="shared" si="117"/>
        <v>#REF!</v>
      </c>
      <c r="BF61" s="1">
        <v>1008.0</v>
      </c>
      <c r="BI61" s="1" t="e">
        <f t="shared" si="119"/>
        <v>#REF!</v>
      </c>
      <c r="BJ61" s="1">
        <f t="shared" si="120"/>
        <v>176.9943502824</v>
      </c>
      <c r="BL61" s="3" t="e">
        <f t="shared" si="100"/>
        <v>#REF!</v>
      </c>
      <c r="BM61" s="1">
        <f t="shared" si="121"/>
        <v>145.175141242938</v>
      </c>
      <c r="BO61" s="3" t="e">
        <f t="shared" si="122"/>
        <v>#REF!</v>
      </c>
      <c r="BP61" s="1">
        <f t="shared" si="123"/>
        <v>113.35593220339</v>
      </c>
      <c r="BR61" s="3" t="e">
        <f t="shared" si="124"/>
        <v>#REF!</v>
      </c>
      <c r="BS61" s="1">
        <f t="shared" si="125"/>
        <v>226.71186440678</v>
      </c>
      <c r="BU61" s="3" t="e">
        <f t="shared" si="126"/>
        <v>#REF!</v>
      </c>
    </row>
    <row hidden="1" r="62" ht="14.0" outlineLevel="1">
      <c r="A62" s="27" t="s">
        <v>28</v>
      </c>
      <c r="B62" s="27" t="s">
        <v>98</v>
      </c>
      <c r="C62" s="27" t="s">
        <v>143</v>
      </c>
      <c r="D62" s="27" t="s">
        <v>144</v>
      </c>
      <c r="E62" s="27"/>
      <c r="F62" s="27">
        <v>5.0</v>
      </c>
      <c r="G62" s="27">
        <v>4.0</v>
      </c>
      <c r="H62" s="27">
        <v>4.0</v>
      </c>
      <c r="I62" s="27">
        <v>4.0</v>
      </c>
      <c r="J62" s="27">
        <v>0.0</v>
      </c>
      <c r="K62" s="27">
        <v>2.0</v>
      </c>
      <c r="L62" s="27">
        <v>2.0</v>
      </c>
      <c r="M62" s="27">
        <v>1.0</v>
      </c>
      <c r="N62" s="27">
        <v>3.0</v>
      </c>
      <c r="O62" s="27">
        <v>1.0</v>
      </c>
      <c r="P62" s="27">
        <v>3.0</v>
      </c>
      <c r="Q62" s="27">
        <v>4.0</v>
      </c>
      <c r="R62" s="27">
        <v>4.0</v>
      </c>
      <c r="S62" s="27">
        <v>3.0</v>
      </c>
      <c r="T62" s="27">
        <v>5.0</v>
      </c>
      <c r="U62" s="27">
        <v>2.0</v>
      </c>
      <c r="V62" s="27">
        <v>5.0</v>
      </c>
      <c r="W62" s="27">
        <v>1.0</v>
      </c>
      <c r="X62" s="27">
        <v>0.0</v>
      </c>
      <c r="Y62" s="27">
        <v>2.0</v>
      </c>
      <c r="Z62" s="27">
        <v>1.0</v>
      </c>
      <c r="AA62" s="27">
        <v>7.0</v>
      </c>
      <c r="AB62" s="27">
        <v>3.0</v>
      </c>
      <c r="AC62" s="27">
        <v>4.0</v>
      </c>
      <c r="AD62" s="27">
        <v>0.0</v>
      </c>
      <c r="AE62" s="27">
        <v>4.0</v>
      </c>
      <c r="AF62" s="27">
        <v>6.0</v>
      </c>
      <c r="AG62" s="27">
        <v>2.0</v>
      </c>
      <c r="AH62" s="27">
        <v>8.0</v>
      </c>
      <c r="AI62" s="27">
        <v>8.0</v>
      </c>
      <c r="AJ62" s="27">
        <v>2.0</v>
      </c>
      <c r="AK62" s="27">
        <v>1.0</v>
      </c>
      <c r="AL62" s="27">
        <v>2.0</v>
      </c>
      <c r="AM62" s="27">
        <v>3.0</v>
      </c>
      <c r="AN62" s="27">
        <v>2.0</v>
      </c>
      <c r="AO62" s="186">
        <v>0.0</v>
      </c>
      <c r="AP62" s="186">
        <v>2.0</v>
      </c>
      <c r="AQ62" s="28">
        <f t="shared" si="3"/>
        <v>40.0</v>
      </c>
      <c r="AR62" s="28">
        <f t="shared" si="4"/>
        <v>10.0</v>
      </c>
      <c r="AS62" s="32">
        <f t="shared" si="5"/>
        <v>11.0</v>
      </c>
      <c r="AT62" s="33"/>
      <c r="AU62" s="33">
        <v>5.0</v>
      </c>
      <c r="AV62" s="33">
        <v>4.0</v>
      </c>
      <c r="AW62" s="33">
        <v>3.0</v>
      </c>
      <c r="AX62" s="33">
        <v>6.0</v>
      </c>
      <c r="BA62" s="2">
        <f t="shared" si="12"/>
        <v>18.0</v>
      </c>
      <c r="BB62" s="2" t="e">
        <f t="shared" si="13"/>
        <v>#REF!</v>
      </c>
      <c r="BD62" s="36"/>
      <c r="BL62" s="3">
        <f t="shared" si="100"/>
        <v>0.0</v>
      </c>
      <c r="BO62" s="3"/>
      <c r="BR62" s="3"/>
      <c r="BU62" s="3"/>
    </row>
    <row hidden="1" r="63" ht="14.0" outlineLevel="1">
      <c r="A63" s="27" t="s">
        <v>28</v>
      </c>
      <c r="B63" s="27" t="s">
        <v>98</v>
      </c>
      <c r="C63" s="27" t="s">
        <v>145</v>
      </c>
      <c r="D63" s="27" t="s">
        <v>146</v>
      </c>
      <c r="E63" s="27"/>
      <c r="F63" s="27">
        <v>1.0</v>
      </c>
      <c r="G63" s="27">
        <v>0.0</v>
      </c>
      <c r="H63" s="27">
        <v>1.0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2.0</v>
      </c>
      <c r="P63" s="27">
        <v>1.0</v>
      </c>
      <c r="Q63" s="27">
        <v>1.0</v>
      </c>
      <c r="R63" s="27">
        <v>3.0</v>
      </c>
      <c r="S63" s="27">
        <v>0.0</v>
      </c>
      <c r="T63" s="27">
        <v>0.0</v>
      </c>
      <c r="U63" s="27">
        <v>1.0</v>
      </c>
      <c r="V63" s="27">
        <v>0.0</v>
      </c>
      <c r="W63" s="27">
        <v>1.0</v>
      </c>
      <c r="X63" s="27">
        <v>1.0</v>
      </c>
      <c r="Y63" s="27">
        <v>1.0</v>
      </c>
      <c r="Z63" s="27">
        <v>1.0</v>
      </c>
      <c r="AA63" s="27">
        <v>0.0</v>
      </c>
      <c r="AB63" s="27">
        <v>2.0</v>
      </c>
      <c r="AC63" s="27">
        <v>0.0</v>
      </c>
      <c r="AD63" s="27">
        <v>2.0</v>
      </c>
      <c r="AE63" s="27">
        <v>0.0</v>
      </c>
      <c r="AF63" s="27">
        <v>0.0</v>
      </c>
      <c r="AG63" s="27">
        <v>0.0</v>
      </c>
      <c r="AH63" s="27">
        <v>1.0</v>
      </c>
      <c r="AI63" s="27">
        <v>1.0</v>
      </c>
      <c r="AJ63" s="27">
        <v>0.0</v>
      </c>
      <c r="AK63" s="27">
        <v>0.0</v>
      </c>
      <c r="AL63" s="27">
        <v>1.0</v>
      </c>
      <c r="AM63" s="27">
        <v>0.0</v>
      </c>
      <c r="AN63" s="27">
        <v>0.0</v>
      </c>
      <c r="AO63" s="186">
        <v>0.0</v>
      </c>
      <c r="AP63" s="186">
        <v>0.0</v>
      </c>
      <c r="AQ63" s="28">
        <f t="shared" si="3"/>
        <v>3.0</v>
      </c>
      <c r="AR63" s="28">
        <f t="shared" si="4"/>
        <v>1.0</v>
      </c>
      <c r="AS63" s="32">
        <f t="shared" si="5"/>
        <v>1.1</v>
      </c>
      <c r="AT63" s="33"/>
      <c r="AU63" s="33">
        <v>1.0</v>
      </c>
      <c r="AV63" s="33">
        <v>0.0</v>
      </c>
      <c r="AW63" s="33">
        <v>0.0</v>
      </c>
      <c r="AX63" s="33">
        <v>1.0</v>
      </c>
      <c r="BA63" s="2">
        <f t="shared" si="12"/>
        <v>2.0</v>
      </c>
      <c r="BB63" s="2" t="e">
        <f t="shared" si="13"/>
        <v>#REF!</v>
      </c>
      <c r="BD63" s="36"/>
      <c r="BL63" s="3">
        <f t="shared" si="100"/>
        <v>0.0</v>
      </c>
      <c r="BO63" s="3"/>
      <c r="BR63" s="3"/>
      <c r="BU63" s="3"/>
    </row>
    <row r="64" ht="14.0" collapsed="1">
      <c r="A64" s="178"/>
      <c r="B64" s="178"/>
      <c r="C64" s="178" t="s">
        <v>192</v>
      </c>
      <c r="D64" s="178" t="s">
        <v>242</v>
      </c>
      <c r="AO64" s="4"/>
      <c r="AP64" s="4"/>
      <c r="AQ64" s="28">
        <f t="shared" si="3"/>
        <v>0.0</v>
      </c>
      <c r="AR64" s="28">
        <f t="shared" si="4"/>
        <v>0.0</v>
      </c>
      <c r="AU64" s="196">
        <v>1200.0</v>
      </c>
      <c r="AV64" s="196">
        <v>654.0</v>
      </c>
      <c r="AW64" s="196">
        <v>654.0</v>
      </c>
      <c r="AX64" s="196">
        <v>900.0</v>
      </c>
      <c r="AY64" s="196">
        <v>1065.0</v>
      </c>
      <c r="AZ64" s="196">
        <v>900.0</v>
      </c>
      <c r="BA64" s="28">
        <f t="shared" si="12"/>
        <v>5373.0</v>
      </c>
      <c r="BB64" s="2">
        <v>0.0</v>
      </c>
      <c r="BD64" s="36"/>
      <c r="BE64" s="28">
        <f t="shared" ref="BE64:BE69" si="133">BB64+BC64+BD64-BA64</f>
        <v>-5373.0</v>
      </c>
      <c r="BF64" s="29">
        <v>2040.0</v>
      </c>
      <c r="BG64" s="38" t="s">
        <v>32</v>
      </c>
      <c r="BH64" s="29" t="s">
        <v>248</v>
      </c>
      <c r="BI64" s="1">
        <f t="shared" ref="BI64:BI69" si="134">BB64</f>
        <v>0.0</v>
      </c>
      <c r="BJ64" s="1">
        <f t="shared" ref="BJ64:BJ69" si="135">AU64</f>
        <v>1200.0</v>
      </c>
      <c r="BK64" s="1">
        <f t="shared" ref="BK64:BK69" si="136">BC64</f>
      </c>
      <c r="BL64" s="3">
        <f t="shared" si="100"/>
        <v>-1200.0</v>
      </c>
      <c r="BM64" s="1">
        <f t="shared" ref="BM64:BM69" si="137">AV64</f>
        <v>654.0</v>
      </c>
      <c r="BN64" s="1">
        <f t="shared" ref="BN64:BN69" si="138">BD64</f>
      </c>
      <c r="BO64" s="3">
        <f t="shared" ref="BO64:BO69" si="139">BL64+BN64-BM64</f>
        <v>-1854.0</v>
      </c>
      <c r="BP64" s="1">
        <f t="shared" ref="BP64:BP69" si="140">AW64</f>
        <v>654.0</v>
      </c>
      <c r="BR64" s="3">
        <f t="shared" ref="BR64:BR69" si="141">BO64+BQ64-BP64</f>
        <v>-2508.0</v>
      </c>
      <c r="BS64" s="1">
        <f t="shared" ref="BS64:BS69" si="142">AX64</f>
        <v>900.0</v>
      </c>
      <c r="BU64" s="3">
        <f t="shared" ref="BU64:BU69" si="143">BR64+BT64-BS64</f>
        <v>-3408.0</v>
      </c>
      <c r="BV64" s="1">
        <f t="shared" ref="BV64:BV69" si="144">AY64</f>
        <v>1065.0</v>
      </c>
      <c r="BX64" s="3">
        <f t="shared" ref="BX64:BX69" si="145">BU64+BW64-BV64</f>
        <v>-4473.0</v>
      </c>
      <c r="BY64" s="1">
        <f t="shared" ref="BY64:BY69" si="146">AZ64</f>
        <v>900.0</v>
      </c>
      <c r="CA64" s="3">
        <f t="shared" ref="CA64:CA69" si="147">BX64+BZ64-BY64</f>
        <v>-5373.0</v>
      </c>
    </row>
    <row r="65" ht="14.0">
      <c r="A65" s="178"/>
      <c r="B65" s="178"/>
      <c r="C65" s="178" t="s">
        <v>194</v>
      </c>
      <c r="D65" s="178" t="s">
        <v>243</v>
      </c>
      <c r="AO65" s="4"/>
      <c r="AP65" s="4"/>
      <c r="AQ65" s="28">
        <f t="shared" si="3"/>
        <v>0.0</v>
      </c>
      <c r="AR65" s="28">
        <f t="shared" si="4"/>
        <v>0.0</v>
      </c>
      <c r="AU65" s="196">
        <v>1200.0</v>
      </c>
      <c r="AV65" s="196">
        <v>360.0</v>
      </c>
      <c r="AW65" s="196">
        <v>360.0</v>
      </c>
      <c r="AX65" s="196">
        <v>500.0</v>
      </c>
      <c r="AY65" s="196">
        <v>590.0</v>
      </c>
      <c r="AZ65" s="196">
        <v>500.0</v>
      </c>
      <c r="BA65" s="28">
        <f t="shared" si="12"/>
        <v>3510.0</v>
      </c>
      <c r="BB65" s="2">
        <v>0.0</v>
      </c>
      <c r="BD65" s="36"/>
      <c r="BE65" s="28">
        <f t="shared" si="133"/>
        <v>-3510.0</v>
      </c>
      <c r="BF65" s="29">
        <v>2040.0</v>
      </c>
      <c r="BG65" s="177">
        <f t="shared" ref="BG65:BG66" si="148">BF65</f>
        <v>2040.0</v>
      </c>
      <c r="BH65" s="29" t="s">
        <v>249</v>
      </c>
      <c r="BI65" s="1">
        <f t="shared" si="134"/>
        <v>0.0</v>
      </c>
      <c r="BJ65" s="1">
        <f t="shared" si="135"/>
        <v>1200.0</v>
      </c>
      <c r="BK65" s="1">
        <f t="shared" si="136"/>
      </c>
      <c r="BL65" s="3">
        <f t="shared" si="100"/>
        <v>-1200.0</v>
      </c>
      <c r="BM65" s="1">
        <f t="shared" si="137"/>
        <v>360.0</v>
      </c>
      <c r="BN65" s="1">
        <f t="shared" si="138"/>
      </c>
      <c r="BO65" s="3">
        <f t="shared" si="139"/>
        <v>-1560.0</v>
      </c>
      <c r="BP65" s="1">
        <f t="shared" si="140"/>
        <v>360.0</v>
      </c>
      <c r="BR65" s="3">
        <f t="shared" si="141"/>
        <v>-1920.0</v>
      </c>
      <c r="BS65" s="1">
        <f t="shared" si="142"/>
        <v>500.0</v>
      </c>
      <c r="BU65" s="3">
        <f t="shared" si="143"/>
        <v>-2420.0</v>
      </c>
      <c r="BV65" s="1">
        <f t="shared" si="144"/>
        <v>590.0</v>
      </c>
      <c r="BX65" s="3">
        <f t="shared" si="145"/>
        <v>-3010.0</v>
      </c>
      <c r="BY65" s="1">
        <f t="shared" si="146"/>
        <v>500.0</v>
      </c>
      <c r="CA65" s="3">
        <f t="shared" si="147"/>
        <v>-3510.0</v>
      </c>
    </row>
    <row r="66" ht="14.0">
      <c r="A66" s="178"/>
      <c r="B66" s="178"/>
      <c r="C66" s="178" t="s">
        <v>196</v>
      </c>
      <c r="D66" s="178" t="s">
        <v>244</v>
      </c>
      <c r="AO66" s="4"/>
      <c r="AP66" s="4"/>
      <c r="AQ66" s="28">
        <f t="shared" si="3"/>
        <v>0.0</v>
      </c>
      <c r="AR66" s="28">
        <f t="shared" si="4"/>
        <v>0.0</v>
      </c>
      <c r="AU66" s="196">
        <v>1200.0</v>
      </c>
      <c r="AV66" s="196">
        <v>235.0</v>
      </c>
      <c r="AW66" s="196">
        <v>235.0</v>
      </c>
      <c r="AX66" s="196">
        <v>310.0</v>
      </c>
      <c r="AY66" s="196">
        <v>365.0</v>
      </c>
      <c r="AZ66" s="196">
        <v>320.0</v>
      </c>
      <c r="BA66" s="28">
        <f t="shared" si="12"/>
        <v>2665.0</v>
      </c>
      <c r="BB66" s="2">
        <v>0.0</v>
      </c>
      <c r="BD66" s="36"/>
      <c r="BE66" s="28">
        <f t="shared" si="133"/>
        <v>-2665.0</v>
      </c>
      <c r="BF66" s="29">
        <v>2040.0</v>
      </c>
      <c r="BG66" s="177">
        <f t="shared" si="148"/>
        <v>2040.0</v>
      </c>
      <c r="BH66" s="29" t="s">
        <v>250</v>
      </c>
      <c r="BI66" s="1">
        <f t="shared" si="134"/>
        <v>0.0</v>
      </c>
      <c r="BJ66" s="1">
        <f t="shared" si="135"/>
        <v>1200.0</v>
      </c>
      <c r="BK66" s="1">
        <f t="shared" si="136"/>
      </c>
      <c r="BL66" s="3">
        <f t="shared" si="100"/>
        <v>-1200.0</v>
      </c>
      <c r="BM66" s="1">
        <f t="shared" si="137"/>
        <v>235.0</v>
      </c>
      <c r="BN66" s="1">
        <f t="shared" si="138"/>
      </c>
      <c r="BO66" s="3">
        <f t="shared" si="139"/>
        <v>-1435.0</v>
      </c>
      <c r="BP66" s="1">
        <f t="shared" si="140"/>
        <v>235.0</v>
      </c>
      <c r="BR66" s="3">
        <f t="shared" si="141"/>
        <v>-1670.0</v>
      </c>
      <c r="BS66" s="1">
        <f t="shared" si="142"/>
        <v>310.0</v>
      </c>
      <c r="BU66" s="3">
        <f t="shared" si="143"/>
        <v>-1980.0</v>
      </c>
      <c r="BV66" s="1">
        <f t="shared" si="144"/>
        <v>365.0</v>
      </c>
      <c r="BX66" s="3">
        <f t="shared" si="145"/>
        <v>-2345.0</v>
      </c>
      <c r="BY66" s="1">
        <f t="shared" si="146"/>
        <v>320.0</v>
      </c>
      <c r="CA66" s="3">
        <f t="shared" si="147"/>
        <v>-2665.0</v>
      </c>
    </row>
    <row r="67" ht="14.0">
      <c r="A67" s="178"/>
      <c r="B67" s="178"/>
      <c r="C67" s="178" t="s">
        <v>198</v>
      </c>
      <c r="D67" s="178" t="s">
        <v>245</v>
      </c>
      <c r="AO67" s="4"/>
      <c r="AP67" s="4"/>
      <c r="AQ67" s="28">
        <f t="shared" si="3"/>
        <v>0.0</v>
      </c>
      <c r="AR67" s="28">
        <f t="shared" si="4"/>
        <v>0.0</v>
      </c>
      <c r="AU67" s="196">
        <v>1200.0</v>
      </c>
      <c r="AV67" s="196">
        <v>474.0</v>
      </c>
      <c r="AW67" s="196">
        <v>474.0</v>
      </c>
      <c r="AX67" s="196">
        <v>650.0</v>
      </c>
      <c r="AY67" s="196">
        <v>770.0</v>
      </c>
      <c r="AZ67" s="196">
        <v>650.0</v>
      </c>
      <c r="BA67" s="28">
        <f t="shared" si="12"/>
        <v>4218.0</v>
      </c>
      <c r="BB67" s="2">
        <v>0.0</v>
      </c>
      <c r="BD67" s="36"/>
      <c r="BE67" s="28">
        <f t="shared" si="133"/>
        <v>-4218.0</v>
      </c>
      <c r="BF67" s="29">
        <v>2040.0</v>
      </c>
      <c r="BG67" s="38" t="s">
        <v>32</v>
      </c>
      <c r="BH67" s="29" t="s">
        <v>248</v>
      </c>
      <c r="BI67" s="1">
        <f t="shared" si="134"/>
        <v>0.0</v>
      </c>
      <c r="BJ67" s="1">
        <f t="shared" si="135"/>
        <v>1200.0</v>
      </c>
      <c r="BK67" s="1">
        <f t="shared" si="136"/>
      </c>
      <c r="BL67" s="3">
        <f t="shared" si="100"/>
        <v>-1200.0</v>
      </c>
      <c r="BM67" s="1">
        <f t="shared" si="137"/>
        <v>474.0</v>
      </c>
      <c r="BN67" s="1">
        <f t="shared" si="138"/>
      </c>
      <c r="BO67" s="3">
        <f t="shared" si="139"/>
        <v>-1674.0</v>
      </c>
      <c r="BP67" s="1">
        <f t="shared" si="140"/>
        <v>474.0</v>
      </c>
      <c r="BR67" s="3">
        <f t="shared" si="141"/>
        <v>-2148.0</v>
      </c>
      <c r="BS67" s="1">
        <f t="shared" si="142"/>
        <v>650.0</v>
      </c>
      <c r="BU67" s="3">
        <f t="shared" si="143"/>
        <v>-2798.0</v>
      </c>
      <c r="BV67" s="1">
        <f t="shared" si="144"/>
        <v>770.0</v>
      </c>
      <c r="BX67" s="3">
        <f t="shared" si="145"/>
        <v>-3568.0</v>
      </c>
      <c r="BY67" s="1">
        <f t="shared" si="146"/>
        <v>650.0</v>
      </c>
      <c r="CA67" s="3">
        <f t="shared" si="147"/>
        <v>-4218.0</v>
      </c>
    </row>
    <row r="68" ht="14.0">
      <c r="A68" s="197"/>
      <c r="B68" s="197"/>
      <c r="C68" s="197" t="s">
        <v>204</v>
      </c>
      <c r="D68" s="197" t="s">
        <v>205</v>
      </c>
      <c r="AU68" s="196">
        <v>1200.0</v>
      </c>
      <c r="AV68" s="196">
        <v>480.0</v>
      </c>
      <c r="AW68" s="196">
        <v>240.0</v>
      </c>
      <c r="AX68" s="196">
        <v>325.0</v>
      </c>
      <c r="AY68" s="196">
        <v>385.0</v>
      </c>
      <c r="AZ68" s="196">
        <v>375.0</v>
      </c>
      <c r="BA68" s="28">
        <f t="shared" si="12"/>
        <v>3005.0</v>
      </c>
      <c r="BB68" s="2" t="e">
        <f t="shared" ref="BB68:BB69" si="149">VLOOKUP(D68,SOHJUNE30,3,false)</f>
        <v>#REF!</v>
      </c>
      <c r="BE68" s="28" t="e">
        <f t="shared" si="133"/>
        <v>#REF!</v>
      </c>
      <c r="BF68" s="29">
        <v>2041.0</v>
      </c>
      <c r="BG68" s="177">
        <f t="shared" ref="BG68:BG69" si="150">BF68</f>
        <v>2041.0</v>
      </c>
      <c r="BH68" s="1" t="s">
        <v>10</v>
      </c>
      <c r="BI68" s="1" t="e">
        <f t="shared" si="134"/>
        <v>#REF!</v>
      </c>
      <c r="BJ68" s="1">
        <f t="shared" si="135"/>
        <v>1200.0</v>
      </c>
      <c r="BK68" s="1">
        <f t="shared" si="136"/>
      </c>
      <c r="BL68" s="3" t="e">
        <f t="shared" si="100"/>
        <v>#REF!</v>
      </c>
      <c r="BM68" s="1">
        <f t="shared" si="137"/>
        <v>480.0</v>
      </c>
      <c r="BN68" s="1">
        <f t="shared" si="138"/>
      </c>
      <c r="BO68" s="3" t="e">
        <f t="shared" si="139"/>
        <v>#REF!</v>
      </c>
      <c r="BP68" s="1">
        <f t="shared" si="140"/>
        <v>240.0</v>
      </c>
      <c r="BR68" s="3" t="e">
        <f t="shared" si="141"/>
        <v>#REF!</v>
      </c>
      <c r="BS68" s="1">
        <f t="shared" si="142"/>
        <v>325.0</v>
      </c>
      <c r="BU68" s="3" t="e">
        <f t="shared" si="143"/>
        <v>#REF!</v>
      </c>
      <c r="BV68" s="1">
        <f t="shared" si="144"/>
        <v>385.0</v>
      </c>
      <c r="BX68" s="3" t="e">
        <f t="shared" si="145"/>
        <v>#REF!</v>
      </c>
      <c r="BY68" s="1">
        <f t="shared" si="146"/>
        <v>375.0</v>
      </c>
      <c r="CA68" s="3" t="e">
        <f t="shared" si="147"/>
        <v>#REF!</v>
      </c>
    </row>
    <row r="69" ht="14.0">
      <c r="A69" s="197"/>
      <c r="B69" s="197"/>
      <c r="C69" s="197" t="s">
        <v>206</v>
      </c>
      <c r="D69" s="197" t="s">
        <v>207</v>
      </c>
      <c r="AU69" s="196">
        <v>1200.0</v>
      </c>
      <c r="AV69" s="196">
        <v>480.0</v>
      </c>
      <c r="AW69" s="196">
        <v>330.0</v>
      </c>
      <c r="AX69" s="196">
        <v>450.0</v>
      </c>
      <c r="AY69" s="196">
        <v>530.0</v>
      </c>
      <c r="AZ69" s="196">
        <v>450.0</v>
      </c>
      <c r="BA69" s="28">
        <f t="shared" si="12"/>
        <v>3440.0</v>
      </c>
      <c r="BB69" s="2" t="e">
        <f t="shared" si="149"/>
        <v>#REF!</v>
      </c>
      <c r="BE69" s="28" t="e">
        <f t="shared" si="133"/>
        <v>#REF!</v>
      </c>
      <c r="BF69" s="29">
        <v>2042.0</v>
      </c>
      <c r="BG69" s="177">
        <f t="shared" si="150"/>
        <v>2042.0</v>
      </c>
      <c r="BH69" s="1" t="s">
        <v>10</v>
      </c>
      <c r="BI69" s="1" t="e">
        <f t="shared" si="134"/>
        <v>#REF!</v>
      </c>
      <c r="BJ69" s="1">
        <f t="shared" si="135"/>
        <v>1200.0</v>
      </c>
      <c r="BK69" s="1">
        <f t="shared" si="136"/>
      </c>
      <c r="BL69" s="3" t="e">
        <f t="shared" si="100"/>
        <v>#REF!</v>
      </c>
      <c r="BM69" s="1">
        <f t="shared" si="137"/>
        <v>480.0</v>
      </c>
      <c r="BN69" s="1">
        <f t="shared" si="138"/>
      </c>
      <c r="BO69" s="3" t="e">
        <f t="shared" si="139"/>
        <v>#REF!</v>
      </c>
      <c r="BP69" s="1">
        <f t="shared" si="140"/>
        <v>330.0</v>
      </c>
      <c r="BR69" s="3" t="e">
        <f t="shared" si="141"/>
        <v>#REF!</v>
      </c>
      <c r="BS69" s="1">
        <f t="shared" si="142"/>
        <v>450.0</v>
      </c>
      <c r="BU69" s="3" t="e">
        <f t="shared" si="143"/>
        <v>#REF!</v>
      </c>
      <c r="BV69" s="1">
        <f t="shared" si="144"/>
        <v>530.0</v>
      </c>
      <c r="BX69" s="3" t="e">
        <f t="shared" si="145"/>
        <v>#REF!</v>
      </c>
      <c r="BY69" s="1">
        <f t="shared" si="146"/>
        <v>450.0</v>
      </c>
      <c r="CA69" s="3" t="e">
        <f t="shared" si="147"/>
        <v>#REF!</v>
      </c>
    </row>
    <row r="70">
      <c r="BF70" s="29"/>
      <c r="BG70" s="15"/>
    </row>
    <row hidden="1"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L71" s="27"/>
      <c r="AM71" s="27"/>
      <c r="AN71" s="27"/>
      <c r="AO71" s="27"/>
      <c r="AP71" s="27"/>
      <c r="AQ71" s="27"/>
    </row>
    <row r="72" ht="14.0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44">
        <v>0.058</v>
      </c>
      <c r="AC72" s="44">
        <v>0.122</v>
      </c>
      <c r="AD72" s="44">
        <v>0.103</v>
      </c>
      <c r="AE72" s="44">
        <v>0.079</v>
      </c>
      <c r="AF72" s="44">
        <v>0.069</v>
      </c>
      <c r="AG72" s="44">
        <v>0.065</v>
      </c>
      <c r="AH72" s="44">
        <v>0.066</v>
      </c>
      <c r="AI72" s="44">
        <v>0.052</v>
      </c>
      <c r="AJ72" s="44">
        <v>0.106</v>
      </c>
      <c r="AK72" s="44">
        <v>0.153</v>
      </c>
      <c r="AL72" s="44">
        <v>0.054</v>
      </c>
      <c r="AM72" s="44">
        <v>0.073</v>
      </c>
      <c r="AN72" s="44">
        <v>0.058</v>
      </c>
      <c r="AO72" s="44">
        <v>0.122</v>
      </c>
      <c r="AP72" s="44">
        <v>0.103</v>
      </c>
      <c r="AQ72" s="5">
        <f>SUM(AE72:AP72)</f>
        <v>1.0</v>
      </c>
      <c r="AR72" s="8">
        <f>SUM(AK72:AP72)</f>
        <v>0.563</v>
      </c>
      <c r="AS72" s="8">
        <f>AR72*1.1</f>
        <v>0.6193</v>
      </c>
      <c r="AU72" s="44">
        <v>0.103</v>
      </c>
      <c r="AV72" s="44">
        <v>0.079</v>
      </c>
      <c r="AW72" s="44">
        <v>0.069</v>
      </c>
      <c r="AX72" s="44">
        <v>0.065</v>
      </c>
      <c r="AY72" s="44">
        <v>0.052</v>
      </c>
      <c r="AZ72" s="44">
        <v>0.106</v>
      </c>
      <c r="BF72" s="29"/>
      <c r="BG72" s="15"/>
    </row>
    <row r="73" ht="15.0">
      <c r="A73" s="45" t="s">
        <v>147</v>
      </c>
      <c r="B73" s="6"/>
      <c r="C73" s="6"/>
      <c r="D73" s="6"/>
      <c r="E73" s="9">
        <v>45799</v>
      </c>
      <c r="F73" s="9">
        <v>45830</v>
      </c>
      <c r="G73" s="9">
        <v>45860</v>
      </c>
      <c r="H73" s="9">
        <v>45891</v>
      </c>
      <c r="I73" s="9">
        <v>45922</v>
      </c>
      <c r="J73" s="9">
        <v>45952</v>
      </c>
      <c r="K73" s="9">
        <v>45983</v>
      </c>
      <c r="L73" s="9">
        <v>46013</v>
      </c>
      <c r="M73" s="9">
        <v>45680</v>
      </c>
      <c r="N73" s="9">
        <v>45711</v>
      </c>
      <c r="O73" s="9">
        <v>45739</v>
      </c>
      <c r="P73" s="9">
        <v>45770</v>
      </c>
      <c r="Q73" s="10">
        <v>45800</v>
      </c>
      <c r="R73" s="10">
        <v>45831</v>
      </c>
      <c r="S73" s="10">
        <v>45861</v>
      </c>
      <c r="T73" s="10">
        <v>45892</v>
      </c>
      <c r="U73" s="10">
        <v>45923</v>
      </c>
      <c r="V73" s="10">
        <v>45953</v>
      </c>
      <c r="W73" s="10">
        <v>45984</v>
      </c>
      <c r="X73" s="10">
        <v>46014</v>
      </c>
      <c r="Y73" s="10">
        <v>45681</v>
      </c>
      <c r="Z73" s="10">
        <v>45712</v>
      </c>
      <c r="AA73" s="10">
        <v>45740</v>
      </c>
      <c r="AB73" s="10">
        <v>45771</v>
      </c>
      <c r="AC73" s="11">
        <v>45801</v>
      </c>
      <c r="AD73" s="11">
        <v>45832</v>
      </c>
      <c r="AE73" s="11">
        <v>45862</v>
      </c>
      <c r="AF73" s="11">
        <v>45893</v>
      </c>
      <c r="AG73" s="11">
        <v>45924</v>
      </c>
      <c r="AH73" s="11">
        <v>45954</v>
      </c>
      <c r="AI73" s="11">
        <v>45985</v>
      </c>
      <c r="AJ73" s="11">
        <v>46015</v>
      </c>
      <c r="AK73" s="11">
        <v>45682</v>
      </c>
      <c r="AL73" s="11">
        <v>45713</v>
      </c>
      <c r="AM73" s="11">
        <v>45741</v>
      </c>
      <c r="AN73" s="11">
        <v>45772</v>
      </c>
      <c r="AO73" s="11">
        <v>45802</v>
      </c>
      <c r="AP73" s="11">
        <v>45833</v>
      </c>
      <c r="AQ73" s="12" t="s">
        <v>1</v>
      </c>
      <c r="AR73" s="12" t="s">
        <v>247</v>
      </c>
      <c r="AS73" s="12" t="s">
        <v>247</v>
      </c>
      <c r="AT73" s="13"/>
      <c r="AU73" s="11">
        <v>45862</v>
      </c>
      <c r="AV73" s="11">
        <v>45893</v>
      </c>
      <c r="AW73" s="11">
        <v>45924</v>
      </c>
      <c r="AX73" s="11">
        <v>45955</v>
      </c>
      <c r="AY73" s="11">
        <v>45986</v>
      </c>
      <c r="AZ73" s="11">
        <v>46016</v>
      </c>
      <c r="BA73" s="13" t="s">
        <v>3</v>
      </c>
      <c r="BB73" s="13" t="s">
        <v>3</v>
      </c>
      <c r="BC73" s="13" t="s">
        <v>3</v>
      </c>
      <c r="BD73" s="13" t="s">
        <v>3</v>
      </c>
      <c r="BE73" s="14" t="s">
        <v>3</v>
      </c>
      <c r="BF73" s="46" t="s">
        <v>3</v>
      </c>
      <c r="BG73" s="15" t="s">
        <v>3</v>
      </c>
      <c r="BH73" s="13"/>
      <c r="BI73" s="13" t="s">
        <v>6</v>
      </c>
      <c r="BJ73" s="13" t="s">
        <v>7</v>
      </c>
      <c r="BK73" s="13"/>
      <c r="BL73" s="13"/>
      <c r="BM73" s="13" t="s">
        <v>8</v>
      </c>
      <c r="BN73" s="13"/>
      <c r="BO73" s="13"/>
      <c r="BP73" s="13" t="s">
        <v>9</v>
      </c>
      <c r="BQ73" s="13"/>
      <c r="BR73" s="13"/>
      <c r="BS73" s="13" t="s">
        <v>10</v>
      </c>
      <c r="BT73" s="13"/>
      <c r="BU73" s="13"/>
      <c r="BV73" s="13" t="s">
        <v>227</v>
      </c>
      <c r="BW73" s="13"/>
      <c r="BX73" s="13"/>
      <c r="BY73" s="13" t="s">
        <v>212</v>
      </c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</row>
    <row r="74" ht="29.0">
      <c r="A74" s="16" t="s">
        <v>11</v>
      </c>
      <c r="B74" s="16" t="s">
        <v>12</v>
      </c>
      <c r="C74" s="16" t="s">
        <v>13</v>
      </c>
      <c r="D74" s="17" t="s">
        <v>14</v>
      </c>
      <c r="E74" s="18" t="s">
        <v>15</v>
      </c>
      <c r="F74" s="18" t="s">
        <v>15</v>
      </c>
      <c r="G74" s="18" t="s">
        <v>15</v>
      </c>
      <c r="H74" s="18" t="s">
        <v>15</v>
      </c>
      <c r="I74" s="18" t="s">
        <v>15</v>
      </c>
      <c r="J74" s="18" t="s">
        <v>15</v>
      </c>
      <c r="K74" s="18" t="s">
        <v>15</v>
      </c>
      <c r="L74" s="18" t="s">
        <v>15</v>
      </c>
      <c r="M74" s="18" t="s">
        <v>15</v>
      </c>
      <c r="N74" s="18" t="s">
        <v>15</v>
      </c>
      <c r="O74" s="18" t="s">
        <v>15</v>
      </c>
      <c r="P74" s="18" t="s">
        <v>15</v>
      </c>
      <c r="Q74" s="18" t="s">
        <v>15</v>
      </c>
      <c r="R74" s="18" t="s">
        <v>15</v>
      </c>
      <c r="S74" s="18" t="s">
        <v>15</v>
      </c>
      <c r="T74" s="18" t="s">
        <v>15</v>
      </c>
      <c r="U74" s="18" t="s">
        <v>15</v>
      </c>
      <c r="V74" s="18" t="s">
        <v>15</v>
      </c>
      <c r="W74" s="18" t="s">
        <v>15</v>
      </c>
      <c r="X74" s="18" t="s">
        <v>15</v>
      </c>
      <c r="Y74" s="18" t="s">
        <v>15</v>
      </c>
      <c r="Z74" s="18" t="s">
        <v>15</v>
      </c>
      <c r="AA74" s="18" t="s">
        <v>15</v>
      </c>
      <c r="AB74" s="18" t="s">
        <v>15</v>
      </c>
      <c r="AC74" s="18" t="s">
        <v>15</v>
      </c>
      <c r="AD74" s="18" t="s">
        <v>15</v>
      </c>
      <c r="AE74" s="18" t="s">
        <v>15</v>
      </c>
      <c r="AF74" s="18" t="s">
        <v>15</v>
      </c>
      <c r="AG74" s="18" t="s">
        <v>15</v>
      </c>
      <c r="AH74" s="18" t="s">
        <v>15</v>
      </c>
      <c r="AI74" s="18" t="s">
        <v>15</v>
      </c>
      <c r="AJ74" s="18" t="s">
        <v>15</v>
      </c>
      <c r="AK74" s="18" t="s">
        <v>15</v>
      </c>
      <c r="AL74" s="18" t="s">
        <v>15</v>
      </c>
      <c r="AM74" s="18" t="s">
        <v>15</v>
      </c>
      <c r="AN74" s="18"/>
      <c r="AO74" s="18"/>
      <c r="AP74" s="18"/>
      <c r="AQ74" s="19" t="s">
        <v>3</v>
      </c>
      <c r="AR74" s="19" t="s">
        <v>3</v>
      </c>
      <c r="AS74" s="19" t="s">
        <v>16</v>
      </c>
      <c r="AT74" s="20"/>
      <c r="AU74" s="21" t="s">
        <v>17</v>
      </c>
      <c r="AV74" s="21" t="s">
        <v>17</v>
      </c>
      <c r="AW74" s="21" t="s">
        <v>17</v>
      </c>
      <c r="AX74" s="21" t="s">
        <v>17</v>
      </c>
      <c r="AY74" s="21" t="s">
        <v>17</v>
      </c>
      <c r="AZ74" s="21" t="s">
        <v>17</v>
      </c>
      <c r="BA74" s="21" t="s">
        <v>17</v>
      </c>
      <c r="BB74" s="18" t="s">
        <v>233</v>
      </c>
      <c r="BC74" s="22" t="s">
        <v>240</v>
      </c>
      <c r="BD74" s="22" t="s">
        <v>229</v>
      </c>
      <c r="BE74" s="23" t="s">
        <v>21</v>
      </c>
      <c r="BF74" s="47" t="s">
        <v>22</v>
      </c>
      <c r="BG74" s="24" t="s">
        <v>23</v>
      </c>
      <c r="BH74" s="25" t="s">
        <v>24</v>
      </c>
      <c r="BI74" s="18" t="s">
        <v>25</v>
      </c>
      <c r="BJ74" s="18" t="s">
        <v>17</v>
      </c>
      <c r="BK74" s="18" t="s">
        <v>26</v>
      </c>
      <c r="BL74" s="18" t="s">
        <v>27</v>
      </c>
      <c r="BM74" s="18" t="s">
        <v>17</v>
      </c>
      <c r="BN74" s="18" t="s">
        <v>26</v>
      </c>
      <c r="BO74" s="18" t="s">
        <v>27</v>
      </c>
      <c r="BP74" s="18" t="s">
        <v>17</v>
      </c>
      <c r="BQ74" s="18" t="s">
        <v>26</v>
      </c>
      <c r="BR74" s="18" t="s">
        <v>27</v>
      </c>
      <c r="BS74" s="18" t="s">
        <v>17</v>
      </c>
      <c r="BT74" s="18" t="s">
        <v>26</v>
      </c>
      <c r="BU74" s="18" t="s">
        <v>27</v>
      </c>
      <c r="BV74" s="18" t="s">
        <v>17</v>
      </c>
      <c r="BW74" s="18" t="s">
        <v>26</v>
      </c>
      <c r="BX74" s="18" t="s">
        <v>27</v>
      </c>
      <c r="BY74" s="18" t="s">
        <v>17</v>
      </c>
      <c r="BZ74" s="18" t="s">
        <v>26</v>
      </c>
      <c r="CA74" s="18" t="s">
        <v>27</v>
      </c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</row>
    <row hidden="1" r="75" ht="14.0" outlineLevel="1">
      <c r="A75" s="27" t="s">
        <v>28</v>
      </c>
      <c r="B75" s="27" t="s">
        <v>98</v>
      </c>
      <c r="C75" s="27" t="s">
        <v>99</v>
      </c>
      <c r="D75" s="27" t="s">
        <v>100</v>
      </c>
      <c r="E75" s="27">
        <v>42.0</v>
      </c>
      <c r="F75" s="27">
        <v>42.0</v>
      </c>
      <c r="G75" s="27">
        <v>84.0</v>
      </c>
      <c r="H75" s="27">
        <v>126.0</v>
      </c>
      <c r="I75" s="27">
        <v>84.0</v>
      </c>
      <c r="J75" s="27">
        <v>84.0</v>
      </c>
      <c r="K75" s="27">
        <v>168.0</v>
      </c>
      <c r="L75" s="27">
        <v>126.0</v>
      </c>
      <c r="M75" s="27">
        <v>252.0</v>
      </c>
      <c r="N75" s="27">
        <v>42.0</v>
      </c>
      <c r="O75" s="27">
        <v>42.0</v>
      </c>
      <c r="P75" s="27">
        <v>84.0</v>
      </c>
      <c r="Q75" s="27">
        <v>126.0</v>
      </c>
      <c r="R75" s="27">
        <v>126.0</v>
      </c>
      <c r="S75" s="27">
        <v>126.0</v>
      </c>
      <c r="T75" s="27">
        <v>42.0</v>
      </c>
      <c r="U75" s="27">
        <v>84.0</v>
      </c>
      <c r="V75" s="27">
        <v>42.0</v>
      </c>
      <c r="W75" s="27">
        <v>84.0</v>
      </c>
      <c r="X75" s="27">
        <v>252.0</v>
      </c>
      <c r="Y75" s="27">
        <v>84.0</v>
      </c>
      <c r="Z75" s="27">
        <v>0.0</v>
      </c>
      <c r="AA75" s="27">
        <v>42.0</v>
      </c>
      <c r="AB75" s="27">
        <v>0.0</v>
      </c>
      <c r="AC75" s="27">
        <v>42.0</v>
      </c>
      <c r="AD75" s="27">
        <v>336.0</v>
      </c>
      <c r="AE75" s="27">
        <v>42.0</v>
      </c>
      <c r="AF75" s="27">
        <v>84.0</v>
      </c>
      <c r="AG75" s="27">
        <v>42.0</v>
      </c>
      <c r="AH75" s="27">
        <v>42.0</v>
      </c>
      <c r="AI75" s="27">
        <v>42.0</v>
      </c>
      <c r="AJ75" s="27">
        <v>84.0</v>
      </c>
      <c r="AK75" s="27">
        <v>168.0</v>
      </c>
      <c r="AL75" s="27">
        <v>42.0</v>
      </c>
      <c r="AM75" s="27">
        <v>42.0</v>
      </c>
      <c r="AN75" s="27">
        <v>0.0</v>
      </c>
      <c r="AO75" s="27"/>
      <c r="AP75" s="27"/>
      <c r="AQ75" s="28">
        <f t="shared" ref="AQ75:AQ102" si="154">SUM(AA75:AM75)</f>
        <v>1008.0</v>
      </c>
      <c r="AR75" s="28">
        <f t="shared" ref="AR75:AR102" si="155">SUM(AH75:AM75)</f>
        <v>420.0</v>
      </c>
      <c r="AS75" s="28">
        <f t="shared" ref="AS75:AS102" si="156">AR75*1.1</f>
        <v>462.0</v>
      </c>
      <c r="AU75" s="3">
        <f t="shared" ref="AU75:AU82" si="157">AD75*1.1</f>
        <v>369.6</v>
      </c>
      <c r="AV75" s="3">
        <f t="shared" ref="AV75:AV82" si="158">AE75*1.1</f>
        <v>46.2</v>
      </c>
      <c r="AW75" s="3">
        <f t="shared" ref="AW75:AW82" si="159">AF75*1.1</f>
        <v>92.4</v>
      </c>
      <c r="AX75" s="3">
        <f t="shared" ref="AX75:AX82" si="160">AG75*1.1</f>
        <v>46.2</v>
      </c>
      <c r="AY75" s="28"/>
      <c r="AZ75" s="28"/>
      <c r="BA75" s="28">
        <f t="shared" ref="BA75:BA81" si="161">SUM(AU75:AX75)</f>
        <v>554.4</v>
      </c>
      <c r="BB75" s="2" t="e">
        <f t="shared" ref="BB75:BB102" si="162">VLOOKUP(D75,SOHJUNE30,3,false)</f>
        <v>#REF!</v>
      </c>
      <c r="BD75" s="36" t="e">
        <f t="shared" ref="BD75:BD76" si="163">VLOOKUP(C75,AUGUST,3,false)</f>
        <v>#REF!</v>
      </c>
      <c r="BE75" s="3" t="e">
        <f>BB75+BC75+BD75-BA75-BA40</f>
        <v>#REF!</v>
      </c>
      <c r="BF75" s="1">
        <f>VLOOKUP(C75,MOQ,3,FALSE())</f>
        <v>1008.0</v>
      </c>
      <c r="BI75" s="1" t="e">
        <f t="shared" ref="BI75:BI102" si="166">BB75</f>
        <v>#REF!</v>
      </c>
      <c r="BJ75" s="1">
        <f>AU75+BJ40</f>
        <v>997.62824858757</v>
      </c>
      <c r="BL75" s="3" t="e">
        <f t="shared" ref="BL75:BL81" si="168">#REF!+BK75-BJ75</f>
        <v>#REF!</v>
      </c>
      <c r="BM75" s="1">
        <f>AV75+BM40</f>
        <v>561.32429378531</v>
      </c>
      <c r="BO75" s="3" t="e">
        <f t="shared" ref="BO75:BO102" si="170">BL75+BN75-BM75</f>
        <v>#REF!</v>
      </c>
      <c r="BP75" s="1">
        <f>AW75+BP40</f>
        <v>494.62033898305</v>
      </c>
      <c r="BR75" s="3" t="e">
        <f t="shared" ref="BR75:BR102" si="172">BO75+BQ75-BP75</f>
        <v>#REF!</v>
      </c>
      <c r="BS75" s="1">
        <f>AX75+BS40</f>
        <v>850.640677966101</v>
      </c>
      <c r="BU75" s="3" t="e">
        <f t="shared" ref="BU75:BU102" si="174">BR75+BT75-BS75</f>
        <v>#REF!</v>
      </c>
    </row>
    <row hidden="1" r="76" ht="14.0" outlineLevel="1">
      <c r="A76" s="27" t="s">
        <v>28</v>
      </c>
      <c r="B76" s="27" t="s">
        <v>98</v>
      </c>
      <c r="C76" s="27" t="s">
        <v>103</v>
      </c>
      <c r="D76" s="27" t="s">
        <v>104</v>
      </c>
      <c r="E76" s="27">
        <v>0.0</v>
      </c>
      <c r="F76" s="27">
        <v>546.0</v>
      </c>
      <c r="G76" s="27">
        <v>0.0</v>
      </c>
      <c r="H76" s="27">
        <v>42.0</v>
      </c>
      <c r="I76" s="27">
        <v>84.0</v>
      </c>
      <c r="J76" s="27">
        <v>126.0</v>
      </c>
      <c r="K76" s="27">
        <v>84.0</v>
      </c>
      <c r="L76" s="27">
        <v>210.0</v>
      </c>
      <c r="M76" s="27">
        <v>0.0</v>
      </c>
      <c r="N76" s="27">
        <v>420.0</v>
      </c>
      <c r="O76" s="27">
        <v>42.0</v>
      </c>
      <c r="P76" s="27">
        <v>126.0</v>
      </c>
      <c r="Q76" s="27">
        <v>126.0</v>
      </c>
      <c r="R76" s="27">
        <v>84.0</v>
      </c>
      <c r="S76" s="27">
        <v>126.0</v>
      </c>
      <c r="T76" s="27">
        <v>126.0</v>
      </c>
      <c r="U76" s="27">
        <v>84.0</v>
      </c>
      <c r="V76" s="27">
        <v>126.0</v>
      </c>
      <c r="W76" s="27">
        <v>126.0</v>
      </c>
      <c r="X76" s="27">
        <v>168.0</v>
      </c>
      <c r="Y76" s="27">
        <v>252.0</v>
      </c>
      <c r="Z76" s="27">
        <v>42.0</v>
      </c>
      <c r="AA76" s="27">
        <v>42.0</v>
      </c>
      <c r="AB76" s="27">
        <v>0.0</v>
      </c>
      <c r="AC76" s="27">
        <v>336.0</v>
      </c>
      <c r="AD76" s="27">
        <v>0.0</v>
      </c>
      <c r="AE76" s="27">
        <v>168.0</v>
      </c>
      <c r="AF76" s="27">
        <v>42.0</v>
      </c>
      <c r="AG76" s="27">
        <v>42.0</v>
      </c>
      <c r="AH76" s="27">
        <v>84.0</v>
      </c>
      <c r="AI76" s="27">
        <v>84.0</v>
      </c>
      <c r="AJ76" s="27">
        <v>84.0</v>
      </c>
      <c r="AK76" s="27">
        <v>210.0</v>
      </c>
      <c r="AL76" s="27">
        <v>42.0</v>
      </c>
      <c r="AM76" s="27">
        <v>42.0</v>
      </c>
      <c r="AN76" s="27">
        <v>84.0</v>
      </c>
      <c r="AO76" s="27"/>
      <c r="AP76" s="27"/>
      <c r="AQ76" s="28">
        <f t="shared" si="154"/>
        <v>1176.0</v>
      </c>
      <c r="AR76" s="28">
        <f t="shared" si="155"/>
        <v>546.0</v>
      </c>
      <c r="AS76" s="28">
        <f t="shared" si="156"/>
        <v>600.6</v>
      </c>
      <c r="AU76" s="3">
        <f t="shared" si="157"/>
        <v>0.0</v>
      </c>
      <c r="AV76" s="3">
        <f t="shared" si="158"/>
        <v>184.8</v>
      </c>
      <c r="AW76" s="3">
        <f t="shared" si="159"/>
        <v>46.2</v>
      </c>
      <c r="AX76" s="3">
        <f t="shared" si="160"/>
        <v>46.2</v>
      </c>
      <c r="AY76" s="28"/>
      <c r="AZ76" s="28"/>
      <c r="BA76" s="28">
        <f t="shared" si="161"/>
        <v>277.2</v>
      </c>
      <c r="BB76" s="2" t="e">
        <f t="shared" si="162"/>
        <v>#REF!</v>
      </c>
      <c r="BD76" s="36" t="e">
        <f t="shared" si="163"/>
        <v>#REF!</v>
      </c>
      <c r="BE76" s="3" t="e">
        <f>BB76+BC76+BD76-BA76-BA42</f>
        <v>#REF!</v>
      </c>
      <c r="BF76" s="1">
        <f>VLOOKUP(C76,MOQ,3,FALSE())</f>
        <v>1008.0</v>
      </c>
      <c r="BI76" s="1" t="e">
        <f t="shared" si="166"/>
        <v>#REF!</v>
      </c>
      <c r="BJ76" s="1">
        <f>AU76+BJ42</f>
        <v>561.655367231638</v>
      </c>
      <c r="BL76" s="3" t="e">
        <f t="shared" si="168"/>
        <v>#REF!</v>
      </c>
      <c r="BM76" s="1">
        <f>AV76+BM42</f>
        <v>645.483615819209</v>
      </c>
      <c r="BO76" s="3" t="e">
        <f t="shared" si="170"/>
        <v>#REF!</v>
      </c>
      <c r="BP76" s="1">
        <f>AW76+BP42</f>
        <v>405.91186440678</v>
      </c>
      <c r="BR76" s="3" t="e">
        <f t="shared" si="172"/>
        <v>#REF!</v>
      </c>
      <c r="BS76" s="1">
        <f>AX76+BS42</f>
        <v>765.623728813559</v>
      </c>
      <c r="BU76" s="3" t="e">
        <f t="shared" si="174"/>
        <v>#REF!</v>
      </c>
    </row>
    <row hidden="1" r="77" ht="14.0" outlineLevel="1">
      <c r="A77" s="27" t="s">
        <v>28</v>
      </c>
      <c r="B77" s="27" t="s">
        <v>98</v>
      </c>
      <c r="C77" s="27" t="s">
        <v>111</v>
      </c>
      <c r="D77" s="27" t="s">
        <v>112</v>
      </c>
      <c r="E77" s="27">
        <v>84.0</v>
      </c>
      <c r="F77" s="27">
        <v>84.0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27">
        <v>0.0</v>
      </c>
      <c r="M77" s="27">
        <v>0.0</v>
      </c>
      <c r="N77" s="27">
        <v>0.0</v>
      </c>
      <c r="O77" s="27">
        <v>0.0</v>
      </c>
      <c r="P77" s="27">
        <v>0.0</v>
      </c>
      <c r="Q77" s="27">
        <v>0.0</v>
      </c>
      <c r="R77" s="27">
        <v>0.0</v>
      </c>
      <c r="S77" s="27">
        <v>0.0</v>
      </c>
      <c r="T77" s="27">
        <v>0.0</v>
      </c>
      <c r="U77" s="27">
        <v>0.0</v>
      </c>
      <c r="V77" s="27">
        <v>0.0</v>
      </c>
      <c r="W77" s="27">
        <v>0.0</v>
      </c>
      <c r="X77" s="27">
        <v>0.0</v>
      </c>
      <c r="Y77" s="27">
        <v>0.0</v>
      </c>
      <c r="Z77" s="27">
        <v>0.0</v>
      </c>
      <c r="AA77" s="27">
        <v>0.0</v>
      </c>
      <c r="AB77" s="27">
        <v>0.0</v>
      </c>
      <c r="AC77" s="27">
        <v>0.0</v>
      </c>
      <c r="AD77" s="27">
        <v>0.0</v>
      </c>
      <c r="AE77" s="27">
        <v>0.0</v>
      </c>
      <c r="AF77" s="27">
        <v>0.0</v>
      </c>
      <c r="AG77" s="27">
        <v>0.0</v>
      </c>
      <c r="AH77" s="27">
        <v>0.0</v>
      </c>
      <c r="AI77" s="27">
        <v>0.0</v>
      </c>
      <c r="AJ77" s="27">
        <v>0.0</v>
      </c>
      <c r="AK77" s="27">
        <v>0.0</v>
      </c>
      <c r="AL77" s="27">
        <v>0.0</v>
      </c>
      <c r="AM77" s="27">
        <v>0.0</v>
      </c>
      <c r="AN77" s="27">
        <v>0.0</v>
      </c>
      <c r="AO77" s="27"/>
      <c r="AP77" s="27"/>
      <c r="AQ77" s="28">
        <f t="shared" si="154"/>
        <v>0.0</v>
      </c>
      <c r="AR77" s="28">
        <f t="shared" si="155"/>
        <v>0.0</v>
      </c>
      <c r="AS77" s="28">
        <f t="shared" si="156"/>
        <v>0.0</v>
      </c>
      <c r="AU77" s="3">
        <f t="shared" si="157"/>
        <v>0.0</v>
      </c>
      <c r="AV77" s="3">
        <f t="shared" si="158"/>
        <v>0.0</v>
      </c>
      <c r="AW77" s="3">
        <f t="shared" si="159"/>
        <v>0.0</v>
      </c>
      <c r="AX77" s="3">
        <f t="shared" si="160"/>
        <v>0.0</v>
      </c>
      <c r="AY77" s="28"/>
      <c r="AZ77" s="28"/>
      <c r="BA77" s="28">
        <f t="shared" si="161"/>
        <v>0.0</v>
      </c>
      <c r="BB77" s="2" t="e">
        <f t="shared" si="162"/>
        <v>#REF!</v>
      </c>
      <c r="BD77" s="36"/>
      <c r="BE77" s="3" t="e">
        <f t="shared" ref="BE77:BE78" si="180">BB77+BC77+BD77-BA77-BA46</f>
        <v>#REF!</v>
      </c>
      <c r="BF77" s="1">
        <f>VLOOKUP(C77,MOQ,3,FALSE())</f>
        <v>1008.0</v>
      </c>
      <c r="BI77" s="1" t="e">
        <f t="shared" si="166"/>
        <v>#REF!</v>
      </c>
      <c r="BJ77" s="1">
        <f t="shared" ref="BJ77:BJ78" si="181">AU77+BJ46</f>
        <v>87.7429378531073</v>
      </c>
      <c r="BL77" s="3" t="e">
        <f t="shared" si="168"/>
        <v>#REF!</v>
      </c>
      <c r="BM77" s="1">
        <f t="shared" ref="BM77:BM78" si="182">AV77+BM46</f>
        <v>71.9689265536723</v>
      </c>
      <c r="BO77" s="3" t="e">
        <f t="shared" si="170"/>
        <v>#REF!</v>
      </c>
      <c r="BP77" s="1">
        <f t="shared" ref="BP77:BP78" si="183">AW77+BP46</f>
        <v>56.1949152542372</v>
      </c>
      <c r="BR77" s="3" t="e">
        <f t="shared" si="172"/>
        <v>#REF!</v>
      </c>
      <c r="BS77" s="1">
        <f t="shared" ref="BS77:BS78" si="184">AX77+BS46</f>
        <v>112.389830508474</v>
      </c>
      <c r="BU77" s="3" t="e">
        <f t="shared" si="174"/>
        <v>#REF!</v>
      </c>
    </row>
    <row hidden="1" r="78" ht="14.0" outlineLevel="1">
      <c r="A78" s="27" t="s">
        <v>28</v>
      </c>
      <c r="B78" s="27" t="s">
        <v>98</v>
      </c>
      <c r="C78" s="27" t="s">
        <v>113</v>
      </c>
      <c r="D78" s="27" t="s">
        <v>114</v>
      </c>
      <c r="E78" s="27">
        <v>0.0</v>
      </c>
      <c r="F78" s="27">
        <v>0.0</v>
      </c>
      <c r="G78" s="27">
        <v>0.0</v>
      </c>
      <c r="H78" s="27">
        <v>210.0</v>
      </c>
      <c r="I78" s="27">
        <v>42.0</v>
      </c>
      <c r="J78" s="27">
        <v>0.0</v>
      </c>
      <c r="K78" s="27">
        <v>84.0</v>
      </c>
      <c r="L78" s="27">
        <v>84.0</v>
      </c>
      <c r="M78" s="27">
        <v>126.0</v>
      </c>
      <c r="N78" s="27">
        <v>0.0</v>
      </c>
      <c r="O78" s="27">
        <v>84.0</v>
      </c>
      <c r="P78" s="27">
        <v>42.0</v>
      </c>
      <c r="Q78" s="27">
        <v>42.0</v>
      </c>
      <c r="R78" s="27">
        <v>42.0</v>
      </c>
      <c r="S78" s="27">
        <v>42.0</v>
      </c>
      <c r="T78" s="27">
        <v>42.0</v>
      </c>
      <c r="U78" s="27">
        <v>0.0</v>
      </c>
      <c r="V78" s="27">
        <v>126.0</v>
      </c>
      <c r="W78" s="27">
        <v>0.0</v>
      </c>
      <c r="X78" s="27">
        <v>84.0</v>
      </c>
      <c r="Y78" s="27">
        <v>126.0</v>
      </c>
      <c r="Z78" s="27">
        <v>42.0</v>
      </c>
      <c r="AA78" s="27">
        <v>42.0</v>
      </c>
      <c r="AB78" s="27">
        <v>42.0</v>
      </c>
      <c r="AC78" s="27">
        <v>42.0</v>
      </c>
      <c r="AD78" s="27">
        <v>42.0</v>
      </c>
      <c r="AE78" s="27">
        <v>42.0</v>
      </c>
      <c r="AF78" s="27">
        <v>42.0</v>
      </c>
      <c r="AG78" s="27">
        <v>0.0</v>
      </c>
      <c r="AH78" s="27">
        <v>42.0</v>
      </c>
      <c r="AI78" s="27">
        <v>42.0</v>
      </c>
      <c r="AJ78" s="27">
        <v>0.0</v>
      </c>
      <c r="AK78" s="27">
        <v>84.0</v>
      </c>
      <c r="AL78" s="27">
        <v>42.0</v>
      </c>
      <c r="AM78" s="27">
        <v>0.0</v>
      </c>
      <c r="AN78" s="27">
        <v>84.0</v>
      </c>
      <c r="AO78" s="27"/>
      <c r="AP78" s="27"/>
      <c r="AQ78" s="28">
        <f t="shared" si="154"/>
        <v>462.0</v>
      </c>
      <c r="AR78" s="28">
        <f t="shared" si="155"/>
        <v>210.0</v>
      </c>
      <c r="AS78" s="28">
        <f t="shared" si="156"/>
        <v>231.0</v>
      </c>
      <c r="AU78" s="3">
        <f t="shared" si="157"/>
        <v>46.2</v>
      </c>
      <c r="AV78" s="3">
        <f t="shared" si="158"/>
        <v>46.2</v>
      </c>
      <c r="AW78" s="3">
        <f t="shared" si="159"/>
        <v>46.2</v>
      </c>
      <c r="AX78" s="3">
        <f t="shared" si="160"/>
        <v>0.0</v>
      </c>
      <c r="AY78" s="28"/>
      <c r="AZ78" s="28"/>
      <c r="BA78" s="28">
        <f t="shared" si="161"/>
        <v>138.6</v>
      </c>
      <c r="BB78" s="2" t="e">
        <f t="shared" si="162"/>
        <v>#REF!</v>
      </c>
      <c r="BD78" s="36"/>
      <c r="BE78" s="3" t="e">
        <f t="shared" si="180"/>
        <v>#REF!</v>
      </c>
      <c r="BF78" s="1">
        <f>VLOOKUP(C78,MOQ,3,FALSE())</f>
        <v>1008.0</v>
      </c>
      <c r="BI78" s="1" t="e">
        <f t="shared" si="166"/>
        <v>#REF!</v>
      </c>
      <c r="BJ78" s="1">
        <f t="shared" si="181"/>
        <v>82.654802259887</v>
      </c>
      <c r="BL78" s="3" t="e">
        <f t="shared" si="168"/>
        <v>#REF!</v>
      </c>
      <c r="BM78" s="1">
        <f t="shared" si="182"/>
        <v>76.1011299435028</v>
      </c>
      <c r="BO78" s="3" t="e">
        <f t="shared" si="170"/>
        <v>#REF!</v>
      </c>
      <c r="BP78" s="1">
        <f t="shared" si="183"/>
        <v>69.5474576271186</v>
      </c>
      <c r="BR78" s="3" t="e">
        <f t="shared" si="172"/>
        <v>#REF!</v>
      </c>
      <c r="BS78" s="1">
        <f t="shared" si="184"/>
        <v>46.6949152542372</v>
      </c>
      <c r="BU78" s="3" t="e">
        <f t="shared" si="174"/>
        <v>#REF!</v>
      </c>
    </row>
    <row hidden="1" r="79" ht="14.0" outlineLevel="1">
      <c r="A79" s="27" t="s">
        <v>28</v>
      </c>
      <c r="B79" s="27" t="s">
        <v>98</v>
      </c>
      <c r="C79" s="27" t="s">
        <v>117</v>
      </c>
      <c r="D79" s="27" t="s">
        <v>118</v>
      </c>
      <c r="E79" s="27">
        <v>42.0</v>
      </c>
      <c r="F79" s="27">
        <v>42.0</v>
      </c>
      <c r="G79" s="27">
        <v>84.0</v>
      </c>
      <c r="H79" s="27">
        <v>84.0</v>
      </c>
      <c r="I79" s="27">
        <v>126.0</v>
      </c>
      <c r="J79" s="27">
        <v>42.0</v>
      </c>
      <c r="K79" s="27">
        <v>42.0</v>
      </c>
      <c r="L79" s="27">
        <v>168.0</v>
      </c>
      <c r="M79" s="27">
        <v>0.0</v>
      </c>
      <c r="N79" s="27">
        <v>462.0</v>
      </c>
      <c r="O79" s="27">
        <v>0.0</v>
      </c>
      <c r="P79" s="27">
        <v>84.0</v>
      </c>
      <c r="Q79" s="27">
        <v>42.0</v>
      </c>
      <c r="R79" s="27">
        <v>42.0</v>
      </c>
      <c r="S79" s="27">
        <v>84.0</v>
      </c>
      <c r="T79" s="27">
        <v>84.0</v>
      </c>
      <c r="U79" s="27">
        <v>84.0</v>
      </c>
      <c r="V79" s="27">
        <v>126.0</v>
      </c>
      <c r="W79" s="27">
        <v>42.0</v>
      </c>
      <c r="X79" s="27">
        <v>168.0</v>
      </c>
      <c r="Y79" s="27">
        <v>84.0</v>
      </c>
      <c r="Z79" s="27">
        <v>84.0</v>
      </c>
      <c r="AA79" s="27">
        <v>42.0</v>
      </c>
      <c r="AB79" s="27">
        <v>0.0</v>
      </c>
      <c r="AC79" s="27">
        <v>210.0</v>
      </c>
      <c r="AD79" s="27">
        <v>42.0</v>
      </c>
      <c r="AE79" s="27">
        <v>84.0</v>
      </c>
      <c r="AF79" s="27">
        <v>84.0</v>
      </c>
      <c r="AG79" s="27">
        <v>42.0</v>
      </c>
      <c r="AH79" s="27">
        <v>0.0</v>
      </c>
      <c r="AI79" s="27">
        <v>84.0</v>
      </c>
      <c r="AJ79" s="27">
        <v>42.0</v>
      </c>
      <c r="AK79" s="27">
        <v>252.0</v>
      </c>
      <c r="AL79" s="27">
        <v>42.0</v>
      </c>
      <c r="AM79" s="27">
        <v>0.0</v>
      </c>
      <c r="AN79" s="27">
        <v>42.0</v>
      </c>
      <c r="AO79" s="27"/>
      <c r="AP79" s="27"/>
      <c r="AQ79" s="28">
        <f t="shared" si="154"/>
        <v>924.0</v>
      </c>
      <c r="AR79" s="28">
        <f t="shared" si="155"/>
        <v>420.0</v>
      </c>
      <c r="AS79" s="28">
        <f t="shared" si="156"/>
        <v>462.0</v>
      </c>
      <c r="AU79" s="3">
        <f t="shared" si="157"/>
        <v>46.2</v>
      </c>
      <c r="AV79" s="3">
        <f t="shared" si="158"/>
        <v>92.4</v>
      </c>
      <c r="AW79" s="3">
        <f t="shared" si="159"/>
        <v>92.4</v>
      </c>
      <c r="AX79" s="3">
        <f t="shared" si="160"/>
        <v>46.2</v>
      </c>
      <c r="AY79" s="28"/>
      <c r="AZ79" s="28"/>
      <c r="BA79" s="28">
        <f t="shared" si="161"/>
        <v>277.2</v>
      </c>
      <c r="BB79" s="2" t="e">
        <f t="shared" si="162"/>
        <v>#REF!</v>
      </c>
      <c r="BD79" s="36" t="e">
        <f t="shared" ref="BD79:BD81" si="185">VLOOKUP(C79,AUGUST,3,false)</f>
        <v>#REF!</v>
      </c>
      <c r="BE79" s="3" t="e">
        <f t="shared" ref="BE79:BE81" si="186">BB79+BC79+BD79-BA79-BA49</f>
        <v>#REF!</v>
      </c>
      <c r="BF79" s="1">
        <f>VLOOKUP(C79,MOQ,3,FALSE())</f>
        <v>1008.0</v>
      </c>
      <c r="BI79" s="1" t="e">
        <f t="shared" si="166"/>
        <v>#REF!</v>
      </c>
      <c r="BJ79" s="1">
        <f t="shared" ref="BJ79:BJ81" si="187">AU79+BJ49</f>
        <v>584.474011299435</v>
      </c>
      <c r="BL79" s="3" t="e">
        <f t="shared" si="168"/>
        <v>#REF!</v>
      </c>
      <c r="BM79" s="1">
        <f t="shared" ref="BM79:BM81" si="188">AV79+BM49</f>
        <v>533.905649717514</v>
      </c>
      <c r="BO79" s="3" t="e">
        <f t="shared" si="170"/>
        <v>#REF!</v>
      </c>
      <c r="BP79" s="1">
        <f t="shared" ref="BP79:BP81" si="189">AW79+BP49</f>
        <v>437.137288135593</v>
      </c>
      <c r="BR79" s="3" t="e">
        <f t="shared" si="172"/>
        <v>#REF!</v>
      </c>
      <c r="BS79" s="1">
        <f t="shared" ref="BS79:BS81" si="190">AX79+BS49</f>
        <v>735.674576271186</v>
      </c>
      <c r="BU79" s="3" t="e">
        <f t="shared" si="174"/>
        <v>#REF!</v>
      </c>
    </row>
    <row hidden="1" r="80" ht="14.0" outlineLevel="1">
      <c r="A80" s="27" t="s">
        <v>28</v>
      </c>
      <c r="B80" s="27" t="s">
        <v>98</v>
      </c>
      <c r="C80" s="27" t="s">
        <v>119</v>
      </c>
      <c r="D80" s="27" t="s">
        <v>120</v>
      </c>
      <c r="E80" s="27">
        <v>0.0</v>
      </c>
      <c r="F80" s="27">
        <v>0.0</v>
      </c>
      <c r="G80" s="27">
        <v>0.0</v>
      </c>
      <c r="H80" s="27">
        <v>0.0</v>
      </c>
      <c r="I80" s="27">
        <v>0.0</v>
      </c>
      <c r="J80" s="27">
        <v>0.0</v>
      </c>
      <c r="K80" s="27">
        <v>252.0</v>
      </c>
      <c r="L80" s="27">
        <v>252.0</v>
      </c>
      <c r="M80" s="27">
        <v>0.0</v>
      </c>
      <c r="N80" s="27">
        <v>252.0</v>
      </c>
      <c r="O80" s="27">
        <v>0.0</v>
      </c>
      <c r="P80" s="27">
        <v>0.0</v>
      </c>
      <c r="Q80" s="27">
        <v>252.0</v>
      </c>
      <c r="R80" s="27">
        <v>0.0</v>
      </c>
      <c r="S80" s="27">
        <v>0.0</v>
      </c>
      <c r="T80" s="27">
        <v>252.0</v>
      </c>
      <c r="U80" s="27">
        <v>0.0</v>
      </c>
      <c r="V80" s="27">
        <v>252.0</v>
      </c>
      <c r="W80" s="27">
        <v>0.0</v>
      </c>
      <c r="X80" s="27">
        <v>252.0</v>
      </c>
      <c r="Y80" s="27">
        <v>0.0</v>
      </c>
      <c r="Z80" s="27">
        <v>0.0</v>
      </c>
      <c r="AA80" s="27">
        <v>252.0</v>
      </c>
      <c r="AB80" s="27">
        <v>0.0</v>
      </c>
      <c r="AC80" s="27">
        <v>0.0</v>
      </c>
      <c r="AD80" s="27">
        <v>0.0</v>
      </c>
      <c r="AE80" s="27">
        <v>252.0</v>
      </c>
      <c r="AF80" s="27">
        <v>0.0</v>
      </c>
      <c r="AG80" s="27">
        <v>0.0</v>
      </c>
      <c r="AH80" s="27">
        <v>0.0</v>
      </c>
      <c r="AI80" s="27">
        <v>0.0</v>
      </c>
      <c r="AJ80" s="27">
        <v>252.0</v>
      </c>
      <c r="AK80" s="27">
        <v>0.0</v>
      </c>
      <c r="AL80" s="27">
        <v>252.0</v>
      </c>
      <c r="AM80" s="27">
        <v>0.0</v>
      </c>
      <c r="AN80" s="27">
        <v>0.0</v>
      </c>
      <c r="AO80" s="27"/>
      <c r="AP80" s="27"/>
      <c r="AQ80" s="28">
        <f t="shared" si="154"/>
        <v>1008.0</v>
      </c>
      <c r="AR80" s="28">
        <f t="shared" si="155"/>
        <v>504.0</v>
      </c>
      <c r="AS80" s="28">
        <f t="shared" si="156"/>
        <v>554.4</v>
      </c>
      <c r="AU80" s="3">
        <f t="shared" si="157"/>
        <v>0.0</v>
      </c>
      <c r="AV80" s="3">
        <f t="shared" si="158"/>
        <v>277.2</v>
      </c>
      <c r="AW80" s="3">
        <f t="shared" si="159"/>
        <v>0.0</v>
      </c>
      <c r="AX80" s="3">
        <f t="shared" si="160"/>
        <v>0.0</v>
      </c>
      <c r="AY80" s="28"/>
      <c r="AZ80" s="28"/>
      <c r="BA80" s="28">
        <f t="shared" si="161"/>
        <v>277.2</v>
      </c>
      <c r="BB80" s="2" t="e">
        <f t="shared" si="162"/>
        <v>#REF!</v>
      </c>
      <c r="BD80" s="36" t="e">
        <f t="shared" si="185"/>
        <v>#REF!</v>
      </c>
      <c r="BE80" s="3" t="e">
        <f t="shared" si="186"/>
        <v>#REF!</v>
      </c>
      <c r="BF80" s="1">
        <f>VLOOKUP(C80,MOQ,3,FALSE())</f>
        <v>1008.0</v>
      </c>
      <c r="BI80" s="1" t="e">
        <f t="shared" si="166"/>
        <v>#REF!</v>
      </c>
      <c r="BJ80" s="1">
        <f t="shared" si="187"/>
        <v>199.621468926553</v>
      </c>
      <c r="BL80" s="3" t="e">
        <f t="shared" si="168"/>
        <v>#REF!</v>
      </c>
      <c r="BM80" s="1">
        <f t="shared" si="188"/>
        <v>440.934463276836</v>
      </c>
      <c r="BO80" s="3" t="e">
        <f t="shared" si="170"/>
        <v>#REF!</v>
      </c>
      <c r="BP80" s="1">
        <f t="shared" si="189"/>
        <v>127.847457627119</v>
      </c>
      <c r="BR80" s="3" t="e">
        <f t="shared" si="172"/>
        <v>#REF!</v>
      </c>
      <c r="BS80" s="1">
        <f t="shared" si="190"/>
        <v>255.694915254237</v>
      </c>
      <c r="BU80" s="3" t="e">
        <f t="shared" si="174"/>
        <v>#REF!</v>
      </c>
    </row>
    <row hidden="1" r="81" ht="14.0" outlineLevel="1">
      <c r="A81" s="27" t="s">
        <v>28</v>
      </c>
      <c r="B81" s="27" t="s">
        <v>98</v>
      </c>
      <c r="C81" s="27" t="s">
        <v>121</v>
      </c>
      <c r="D81" s="27" t="s">
        <v>122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252.0</v>
      </c>
      <c r="L81" s="27">
        <v>252.0</v>
      </c>
      <c r="M81" s="27">
        <v>0.0</v>
      </c>
      <c r="N81" s="27">
        <v>0.0</v>
      </c>
      <c r="O81" s="27">
        <v>0.0</v>
      </c>
      <c r="P81" s="27">
        <v>0.0</v>
      </c>
      <c r="Q81" s="27">
        <v>252.0</v>
      </c>
      <c r="R81" s="27">
        <v>0.0</v>
      </c>
      <c r="S81" s="27">
        <v>252.0</v>
      </c>
      <c r="T81" s="27">
        <v>0.0</v>
      </c>
      <c r="U81" s="27">
        <v>0.0</v>
      </c>
      <c r="V81" s="27">
        <v>252.0</v>
      </c>
      <c r="W81" s="27">
        <v>0.0</v>
      </c>
      <c r="X81" s="27">
        <v>252.0</v>
      </c>
      <c r="Y81" s="27">
        <v>0.0</v>
      </c>
      <c r="Z81" s="27">
        <v>0.0</v>
      </c>
      <c r="AA81" s="27">
        <v>246.0</v>
      </c>
      <c r="AB81" s="27">
        <v>0.0</v>
      </c>
      <c r="AC81" s="27">
        <v>0.0</v>
      </c>
      <c r="AD81" s="27">
        <v>252.0</v>
      </c>
      <c r="AE81" s="27">
        <v>0.0</v>
      </c>
      <c r="AF81" s="27">
        <v>0.0</v>
      </c>
      <c r="AG81" s="27">
        <v>0.0</v>
      </c>
      <c r="AH81" s="27">
        <v>0.0</v>
      </c>
      <c r="AI81" s="27">
        <v>0.0</v>
      </c>
      <c r="AJ81" s="27">
        <v>252.0</v>
      </c>
      <c r="AK81" s="27">
        <v>0.0</v>
      </c>
      <c r="AL81" s="27">
        <v>240.0</v>
      </c>
      <c r="AM81" s="27">
        <v>0.0</v>
      </c>
      <c r="AN81" s="27">
        <v>0.0</v>
      </c>
      <c r="AO81" s="27"/>
      <c r="AP81" s="27"/>
      <c r="AQ81" s="28">
        <f t="shared" si="154"/>
        <v>990.0</v>
      </c>
      <c r="AR81" s="28">
        <f t="shared" si="155"/>
        <v>492.0</v>
      </c>
      <c r="AS81" s="28">
        <f t="shared" si="156"/>
        <v>541.2</v>
      </c>
      <c r="AU81" s="3">
        <f t="shared" si="157"/>
        <v>277.2</v>
      </c>
      <c r="AV81" s="3">
        <f t="shared" si="158"/>
        <v>0.0</v>
      </c>
      <c r="AW81" s="3">
        <f t="shared" si="159"/>
        <v>0.0</v>
      </c>
      <c r="AX81" s="3">
        <f t="shared" si="160"/>
        <v>0.0</v>
      </c>
      <c r="AY81" s="28"/>
      <c r="AZ81" s="28"/>
      <c r="BA81" s="28">
        <f t="shared" si="161"/>
        <v>277.2</v>
      </c>
      <c r="BB81" s="2" t="e">
        <f t="shared" si="162"/>
        <v>#REF!</v>
      </c>
      <c r="BD81" s="36" t="e">
        <f t="shared" si="185"/>
        <v>#REF!</v>
      </c>
      <c r="BE81" s="3" t="e">
        <f t="shared" si="186"/>
        <v>#REF!</v>
      </c>
      <c r="BF81" s="1">
        <f>VLOOKUP(C81,MOQ,3,FALSE())</f>
        <v>1008.0</v>
      </c>
      <c r="BI81" s="1" t="e">
        <f t="shared" si="166"/>
        <v>#REF!</v>
      </c>
      <c r="BJ81" s="1">
        <f t="shared" si="187"/>
        <v>674.1802259887</v>
      </c>
      <c r="BL81" s="3" t="e">
        <f t="shared" si="168"/>
        <v>#REF!</v>
      </c>
      <c r="BM81" s="1">
        <f t="shared" si="188"/>
        <v>325.612994350282</v>
      </c>
      <c r="BO81" s="3" t="e">
        <f t="shared" si="170"/>
        <v>#REF!</v>
      </c>
      <c r="BP81" s="1">
        <f t="shared" si="189"/>
        <v>254.245762711864</v>
      </c>
      <c r="BR81" s="3" t="e">
        <f t="shared" si="172"/>
        <v>#REF!</v>
      </c>
      <c r="BS81" s="1">
        <f t="shared" si="190"/>
        <v>508.491525423729</v>
      </c>
      <c r="BU81" s="3" t="e">
        <f t="shared" si="174"/>
        <v>#REF!</v>
      </c>
    </row>
    <row r="82" ht="14.0" collapsed="1">
      <c r="A82" s="166" t="s">
        <v>28</v>
      </c>
      <c r="B82" s="27" t="s">
        <v>29</v>
      </c>
      <c r="C82" s="166" t="s">
        <v>30</v>
      </c>
      <c r="D82" s="166" t="s">
        <v>31</v>
      </c>
      <c r="E82" s="27">
        <v>239.0</v>
      </c>
      <c r="F82" s="27">
        <v>180.0</v>
      </c>
      <c r="G82" s="27">
        <v>180.0</v>
      </c>
      <c r="H82" s="27">
        <v>239.0</v>
      </c>
      <c r="I82" s="27">
        <v>240.0</v>
      </c>
      <c r="J82" s="27">
        <v>179.0</v>
      </c>
      <c r="K82" s="27">
        <v>180.0</v>
      </c>
      <c r="L82" s="27">
        <v>600.0</v>
      </c>
      <c r="M82" s="27">
        <v>60.0</v>
      </c>
      <c r="N82" s="27">
        <v>300.0</v>
      </c>
      <c r="O82" s="27">
        <v>420.0</v>
      </c>
      <c r="P82" s="27">
        <v>359.0</v>
      </c>
      <c r="Q82" s="27">
        <v>419.0</v>
      </c>
      <c r="R82" s="27">
        <v>180.0</v>
      </c>
      <c r="S82" s="27">
        <v>240.0</v>
      </c>
      <c r="T82" s="27">
        <v>359.0</v>
      </c>
      <c r="U82" s="27">
        <v>360.0</v>
      </c>
      <c r="V82" s="27">
        <v>240.0</v>
      </c>
      <c r="W82" s="27">
        <v>120.0</v>
      </c>
      <c r="X82" s="27">
        <v>420.0</v>
      </c>
      <c r="Y82" s="27">
        <v>600.0</v>
      </c>
      <c r="Z82" s="27">
        <v>240.0</v>
      </c>
      <c r="AA82" s="27">
        <v>240.0</v>
      </c>
      <c r="AB82" s="27">
        <v>240.0</v>
      </c>
      <c r="AC82" s="27">
        <v>240.0</v>
      </c>
      <c r="AD82" s="27">
        <v>240.0</v>
      </c>
      <c r="AE82" s="27">
        <v>179.0</v>
      </c>
      <c r="AF82" s="27">
        <v>238.0</v>
      </c>
      <c r="AG82" s="27">
        <v>180.0</v>
      </c>
      <c r="AH82" s="27">
        <v>120.0</v>
      </c>
      <c r="AI82" s="27">
        <v>180.0</v>
      </c>
      <c r="AJ82" s="27">
        <v>120.0</v>
      </c>
      <c r="AK82" s="27">
        <v>720.0</v>
      </c>
      <c r="AL82" s="27">
        <v>180.0</v>
      </c>
      <c r="AM82" s="27">
        <v>60.0</v>
      </c>
      <c r="AN82" s="27">
        <v>240.0</v>
      </c>
      <c r="AO82" s="27">
        <v>240.0</v>
      </c>
      <c r="AP82" s="27">
        <v>119.0</v>
      </c>
      <c r="AQ82" s="28">
        <f t="shared" si="154"/>
        <v>2937.0</v>
      </c>
      <c r="AR82" s="28">
        <f t="shared" si="155"/>
        <v>1380.0</v>
      </c>
      <c r="AS82" s="28">
        <f t="shared" si="156"/>
        <v>1518.0</v>
      </c>
      <c r="AU82" s="179">
        <f t="shared" si="157"/>
        <v>264.0</v>
      </c>
      <c r="AV82" s="179">
        <f t="shared" si="158"/>
        <v>196.9</v>
      </c>
      <c r="AW82" s="179">
        <f t="shared" si="159"/>
        <v>261.8</v>
      </c>
      <c r="AX82" s="179">
        <f t="shared" si="160"/>
        <v>198.0</v>
      </c>
      <c r="AY82" s="180">
        <f>AS82*$AY$72/$AS$72</f>
        <v>127.460035524</v>
      </c>
      <c r="AZ82" s="180">
        <f>AS82*$AZ$72/$AS$72</f>
        <v>259.822380106571</v>
      </c>
      <c r="BA82" s="28">
        <f t="shared" ref="BA82:BA86" si="193">SUM(AU82:AZ82)</f>
        <v>1307.98241563057</v>
      </c>
      <c r="BB82" s="2" t="e">
        <f t="shared" si="162"/>
        <v>#REF!</v>
      </c>
      <c r="BD82" s="36"/>
      <c r="BE82" s="28" t="e">
        <f t="shared" ref="BE82:BE83" si="194">BB82+BC82+BD82-BA82-BA8</f>
        <v>#REF!</v>
      </c>
      <c r="BF82" s="29">
        <f>VLOOKUP(C82,MOQ,3,FALSE())</f>
        <v>504.0</v>
      </c>
      <c r="BG82" s="30"/>
      <c r="BH82" s="1" t="s">
        <v>7</v>
      </c>
      <c r="BI82" s="1" t="e">
        <f t="shared" si="166"/>
        <v>#REF!</v>
      </c>
      <c r="BJ82" s="1">
        <f t="shared" ref="BJ82:BJ83" si="195">AU82+BJ8</f>
        <v>718.77118644068</v>
      </c>
      <c r="BK82">
        <f t="shared" ref="BK82:BK86" si="196">BC82</f>
      </c>
      <c r="BL82" s="3" t="e">
        <f t="shared" ref="BL82:BL86" si="197">BI82+BK82-BJ82</f>
        <v>#REF!</v>
      </c>
      <c r="BM82" s="1">
        <f t="shared" ref="BM82:BM83" si="198">AV82+BM8</f>
        <v>570.993220338983</v>
      </c>
      <c r="BN82">
        <f t="shared" ref="BN82:BN86" si="199">BD82</f>
      </c>
      <c r="BO82" s="3" t="e">
        <f t="shared" si="170"/>
        <v>#REF!</v>
      </c>
      <c r="BP82" s="1">
        <f t="shared" ref="BP82:BP83" si="200">AW82+BP8</f>
        <v>555.215254237288</v>
      </c>
      <c r="BR82" s="3" t="e">
        <f t="shared" si="172"/>
        <v>#REF!</v>
      </c>
      <c r="BS82" s="1">
        <f t="shared" ref="BS82:BS83" si="201">AX82+BS8</f>
        <v>778.830508474576</v>
      </c>
      <c r="BU82" s="3" t="e">
        <f t="shared" si="174"/>
        <v>#REF!</v>
      </c>
      <c r="BV82" s="1">
        <f t="shared" ref="BV82:BV83" si="202">AY82+BV8</f>
        <v>773.841391456202</v>
      </c>
      <c r="BX82" s="3" t="e">
        <f t="shared" ref="BX82:BX86" si="203">BU82+BW82-BV82</f>
        <v>#REF!</v>
      </c>
      <c r="BY82" s="1">
        <f t="shared" ref="BY82:BY83" si="204">AZ82+BY8</f>
        <v>845.695261462503</v>
      </c>
      <c r="CA82" s="3" t="e">
        <f t="shared" ref="CA82:CA86" si="205">BX82+BZ82-BY82</f>
        <v>#REF!</v>
      </c>
    </row>
    <row r="83" ht="17.0">
      <c r="A83" s="166" t="s">
        <v>28</v>
      </c>
      <c r="B83" s="27" t="s">
        <v>29</v>
      </c>
      <c r="C83" s="166" t="s">
        <v>33</v>
      </c>
      <c r="D83" s="166" t="s">
        <v>34</v>
      </c>
      <c r="E83" s="27">
        <v>0.0</v>
      </c>
      <c r="F83" s="27">
        <v>0.0</v>
      </c>
      <c r="G83" s="27">
        <v>0.0</v>
      </c>
      <c r="H83" s="27">
        <v>0.0</v>
      </c>
      <c r="I83" s="27">
        <v>0.0</v>
      </c>
      <c r="J83" s="27">
        <v>0.0</v>
      </c>
      <c r="K83" s="27">
        <v>0.0</v>
      </c>
      <c r="L83" s="27">
        <v>0.0</v>
      </c>
      <c r="M83" s="27">
        <v>0.0</v>
      </c>
      <c r="N83" s="27">
        <v>0.0</v>
      </c>
      <c r="O83" s="27">
        <v>0.0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0.0</v>
      </c>
      <c r="V83" s="27">
        <v>0.0</v>
      </c>
      <c r="W83" s="27">
        <v>0.0</v>
      </c>
      <c r="X83" s="27">
        <v>0.0</v>
      </c>
      <c r="Y83" s="27">
        <v>0.0</v>
      </c>
      <c r="Z83" s="27">
        <v>0.0</v>
      </c>
      <c r="AA83" s="27">
        <v>0.0</v>
      </c>
      <c r="AB83" s="27">
        <v>0.0</v>
      </c>
      <c r="AC83" s="27">
        <v>0.0</v>
      </c>
      <c r="AD83" s="27">
        <v>336.0</v>
      </c>
      <c r="AE83" s="27">
        <v>24.0</v>
      </c>
      <c r="AF83" s="27">
        <v>0.0</v>
      </c>
      <c r="AG83" s="27">
        <v>72.0</v>
      </c>
      <c r="AH83" s="27">
        <v>72.0</v>
      </c>
      <c r="AI83" s="27">
        <v>72.0</v>
      </c>
      <c r="AJ83" s="27">
        <v>0.0</v>
      </c>
      <c r="AK83" s="27">
        <v>216.0</v>
      </c>
      <c r="AL83" s="27">
        <v>78.0</v>
      </c>
      <c r="AM83" s="27">
        <v>0.0</v>
      </c>
      <c r="AN83" s="27">
        <v>72.0</v>
      </c>
      <c r="AO83" s="27">
        <v>144.0</v>
      </c>
      <c r="AP83" s="27">
        <v>72.0</v>
      </c>
      <c r="AQ83" s="28">
        <f t="shared" si="154"/>
        <v>870.0</v>
      </c>
      <c r="AR83" s="28">
        <f t="shared" si="155"/>
        <v>438.0</v>
      </c>
      <c r="AS83" s="28">
        <f t="shared" si="156"/>
        <v>481.8</v>
      </c>
      <c r="AU83" s="3">
        <f>AE83*1.1</f>
        <v>26.4</v>
      </c>
      <c r="AV83" s="3">
        <f>AF83*1.1</f>
        <v>0.0</v>
      </c>
      <c r="AW83" s="179">
        <f>AG83*1.1</f>
        <v>79.2</v>
      </c>
      <c r="AX83" s="179">
        <f>AH83*1.1</f>
        <v>79.2</v>
      </c>
      <c r="AY83" s="179">
        <f>AI83*1.1</f>
        <v>79.2</v>
      </c>
      <c r="AZ83" s="179">
        <f>AJ83*1.1</f>
        <v>0.0</v>
      </c>
      <c r="BA83" s="28">
        <f t="shared" si="193"/>
        <v>264.0</v>
      </c>
      <c r="BB83" s="2" t="e">
        <f t="shared" si="162"/>
        <v>#REF!</v>
      </c>
      <c r="BD83" s="36"/>
      <c r="BE83" s="28" t="e">
        <f t="shared" si="194"/>
        <v>#REF!</v>
      </c>
      <c r="BF83" s="29">
        <f>VLOOKUP(C83,MOQ,3,FALSE())</f>
        <v>504.0</v>
      </c>
      <c r="BG83" s="30"/>
      <c r="BH83" s="1" t="s">
        <v>9</v>
      </c>
      <c r="BI83" s="1" t="e">
        <f t="shared" si="166"/>
        <v>#REF!</v>
      </c>
      <c r="BJ83" s="1">
        <f t="shared" si="195"/>
        <v>399.210734463277</v>
      </c>
      <c r="BK83" s="1">
        <f t="shared" si="196"/>
      </c>
      <c r="BL83" s="3" t="e">
        <f t="shared" si="197"/>
        <v>#REF!</v>
      </c>
      <c r="BM83" s="1">
        <f t="shared" si="198"/>
        <v>306.867231638418</v>
      </c>
      <c r="BN83" s="1">
        <f t="shared" si="199"/>
      </c>
      <c r="BO83" s="3" t="e">
        <f t="shared" si="170"/>
        <v>#REF!</v>
      </c>
      <c r="BP83" s="1">
        <f t="shared" si="200"/>
        <v>320.123728813559</v>
      </c>
      <c r="BR83" s="3" t="e">
        <f t="shared" si="172"/>
        <v>#REF!</v>
      </c>
      <c r="BS83" s="1">
        <f t="shared" si="201"/>
        <v>555.047457627119</v>
      </c>
      <c r="BU83" s="3" t="e">
        <f t="shared" si="174"/>
        <v>#REF!</v>
      </c>
      <c r="BV83" s="1">
        <f t="shared" si="202"/>
        <v>608.626553672316</v>
      </c>
      <c r="BX83" s="3" t="e">
        <f t="shared" si="203"/>
        <v>#REF!</v>
      </c>
      <c r="BY83" s="1">
        <f t="shared" si="204"/>
        <v>479.968926553672</v>
      </c>
      <c r="CA83" s="3" t="e">
        <f t="shared" si="205"/>
        <v>#REF!</v>
      </c>
    </row>
    <row r="84" ht="17.0">
      <c r="A84" s="189" t="s">
        <v>28</v>
      </c>
      <c r="B84" s="189" t="s">
        <v>29</v>
      </c>
      <c r="C84" s="40" t="s">
        <v>60</v>
      </c>
      <c r="D84" s="189" t="s">
        <v>61</v>
      </c>
      <c r="E84" s="34">
        <v>0.0</v>
      </c>
      <c r="F84" s="34">
        <v>0.0</v>
      </c>
      <c r="G84" s="34">
        <v>0.0</v>
      </c>
      <c r="H84" s="34">
        <v>0.0</v>
      </c>
      <c r="I84" s="34">
        <v>0.0</v>
      </c>
      <c r="J84" s="34">
        <v>0.0</v>
      </c>
      <c r="K84" s="34">
        <v>0.0</v>
      </c>
      <c r="L84" s="34">
        <v>0.0</v>
      </c>
      <c r="M84" s="34">
        <v>0.0</v>
      </c>
      <c r="N84" s="34">
        <v>0.0</v>
      </c>
      <c r="O84" s="34">
        <v>0.0</v>
      </c>
      <c r="P84" s="34">
        <v>0.0</v>
      </c>
      <c r="Q84" s="34">
        <v>0.0</v>
      </c>
      <c r="R84" s="34">
        <v>0.0</v>
      </c>
      <c r="S84" s="34">
        <v>0.0</v>
      </c>
      <c r="T84" s="34">
        <v>0.0</v>
      </c>
      <c r="U84" s="34">
        <v>0.0</v>
      </c>
      <c r="V84" s="34">
        <v>0.0</v>
      </c>
      <c r="W84" s="34">
        <v>0.0</v>
      </c>
      <c r="X84" s="34">
        <v>0.0</v>
      </c>
      <c r="Y84" s="34">
        <v>0.0</v>
      </c>
      <c r="Z84" s="34">
        <v>0.0</v>
      </c>
      <c r="AA84" s="34">
        <v>0.0</v>
      </c>
      <c r="AB84" s="34">
        <v>0.0</v>
      </c>
      <c r="AC84" s="34">
        <v>0.0</v>
      </c>
      <c r="AD84" s="34">
        <v>120.0</v>
      </c>
      <c r="AE84" s="34">
        <v>0.0</v>
      </c>
      <c r="AF84" s="34">
        <v>60.0</v>
      </c>
      <c r="AG84" s="34">
        <v>0.0</v>
      </c>
      <c r="AH84" s="34">
        <v>60.0</v>
      </c>
      <c r="AI84" s="34">
        <v>59.0</v>
      </c>
      <c r="AJ84" s="34">
        <v>0.0</v>
      </c>
      <c r="AK84" s="34">
        <v>-2.0</v>
      </c>
      <c r="AL84" s="34">
        <v>11.0</v>
      </c>
      <c r="AM84" s="34">
        <v>0.0</v>
      </c>
      <c r="AN84" s="34">
        <v>0.0</v>
      </c>
      <c r="AO84" s="34">
        <v>0.0</v>
      </c>
      <c r="AP84" s="34">
        <v>120.0</v>
      </c>
      <c r="AQ84" s="35">
        <f t="shared" si="154"/>
        <v>308.0</v>
      </c>
      <c r="AR84" s="35">
        <f t="shared" si="155"/>
        <v>128.0</v>
      </c>
      <c r="AS84" s="35">
        <f t="shared" si="156"/>
        <v>140.8</v>
      </c>
      <c r="AT84" s="36"/>
      <c r="AU84" s="198">
        <v>720.0</v>
      </c>
      <c r="AV84" s="198">
        <v>132.0</v>
      </c>
      <c r="AW84" s="198">
        <v>264.0</v>
      </c>
      <c r="AX84" s="198">
        <v>264.0</v>
      </c>
      <c r="AY84" s="198">
        <v>360.0</v>
      </c>
      <c r="AZ84" s="198">
        <v>360.0</v>
      </c>
      <c r="BA84" s="35">
        <f t="shared" si="193"/>
        <v>2100.0</v>
      </c>
      <c r="BB84" s="36" t="e">
        <f t="shared" si="162"/>
        <v>#REF!</v>
      </c>
      <c r="BC84" s="36"/>
      <c r="BD84" s="36"/>
      <c r="BE84" s="35" t="e">
        <f>BB84+BC84+BD84-BA84-BA22</f>
        <v>#REF!</v>
      </c>
      <c r="BF84" s="36">
        <f>VLOOKUP(C84,MOQ,3,FALSE())</f>
        <v>3000.0</v>
      </c>
      <c r="BG84" s="38">
        <f t="shared" ref="BG84:BG85" si="213">BF84</f>
        <v>3000.0</v>
      </c>
      <c r="BH84" s="36" t="s">
        <v>251</v>
      </c>
      <c r="BI84" s="36" t="e">
        <f t="shared" si="166"/>
        <v>#REF!</v>
      </c>
      <c r="BJ84" s="36" t="e">
        <f>AU84+BJ22</f>
        <v>#REF!</v>
      </c>
      <c r="BK84" s="36">
        <f t="shared" si="196"/>
      </c>
      <c r="BL84" s="35" t="e">
        <f t="shared" si="197"/>
        <v>#REF!</v>
      </c>
      <c r="BM84" s="36">
        <f>AV84+BM22</f>
        <v>987.384180790959</v>
      </c>
      <c r="BN84" s="36">
        <f t="shared" si="199"/>
      </c>
      <c r="BO84" s="35" t="e">
        <f t="shared" si="170"/>
        <v>#REF!</v>
      </c>
      <c r="BP84" s="36">
        <f>AY84+BP22</f>
        <v>891.330508474575</v>
      </c>
      <c r="BQ84" s="36"/>
      <c r="BR84" s="35" t="e">
        <f t="shared" si="172"/>
        <v>#REF!</v>
      </c>
      <c r="BS84" s="36">
        <f>AX84+BS22</f>
        <v>1322.16101694915</v>
      </c>
      <c r="BT84" s="36"/>
      <c r="BU84" s="35" t="e">
        <f t="shared" si="174"/>
        <v>#REF!</v>
      </c>
      <c r="BV84" s="36">
        <f>AY84+BV22</f>
        <v>1515.2627118644</v>
      </c>
      <c r="BW84" s="36"/>
      <c r="BX84" s="35" t="e">
        <f t="shared" si="203"/>
        <v>#REF!</v>
      </c>
      <c r="BY84" s="36">
        <f>AZ84+BY22</f>
        <v>1406.24576271186</v>
      </c>
      <c r="BZ84" s="36"/>
      <c r="CA84" s="199" t="e">
        <f t="shared" si="205"/>
        <v>#REF!</v>
      </c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AMC84" s="39"/>
      <c r="AMD84" s="39"/>
      <c r="AME84" s="39"/>
      <c r="AMF84" s="39"/>
      <c r="AMG84" s="39"/>
      <c r="AMH84" s="39"/>
      <c r="AMI84" s="39"/>
      <c r="AMJ84" s="39"/>
    </row>
    <row r="85" ht="17.0">
      <c r="A85" s="189" t="s">
        <v>28</v>
      </c>
      <c r="B85" s="189" t="s">
        <v>29</v>
      </c>
      <c r="C85" s="40" t="s">
        <v>65</v>
      </c>
      <c r="D85" s="189" t="s">
        <v>66</v>
      </c>
      <c r="E85" s="34">
        <v>0.0</v>
      </c>
      <c r="F85" s="34">
        <v>0.0</v>
      </c>
      <c r="G85" s="34">
        <v>0.0</v>
      </c>
      <c r="H85" s="34">
        <v>0.0</v>
      </c>
      <c r="I85" s="34">
        <v>0.0</v>
      </c>
      <c r="J85" s="34">
        <v>0.0</v>
      </c>
      <c r="K85" s="34">
        <v>0.0</v>
      </c>
      <c r="L85" s="34">
        <v>0.0</v>
      </c>
      <c r="M85" s="34">
        <v>0.0</v>
      </c>
      <c r="N85" s="34">
        <v>0.0</v>
      </c>
      <c r="O85" s="34">
        <v>0.0</v>
      </c>
      <c r="P85" s="34">
        <v>0.0</v>
      </c>
      <c r="Q85" s="34">
        <v>0.0</v>
      </c>
      <c r="R85" s="34">
        <v>0.0</v>
      </c>
      <c r="S85" s="34">
        <v>0.0</v>
      </c>
      <c r="T85" s="34">
        <v>0.0</v>
      </c>
      <c r="U85" s="34">
        <v>0.0</v>
      </c>
      <c r="V85" s="34">
        <v>0.0</v>
      </c>
      <c r="W85" s="34">
        <v>0.0</v>
      </c>
      <c r="X85" s="34">
        <v>0.0</v>
      </c>
      <c r="Y85" s="34">
        <v>0.0</v>
      </c>
      <c r="Z85" s="34">
        <v>0.0</v>
      </c>
      <c r="AA85" s="34">
        <v>0.0</v>
      </c>
      <c r="AB85" s="34">
        <v>0.0</v>
      </c>
      <c r="AC85" s="34">
        <v>0.0</v>
      </c>
      <c r="AD85" s="34">
        <v>120.0</v>
      </c>
      <c r="AE85" s="34">
        <v>0.0</v>
      </c>
      <c r="AF85" s="34">
        <v>0.0</v>
      </c>
      <c r="AG85" s="34">
        <v>0.0</v>
      </c>
      <c r="AH85" s="34">
        <v>0.0</v>
      </c>
      <c r="AI85" s="34">
        <v>0.0</v>
      </c>
      <c r="AJ85" s="34">
        <v>0.0</v>
      </c>
      <c r="AK85" s="34">
        <v>59.0</v>
      </c>
      <c r="AL85" s="34">
        <v>0.0</v>
      </c>
      <c r="AM85" s="34">
        <v>0.0</v>
      </c>
      <c r="AN85" s="34">
        <v>60.0</v>
      </c>
      <c r="AO85" s="34">
        <v>-1.0</v>
      </c>
      <c r="AP85" s="34">
        <v>60.0</v>
      </c>
      <c r="AQ85" s="35">
        <f t="shared" si="154"/>
        <v>179.0</v>
      </c>
      <c r="AR85" s="35">
        <f t="shared" si="155"/>
        <v>59.0</v>
      </c>
      <c r="AS85" s="35">
        <f t="shared" si="156"/>
        <v>64.9</v>
      </c>
      <c r="AT85" s="36"/>
      <c r="AU85" s="198">
        <v>600.0</v>
      </c>
      <c r="AV85" s="198">
        <v>110.0</v>
      </c>
      <c r="AW85" s="198">
        <v>220.0</v>
      </c>
      <c r="AX85" s="198">
        <v>220.0</v>
      </c>
      <c r="AY85" s="198">
        <v>300.0</v>
      </c>
      <c r="AZ85" s="198">
        <v>300.0</v>
      </c>
      <c r="BA85" s="35">
        <f t="shared" si="193"/>
        <v>1750.0</v>
      </c>
      <c r="BB85" s="36" t="e">
        <f t="shared" si="162"/>
        <v>#REF!</v>
      </c>
      <c r="BC85" s="36"/>
      <c r="BD85" s="36"/>
      <c r="BE85" s="35" t="e">
        <f>BB85+BC85+BD85-BA85-BA24</f>
        <v>#REF!</v>
      </c>
      <c r="BF85" s="36">
        <f>VLOOKUP(C85,MOQ,3,FALSE())</f>
        <v>3000.0</v>
      </c>
      <c r="BG85" s="38">
        <f t="shared" si="213"/>
        <v>3000.0</v>
      </c>
      <c r="BH85" s="36" t="s">
        <v>252</v>
      </c>
      <c r="BI85" s="36" t="e">
        <f t="shared" si="166"/>
        <v>#REF!</v>
      </c>
      <c r="BJ85" s="36">
        <f>AU85+BJ24</f>
        <v>1230.8418079096</v>
      </c>
      <c r="BK85" s="36">
        <f t="shared" si="196"/>
      </c>
      <c r="BL85" s="35" t="e">
        <f t="shared" si="197"/>
        <v>#REF!</v>
      </c>
      <c r="BM85" s="36">
        <f>AV85+BM24</f>
        <v>572.27966101694</v>
      </c>
      <c r="BN85" s="36">
        <f t="shared" si="199"/>
      </c>
      <c r="BO85" s="35" t="e">
        <f t="shared" si="170"/>
        <v>#REF!</v>
      </c>
      <c r="BP85" s="36">
        <f>AW85+BP24</f>
        <v>559.385593220338</v>
      </c>
      <c r="BQ85" s="36"/>
      <c r="BR85" s="35" t="e">
        <f t="shared" si="172"/>
        <v>#REF!</v>
      </c>
      <c r="BS85" s="36">
        <f>AX85+BS24</f>
        <v>897.271186440678</v>
      </c>
      <c r="BT85" s="36"/>
      <c r="BU85" s="35" t="e">
        <f t="shared" si="174"/>
        <v>#REF!</v>
      </c>
      <c r="BV85" s="36">
        <f>AY85+BV24</f>
        <v>1042.80649717514</v>
      </c>
      <c r="BW85" s="36"/>
      <c r="BX85" s="35" t="e">
        <f t="shared" si="203"/>
        <v>#REF!</v>
      </c>
      <c r="BY85" s="36">
        <f>AZ85+BY24</f>
        <v>972.620056497174</v>
      </c>
      <c r="BZ85" s="36"/>
      <c r="CA85" s="199" t="e">
        <f t="shared" si="205"/>
        <v>#REF!</v>
      </c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AMC85" s="39"/>
      <c r="AMD85" s="39"/>
      <c r="AME85" s="39"/>
      <c r="AMF85" s="39"/>
      <c r="AMG85" s="39"/>
      <c r="AMH85" s="39"/>
      <c r="AMI85" s="39"/>
      <c r="AMJ85" s="39"/>
    </row>
    <row r="86" ht="17.0">
      <c r="A86" s="27" t="s">
        <v>28</v>
      </c>
      <c r="B86" s="27" t="s">
        <v>29</v>
      </c>
      <c r="C86" s="166" t="s">
        <v>69</v>
      </c>
      <c r="D86" s="166" t="s">
        <v>70</v>
      </c>
      <c r="E86" s="27">
        <v>336.0</v>
      </c>
      <c r="F86" s="27">
        <v>92.0</v>
      </c>
      <c r="G86" s="27">
        <v>144.0</v>
      </c>
      <c r="H86" s="27">
        <v>240.0</v>
      </c>
      <c r="I86" s="27">
        <v>240.0</v>
      </c>
      <c r="J86" s="27">
        <v>96.0</v>
      </c>
      <c r="K86" s="27">
        <v>192.0</v>
      </c>
      <c r="L86" s="27">
        <v>768.0</v>
      </c>
      <c r="M86" s="27">
        <v>143.0</v>
      </c>
      <c r="N86" s="27">
        <v>144.0</v>
      </c>
      <c r="O86" s="27">
        <v>144.0</v>
      </c>
      <c r="P86" s="27">
        <v>286.0</v>
      </c>
      <c r="Q86" s="27">
        <v>288.0</v>
      </c>
      <c r="R86" s="27">
        <v>144.0</v>
      </c>
      <c r="S86" s="27">
        <v>192.0</v>
      </c>
      <c r="T86" s="27">
        <v>240.0</v>
      </c>
      <c r="U86" s="27">
        <v>240.0</v>
      </c>
      <c r="V86" s="27">
        <v>192.0</v>
      </c>
      <c r="W86" s="27">
        <v>144.0</v>
      </c>
      <c r="X86" s="27">
        <v>278.0</v>
      </c>
      <c r="Y86" s="27">
        <v>528.0</v>
      </c>
      <c r="Z86" s="27">
        <v>0.0</v>
      </c>
      <c r="AA86" s="27">
        <v>336.0</v>
      </c>
      <c r="AB86" s="27">
        <v>96.0</v>
      </c>
      <c r="AC86" s="27">
        <v>192.0</v>
      </c>
      <c r="AD86" s="27">
        <v>192.0</v>
      </c>
      <c r="AE86" s="27">
        <v>240.0</v>
      </c>
      <c r="AF86" s="27">
        <v>87.0</v>
      </c>
      <c r="AG86" s="27">
        <v>192.0</v>
      </c>
      <c r="AH86" s="27">
        <v>96.0</v>
      </c>
      <c r="AI86" s="27">
        <v>191.0</v>
      </c>
      <c r="AJ86" s="27">
        <v>144.0</v>
      </c>
      <c r="AK86" s="27">
        <v>575.0</v>
      </c>
      <c r="AL86" s="27">
        <v>48.0</v>
      </c>
      <c r="AM86" s="27">
        <v>96.0</v>
      </c>
      <c r="AN86" s="27">
        <v>144.0</v>
      </c>
      <c r="AO86" s="27">
        <v>240.0</v>
      </c>
      <c r="AP86" s="27">
        <v>143.0</v>
      </c>
      <c r="AQ86" s="28">
        <f t="shared" si="154"/>
        <v>2485.0</v>
      </c>
      <c r="AR86" s="28">
        <f t="shared" si="155"/>
        <v>1150.0</v>
      </c>
      <c r="AS86" s="28">
        <f t="shared" si="156"/>
        <v>1265.0</v>
      </c>
      <c r="AU86" s="179">
        <f t="shared" ref="AU86:AU102" si="227">AD86*1.1</f>
        <v>211.2</v>
      </c>
      <c r="AV86" s="179">
        <f t="shared" ref="AV86:AV102" si="228">AE86*1.1</f>
        <v>264.0</v>
      </c>
      <c r="AW86" s="179">
        <f t="shared" ref="AW86:AW102" si="229">AF86*1.1</f>
        <v>95.7</v>
      </c>
      <c r="AX86" s="179">
        <f t="shared" ref="AX86:AX102" si="230">AG86*1.1</f>
        <v>211.2</v>
      </c>
      <c r="AY86" s="180">
        <f>AS86*$AY$72/$AS$72</f>
        <v>106.216696269982</v>
      </c>
      <c r="AZ86" s="180">
        <f>AS86*$AZ$72/$AS$72</f>
        <v>216.51865008881</v>
      </c>
      <c r="BA86" s="28">
        <f t="shared" si="193"/>
        <v>1104.83534635879</v>
      </c>
      <c r="BB86" s="2" t="e">
        <f t="shared" si="162"/>
        <v>#REF!</v>
      </c>
      <c r="BD86" s="36"/>
      <c r="BE86" s="28" t="e">
        <f>BB86+BC86+BD86-BA86-BA26</f>
        <v>#REF!</v>
      </c>
      <c r="BF86" s="29">
        <f>VLOOKUP(C86,MOQ,3,FALSE())</f>
        <v>1620.0</v>
      </c>
      <c r="BG86" s="30"/>
      <c r="BH86" s="1" t="s">
        <v>7</v>
      </c>
      <c r="BI86" s="1" t="e">
        <f t="shared" si="166"/>
        <v>#REF!</v>
      </c>
      <c r="BJ86" s="1">
        <f>AU86+BJ26</f>
        <v>610.79039548022</v>
      </c>
      <c r="BK86" s="1">
        <f t="shared" si="196"/>
      </c>
      <c r="BL86" s="3" t="e">
        <f t="shared" si="197"/>
        <v>#REF!</v>
      </c>
      <c r="BM86" s="1">
        <f>AV86+BM26</f>
        <v>592.697740112994</v>
      </c>
      <c r="BN86" s="1">
        <f t="shared" si="199"/>
      </c>
      <c r="BO86" s="3" t="e">
        <f t="shared" si="170"/>
        <v>#REF!</v>
      </c>
      <c r="BP86" s="1">
        <f>AW86+BP26</f>
        <v>353.505084745761</v>
      </c>
      <c r="BR86" s="3" t="e">
        <f t="shared" si="172"/>
        <v>#REF!</v>
      </c>
      <c r="BS86" s="1">
        <f>AX86+BS26</f>
        <v>714.810169491525</v>
      </c>
      <c r="BU86" s="3" t="e">
        <f t="shared" si="174"/>
        <v>#REF!</v>
      </c>
      <c r="BV86" s="1">
        <f>AY86+BV26</f>
        <v>573.677148247383</v>
      </c>
      <c r="BX86" s="3" t="e">
        <f t="shared" si="203"/>
        <v>#REF!</v>
      </c>
      <c r="BY86" s="1">
        <f>AZ86+BY26</f>
        <v>639.809610540787</v>
      </c>
      <c r="CA86" s="3" t="e">
        <f t="shared" si="205"/>
        <v>#REF!</v>
      </c>
    </row>
    <row hidden="1" r="87" ht="14.0" outlineLevel="1">
      <c r="A87" s="27" t="s">
        <v>28</v>
      </c>
      <c r="B87" s="27" t="s">
        <v>29</v>
      </c>
      <c r="C87" s="27" t="s">
        <v>80</v>
      </c>
      <c r="D87" s="27" t="s">
        <v>81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360.0</v>
      </c>
      <c r="AE87" s="27">
        <v>0.0</v>
      </c>
      <c r="AF87" s="27">
        <v>60.0</v>
      </c>
      <c r="AG87" s="27">
        <v>60.0</v>
      </c>
      <c r="AH87" s="27">
        <v>60.0</v>
      </c>
      <c r="AI87" s="27">
        <v>120.0</v>
      </c>
      <c r="AJ87" s="27">
        <v>60.0</v>
      </c>
      <c r="AK87" s="27">
        <v>180.0</v>
      </c>
      <c r="AL87" s="27">
        <v>120.0</v>
      </c>
      <c r="AM87" s="27">
        <v>60.0</v>
      </c>
      <c r="AN87" s="27">
        <v>120.0</v>
      </c>
      <c r="AO87" s="27"/>
      <c r="AP87" s="27"/>
      <c r="AQ87" s="28">
        <f t="shared" si="154"/>
        <v>1080.0</v>
      </c>
      <c r="AR87" s="28">
        <f t="shared" si="155"/>
        <v>600.0</v>
      </c>
      <c r="AS87" s="28">
        <f t="shared" si="156"/>
        <v>660.0</v>
      </c>
      <c r="AU87" s="3">
        <f t="shared" si="227"/>
        <v>396.0</v>
      </c>
      <c r="AV87" s="3">
        <f t="shared" si="228"/>
        <v>0.0</v>
      </c>
      <c r="AW87" s="3">
        <f t="shared" si="229"/>
        <v>66.0</v>
      </c>
      <c r="AX87" s="3">
        <f t="shared" si="230"/>
        <v>66.0</v>
      </c>
      <c r="AY87" s="28"/>
      <c r="AZ87" s="28"/>
      <c r="BA87" s="28">
        <f t="shared" ref="BA87:BA102" si="240">SUM(AU87:AX87)</f>
        <v>528.0</v>
      </c>
      <c r="BB87" s="2" t="e">
        <f t="shared" si="162"/>
        <v>#REF!</v>
      </c>
      <c r="BD87" s="36" t="e">
        <f t="shared" ref="BD87:BD88" si="241">VLOOKUP(C87,AUGUST,3,false)</f>
        <v>#REF!</v>
      </c>
      <c r="BE87" s="3" t="e">
        <f>BB87+BC87+BD87-BA87-BA31</f>
        <v>#REF!</v>
      </c>
      <c r="BF87" s="1">
        <f>VLOOKUP(C87,MOQ,3,FALSE())</f>
        <v>3000.0</v>
      </c>
      <c r="BI87" s="1" t="e">
        <f t="shared" si="166"/>
        <v>#REF!</v>
      </c>
      <c r="BJ87" s="1">
        <f>AU87+BJ31</f>
        <v>993.200564971751</v>
      </c>
      <c r="BL87" s="3" t="e">
        <f t="shared" ref="BL87:BL102" si="244">#REF!+BK87-BJ87</f>
        <v>#REF!</v>
      </c>
      <c r="BM87" s="1">
        <f>AV87+BM31</f>
        <v>490.782485875706</v>
      </c>
      <c r="BO87" s="3" t="e">
        <f t="shared" si="170"/>
        <v>#REF!</v>
      </c>
      <c r="BP87" s="1">
        <f>AW87+BP31</f>
        <v>450.364406779661</v>
      </c>
      <c r="BR87" s="3" t="e">
        <f t="shared" si="172"/>
        <v>#REF!</v>
      </c>
      <c r="BS87" s="1">
        <f>AX87+BS31</f>
        <v>834.728813559322</v>
      </c>
      <c r="BU87" s="3" t="e">
        <f t="shared" si="174"/>
        <v>#REF!</v>
      </c>
    </row>
    <row hidden="1" r="88" ht="14.0" outlineLevel="1">
      <c r="A88" s="27" t="s">
        <v>28</v>
      </c>
      <c r="B88" s="27" t="s">
        <v>29</v>
      </c>
      <c r="C88" s="27" t="s">
        <v>86</v>
      </c>
      <c r="D88" s="27" t="s">
        <v>87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324.0</v>
      </c>
      <c r="AE88" s="27">
        <v>0.0</v>
      </c>
      <c r="AF88" s="27">
        <v>60.0</v>
      </c>
      <c r="AG88" s="27">
        <v>60.0</v>
      </c>
      <c r="AH88" s="27">
        <v>60.0</v>
      </c>
      <c r="AI88" s="27">
        <v>60.0</v>
      </c>
      <c r="AJ88" s="27">
        <v>60.0</v>
      </c>
      <c r="AK88" s="27">
        <v>240.0</v>
      </c>
      <c r="AL88" s="27">
        <v>60.0</v>
      </c>
      <c r="AM88" s="27">
        <v>60.0</v>
      </c>
      <c r="AN88" s="27">
        <v>60.0</v>
      </c>
      <c r="AO88" s="27"/>
      <c r="AP88" s="27"/>
      <c r="AQ88" s="28">
        <f t="shared" si="154"/>
        <v>984.0</v>
      </c>
      <c r="AR88" s="28">
        <f t="shared" si="155"/>
        <v>540.0</v>
      </c>
      <c r="AS88" s="28">
        <f t="shared" si="156"/>
        <v>594.0</v>
      </c>
      <c r="AU88" s="3">
        <f t="shared" si="227"/>
        <v>356.4</v>
      </c>
      <c r="AV88" s="3">
        <f t="shared" si="228"/>
        <v>0.0</v>
      </c>
      <c r="AW88" s="3">
        <f t="shared" si="229"/>
        <v>66.0</v>
      </c>
      <c r="AX88" s="3">
        <f t="shared" si="230"/>
        <v>66.0</v>
      </c>
      <c r="AY88" s="28"/>
      <c r="AZ88" s="28"/>
      <c r="BA88" s="28">
        <f t="shared" si="240"/>
        <v>488.4</v>
      </c>
      <c r="BB88" s="2" t="e">
        <f t="shared" si="162"/>
        <v>#REF!</v>
      </c>
      <c r="BD88" s="36" t="e">
        <f t="shared" si="241"/>
        <v>#REF!</v>
      </c>
      <c r="BE88" s="3" t="e">
        <f t="shared" ref="BE88:BE89" si="248">BB88+BC88+BD88-BA88-BA34</f>
        <v>#REF!</v>
      </c>
      <c r="BF88" s="1">
        <f>VLOOKUP(C88,MOQ,3,FALSE())</f>
        <v>3000.0</v>
      </c>
      <c r="BI88" s="1" t="e">
        <f t="shared" si="166"/>
        <v>#REF!</v>
      </c>
      <c r="BJ88" s="1">
        <f t="shared" ref="BJ88:BJ89" si="249">AU88+BJ34</f>
        <v>809.99604519774</v>
      </c>
      <c r="BL88" s="3" t="e">
        <f t="shared" si="244"/>
        <v>#REF!</v>
      </c>
      <c r="BM88" s="1">
        <f t="shared" ref="BM88:BM89" si="250">AV88+BM34</f>
        <v>372.522598870056</v>
      </c>
      <c r="BO88" s="3" t="e">
        <f t="shared" si="170"/>
        <v>#REF!</v>
      </c>
      <c r="BP88" s="1">
        <f t="shared" ref="BP88:BP89" si="251">AW88+BP34</f>
        <v>357.449152542372</v>
      </c>
      <c r="BR88" s="3" t="e">
        <f t="shared" si="172"/>
        <v>#REF!</v>
      </c>
      <c r="BS88" s="1">
        <f t="shared" ref="BS88:BS89" si="252">AX88+BS34</f>
        <v>648.898305084746</v>
      </c>
      <c r="BU88" s="3" t="e">
        <f t="shared" si="174"/>
        <v>#REF!</v>
      </c>
    </row>
    <row hidden="1" r="89" ht="14.0" outlineLevel="1">
      <c r="A89" s="27" t="s">
        <v>28</v>
      </c>
      <c r="B89" s="27" t="s">
        <v>29</v>
      </c>
      <c r="C89" s="27" t="s">
        <v>88</v>
      </c>
      <c r="D89" s="27" t="s">
        <v>89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324.0</v>
      </c>
      <c r="AE89" s="27">
        <v>0.0</v>
      </c>
      <c r="AF89" s="27">
        <v>0.0</v>
      </c>
      <c r="AG89" s="27">
        <v>0.0</v>
      </c>
      <c r="AH89" s="27">
        <v>60.0</v>
      </c>
      <c r="AI89" s="27">
        <v>120.0</v>
      </c>
      <c r="AJ89" s="27">
        <v>60.0</v>
      </c>
      <c r="AK89" s="27">
        <v>120.0</v>
      </c>
      <c r="AL89" s="27">
        <v>60.0</v>
      </c>
      <c r="AM89" s="27">
        <v>66.0</v>
      </c>
      <c r="AN89" s="27">
        <v>60.0</v>
      </c>
      <c r="AO89" s="27"/>
      <c r="AP89" s="27"/>
      <c r="AQ89" s="28">
        <f t="shared" si="154"/>
        <v>810.0</v>
      </c>
      <c r="AR89" s="28">
        <f t="shared" si="155"/>
        <v>486.0</v>
      </c>
      <c r="AS89" s="28">
        <f t="shared" si="156"/>
        <v>534.6</v>
      </c>
      <c r="AU89" s="3">
        <f t="shared" si="227"/>
        <v>356.4</v>
      </c>
      <c r="AV89" s="3">
        <f t="shared" si="228"/>
        <v>0.0</v>
      </c>
      <c r="AW89" s="3">
        <f t="shared" si="229"/>
        <v>0.0</v>
      </c>
      <c r="AX89" s="3">
        <f t="shared" si="230"/>
        <v>0.0</v>
      </c>
      <c r="AY89" s="28"/>
      <c r="AZ89" s="28"/>
      <c r="BA89" s="28">
        <f t="shared" si="240"/>
        <v>356.4</v>
      </c>
      <c r="BB89" s="2" t="e">
        <f t="shared" si="162"/>
        <v>#REF!</v>
      </c>
      <c r="BD89" s="36"/>
      <c r="BE89" s="3" t="e">
        <f t="shared" si="248"/>
        <v>#REF!</v>
      </c>
      <c r="BF89" s="1">
        <f>VLOOKUP(C89,MOQ,3,FALSE())</f>
        <v>3000.0</v>
      </c>
      <c r="BI89" s="1" t="e">
        <f t="shared" si="166"/>
        <v>#REF!</v>
      </c>
      <c r="BJ89" s="1">
        <f t="shared" si="249"/>
        <v>696.860451977401</v>
      </c>
      <c r="BL89" s="3" t="e">
        <f t="shared" si="244"/>
        <v>#REF!</v>
      </c>
      <c r="BM89" s="1">
        <f t="shared" si="250"/>
        <v>279.725988700564</v>
      </c>
      <c r="BO89" s="3" t="e">
        <f t="shared" si="170"/>
        <v>#REF!</v>
      </c>
      <c r="BP89" s="1">
        <f t="shared" si="251"/>
        <v>218.991525423729</v>
      </c>
      <c r="BR89" s="3" t="e">
        <f t="shared" si="172"/>
        <v>#REF!</v>
      </c>
      <c r="BS89" s="1">
        <f t="shared" si="252"/>
        <v>437.983050847458</v>
      </c>
      <c r="BU89" s="3" t="e">
        <f t="shared" si="174"/>
        <v>#REF!</v>
      </c>
    </row>
    <row hidden="1" r="90" ht="14.0" outlineLevel="1">
      <c r="A90" s="27" t="s">
        <v>28</v>
      </c>
      <c r="B90" s="27" t="s">
        <v>29</v>
      </c>
      <c r="C90" s="27" t="s">
        <v>94</v>
      </c>
      <c r="D90" s="27" t="s">
        <v>95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0.0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36.0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120.0</v>
      </c>
      <c r="AL90" s="27">
        <v>0.0</v>
      </c>
      <c r="AM90" s="27">
        <v>0.0</v>
      </c>
      <c r="AN90" s="27">
        <v>0.0</v>
      </c>
      <c r="AO90" s="27"/>
      <c r="AP90" s="27"/>
      <c r="AQ90" s="28">
        <f t="shared" si="154"/>
        <v>156.0</v>
      </c>
      <c r="AR90" s="28">
        <f t="shared" si="155"/>
        <v>120.0</v>
      </c>
      <c r="AS90" s="28">
        <f t="shared" si="156"/>
        <v>132.0</v>
      </c>
      <c r="AU90" s="3">
        <f t="shared" si="227"/>
        <v>39.6</v>
      </c>
      <c r="AV90" s="3">
        <f t="shared" si="228"/>
        <v>0.0</v>
      </c>
      <c r="AW90" s="3">
        <f t="shared" si="229"/>
        <v>0.0</v>
      </c>
      <c r="AX90" s="3">
        <f t="shared" si="230"/>
        <v>0.0</v>
      </c>
      <c r="AY90" s="28"/>
      <c r="AZ90" s="28"/>
      <c r="BA90" s="28">
        <f t="shared" si="240"/>
        <v>39.6</v>
      </c>
      <c r="BB90" s="2" t="e">
        <f t="shared" si="162"/>
        <v>#REF!</v>
      </c>
      <c r="BD90" s="36"/>
      <c r="BE90" s="3" t="e">
        <f>BB90+BC90+BD90-BA90-BA38</f>
        <v>#REF!</v>
      </c>
      <c r="BF90" s="1">
        <f>VLOOKUP(C90,MOQ,3,FALSE())</f>
        <v>480.0</v>
      </c>
      <c r="BI90" s="1" t="e">
        <f t="shared" si="166"/>
        <v>#REF!</v>
      </c>
      <c r="BJ90" s="1">
        <f>AU90+BJ38</f>
        <v>151.478531073446</v>
      </c>
      <c r="BL90" s="3" t="e">
        <f t="shared" si="244"/>
        <v>#REF!</v>
      </c>
      <c r="BM90" s="1">
        <f>AV90+BM38</f>
        <v>91.7655367231638</v>
      </c>
      <c r="BO90" s="3" t="e">
        <f t="shared" si="170"/>
        <v>#REF!</v>
      </c>
      <c r="BP90" s="1">
        <f>AW90+BP38</f>
        <v>71.6525423728813</v>
      </c>
      <c r="BR90" s="3" t="e">
        <f t="shared" si="172"/>
        <v>#REF!</v>
      </c>
      <c r="BS90" s="1">
        <f>AX90+BS38</f>
        <v>143.305084745762</v>
      </c>
      <c r="BU90" s="3" t="e">
        <f t="shared" si="174"/>
        <v>#REF!</v>
      </c>
    </row>
    <row hidden="1" r="91" ht="14.0" outlineLevel="1">
      <c r="A91" s="27" t="s">
        <v>150</v>
      </c>
      <c r="B91" s="27" t="s">
        <v>151</v>
      </c>
      <c r="C91" s="27" t="s">
        <v>152</v>
      </c>
      <c r="D91" s="27" t="s">
        <v>153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400.0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0.0</v>
      </c>
      <c r="AE91" s="27">
        <v>0.0</v>
      </c>
      <c r="AF91" s="27">
        <v>0.0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7"/>
      <c r="AP91" s="27"/>
      <c r="AQ91" s="28">
        <f t="shared" si="154"/>
        <v>0.0</v>
      </c>
      <c r="AR91" s="28">
        <f t="shared" si="155"/>
        <v>0.0</v>
      </c>
      <c r="AS91" s="28">
        <f t="shared" si="156"/>
        <v>0.0</v>
      </c>
      <c r="AU91" s="3">
        <f t="shared" si="227"/>
        <v>0.0</v>
      </c>
      <c r="AV91" s="3">
        <f t="shared" si="228"/>
        <v>0.0</v>
      </c>
      <c r="AW91" s="3">
        <f t="shared" si="229"/>
        <v>0.0</v>
      </c>
      <c r="AX91" s="3">
        <f t="shared" si="230"/>
        <v>0.0</v>
      </c>
      <c r="AY91" s="28"/>
      <c r="AZ91" s="28"/>
      <c r="BA91" s="28">
        <f t="shared" si="240"/>
        <v>0.0</v>
      </c>
      <c r="BB91" s="2" t="e">
        <f t="shared" si="162"/>
        <v>#REF!</v>
      </c>
      <c r="BD91" s="36"/>
      <c r="BE91" s="3" t="e">
        <f t="shared" ref="BE91:BE102" si="258">BB91+BC91+BD91-BA91</f>
        <v>#REF!</v>
      </c>
      <c r="BF91" s="1">
        <f>VLOOKUP(C91,MOQ,3,FALSE())</f>
        <v>1000.0</v>
      </c>
      <c r="BI91" s="1" t="e">
        <f t="shared" si="166"/>
        <v>#REF!</v>
      </c>
      <c r="BJ91" s="1">
        <f t="shared" ref="BJ91:BJ102" si="259">AU91</f>
        <v>0.0</v>
      </c>
      <c r="BL91" s="3" t="e">
        <f t="shared" si="244"/>
        <v>#REF!</v>
      </c>
      <c r="BM91" s="1">
        <f t="shared" ref="BM91:BM102" si="260">AV91</f>
        <v>0.0</v>
      </c>
      <c r="BO91" s="3" t="e">
        <f t="shared" si="170"/>
        <v>#REF!</v>
      </c>
      <c r="BP91" s="1">
        <f t="shared" ref="BP91:BP102" si="261">AW91</f>
        <v>0.0</v>
      </c>
      <c r="BR91" s="3" t="e">
        <f t="shared" si="172"/>
        <v>#REF!</v>
      </c>
      <c r="BS91" s="1">
        <f t="shared" ref="BS91:BS102" si="262">AX91</f>
        <v>0.0</v>
      </c>
      <c r="BU91" s="3" t="e">
        <f t="shared" si="174"/>
        <v>#REF!</v>
      </c>
    </row>
    <row hidden="1" r="92" ht="14.0" outlineLevel="1">
      <c r="A92" s="27" t="s">
        <v>45</v>
      </c>
      <c r="B92" s="27" t="s">
        <v>151</v>
      </c>
      <c r="C92" s="27" t="s">
        <v>154</v>
      </c>
      <c r="D92" s="27" t="s">
        <v>155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192.0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0.0</v>
      </c>
      <c r="AG92" s="27">
        <v>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7"/>
      <c r="AP92" s="27"/>
      <c r="AQ92" s="28">
        <f t="shared" si="154"/>
        <v>0.0</v>
      </c>
      <c r="AR92" s="28">
        <f t="shared" si="155"/>
        <v>0.0</v>
      </c>
      <c r="AS92" s="28">
        <f t="shared" si="156"/>
        <v>0.0</v>
      </c>
      <c r="AU92" s="3">
        <f t="shared" si="227"/>
        <v>0.0</v>
      </c>
      <c r="AV92" s="3">
        <f t="shared" si="228"/>
        <v>0.0</v>
      </c>
      <c r="AW92" s="3">
        <f t="shared" si="229"/>
        <v>0.0</v>
      </c>
      <c r="AX92" s="3">
        <f t="shared" si="230"/>
        <v>0.0</v>
      </c>
      <c r="AY92" s="28"/>
      <c r="AZ92" s="28"/>
      <c r="BA92" s="28">
        <f t="shared" si="240"/>
        <v>0.0</v>
      </c>
      <c r="BB92" s="2" t="e">
        <f t="shared" si="162"/>
        <v>#REF!</v>
      </c>
      <c r="BD92" s="36"/>
      <c r="BE92" s="3" t="e">
        <f t="shared" si="258"/>
        <v>#REF!</v>
      </c>
      <c r="BF92" s="1">
        <f>VLOOKUP(C92,MOQ,3,FALSE())</f>
        <v>1008.0</v>
      </c>
      <c r="BG92" s="31"/>
      <c r="BI92" s="1" t="e">
        <f t="shared" si="166"/>
        <v>#REF!</v>
      </c>
      <c r="BJ92" s="1">
        <f t="shared" si="259"/>
        <v>0.0</v>
      </c>
      <c r="BL92" s="3" t="e">
        <f t="shared" si="244"/>
        <v>#REF!</v>
      </c>
      <c r="BM92" s="1">
        <f t="shared" si="260"/>
        <v>0.0</v>
      </c>
      <c r="BO92" s="3" t="e">
        <f t="shared" si="170"/>
        <v>#REF!</v>
      </c>
      <c r="BP92" s="1">
        <f t="shared" si="261"/>
        <v>0.0</v>
      </c>
      <c r="BR92" s="3" t="e">
        <f t="shared" si="172"/>
        <v>#REF!</v>
      </c>
      <c r="BS92" s="1">
        <f t="shared" si="262"/>
        <v>0.0</v>
      </c>
      <c r="BU92" s="3" t="e">
        <f t="shared" si="174"/>
        <v>#REF!</v>
      </c>
    </row>
    <row hidden="1" r="93" ht="14.0" outlineLevel="1">
      <c r="A93" s="27" t="s">
        <v>45</v>
      </c>
      <c r="B93" s="27" t="s">
        <v>151</v>
      </c>
      <c r="C93" s="27" t="s">
        <v>156</v>
      </c>
      <c r="D93" s="27" t="s">
        <v>157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0.0</v>
      </c>
      <c r="N93" s="27">
        <v>0.0</v>
      </c>
      <c r="O93" s="27">
        <v>0.0</v>
      </c>
      <c r="P93" s="27">
        <v>0.0</v>
      </c>
      <c r="Q93" s="27">
        <v>240.0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168.0</v>
      </c>
      <c r="AE93" s="27">
        <v>0.0</v>
      </c>
      <c r="AF93" s="27">
        <v>48.0</v>
      </c>
      <c r="AG93" s="27">
        <v>0.0</v>
      </c>
      <c r="AH93" s="27">
        <v>0.0</v>
      </c>
      <c r="AI93" s="27">
        <v>0.0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7"/>
      <c r="AP93" s="27"/>
      <c r="AQ93" s="28">
        <f t="shared" si="154"/>
        <v>216.0</v>
      </c>
      <c r="AR93" s="28">
        <f t="shared" si="155"/>
        <v>0.0</v>
      </c>
      <c r="AS93" s="28">
        <f t="shared" si="156"/>
        <v>0.0</v>
      </c>
      <c r="AU93" s="3">
        <f t="shared" si="227"/>
        <v>184.8</v>
      </c>
      <c r="AV93" s="3">
        <f t="shared" si="228"/>
        <v>0.0</v>
      </c>
      <c r="AW93" s="3">
        <f t="shared" si="229"/>
        <v>52.8</v>
      </c>
      <c r="AX93" s="3">
        <f t="shared" si="230"/>
        <v>0.0</v>
      </c>
      <c r="AY93" s="28"/>
      <c r="AZ93" s="28"/>
      <c r="BA93" s="28">
        <f t="shared" si="240"/>
        <v>237.6</v>
      </c>
      <c r="BB93" s="2" t="e">
        <f t="shared" si="162"/>
        <v>#REF!</v>
      </c>
      <c r="BD93" s="36"/>
      <c r="BE93" s="3" t="e">
        <f t="shared" si="258"/>
        <v>#REF!</v>
      </c>
      <c r="BF93" s="1">
        <f>VLOOKUP(C93,MOQ,3,FALSE())</f>
        <v>1008.0</v>
      </c>
      <c r="BG93" s="31">
        <f>BF93</f>
        <v>1008.0</v>
      </c>
      <c r="BH93" s="1" t="s">
        <v>7</v>
      </c>
      <c r="BI93" s="1" t="e">
        <f t="shared" si="166"/>
        <v>#REF!</v>
      </c>
      <c r="BJ93" s="1">
        <f t="shared" si="259"/>
        <v>184.8</v>
      </c>
      <c r="BL93" s="3" t="e">
        <f t="shared" si="244"/>
        <v>#REF!</v>
      </c>
      <c r="BM93" s="1">
        <f t="shared" si="260"/>
        <v>0.0</v>
      </c>
      <c r="BO93" s="3" t="e">
        <f t="shared" si="170"/>
        <v>#REF!</v>
      </c>
      <c r="BP93" s="1">
        <f t="shared" si="261"/>
        <v>52.8</v>
      </c>
      <c r="BR93" s="3" t="e">
        <f t="shared" si="172"/>
        <v>#REF!</v>
      </c>
      <c r="BS93" s="1">
        <f t="shared" si="262"/>
        <v>0.0</v>
      </c>
      <c r="BU93" s="3" t="e">
        <f t="shared" si="174"/>
        <v>#REF!</v>
      </c>
    </row>
    <row hidden="1" r="94" ht="14.0" outlineLevel="1">
      <c r="A94" s="27" t="s">
        <v>45</v>
      </c>
      <c r="B94" s="27" t="s">
        <v>151</v>
      </c>
      <c r="C94" s="27" t="s">
        <v>158</v>
      </c>
      <c r="D94" s="27" t="s">
        <v>159</v>
      </c>
      <c r="E94" s="27">
        <v>0.0</v>
      </c>
      <c r="F94" s="27">
        <v>0.0</v>
      </c>
      <c r="G94" s="27">
        <v>0.0</v>
      </c>
      <c r="H94" s="27">
        <v>0.0</v>
      </c>
      <c r="I94" s="27">
        <v>0.0</v>
      </c>
      <c r="J94" s="27">
        <v>0.0</v>
      </c>
      <c r="K94" s="27">
        <v>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7">
        <v>144.0</v>
      </c>
      <c r="R94" s="27">
        <v>0.0</v>
      </c>
      <c r="S94" s="27">
        <v>0.0</v>
      </c>
      <c r="T94" s="27">
        <v>0.0</v>
      </c>
      <c r="U94" s="27">
        <v>0.0</v>
      </c>
      <c r="V94" s="27">
        <v>0.0</v>
      </c>
      <c r="W94" s="27">
        <v>0.0</v>
      </c>
      <c r="X94" s="27">
        <v>0.0</v>
      </c>
      <c r="Y94" s="27">
        <v>0.0</v>
      </c>
      <c r="Z94" s="27">
        <v>0.0</v>
      </c>
      <c r="AA94" s="27">
        <v>0.0</v>
      </c>
      <c r="AB94" s="27">
        <v>0.0</v>
      </c>
      <c r="AC94" s="27">
        <v>0.0</v>
      </c>
      <c r="AD94" s="27">
        <v>0.0</v>
      </c>
      <c r="AE94" s="27">
        <v>0.0</v>
      </c>
      <c r="AF94" s="27">
        <v>0.0</v>
      </c>
      <c r="AG94" s="27">
        <v>0.0</v>
      </c>
      <c r="AH94" s="27">
        <v>0.0</v>
      </c>
      <c r="AI94" s="27">
        <v>0.0</v>
      </c>
      <c r="AJ94" s="27">
        <v>0.0</v>
      </c>
      <c r="AK94" s="27">
        <v>0.0</v>
      </c>
      <c r="AL94" s="27">
        <v>0.0</v>
      </c>
      <c r="AM94" s="27">
        <v>0.0</v>
      </c>
      <c r="AN94" s="27">
        <v>0.0</v>
      </c>
      <c r="AO94" s="27"/>
      <c r="AP94" s="27"/>
      <c r="AQ94" s="28">
        <f t="shared" si="154"/>
        <v>0.0</v>
      </c>
      <c r="AR94" s="28">
        <f t="shared" si="155"/>
        <v>0.0</v>
      </c>
      <c r="AS94" s="28">
        <f t="shared" si="156"/>
        <v>0.0</v>
      </c>
      <c r="AU94" s="3">
        <f t="shared" si="227"/>
        <v>0.0</v>
      </c>
      <c r="AV94" s="3">
        <f t="shared" si="228"/>
        <v>0.0</v>
      </c>
      <c r="AW94" s="3">
        <f t="shared" si="229"/>
        <v>0.0</v>
      </c>
      <c r="AX94" s="3">
        <f t="shared" si="230"/>
        <v>0.0</v>
      </c>
      <c r="AY94" s="28"/>
      <c r="AZ94" s="28"/>
      <c r="BA94" s="28">
        <f t="shared" si="240"/>
        <v>0.0</v>
      </c>
      <c r="BB94" s="2" t="e">
        <f t="shared" si="162"/>
        <v>#REF!</v>
      </c>
      <c r="BD94" s="36"/>
      <c r="BE94" s="3" t="e">
        <f t="shared" si="258"/>
        <v>#REF!</v>
      </c>
      <c r="BF94" s="1">
        <v>1008.0</v>
      </c>
      <c r="BG94" s="31"/>
      <c r="BI94" s="1" t="e">
        <f t="shared" si="166"/>
        <v>#REF!</v>
      </c>
      <c r="BJ94" s="1">
        <f t="shared" si="259"/>
        <v>0.0</v>
      </c>
      <c r="BL94" s="3" t="e">
        <f t="shared" si="244"/>
        <v>#REF!</v>
      </c>
      <c r="BM94" s="1">
        <f t="shared" si="260"/>
        <v>0.0</v>
      </c>
      <c r="BO94" s="3" t="e">
        <f t="shared" si="170"/>
        <v>#REF!</v>
      </c>
      <c r="BP94" s="1">
        <f t="shared" si="261"/>
        <v>0.0</v>
      </c>
      <c r="BR94" s="3" t="e">
        <f t="shared" si="172"/>
        <v>#REF!</v>
      </c>
      <c r="BS94" s="1">
        <f t="shared" si="262"/>
        <v>0.0</v>
      </c>
      <c r="BU94" s="3" t="e">
        <f t="shared" si="174"/>
        <v>#REF!</v>
      </c>
    </row>
    <row hidden="1" r="95" ht="14.0" outlineLevel="1">
      <c r="A95" s="27" t="s">
        <v>45</v>
      </c>
      <c r="B95" s="27" t="s">
        <v>151</v>
      </c>
      <c r="C95" s="27" t="s">
        <v>160</v>
      </c>
      <c r="D95" s="27" t="s">
        <v>161</v>
      </c>
      <c r="E95" s="27">
        <v>0.0</v>
      </c>
      <c r="F95" s="27">
        <v>0.0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0.0</v>
      </c>
      <c r="M95" s="27">
        <v>0.0</v>
      </c>
      <c r="N95" s="27">
        <v>0.0</v>
      </c>
      <c r="O95" s="27">
        <v>0.0</v>
      </c>
      <c r="P95" s="27">
        <v>0.0</v>
      </c>
      <c r="Q95" s="27">
        <v>144.0</v>
      </c>
      <c r="R95" s="27">
        <v>0.0</v>
      </c>
      <c r="S95" s="27">
        <v>0.0</v>
      </c>
      <c r="T95" s="27">
        <v>0.0</v>
      </c>
      <c r="U95" s="27">
        <v>0.0</v>
      </c>
      <c r="V95" s="27">
        <v>0.0</v>
      </c>
      <c r="W95" s="27">
        <v>0.0</v>
      </c>
      <c r="X95" s="27">
        <v>0.0</v>
      </c>
      <c r="Y95" s="27">
        <v>0.0</v>
      </c>
      <c r="Z95" s="27">
        <v>0.0</v>
      </c>
      <c r="AA95" s="27">
        <v>0.0</v>
      </c>
      <c r="AB95" s="27">
        <v>0.0</v>
      </c>
      <c r="AC95" s="27">
        <v>0.0</v>
      </c>
      <c r="AD95" s="27">
        <v>0.0</v>
      </c>
      <c r="AE95" s="27">
        <v>47.0</v>
      </c>
      <c r="AF95" s="27">
        <v>-1.0</v>
      </c>
      <c r="AG95" s="27">
        <v>0.0</v>
      </c>
      <c r="AH95" s="27">
        <v>16.0</v>
      </c>
      <c r="AI95" s="27">
        <v>16.0</v>
      </c>
      <c r="AJ95" s="27">
        <v>0.0</v>
      </c>
      <c r="AK95" s="27">
        <v>0.0</v>
      </c>
      <c r="AL95" s="27">
        <v>0.0</v>
      </c>
      <c r="AM95" s="27">
        <v>0.0</v>
      </c>
      <c r="AN95" s="27">
        <v>0.0</v>
      </c>
      <c r="AO95" s="27"/>
      <c r="AP95" s="27"/>
      <c r="AQ95" s="28">
        <f t="shared" si="154"/>
        <v>78.0</v>
      </c>
      <c r="AR95" s="28">
        <f t="shared" si="155"/>
        <v>32.0</v>
      </c>
      <c r="AS95" s="28">
        <f t="shared" si="156"/>
        <v>35.2</v>
      </c>
      <c r="AU95" s="3">
        <f t="shared" si="227"/>
        <v>0.0</v>
      </c>
      <c r="AV95" s="3">
        <f t="shared" si="228"/>
        <v>51.7</v>
      </c>
      <c r="AW95" s="3">
        <f t="shared" si="229"/>
        <v>-1.1</v>
      </c>
      <c r="AX95" s="3">
        <f t="shared" si="230"/>
        <v>0.0</v>
      </c>
      <c r="AY95" s="28"/>
      <c r="AZ95" s="28"/>
      <c r="BA95" s="28">
        <f t="shared" si="240"/>
        <v>50.6</v>
      </c>
      <c r="BB95" s="2" t="e">
        <f t="shared" si="162"/>
        <v>#REF!</v>
      </c>
      <c r="BD95" s="36"/>
      <c r="BE95" s="3" t="e">
        <f t="shared" si="258"/>
        <v>#REF!</v>
      </c>
      <c r="BF95" s="1">
        <f>VLOOKUP(C95,MOQ,3,FALSE())</f>
        <v>1000.0</v>
      </c>
      <c r="BG95" s="31">
        <f>BF95</f>
        <v>1000.0</v>
      </c>
      <c r="BH95" s="1" t="s">
        <v>8</v>
      </c>
      <c r="BI95" s="1" t="e">
        <f t="shared" si="166"/>
        <v>#REF!</v>
      </c>
      <c r="BJ95" s="1">
        <f t="shared" si="259"/>
        <v>0.0</v>
      </c>
      <c r="BL95" s="3" t="e">
        <f t="shared" si="244"/>
        <v>#REF!</v>
      </c>
      <c r="BM95" s="1">
        <f t="shared" si="260"/>
        <v>51.7</v>
      </c>
      <c r="BO95" s="3" t="e">
        <f t="shared" si="170"/>
        <v>#REF!</v>
      </c>
      <c r="BP95" s="1">
        <f t="shared" si="261"/>
        <v>-1.1</v>
      </c>
      <c r="BR95" s="3" t="e">
        <f t="shared" si="172"/>
        <v>#REF!</v>
      </c>
      <c r="BS95" s="1">
        <f t="shared" si="262"/>
        <v>0.0</v>
      </c>
      <c r="BU95" s="3" t="e">
        <f t="shared" si="174"/>
        <v>#REF!</v>
      </c>
    </row>
    <row hidden="1" r="96" ht="14.0" outlineLevel="1">
      <c r="A96" s="27" t="s">
        <v>150</v>
      </c>
      <c r="B96" s="27" t="s">
        <v>151</v>
      </c>
      <c r="C96" s="27" t="s">
        <v>162</v>
      </c>
      <c r="D96" s="27" t="s">
        <v>163</v>
      </c>
      <c r="E96" s="27">
        <v>0.0</v>
      </c>
      <c r="F96" s="27">
        <v>0.0</v>
      </c>
      <c r="G96" s="27">
        <v>0.0</v>
      </c>
      <c r="H96" s="27">
        <v>0.0</v>
      </c>
      <c r="I96" s="27">
        <v>0.0</v>
      </c>
      <c r="J96" s="27">
        <v>0.0</v>
      </c>
      <c r="K96" s="27">
        <v>0.0</v>
      </c>
      <c r="L96" s="27">
        <v>0.0</v>
      </c>
      <c r="M96" s="27">
        <v>0.0</v>
      </c>
      <c r="N96" s="27">
        <v>0.0</v>
      </c>
      <c r="O96" s="27">
        <v>0.0</v>
      </c>
      <c r="P96" s="27">
        <v>0.0</v>
      </c>
      <c r="Q96" s="27">
        <v>144.0</v>
      </c>
      <c r="R96" s="27">
        <v>0.0</v>
      </c>
      <c r="S96" s="27">
        <v>0.0</v>
      </c>
      <c r="T96" s="27">
        <v>0.0</v>
      </c>
      <c r="U96" s="27">
        <v>0.0</v>
      </c>
      <c r="V96" s="27">
        <v>0.0</v>
      </c>
      <c r="W96" s="27">
        <v>0.0</v>
      </c>
      <c r="X96" s="27">
        <v>0.0</v>
      </c>
      <c r="Y96" s="27">
        <v>0.0</v>
      </c>
      <c r="Z96" s="27">
        <v>0.0</v>
      </c>
      <c r="AA96" s="27">
        <v>0.0</v>
      </c>
      <c r="AB96" s="27">
        <v>0.0</v>
      </c>
      <c r="AC96" s="27">
        <v>0.0</v>
      </c>
      <c r="AD96" s="27">
        <v>0.0</v>
      </c>
      <c r="AE96" s="27">
        <v>31.0</v>
      </c>
      <c r="AF96" s="27">
        <v>0.0</v>
      </c>
      <c r="AG96" s="27">
        <v>0.0</v>
      </c>
      <c r="AH96" s="27">
        <v>0.0</v>
      </c>
      <c r="AI96" s="27">
        <v>8.0</v>
      </c>
      <c r="AJ96" s="27">
        <v>8.0</v>
      </c>
      <c r="AK96" s="27">
        <v>24.0</v>
      </c>
      <c r="AL96" s="27">
        <v>0.0</v>
      </c>
      <c r="AM96" s="27">
        <v>0.0</v>
      </c>
      <c r="AN96" s="27">
        <v>0.0</v>
      </c>
      <c r="AO96" s="27"/>
      <c r="AP96" s="27"/>
      <c r="AQ96" s="28">
        <f t="shared" si="154"/>
        <v>71.0</v>
      </c>
      <c r="AR96" s="28">
        <f t="shared" si="155"/>
        <v>40.0</v>
      </c>
      <c r="AS96" s="28">
        <f t="shared" si="156"/>
        <v>44.0</v>
      </c>
      <c r="AU96" s="3">
        <f t="shared" si="227"/>
        <v>0.0</v>
      </c>
      <c r="AV96" s="3">
        <f t="shared" si="228"/>
        <v>34.1</v>
      </c>
      <c r="AW96" s="3">
        <f t="shared" si="229"/>
        <v>0.0</v>
      </c>
      <c r="AX96" s="3">
        <f t="shared" si="230"/>
        <v>0.0</v>
      </c>
      <c r="AY96" s="28"/>
      <c r="AZ96" s="28"/>
      <c r="BA96" s="28">
        <f t="shared" si="240"/>
        <v>34.1</v>
      </c>
      <c r="BB96" s="2" t="e">
        <f t="shared" si="162"/>
        <v>#REF!</v>
      </c>
      <c r="BD96" s="36"/>
      <c r="BE96" s="3" t="e">
        <f t="shared" si="258"/>
        <v>#REF!</v>
      </c>
      <c r="BF96" s="1">
        <f>VLOOKUP(C96,MOQ,3,FALSE())</f>
        <v>1008.0</v>
      </c>
      <c r="BI96" s="1" t="e">
        <f t="shared" si="166"/>
        <v>#REF!</v>
      </c>
      <c r="BJ96" s="1">
        <f t="shared" si="259"/>
        <v>0.0</v>
      </c>
      <c r="BL96" s="3" t="e">
        <f t="shared" si="244"/>
        <v>#REF!</v>
      </c>
      <c r="BM96" s="1">
        <f t="shared" si="260"/>
        <v>34.1</v>
      </c>
      <c r="BO96" s="3" t="e">
        <f t="shared" si="170"/>
        <v>#REF!</v>
      </c>
      <c r="BP96" s="1">
        <f t="shared" si="261"/>
        <v>0.0</v>
      </c>
      <c r="BR96" s="3" t="e">
        <f t="shared" si="172"/>
        <v>#REF!</v>
      </c>
      <c r="BS96" s="1">
        <f t="shared" si="262"/>
        <v>0.0</v>
      </c>
      <c r="BU96" s="3" t="e">
        <f t="shared" si="174"/>
        <v>#REF!</v>
      </c>
    </row>
    <row hidden="1" r="97" ht="14.0" outlineLevel="1">
      <c r="A97" s="27" t="s">
        <v>45</v>
      </c>
      <c r="B97" s="27" t="s">
        <v>151</v>
      </c>
      <c r="C97" s="27" t="s">
        <v>164</v>
      </c>
      <c r="D97" s="27" t="s">
        <v>165</v>
      </c>
      <c r="E97" s="27">
        <v>0.0</v>
      </c>
      <c r="F97" s="27">
        <v>0.0</v>
      </c>
      <c r="G97" s="27">
        <v>0.0</v>
      </c>
      <c r="H97" s="27">
        <v>0.0</v>
      </c>
      <c r="I97" s="27">
        <v>0.0</v>
      </c>
      <c r="J97" s="27">
        <v>0.0</v>
      </c>
      <c r="K97" s="27">
        <v>0.0</v>
      </c>
      <c r="L97" s="27">
        <v>0.0</v>
      </c>
      <c r="M97" s="27">
        <v>0.0</v>
      </c>
      <c r="N97" s="27">
        <v>0.0</v>
      </c>
      <c r="O97" s="27">
        <v>0.0</v>
      </c>
      <c r="P97" s="27">
        <v>0.0</v>
      </c>
      <c r="Q97" s="27">
        <v>0.0</v>
      </c>
      <c r="R97" s="27">
        <v>0.0</v>
      </c>
      <c r="S97" s="27">
        <v>0.0</v>
      </c>
      <c r="T97" s="27">
        <v>0.0</v>
      </c>
      <c r="U97" s="27">
        <v>0.0</v>
      </c>
      <c r="V97" s="27">
        <v>0.0</v>
      </c>
      <c r="W97" s="27">
        <v>0.0</v>
      </c>
      <c r="X97" s="27">
        <v>0.0</v>
      </c>
      <c r="Y97" s="27">
        <v>0.0</v>
      </c>
      <c r="Z97" s="27">
        <v>0.0</v>
      </c>
      <c r="AA97" s="27">
        <v>0.0</v>
      </c>
      <c r="AB97" s="27">
        <v>0.0</v>
      </c>
      <c r="AC97" s="27">
        <v>0.0</v>
      </c>
      <c r="AD97" s="27">
        <v>0.0</v>
      </c>
      <c r="AE97" s="27">
        <v>0.0</v>
      </c>
      <c r="AF97" s="27">
        <v>1.0</v>
      </c>
      <c r="AG97" s="27">
        <v>224.0</v>
      </c>
      <c r="AH97" s="27">
        <v>0.0</v>
      </c>
      <c r="AI97" s="27">
        <v>0.0</v>
      </c>
      <c r="AJ97" s="27">
        <v>0.0</v>
      </c>
      <c r="AK97" s="27">
        <v>0.0</v>
      </c>
      <c r="AL97" s="27">
        <v>0.0</v>
      </c>
      <c r="AM97" s="27">
        <v>0.0</v>
      </c>
      <c r="AN97" s="27">
        <v>0.0</v>
      </c>
      <c r="AO97" s="27"/>
      <c r="AP97" s="27"/>
      <c r="AQ97" s="28">
        <f t="shared" si="154"/>
        <v>225.0</v>
      </c>
      <c r="AR97" s="28">
        <f t="shared" si="155"/>
        <v>0.0</v>
      </c>
      <c r="AS97" s="28">
        <f t="shared" si="156"/>
        <v>0.0</v>
      </c>
      <c r="AU97" s="3">
        <f t="shared" si="227"/>
        <v>0.0</v>
      </c>
      <c r="AV97" s="3">
        <f t="shared" si="228"/>
        <v>0.0</v>
      </c>
      <c r="AW97" s="3">
        <f t="shared" si="229"/>
        <v>1.1</v>
      </c>
      <c r="AX97" s="3">
        <f t="shared" si="230"/>
        <v>246.4</v>
      </c>
      <c r="AY97" s="28"/>
      <c r="AZ97" s="28"/>
      <c r="BA97" s="28">
        <f t="shared" si="240"/>
        <v>247.5</v>
      </c>
      <c r="BB97" s="2" t="e">
        <f t="shared" si="162"/>
        <v>#REF!</v>
      </c>
      <c r="BD97" s="36"/>
      <c r="BE97" s="3" t="e">
        <f t="shared" si="258"/>
        <v>#REF!</v>
      </c>
      <c r="BF97" s="1">
        <f>VLOOKUP(C97,MOQ,3,FALSE())</f>
        <v>1002.0</v>
      </c>
      <c r="BG97" s="31">
        <f>BF97</f>
        <v>1002.0</v>
      </c>
      <c r="BH97" s="1" t="s">
        <v>10</v>
      </c>
      <c r="BI97" s="1" t="e">
        <f t="shared" si="166"/>
        <v>#REF!</v>
      </c>
      <c r="BJ97" s="1">
        <f t="shared" si="259"/>
        <v>0.0</v>
      </c>
      <c r="BL97" s="3" t="e">
        <f t="shared" si="244"/>
        <v>#REF!</v>
      </c>
      <c r="BM97" s="1">
        <f t="shared" si="260"/>
        <v>0.0</v>
      </c>
      <c r="BO97" s="3" t="e">
        <f t="shared" si="170"/>
        <v>#REF!</v>
      </c>
      <c r="BP97" s="1">
        <f t="shared" si="261"/>
        <v>1.1</v>
      </c>
      <c r="BR97" s="3" t="e">
        <f t="shared" si="172"/>
        <v>#REF!</v>
      </c>
      <c r="BS97" s="1">
        <f t="shared" si="262"/>
        <v>246.4</v>
      </c>
      <c r="BU97" s="3" t="e">
        <f t="shared" si="174"/>
        <v>#REF!</v>
      </c>
    </row>
    <row hidden="1" r="98" ht="14.0" outlineLevel="1">
      <c r="A98" s="27" t="s">
        <v>150</v>
      </c>
      <c r="B98" s="27" t="s">
        <v>166</v>
      </c>
      <c r="C98" s="27" t="s">
        <v>167</v>
      </c>
      <c r="D98" s="27" t="s">
        <v>168</v>
      </c>
      <c r="E98" s="27">
        <v>0.0</v>
      </c>
      <c r="F98" s="27">
        <v>0.0</v>
      </c>
      <c r="G98" s="27">
        <v>0.0</v>
      </c>
      <c r="H98" s="27">
        <v>0.0</v>
      </c>
      <c r="I98" s="27">
        <v>0.0</v>
      </c>
      <c r="J98" s="27">
        <v>0.0</v>
      </c>
      <c r="K98" s="27">
        <v>0.0</v>
      </c>
      <c r="L98" s="27">
        <v>0.0</v>
      </c>
      <c r="M98" s="27">
        <v>0.0</v>
      </c>
      <c r="N98" s="27">
        <v>0.0</v>
      </c>
      <c r="O98" s="27">
        <v>0.0</v>
      </c>
      <c r="P98" s="27">
        <v>0.0</v>
      </c>
      <c r="Q98" s="27">
        <v>0.0</v>
      </c>
      <c r="R98" s="27">
        <v>0.0</v>
      </c>
      <c r="S98" s="27">
        <v>0.0</v>
      </c>
      <c r="T98" s="27">
        <v>0.0</v>
      </c>
      <c r="U98" s="27">
        <v>0.0</v>
      </c>
      <c r="V98" s="27">
        <v>0.0</v>
      </c>
      <c r="W98" s="27">
        <v>0.0</v>
      </c>
      <c r="X98" s="27">
        <v>0.0</v>
      </c>
      <c r="Y98" s="27">
        <v>0.0</v>
      </c>
      <c r="Z98" s="27">
        <v>0.0</v>
      </c>
      <c r="AA98" s="27">
        <v>0.0</v>
      </c>
      <c r="AB98" s="27">
        <v>0.0</v>
      </c>
      <c r="AC98" s="27">
        <v>0.0</v>
      </c>
      <c r="AD98" s="27">
        <v>0.0</v>
      </c>
      <c r="AE98" s="27">
        <v>0.0</v>
      </c>
      <c r="AF98" s="27">
        <v>1.0</v>
      </c>
      <c r="AG98" s="27">
        <v>60.0</v>
      </c>
      <c r="AH98" s="27">
        <v>0.0</v>
      </c>
      <c r="AI98" s="27">
        <v>0.0</v>
      </c>
      <c r="AJ98" s="27">
        <v>0.0</v>
      </c>
      <c r="AK98" s="27">
        <v>0.0</v>
      </c>
      <c r="AL98" s="27">
        <v>0.0</v>
      </c>
      <c r="AM98" s="27">
        <v>0.0</v>
      </c>
      <c r="AN98" s="27">
        <v>0.0</v>
      </c>
      <c r="AO98" s="27"/>
      <c r="AP98" s="27"/>
      <c r="AQ98" s="28">
        <f t="shared" si="154"/>
        <v>61.0</v>
      </c>
      <c r="AR98" s="28">
        <f t="shared" si="155"/>
        <v>0.0</v>
      </c>
      <c r="AS98" s="28">
        <f t="shared" si="156"/>
        <v>0.0</v>
      </c>
      <c r="AU98" s="3">
        <f t="shared" si="227"/>
        <v>0.0</v>
      </c>
      <c r="AV98" s="3">
        <f t="shared" si="228"/>
        <v>0.0</v>
      </c>
      <c r="AW98" s="3">
        <f t="shared" si="229"/>
        <v>1.1</v>
      </c>
      <c r="AX98" s="3">
        <f t="shared" si="230"/>
        <v>66.0</v>
      </c>
      <c r="AY98" s="28"/>
      <c r="AZ98" s="28"/>
      <c r="BA98" s="28">
        <f t="shared" si="240"/>
        <v>67.1</v>
      </c>
      <c r="BB98" s="2" t="e">
        <f t="shared" si="162"/>
        <v>#REF!</v>
      </c>
      <c r="BD98" s="36"/>
      <c r="BE98" s="3" t="e">
        <f t="shared" si="258"/>
        <v>#REF!</v>
      </c>
      <c r="BF98" s="1">
        <v>1002.0</v>
      </c>
      <c r="BI98" s="1" t="e">
        <f t="shared" si="166"/>
        <v>#REF!</v>
      </c>
      <c r="BJ98" s="1">
        <f t="shared" si="259"/>
        <v>0.0</v>
      </c>
      <c r="BL98" s="3" t="e">
        <f t="shared" si="244"/>
        <v>#REF!</v>
      </c>
      <c r="BM98" s="1">
        <f t="shared" si="260"/>
        <v>0.0</v>
      </c>
      <c r="BO98" s="3" t="e">
        <f t="shared" si="170"/>
        <v>#REF!</v>
      </c>
      <c r="BP98" s="1">
        <f t="shared" si="261"/>
        <v>1.1</v>
      </c>
      <c r="BR98" s="3" t="e">
        <f t="shared" si="172"/>
        <v>#REF!</v>
      </c>
      <c r="BS98" s="1">
        <f t="shared" si="262"/>
        <v>66.0</v>
      </c>
      <c r="BU98" s="3" t="e">
        <f t="shared" si="174"/>
        <v>#REF!</v>
      </c>
    </row>
    <row hidden="1" r="99" ht="14.0" outlineLevel="1">
      <c r="A99" s="27" t="s">
        <v>169</v>
      </c>
      <c r="B99" s="27" t="s">
        <v>170</v>
      </c>
      <c r="C99" s="27" t="s">
        <v>171</v>
      </c>
      <c r="D99" s="27" t="s">
        <v>172</v>
      </c>
      <c r="E99" s="27">
        <v>24.0</v>
      </c>
      <c r="F99" s="27">
        <v>0.0</v>
      </c>
      <c r="G99" s="27">
        <v>192.0</v>
      </c>
      <c r="H99" s="27">
        <v>21.0</v>
      </c>
      <c r="I99" s="27">
        <v>24.0</v>
      </c>
      <c r="J99" s="27">
        <v>0.0</v>
      </c>
      <c r="K99" s="27">
        <v>24.0</v>
      </c>
      <c r="L99" s="27">
        <v>24.0</v>
      </c>
      <c r="M99" s="27">
        <v>48.0</v>
      </c>
      <c r="N99" s="27">
        <v>24.0</v>
      </c>
      <c r="O99" s="27">
        <v>0.0</v>
      </c>
      <c r="P99" s="27">
        <v>24.0</v>
      </c>
      <c r="Q99" s="27">
        <v>24.0</v>
      </c>
      <c r="R99" s="27">
        <v>24.0</v>
      </c>
      <c r="S99" s="27">
        <v>192.0</v>
      </c>
      <c r="T99" s="27">
        <v>0.0</v>
      </c>
      <c r="U99" s="27">
        <v>48.0</v>
      </c>
      <c r="V99" s="27">
        <v>0.0</v>
      </c>
      <c r="W99" s="27">
        <v>24.0</v>
      </c>
      <c r="X99" s="27">
        <v>24.0</v>
      </c>
      <c r="Y99" s="27">
        <v>24.0</v>
      </c>
      <c r="Z99" s="27">
        <v>24.0</v>
      </c>
      <c r="AA99" s="27">
        <v>0.0</v>
      </c>
      <c r="AB99" s="27">
        <v>24.0</v>
      </c>
      <c r="AC99" s="27">
        <v>24.0</v>
      </c>
      <c r="AD99" s="27">
        <v>0.0</v>
      </c>
      <c r="AE99" s="27">
        <v>24.0</v>
      </c>
      <c r="AF99" s="27">
        <v>168.0</v>
      </c>
      <c r="AG99" s="27">
        <v>120.0</v>
      </c>
      <c r="AH99" s="27">
        <v>24.0</v>
      </c>
      <c r="AI99" s="27">
        <v>48.0</v>
      </c>
      <c r="AJ99" s="27">
        <v>72.0</v>
      </c>
      <c r="AK99" s="27">
        <v>144.0</v>
      </c>
      <c r="AL99" s="27">
        <v>24.0</v>
      </c>
      <c r="AM99" s="27">
        <v>24.0</v>
      </c>
      <c r="AN99" s="27">
        <v>24.0</v>
      </c>
      <c r="AO99" s="27"/>
      <c r="AP99" s="27"/>
      <c r="AQ99" s="28">
        <f t="shared" si="154"/>
        <v>696.0</v>
      </c>
      <c r="AR99" s="28">
        <f t="shared" si="155"/>
        <v>336.0</v>
      </c>
      <c r="AS99" s="28">
        <f t="shared" si="156"/>
        <v>369.6</v>
      </c>
      <c r="AU99" s="3">
        <f t="shared" si="227"/>
        <v>0.0</v>
      </c>
      <c r="AV99" s="3">
        <f t="shared" si="228"/>
        <v>26.4</v>
      </c>
      <c r="AW99" s="3">
        <f t="shared" si="229"/>
        <v>184.8</v>
      </c>
      <c r="AX99" s="3">
        <f t="shared" si="230"/>
        <v>132.0</v>
      </c>
      <c r="AY99" s="28"/>
      <c r="AZ99" s="28"/>
      <c r="BA99" s="28">
        <f t="shared" si="240"/>
        <v>343.2</v>
      </c>
      <c r="BB99" s="2" t="e">
        <f t="shared" si="162"/>
        <v>#REF!</v>
      </c>
      <c r="BC99" s="1" t="e">
        <f t="shared" ref="BC99:BC102" si="267">VLOOKUP(C99,FYTM1,3,false)</f>
        <v>#REF!</v>
      </c>
      <c r="BD99" s="36"/>
      <c r="BE99" s="3" t="e">
        <f t="shared" si="258"/>
        <v>#REF!</v>
      </c>
      <c r="BF99" s="1">
        <f>VLOOKUP(C99,MOQ,3,FALSE())</f>
        <v>200.0</v>
      </c>
      <c r="BI99" s="1" t="e">
        <f t="shared" si="166"/>
        <v>#REF!</v>
      </c>
      <c r="BJ99" s="1">
        <f t="shared" si="259"/>
        <v>0.0</v>
      </c>
      <c r="BL99" s="3" t="e">
        <f t="shared" si="244"/>
        <v>#REF!</v>
      </c>
      <c r="BM99" s="1">
        <f t="shared" si="260"/>
        <v>26.4</v>
      </c>
      <c r="BO99" s="3" t="e">
        <f t="shared" si="170"/>
        <v>#REF!</v>
      </c>
      <c r="BP99" s="1">
        <f t="shared" si="261"/>
        <v>184.8</v>
      </c>
      <c r="BR99" s="3" t="e">
        <f t="shared" si="172"/>
        <v>#REF!</v>
      </c>
      <c r="BS99" s="1">
        <f t="shared" si="262"/>
        <v>132.0</v>
      </c>
      <c r="BU99" s="3" t="e">
        <f t="shared" si="174"/>
        <v>#REF!</v>
      </c>
    </row>
    <row hidden="1" r="100" ht="14.0" outlineLevel="1">
      <c r="A100" s="27" t="s">
        <v>169</v>
      </c>
      <c r="B100" s="27" t="s">
        <v>170</v>
      </c>
      <c r="C100" s="27" t="s">
        <v>173</v>
      </c>
      <c r="D100" s="27" t="s">
        <v>174</v>
      </c>
      <c r="E100" s="27">
        <v>24.0</v>
      </c>
      <c r="F100" s="27">
        <v>24.0</v>
      </c>
      <c r="G100" s="27">
        <v>192.0</v>
      </c>
      <c r="H100" s="27">
        <v>0.0</v>
      </c>
      <c r="I100" s="27">
        <v>24.0</v>
      </c>
      <c r="J100" s="27">
        <v>0.0</v>
      </c>
      <c r="K100" s="27">
        <v>24.0</v>
      </c>
      <c r="L100" s="27">
        <v>72.0</v>
      </c>
      <c r="M100" s="27">
        <v>24.0</v>
      </c>
      <c r="N100" s="27">
        <v>24.0</v>
      </c>
      <c r="O100" s="27">
        <v>24.0</v>
      </c>
      <c r="P100" s="27">
        <v>24.0</v>
      </c>
      <c r="Q100" s="27">
        <v>24.0</v>
      </c>
      <c r="R100" s="27">
        <v>24.0</v>
      </c>
      <c r="S100" s="27">
        <v>192.0</v>
      </c>
      <c r="T100" s="27">
        <v>0.0</v>
      </c>
      <c r="U100" s="27">
        <v>24.0</v>
      </c>
      <c r="V100" s="27">
        <v>0.0</v>
      </c>
      <c r="W100" s="27">
        <v>24.0</v>
      </c>
      <c r="X100" s="27">
        <v>24.0</v>
      </c>
      <c r="Y100" s="27">
        <v>48.0</v>
      </c>
      <c r="Z100" s="27">
        <v>24.0</v>
      </c>
      <c r="AA100" s="27">
        <v>0.0</v>
      </c>
      <c r="AB100" s="27">
        <v>24.0</v>
      </c>
      <c r="AC100" s="27">
        <v>24.0</v>
      </c>
      <c r="AD100" s="27">
        <v>24.0</v>
      </c>
      <c r="AE100" s="27">
        <v>0.0</v>
      </c>
      <c r="AF100" s="27">
        <v>120.0</v>
      </c>
      <c r="AG100" s="27">
        <v>48.0</v>
      </c>
      <c r="AH100" s="27">
        <v>24.0</v>
      </c>
      <c r="AI100" s="27">
        <v>24.0</v>
      </c>
      <c r="AJ100" s="27">
        <v>48.0</v>
      </c>
      <c r="AK100" s="27">
        <v>96.0</v>
      </c>
      <c r="AL100" s="27">
        <v>0.0</v>
      </c>
      <c r="AM100" s="27">
        <v>24.0</v>
      </c>
      <c r="AN100" s="27">
        <v>0.0</v>
      </c>
      <c r="AO100" s="27"/>
      <c r="AP100" s="27"/>
      <c r="AQ100" s="28">
        <f t="shared" si="154"/>
        <v>456.0</v>
      </c>
      <c r="AR100" s="28">
        <f t="shared" si="155"/>
        <v>216.0</v>
      </c>
      <c r="AS100" s="28">
        <f t="shared" si="156"/>
        <v>237.6</v>
      </c>
      <c r="AU100" s="3">
        <f t="shared" si="227"/>
        <v>26.4</v>
      </c>
      <c r="AV100" s="3">
        <f t="shared" si="228"/>
        <v>0.0</v>
      </c>
      <c r="AW100" s="3">
        <f t="shared" si="229"/>
        <v>132.0</v>
      </c>
      <c r="AX100" s="3">
        <f t="shared" si="230"/>
        <v>52.8</v>
      </c>
      <c r="AY100" s="28"/>
      <c r="AZ100" s="28"/>
      <c r="BA100" s="28">
        <f t="shared" si="240"/>
        <v>211.2</v>
      </c>
      <c r="BB100" s="2" t="e">
        <f t="shared" si="162"/>
        <v>#REF!</v>
      </c>
      <c r="BC100" s="1" t="e">
        <f t="shared" si="267"/>
        <v>#REF!</v>
      </c>
      <c r="BD100" s="36"/>
      <c r="BE100" s="3" t="e">
        <f t="shared" si="258"/>
        <v>#REF!</v>
      </c>
      <c r="BF100" s="1">
        <f>VLOOKUP(C100,MOQ,3,FALSE())</f>
        <v>200.0</v>
      </c>
      <c r="BI100" s="1" t="e">
        <f t="shared" si="166"/>
        <v>#REF!</v>
      </c>
      <c r="BJ100" s="1">
        <f t="shared" si="259"/>
        <v>26.4</v>
      </c>
      <c r="BL100" s="3" t="e">
        <f t="shared" si="244"/>
        <v>#REF!</v>
      </c>
      <c r="BM100" s="1">
        <f t="shared" si="260"/>
        <v>0.0</v>
      </c>
      <c r="BO100" s="3" t="e">
        <f t="shared" si="170"/>
        <v>#REF!</v>
      </c>
      <c r="BP100" s="1">
        <f t="shared" si="261"/>
        <v>132.0</v>
      </c>
      <c r="BR100" s="3" t="e">
        <f t="shared" si="172"/>
        <v>#REF!</v>
      </c>
      <c r="BS100" s="1">
        <f t="shared" si="262"/>
        <v>52.8</v>
      </c>
      <c r="BU100" s="3" t="e">
        <f t="shared" si="174"/>
        <v>#REF!</v>
      </c>
    </row>
    <row hidden="1" r="101" ht="14.0" outlineLevel="1">
      <c r="A101" s="27" t="s">
        <v>169</v>
      </c>
      <c r="B101" s="27" t="s">
        <v>170</v>
      </c>
      <c r="C101" s="27" t="s">
        <v>175</v>
      </c>
      <c r="D101" s="27" t="s">
        <v>176</v>
      </c>
      <c r="E101" s="27">
        <v>23.0</v>
      </c>
      <c r="F101" s="27">
        <v>24.0</v>
      </c>
      <c r="G101" s="27">
        <v>24.0</v>
      </c>
      <c r="H101" s="27">
        <v>24.0</v>
      </c>
      <c r="I101" s="27">
        <v>24.0</v>
      </c>
      <c r="J101" s="27">
        <v>24.0</v>
      </c>
      <c r="K101" s="27">
        <v>0.0</v>
      </c>
      <c r="L101" s="27">
        <v>96.0</v>
      </c>
      <c r="M101" s="27">
        <v>24.0</v>
      </c>
      <c r="N101" s="27">
        <v>48.0</v>
      </c>
      <c r="O101" s="27">
        <v>24.0</v>
      </c>
      <c r="P101" s="27">
        <v>216.0</v>
      </c>
      <c r="Q101" s="27">
        <v>24.0</v>
      </c>
      <c r="R101" s="27">
        <v>24.0</v>
      </c>
      <c r="S101" s="27">
        <v>24.0</v>
      </c>
      <c r="T101" s="27">
        <v>24.0</v>
      </c>
      <c r="U101" s="27">
        <v>24.0</v>
      </c>
      <c r="V101" s="27">
        <v>24.0</v>
      </c>
      <c r="W101" s="27">
        <v>24.0</v>
      </c>
      <c r="X101" s="27">
        <v>96.0</v>
      </c>
      <c r="Y101" s="27">
        <v>48.0</v>
      </c>
      <c r="Z101" s="27">
        <v>24.0</v>
      </c>
      <c r="AA101" s="27">
        <v>240.0</v>
      </c>
      <c r="AB101" s="27">
        <v>0.0</v>
      </c>
      <c r="AC101" s="27">
        <v>0.0</v>
      </c>
      <c r="AD101" s="27">
        <v>24.0</v>
      </c>
      <c r="AE101" s="27">
        <v>0.0</v>
      </c>
      <c r="AF101" s="27">
        <v>48.0</v>
      </c>
      <c r="AG101" s="27">
        <v>24.0</v>
      </c>
      <c r="AH101" s="27">
        <v>24.0</v>
      </c>
      <c r="AI101" s="27">
        <v>24.0</v>
      </c>
      <c r="AJ101" s="27">
        <v>72.0</v>
      </c>
      <c r="AK101" s="27">
        <v>144.0</v>
      </c>
      <c r="AL101" s="27">
        <v>12.0</v>
      </c>
      <c r="AM101" s="27">
        <v>24.0</v>
      </c>
      <c r="AN101" s="27">
        <v>216.0</v>
      </c>
      <c r="AO101" s="27"/>
      <c r="AP101" s="27"/>
      <c r="AQ101" s="28">
        <f t="shared" si="154"/>
        <v>636.0</v>
      </c>
      <c r="AR101" s="28">
        <f t="shared" si="155"/>
        <v>300.0</v>
      </c>
      <c r="AS101" s="28">
        <f t="shared" si="156"/>
        <v>330.0</v>
      </c>
      <c r="AU101" s="3">
        <f t="shared" si="227"/>
        <v>26.4</v>
      </c>
      <c r="AV101" s="3">
        <f t="shared" si="228"/>
        <v>0.0</v>
      </c>
      <c r="AW101" s="3">
        <f t="shared" si="229"/>
        <v>52.8</v>
      </c>
      <c r="AX101" s="3">
        <f t="shared" si="230"/>
        <v>26.4</v>
      </c>
      <c r="AY101" s="28"/>
      <c r="AZ101" s="28"/>
      <c r="BA101" s="28">
        <f t="shared" si="240"/>
        <v>105.6</v>
      </c>
      <c r="BB101" s="2" t="e">
        <f t="shared" si="162"/>
        <v>#REF!</v>
      </c>
      <c r="BC101" s="1" t="e">
        <f t="shared" si="267"/>
        <v>#REF!</v>
      </c>
      <c r="BD101" s="36"/>
      <c r="BE101" s="3" t="e">
        <f t="shared" si="258"/>
        <v>#REF!</v>
      </c>
      <c r="BF101" s="1">
        <f>VLOOKUP(C101,MOQ,3,FALSE())</f>
        <v>120.0</v>
      </c>
      <c r="BI101" s="1" t="e">
        <f t="shared" si="166"/>
        <v>#REF!</v>
      </c>
      <c r="BJ101" s="1">
        <f t="shared" si="259"/>
        <v>26.4</v>
      </c>
      <c r="BL101" s="3" t="e">
        <f t="shared" si="244"/>
        <v>#REF!</v>
      </c>
      <c r="BM101" s="1">
        <f t="shared" si="260"/>
        <v>0.0</v>
      </c>
      <c r="BO101" s="3" t="e">
        <f t="shared" si="170"/>
        <v>#REF!</v>
      </c>
      <c r="BP101" s="1">
        <f t="shared" si="261"/>
        <v>52.8</v>
      </c>
      <c r="BR101" s="3" t="e">
        <f t="shared" si="172"/>
        <v>#REF!</v>
      </c>
      <c r="BS101" s="1">
        <f t="shared" si="262"/>
        <v>26.4</v>
      </c>
      <c r="BU101" s="3" t="e">
        <f t="shared" si="174"/>
        <v>#REF!</v>
      </c>
    </row>
    <row hidden="1" r="102" ht="14.0" outlineLevel="1">
      <c r="A102" s="27" t="s">
        <v>169</v>
      </c>
      <c r="B102" s="27" t="s">
        <v>170</v>
      </c>
      <c r="C102" s="27" t="s">
        <v>177</v>
      </c>
      <c r="D102" s="27" t="s">
        <v>178</v>
      </c>
      <c r="E102" s="27">
        <v>24.0</v>
      </c>
      <c r="F102" s="27">
        <v>24.0</v>
      </c>
      <c r="G102" s="27">
        <v>0.0</v>
      </c>
      <c r="H102" s="27">
        <v>24.0</v>
      </c>
      <c r="I102" s="27">
        <v>24.0</v>
      </c>
      <c r="J102" s="27">
        <v>24.0</v>
      </c>
      <c r="K102" s="27">
        <v>24.0</v>
      </c>
      <c r="L102" s="27">
        <v>72.0</v>
      </c>
      <c r="M102" s="27">
        <v>48.0</v>
      </c>
      <c r="N102" s="27">
        <v>48.0</v>
      </c>
      <c r="O102" s="27">
        <v>24.0</v>
      </c>
      <c r="P102" s="27">
        <v>240.0</v>
      </c>
      <c r="Q102" s="27">
        <v>48.0</v>
      </c>
      <c r="R102" s="27">
        <v>24.0</v>
      </c>
      <c r="S102" s="27">
        <v>24.0</v>
      </c>
      <c r="T102" s="27">
        <v>24.0</v>
      </c>
      <c r="U102" s="27">
        <v>48.0</v>
      </c>
      <c r="V102" s="27">
        <v>24.0</v>
      </c>
      <c r="W102" s="27">
        <v>0.0</v>
      </c>
      <c r="X102" s="27">
        <v>72.0</v>
      </c>
      <c r="Y102" s="27">
        <v>48.0</v>
      </c>
      <c r="Z102" s="27">
        <v>72.0</v>
      </c>
      <c r="AA102" s="27">
        <v>240.0</v>
      </c>
      <c r="AB102" s="27">
        <v>0.0</v>
      </c>
      <c r="AC102" s="27">
        <v>24.0</v>
      </c>
      <c r="AD102" s="27">
        <v>0.0</v>
      </c>
      <c r="AE102" s="27">
        <v>48.0</v>
      </c>
      <c r="AF102" s="27">
        <v>24.0</v>
      </c>
      <c r="AG102" s="27">
        <v>72.0</v>
      </c>
      <c r="AH102" s="27">
        <v>24.0</v>
      </c>
      <c r="AI102" s="27">
        <v>48.0</v>
      </c>
      <c r="AJ102" s="27">
        <v>120.0</v>
      </c>
      <c r="AK102" s="27">
        <v>120.0</v>
      </c>
      <c r="AL102" s="27">
        <v>72.0</v>
      </c>
      <c r="AM102" s="27">
        <v>0.0</v>
      </c>
      <c r="AN102" s="27">
        <v>264.0</v>
      </c>
      <c r="AO102" s="27"/>
      <c r="AP102" s="27"/>
      <c r="AQ102" s="28">
        <f t="shared" si="154"/>
        <v>792.0</v>
      </c>
      <c r="AR102" s="28">
        <f t="shared" si="155"/>
        <v>384.0</v>
      </c>
      <c r="AS102" s="28">
        <f t="shared" si="156"/>
        <v>422.4</v>
      </c>
      <c r="AU102" s="3">
        <f t="shared" si="227"/>
        <v>0.0</v>
      </c>
      <c r="AV102" s="3">
        <f t="shared" si="228"/>
        <v>52.8</v>
      </c>
      <c r="AW102" s="3">
        <f t="shared" si="229"/>
        <v>26.4</v>
      </c>
      <c r="AX102" s="3">
        <f t="shared" si="230"/>
        <v>79.2</v>
      </c>
      <c r="AY102" s="28"/>
      <c r="AZ102" s="28"/>
      <c r="BA102" s="28">
        <f t="shared" si="240"/>
        <v>158.4</v>
      </c>
      <c r="BB102" s="2" t="e">
        <f t="shared" si="162"/>
        <v>#REF!</v>
      </c>
      <c r="BC102" s="1" t="e">
        <f t="shared" si="267"/>
        <v>#REF!</v>
      </c>
      <c r="BD102" s="36"/>
      <c r="BE102" s="3" t="e">
        <f t="shared" si="258"/>
        <v>#REF!</v>
      </c>
      <c r="BF102" s="1">
        <f>VLOOKUP(C102,MOQ,3,FALSE())</f>
        <v>120.0</v>
      </c>
      <c r="BI102" s="1" t="e">
        <f t="shared" si="166"/>
        <v>#REF!</v>
      </c>
      <c r="BJ102" s="1">
        <f t="shared" si="259"/>
        <v>0.0</v>
      </c>
      <c r="BL102" s="3" t="e">
        <f t="shared" si="244"/>
        <v>#REF!</v>
      </c>
      <c r="BM102" s="1">
        <f t="shared" si="260"/>
        <v>52.8</v>
      </c>
      <c r="BO102" s="3" t="e">
        <f t="shared" si="170"/>
        <v>#REF!</v>
      </c>
      <c r="BP102" s="1">
        <f t="shared" si="261"/>
        <v>26.4</v>
      </c>
      <c r="BR102" s="3" t="e">
        <f t="shared" si="172"/>
        <v>#REF!</v>
      </c>
      <c r="BS102" s="1">
        <f t="shared" si="262"/>
        <v>79.2</v>
      </c>
      <c r="BU102" s="3" t="e">
        <f t="shared" si="174"/>
        <v>#REF!</v>
      </c>
    </row>
    <row r="103" collapsed="1"/>
    <row r="104" ht="18.0">
      <c r="A104" s="200" t="s">
        <v>147</v>
      </c>
      <c r="B104" s="201"/>
      <c r="C104" s="202" t="s">
        <v>192</v>
      </c>
      <c r="D104" s="202" t="s">
        <v>193</v>
      </c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196">
        <v>1080.0</v>
      </c>
      <c r="V104" s="196">
        <v>500.0</v>
      </c>
      <c r="W104" s="196">
        <v>500.0</v>
      </c>
      <c r="X104" s="196">
        <v>600.0</v>
      </c>
      <c r="Y104" s="196">
        <v>660.0</v>
      </c>
      <c r="Z104" s="196">
        <v>660.0</v>
      </c>
      <c r="AU104" s="196">
        <v>1080.0</v>
      </c>
      <c r="AV104" s="196">
        <v>500.0</v>
      </c>
      <c r="AW104" s="196">
        <v>500.0</v>
      </c>
      <c r="AX104" s="196">
        <v>600.0</v>
      </c>
      <c r="AY104" s="196">
        <v>660.0</v>
      </c>
      <c r="AZ104" s="196">
        <v>660.0</v>
      </c>
      <c r="BA104" s="35">
        <f>SUM(AU104:AZ104)</f>
        <v>4000.0</v>
      </c>
      <c r="BB104" s="36" t="e">
        <f>VLOOKUP(D104,SOHJUNE30,3,false)</f>
        <v>#REF!</v>
      </c>
      <c r="BC104" s="36"/>
      <c r="BD104" s="36"/>
      <c r="BE104" s="35" t="e">
        <f>BB104+BC104+BD104-BA104-BA64</f>
        <v>#REF!</v>
      </c>
      <c r="BF104" s="29">
        <v>2040.0</v>
      </c>
      <c r="BG104" s="38" t="e">
        <f>BE104*-1</f>
        <v>#REF!</v>
      </c>
      <c r="BH104" s="36" t="s">
        <v>253</v>
      </c>
      <c r="BI104" s="36" t="e">
        <f>BB104</f>
        <v>#REF!</v>
      </c>
      <c r="BJ104" s="35">
        <f>AU104+BJ64</f>
        <v>2280.0</v>
      </c>
      <c r="BK104" s="35">
        <f>BC104</f>
      </c>
      <c r="BL104" s="35" t="e">
        <f>BI104+BK104-BJ104</f>
        <v>#REF!</v>
      </c>
      <c r="BM104" s="35">
        <f>AV104+BM64</f>
        <v>1154.0</v>
      </c>
      <c r="BN104" s="35">
        <f>BD104</f>
      </c>
      <c r="BO104" s="35" t="e">
        <f>BL104+BN104-BM104</f>
        <v>#REF!</v>
      </c>
      <c r="BP104" s="35">
        <f>AW104+BP64</f>
        <v>1154.0</v>
      </c>
      <c r="BQ104" s="35"/>
      <c r="BR104" s="35" t="e">
        <f>BO104+BQ104-BP104</f>
        <v>#REF!</v>
      </c>
      <c r="BS104" s="35">
        <f>AX104+BS64</f>
        <v>1500.0</v>
      </c>
      <c r="BT104" s="35"/>
      <c r="BU104" s="35" t="e">
        <f>BR104+BT104-BS104</f>
        <v>#REF!</v>
      </c>
      <c r="BV104" s="35">
        <f>AY104+BV64</f>
        <v>1725.0</v>
      </c>
      <c r="BW104" s="35"/>
      <c r="BX104" s="35" t="e">
        <f>BU104+BW104-BV104</f>
        <v>#REF!</v>
      </c>
      <c r="BY104" s="35">
        <f>AZ104+BY64</f>
        <v>1560.0</v>
      </c>
      <c r="BZ104" s="35"/>
      <c r="CA104" s="199" t="e">
        <f>BX104+BZ104-BY104</f>
        <v>#REF!</v>
      </c>
    </row>
    <row r="105" ht="14.0">
      <c r="A105" s="201"/>
      <c r="B105" s="201"/>
      <c r="C105" s="202" t="s">
        <v>194</v>
      </c>
      <c r="D105" s="202" t="s">
        <v>195</v>
      </c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U105" s="201"/>
      <c r="AV105" s="201"/>
      <c r="AW105" s="201"/>
      <c r="AX105" s="201"/>
      <c r="AY105" s="201"/>
      <c r="AZ105" s="201"/>
      <c r="BF105" s="29">
        <v>2040.0</v>
      </c>
      <c r="BJ105" s="35"/>
      <c r="BK105" s="3"/>
      <c r="BL105" s="3"/>
      <c r="BM105" s="35"/>
      <c r="BN105" s="3"/>
      <c r="BO105" s="3"/>
      <c r="BP105" s="35"/>
      <c r="BQ105" s="3"/>
      <c r="BR105" s="3"/>
      <c r="BS105" s="35"/>
      <c r="BT105" s="3"/>
      <c r="BU105" s="3"/>
      <c r="BV105" s="35"/>
      <c r="BW105" s="3"/>
      <c r="BX105" s="3"/>
      <c r="BY105" s="35"/>
      <c r="BZ105" s="3"/>
      <c r="CA105" s="3"/>
      <c r="AMC105" s="126"/>
      <c r="AMD105" s="126"/>
      <c r="AME105" s="126"/>
      <c r="AMF105" s="126"/>
      <c r="AMG105" s="126"/>
      <c r="AMH105" s="126"/>
      <c r="AMI105" s="126"/>
      <c r="AMJ105" s="126"/>
    </row>
    <row r="106" ht="14.0">
      <c r="A106" s="201"/>
      <c r="B106" s="201"/>
      <c r="C106" s="202" t="s">
        <v>196</v>
      </c>
      <c r="D106" s="202" t="s">
        <v>197</v>
      </c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U106" s="201"/>
      <c r="AV106" s="201"/>
      <c r="AW106" s="201"/>
      <c r="AX106" s="201"/>
      <c r="AY106" s="201"/>
      <c r="AZ106" s="201"/>
      <c r="BF106" s="29">
        <v>2040.0</v>
      </c>
      <c r="BJ106" s="35"/>
      <c r="BK106" s="3"/>
      <c r="BL106" s="3"/>
      <c r="BM106" s="35"/>
      <c r="BN106" s="3"/>
      <c r="BO106" s="3"/>
      <c r="BP106" s="35"/>
      <c r="BQ106" s="3"/>
      <c r="BR106" s="3"/>
      <c r="BS106" s="35"/>
      <c r="BT106" s="3"/>
      <c r="BU106" s="3"/>
      <c r="BV106" s="35"/>
      <c r="BW106" s="3"/>
      <c r="BX106" s="3"/>
      <c r="BY106" s="35"/>
      <c r="BZ106" s="3"/>
      <c r="CA106" s="3"/>
      <c r="AMC106" s="126"/>
      <c r="AMD106" s="126"/>
      <c r="AME106" s="126"/>
      <c r="AMF106" s="126"/>
      <c r="AMG106" s="126"/>
      <c r="AMH106" s="126"/>
      <c r="AMI106" s="126"/>
      <c r="AMJ106" s="126"/>
    </row>
    <row r="107" ht="14.0">
      <c r="A107" s="201"/>
      <c r="B107" s="201"/>
      <c r="C107" s="202" t="s">
        <v>198</v>
      </c>
      <c r="D107" s="202" t="s">
        <v>199</v>
      </c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196">
        <v>540.0</v>
      </c>
      <c r="V107" s="196">
        <v>250.0</v>
      </c>
      <c r="W107" s="196">
        <v>250.0</v>
      </c>
      <c r="X107" s="196">
        <v>300.0</v>
      </c>
      <c r="Y107" s="196">
        <v>330.0</v>
      </c>
      <c r="Z107" s="196">
        <v>330.0</v>
      </c>
      <c r="AU107" s="196">
        <v>540.0</v>
      </c>
      <c r="AV107" s="196">
        <v>250.0</v>
      </c>
      <c r="AW107" s="196">
        <v>250.0</v>
      </c>
      <c r="AX107" s="196">
        <v>300.0</v>
      </c>
      <c r="AY107" s="196">
        <v>330.0</v>
      </c>
      <c r="AZ107" s="196">
        <v>330.0</v>
      </c>
      <c r="BA107" s="35">
        <f>SUM(AU107:AZ107)</f>
        <v>2000.0</v>
      </c>
      <c r="BB107" s="36" t="e">
        <f>VLOOKUP(D107,SOHJUNE30,3,false)</f>
        <v>#REF!</v>
      </c>
      <c r="BC107" s="36"/>
      <c r="BD107" s="36"/>
      <c r="BE107" s="35" t="e">
        <f>BB107+BC107+BD107-BA107-BA67</f>
        <v>#REF!</v>
      </c>
      <c r="BF107" s="29">
        <v>2040.0</v>
      </c>
      <c r="BG107" s="38" t="e">
        <f>BE107*-1</f>
        <v>#REF!</v>
      </c>
      <c r="BH107" s="36" t="s">
        <v>253</v>
      </c>
      <c r="BI107" s="36" t="e">
        <f>BB107</f>
        <v>#REF!</v>
      </c>
      <c r="BJ107" s="35">
        <f>AU107+BJ67</f>
        <v>1740.0</v>
      </c>
      <c r="BK107" s="35">
        <f>BC107</f>
      </c>
      <c r="BL107" s="35" t="e">
        <f>BI107+BK107-BJ107</f>
        <v>#REF!</v>
      </c>
      <c r="BM107" s="35">
        <f>AV107+BM67</f>
        <v>724.0</v>
      </c>
      <c r="BN107" s="35">
        <f>BD107</f>
      </c>
      <c r="BO107" s="35" t="e">
        <f>BL107+BN107-BM107</f>
        <v>#REF!</v>
      </c>
      <c r="BP107" s="35">
        <f>AW107+BP67</f>
        <v>724.0</v>
      </c>
      <c r="BQ107" s="35"/>
      <c r="BR107" s="35" t="e">
        <f>BO107+BQ107-BP107</f>
        <v>#REF!</v>
      </c>
      <c r="BS107" s="35">
        <f>AX107+BS67</f>
        <v>950.0</v>
      </c>
      <c r="BT107" s="35"/>
      <c r="BU107" s="35" t="e">
        <f>BR107+BT107-BS107</f>
        <v>#REF!</v>
      </c>
      <c r="BV107" s="35">
        <f>AY107+BV67</f>
        <v>1100.0</v>
      </c>
      <c r="BW107" s="35"/>
      <c r="BX107" s="35" t="e">
        <f>BU107+BW107-BV107</f>
        <v>#REF!</v>
      </c>
      <c r="BY107" s="35">
        <f>AZ107+BY67</f>
        <v>980.0</v>
      </c>
      <c r="BZ107" s="35"/>
      <c r="CA107" s="199" t="e">
        <f>BX107+BZ107-BY107</f>
        <v>#REF!</v>
      </c>
      <c r="AMC107" s="126"/>
      <c r="AMD107" s="126"/>
      <c r="AME107" s="126"/>
      <c r="AMF107" s="126"/>
      <c r="AMG107" s="126"/>
      <c r="AMH107" s="126"/>
      <c r="AMI107" s="126"/>
      <c r="AMJ107" s="126"/>
    </row>
    <row r="108">
      <c r="C108" s="203"/>
      <c r="BF108" s="29"/>
      <c r="AMC108" s="126"/>
      <c r="AMD108" s="126"/>
      <c r="AME108" s="126"/>
      <c r="AMF108" s="126"/>
      <c r="AMG108" s="126"/>
      <c r="AMH108" s="126"/>
      <c r="AMI108" s="126"/>
      <c r="AMJ108" s="126"/>
    </row>
    <row r="109">
      <c r="C109" s="203"/>
      <c r="AMC109" s="126"/>
      <c r="AMD109" s="126"/>
      <c r="AME109" s="126"/>
      <c r="AMF109" s="126"/>
      <c r="AMG109" s="126"/>
      <c r="AMH109" s="126"/>
      <c r="AMI109" s="126"/>
      <c r="AMJ109" s="126"/>
    </row>
    <row r="110" ht="14.0">
      <c r="C110" s="203" t="s">
        <v>254</v>
      </c>
      <c r="BG110" s="48"/>
    </row>
    <row r="111" ht="14.0">
      <c r="C111" s="203" t="s">
        <v>255</v>
      </c>
      <c r="BG111" s="15"/>
    </row>
    <row r="112" ht="14.0">
      <c r="C112" s="203" t="s">
        <v>256</v>
      </c>
    </row>
    <row r="113" ht="14.0">
      <c r="C113" s="203" t="s">
        <v>257</v>
      </c>
      <c r="AMC113" s="126"/>
      <c r="AMD113" s="126"/>
      <c r="AME113" s="126"/>
      <c r="AMF113" s="126"/>
      <c r="AMG113" s="126"/>
      <c r="AMH113" s="126"/>
      <c r="AMI113" s="126"/>
      <c r="AMJ113" s="126"/>
    </row>
    <row r="114">
      <c r="AMC114" s="126"/>
      <c r="AMD114" s="126"/>
      <c r="AME114" s="126"/>
      <c r="AMF114" s="126"/>
      <c r="AMG114" s="126"/>
      <c r="AMH114" s="126"/>
      <c r="AMI114" s="126"/>
      <c r="AMJ114" s="126"/>
    </row>
  </sheetData>
  <mergeCells count="12">
    <mergeCell ref="BM6:BO6"/>
    <mergeCell ref="BP73:BR73"/>
    <mergeCell ref="BM73:BO73"/>
    <mergeCell ref="BP6:BR6"/>
    <mergeCell ref="BS73:BU73"/>
    <mergeCell ref="BS6:BU6"/>
    <mergeCell ref="BV6:BX6"/>
    <mergeCell ref="BV73:BX73"/>
    <mergeCell ref="BY6:CA6"/>
    <mergeCell ref="BJ6:BL6"/>
    <mergeCell ref="BY73:CA73"/>
    <mergeCell ref="BJ73:BL73"/>
  </mergeCells>
  <conditionalFormatting sqref="E8:AP70">
    <cfRule dxfId="0" operator="equal" type="cellIs" priority="1">
      <formula>0</formula>
    </cfRule>
  </conditionalFormatting>
  <conditionalFormatting sqref="C75:AP102 E72:AA72">
    <cfRule dxfId="0" operator="equal" type="cellIs" priority="2">
      <formula>0</formula>
    </cfRule>
  </conditionalFormatting>
  <conditionalFormatting sqref="C1:C262139">
    <cfRule dxfId="1" operator="containsText" type="containsText" priority="3" text="set up">
      <formula>NOT(ISERROR(SEARCH("set up",C1)))</formula>
    </cfRule>
  </conditionalFormatting>
  <conditionalFormatting sqref="BE103:BE103 BE105:BE106 BE108:BE262139 BE22:BE74 BE1:BE20">
    <cfRule dxfId="2" operator="lessThan" type="cellIs" priority="4">
      <formula>0</formula>
    </cfRule>
  </conditionalFormatting>
  <conditionalFormatting sqref="BK22:BK29 BN9:BN9 BN22:BN29 BJ8:BU8 BK9:BL9 BJ9:BJ69 BK64:BK69 BL10:BL69 BM9:BM69 BN64:BN69 BO9:BU69 BI8:BI70">
    <cfRule dxfId="3" operator="lessThan" type="cellIs" priority="5">
      <formula>0</formula>
    </cfRule>
  </conditionalFormatting>
  <conditionalFormatting sqref="BI75:BU81 BI82:BK102 BL87:BU102 BM82:BU86">
    <cfRule dxfId="3" operator="lessThan" type="cellIs" priority="6">
      <formula>0</formula>
    </cfRule>
  </conditionalFormatting>
  <conditionalFormatting sqref="BE75:BE102">
    <cfRule dxfId="2" operator="lessThan" type="cellIs" priority="7">
      <formula>0</formula>
    </cfRule>
  </conditionalFormatting>
  <conditionalFormatting sqref="BV8:BX9 BV22:BX29">
    <cfRule dxfId="3" operator="lessThan" type="cellIs" priority="8">
      <formula>0</formula>
    </cfRule>
  </conditionalFormatting>
  <conditionalFormatting sqref="BY8:CA9 BY22:CA29">
    <cfRule dxfId="3" operator="lessThan" type="cellIs" priority="9">
      <formula>0</formula>
    </cfRule>
  </conditionalFormatting>
  <conditionalFormatting sqref="BV82:BX86">
    <cfRule dxfId="3" operator="lessThan" type="cellIs" priority="10">
      <formula>0</formula>
    </cfRule>
  </conditionalFormatting>
  <conditionalFormatting sqref="BY82:CA86">
    <cfRule dxfId="3" operator="lessThan" type="cellIs" priority="11">
      <formula>0</formula>
    </cfRule>
  </conditionalFormatting>
  <conditionalFormatting sqref="BV64:BX69">
    <cfRule dxfId="3" operator="lessThan" type="cellIs" priority="12">
      <formula>0</formula>
    </cfRule>
  </conditionalFormatting>
  <conditionalFormatting sqref="BY64:CA65">
    <cfRule dxfId="3" operator="lessThan" type="cellIs" priority="13">
      <formula>0</formula>
    </cfRule>
  </conditionalFormatting>
  <conditionalFormatting sqref="BY66:CA66">
    <cfRule dxfId="3" operator="lessThan" type="cellIs" priority="14">
      <formula>0</formula>
    </cfRule>
  </conditionalFormatting>
  <conditionalFormatting sqref="BY67:CA69">
    <cfRule dxfId="3" operator="lessThan" type="cellIs" priority="15">
      <formula>0</formula>
    </cfRule>
  </conditionalFormatting>
  <conditionalFormatting sqref="BB8:BB70 BB75:BB102">
    <cfRule dxfId="3" operator="lessThanOrEqual" type="cellIs" priority="16">
      <formula>0</formula>
    </cfRule>
  </conditionalFormatting>
  <conditionalFormatting sqref="BL82:BL86">
    <cfRule dxfId="3" operator="lessThan" type="cellIs" priority="17">
      <formula>0</formula>
    </cfRule>
  </conditionalFormatting>
  <conditionalFormatting sqref="BI104:BK104 BM104:BU104 BS105:BS107 BP105:BP107 BM105:BM107 BJ105:BJ107">
    <cfRule dxfId="3" operator="lessThan" type="cellIs" priority="18">
      <formula>0</formula>
    </cfRule>
  </conditionalFormatting>
  <conditionalFormatting sqref="BE104:BE104">
    <cfRule dxfId="2" operator="lessThan" type="cellIs" priority="19">
      <formula>0</formula>
    </cfRule>
  </conditionalFormatting>
  <conditionalFormatting sqref="BV104:BX104 BV105:BV107">
    <cfRule dxfId="3" operator="lessThan" type="cellIs" priority="20">
      <formula>0</formula>
    </cfRule>
  </conditionalFormatting>
  <conditionalFormatting sqref="BY104:CA104 BY105:BY107">
    <cfRule dxfId="3" operator="lessThan" type="cellIs" priority="21">
      <formula>0</formula>
    </cfRule>
  </conditionalFormatting>
  <conditionalFormatting sqref="BB104:BB104">
    <cfRule dxfId="3" operator="lessThanOrEqual" type="cellIs" priority="22">
      <formula>0</formula>
    </cfRule>
  </conditionalFormatting>
  <conditionalFormatting sqref="BL104:BL104">
    <cfRule dxfId="3" operator="lessThan" type="cellIs" priority="23">
      <formula>0</formula>
    </cfRule>
  </conditionalFormatting>
  <conditionalFormatting sqref="BI107:BI107 BK107:BK107 BN107:BO107 BQ107:BR107 BT107:BU107">
    <cfRule dxfId="3" operator="lessThan" type="cellIs" priority="24">
      <formula>0</formula>
    </cfRule>
  </conditionalFormatting>
  <conditionalFormatting sqref="BE107:BE107">
    <cfRule dxfId="2" operator="lessThan" type="cellIs" priority="25">
      <formula>0</formula>
    </cfRule>
  </conditionalFormatting>
  <conditionalFormatting sqref="BW107:BX107">
    <cfRule dxfId="3" operator="lessThan" type="cellIs" priority="26">
      <formula>0</formula>
    </cfRule>
  </conditionalFormatting>
  <conditionalFormatting sqref="BZ107:CA107">
    <cfRule dxfId="3" operator="lessThan" type="cellIs" priority="27">
      <formula>0</formula>
    </cfRule>
  </conditionalFormatting>
  <conditionalFormatting sqref="BB107:BB107">
    <cfRule dxfId="3" operator="lessThanOrEqual" type="cellIs" priority="28">
      <formula>0</formula>
    </cfRule>
  </conditionalFormatting>
  <conditionalFormatting sqref="BL107:BL107">
    <cfRule dxfId="3" operator="lessThan" type="cellIs" priority="29">
      <formula>0</formula>
    </cfRule>
  </conditionalFormatting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A105"/>
  <sheetViews>
    <sheetView workbookViewId="0">
      <pane xSplit="4" ySplit="7" topLeftCell="E8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hidden="1" style="1" width="0.0" outlineLevel="1"/>
    <col min="30" max="30" hidden="1" style="1" width="0.0" outlineLevel="1"/>
    <col min="31" max="31" style="1" width="6.49" collapsed="1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39" style="1" width="8.21"/>
    <col min="40" max="40" style="1" width="8.21"/>
    <col min="41" max="42" style="1" width="7.15"/>
    <col min="43" max="43" style="2" width="7.68"/>
    <col min="44" max="44" style="2" width="9.8"/>
    <col min="45" max="45" style="2" width="12.45"/>
    <col min="46" max="46" style="1" width="3.17"/>
    <col min="47" max="47" style="1" width="7.28"/>
    <col min="48" max="50" style="1" width="11.12"/>
    <col min="51" max="52" style="2" width="11.12"/>
    <col min="53" max="53" style="2" width="9.67"/>
    <col min="54" max="54" style="2" width="9.67"/>
    <col min="55" max="55" style="1" width="13.24"/>
    <col min="56" max="56" style="1" width="13.24"/>
    <col min="57" max="57" style="3" width="10.06"/>
    <col min="58" max="58" style="1" width="6.62"/>
    <col min="59" max="59" style="4" width="12.05"/>
    <col min="60" max="60" style="1" width="14.7"/>
    <col min="61" max="61" style="1" width="8.87"/>
    <col min="62" max="73" style="1" width="8.87"/>
    <col min="74" max="77" style="1" width="7.94"/>
    <col min="78" max="79" style="1" width="8.21"/>
    <col min="80" max="1016" style="1" width="13.24"/>
    <col min="1017" max="1025" width="13.24"/>
  </cols>
  <sheetData>
    <row r="1">
      <c r="AO1" s="170" t="s">
        <v>237</v>
      </c>
      <c r="AP1" s="171"/>
      <c r="AQ1" s="5"/>
      <c r="AR1" s="5"/>
      <c r="AS1" s="5"/>
      <c r="BH1" s="6"/>
    </row>
    <row r="2">
      <c r="AO2" s="172" t="s">
        <v>238</v>
      </c>
      <c r="AP2" s="172" t="s">
        <v>238</v>
      </c>
      <c r="AQ2" s="5"/>
      <c r="AR2" s="5"/>
      <c r="AS2" s="5"/>
      <c r="AU2" s="172" t="s">
        <v>238</v>
      </c>
      <c r="AV2" s="173" t="s">
        <v>222</v>
      </c>
      <c r="AW2" s="172" t="s">
        <v>223</v>
      </c>
      <c r="AX2" s="172" t="s">
        <v>223</v>
      </c>
      <c r="AY2" s="172" t="s">
        <v>223</v>
      </c>
      <c r="AZ2" s="172" t="s">
        <v>223</v>
      </c>
      <c r="BG2" s="184" t="s">
        <v>246</v>
      </c>
      <c r="BH2" s="185"/>
    </row>
    <row r="3">
      <c r="AQ3" s="5"/>
      <c r="AR3" s="5"/>
      <c r="AS3" s="5"/>
      <c r="AV3" s="174" t="s">
        <v>224</v>
      </c>
      <c r="AW3" s="174" t="s">
        <v>225</v>
      </c>
      <c r="AX3" s="174" t="s">
        <v>225</v>
      </c>
      <c r="AY3" s="174" t="s">
        <v>225</v>
      </c>
      <c r="AZ3" s="174" t="s">
        <v>225</v>
      </c>
      <c r="BG3" s="175" t="s">
        <v>77</v>
      </c>
      <c r="BH3" s="6"/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L4" s="7"/>
      <c r="AM4" s="7"/>
      <c r="AN4" s="7"/>
      <c r="AO4" s="7"/>
      <c r="AP4" s="7"/>
      <c r="AQ4" s="5"/>
      <c r="AR4" s="8"/>
      <c r="AS4" s="8"/>
      <c r="AU4" s="7"/>
      <c r="AV4" s="7"/>
      <c r="AW4" s="7"/>
      <c r="AX4" s="7"/>
      <c r="AY4" s="7"/>
      <c r="AZ4" s="7"/>
      <c r="BH4" s="6"/>
    </row>
    <row r="5">
      <c r="E5" s="7">
        <v>0.097</v>
      </c>
      <c r="F5" s="7">
        <v>0.046</v>
      </c>
      <c r="G5" s="7">
        <v>0.089</v>
      </c>
      <c r="H5" s="7">
        <v>0.073</v>
      </c>
      <c r="I5" s="7">
        <v>0.057</v>
      </c>
      <c r="J5" s="7">
        <v>0.114</v>
      </c>
      <c r="K5" s="7">
        <v>0.127</v>
      </c>
      <c r="L5" s="7">
        <v>0.115</v>
      </c>
      <c r="M5" s="7">
        <v>0.094</v>
      </c>
      <c r="N5" s="7">
        <v>0.052</v>
      </c>
      <c r="O5" s="7">
        <v>0.065</v>
      </c>
      <c r="P5" s="7">
        <v>0.07</v>
      </c>
      <c r="Q5" s="7">
        <v>0.097</v>
      </c>
      <c r="R5" s="7">
        <v>0.046</v>
      </c>
      <c r="S5" s="7">
        <v>0.089</v>
      </c>
      <c r="T5" s="7">
        <v>0.073</v>
      </c>
      <c r="U5" s="7">
        <v>0.057</v>
      </c>
      <c r="V5" s="7">
        <v>0.114</v>
      </c>
      <c r="W5" s="7">
        <v>0.127</v>
      </c>
      <c r="X5" s="7">
        <v>0.115</v>
      </c>
      <c r="Y5" s="7">
        <v>0.094</v>
      </c>
      <c r="Z5" s="7">
        <v>0.052</v>
      </c>
      <c r="AA5" s="7">
        <v>0.065</v>
      </c>
      <c r="AB5" s="7">
        <v>0.07</v>
      </c>
      <c r="AC5" s="7">
        <v>0.097</v>
      </c>
      <c r="AD5" s="7">
        <v>0.046</v>
      </c>
      <c r="AE5" s="7">
        <v>0.089</v>
      </c>
      <c r="AF5" s="7">
        <v>0.073</v>
      </c>
      <c r="AG5" s="7">
        <v>0.057</v>
      </c>
      <c r="AH5" s="7">
        <v>0.114</v>
      </c>
      <c r="AI5" s="7">
        <v>0.127</v>
      </c>
      <c r="AJ5" s="7">
        <v>0.115</v>
      </c>
      <c r="AK5" s="7">
        <v>0.094</v>
      </c>
      <c r="AL5" s="7">
        <v>0.052</v>
      </c>
      <c r="AM5" s="7">
        <v>0.065</v>
      </c>
      <c r="AN5" s="152" t="s">
        <v>0</v>
      </c>
      <c r="AO5" s="7">
        <v>0.097</v>
      </c>
      <c r="AP5" s="7">
        <v>0.046</v>
      </c>
      <c r="AQ5" s="5">
        <f>SUM(AE5:AP5)</f>
        <v>0.929</v>
      </c>
      <c r="AR5" s="8">
        <f>SUM(AK5:AP5)</f>
        <v>0.354</v>
      </c>
      <c r="AS5" s="8">
        <f>AR5*1.1</f>
        <v>0.3894</v>
      </c>
      <c r="AU5" s="7">
        <v>0.089</v>
      </c>
      <c r="AV5" s="7">
        <v>0.073</v>
      </c>
      <c r="AW5" s="7">
        <v>0.057</v>
      </c>
      <c r="AX5" s="7">
        <v>0.114</v>
      </c>
      <c r="AY5" s="7">
        <v>0.127</v>
      </c>
      <c r="AZ5" s="7">
        <v>0.115</v>
      </c>
      <c r="BH5" s="6"/>
    </row>
    <row r="6" ht="14.0">
      <c r="A6" s="6"/>
      <c r="B6" s="6"/>
      <c r="C6" s="6"/>
      <c r="D6" s="6"/>
      <c r="E6" s="9">
        <v>45799</v>
      </c>
      <c r="F6" s="9">
        <v>45830</v>
      </c>
      <c r="G6" s="9">
        <v>45860</v>
      </c>
      <c r="H6" s="9">
        <v>45891</v>
      </c>
      <c r="I6" s="9">
        <v>45922</v>
      </c>
      <c r="J6" s="9">
        <v>45952</v>
      </c>
      <c r="K6" s="9">
        <v>45983</v>
      </c>
      <c r="L6" s="9">
        <v>46013</v>
      </c>
      <c r="M6" s="9">
        <v>45680</v>
      </c>
      <c r="N6" s="9">
        <v>45711</v>
      </c>
      <c r="O6" s="9">
        <v>45739</v>
      </c>
      <c r="P6" s="9">
        <v>45770</v>
      </c>
      <c r="Q6" s="10">
        <v>45800</v>
      </c>
      <c r="R6" s="10">
        <v>45831</v>
      </c>
      <c r="S6" s="10">
        <v>45861</v>
      </c>
      <c r="T6" s="10">
        <v>45892</v>
      </c>
      <c r="U6" s="10">
        <v>45923</v>
      </c>
      <c r="V6" s="10">
        <v>45953</v>
      </c>
      <c r="W6" s="10">
        <v>45984</v>
      </c>
      <c r="X6" s="10">
        <v>46014</v>
      </c>
      <c r="Y6" s="10">
        <v>45681</v>
      </c>
      <c r="Z6" s="10">
        <v>45712</v>
      </c>
      <c r="AA6" s="10">
        <v>45740</v>
      </c>
      <c r="AB6" s="10">
        <v>45771</v>
      </c>
      <c r="AC6" s="10">
        <v>45801</v>
      </c>
      <c r="AD6" s="10">
        <v>45832</v>
      </c>
      <c r="AE6" s="11">
        <v>45862</v>
      </c>
      <c r="AF6" s="11">
        <v>45893</v>
      </c>
      <c r="AG6" s="11">
        <v>45924</v>
      </c>
      <c r="AH6" s="11">
        <v>45954</v>
      </c>
      <c r="AI6" s="11">
        <v>45985</v>
      </c>
      <c r="AJ6" s="11">
        <v>46015</v>
      </c>
      <c r="AK6" s="11">
        <v>45682</v>
      </c>
      <c r="AL6" s="11">
        <v>45713</v>
      </c>
      <c r="AM6" s="11">
        <v>45741</v>
      </c>
      <c r="AN6" s="11">
        <v>45772</v>
      </c>
      <c r="AO6" s="11">
        <v>45802</v>
      </c>
      <c r="AP6" s="11">
        <v>45833</v>
      </c>
      <c r="AQ6" s="12" t="s">
        <v>1</v>
      </c>
      <c r="AR6" s="12" t="s">
        <v>247</v>
      </c>
      <c r="AS6" s="12" t="s">
        <v>247</v>
      </c>
      <c r="AT6" s="13"/>
      <c r="AU6" s="11">
        <v>45862</v>
      </c>
      <c r="AV6" s="11">
        <v>45893</v>
      </c>
      <c r="AW6" s="11">
        <v>45924</v>
      </c>
      <c r="AX6" s="11">
        <v>45955</v>
      </c>
      <c r="AY6" s="11">
        <v>45986</v>
      </c>
      <c r="AZ6" s="11">
        <v>46016</v>
      </c>
      <c r="BA6" s="13" t="s">
        <v>3</v>
      </c>
      <c r="BB6" s="13" t="s">
        <v>3</v>
      </c>
      <c r="BC6" s="13" t="s">
        <v>3</v>
      </c>
      <c r="BD6" s="13" t="s">
        <v>3</v>
      </c>
      <c r="BE6" s="14" t="s">
        <v>3</v>
      </c>
      <c r="BF6" s="13" t="s">
        <v>3</v>
      </c>
      <c r="BG6" s="15" t="s">
        <v>3</v>
      </c>
      <c r="BH6" s="13"/>
      <c r="BI6" s="13" t="s">
        <v>6</v>
      </c>
      <c r="BJ6" s="13" t="s">
        <v>7</v>
      </c>
      <c r="BK6" s="13"/>
      <c r="BL6" s="13"/>
      <c r="BM6" s="13" t="s">
        <v>8</v>
      </c>
      <c r="BN6" s="13"/>
      <c r="BO6" s="13"/>
      <c r="BP6" s="13" t="s">
        <v>9</v>
      </c>
      <c r="BQ6" s="13"/>
      <c r="BR6" s="13"/>
      <c r="BS6" s="13" t="s">
        <v>10</v>
      </c>
      <c r="BT6" s="13"/>
      <c r="BU6" s="13"/>
      <c r="BV6" s="13" t="s">
        <v>227</v>
      </c>
      <c r="BW6" s="13"/>
      <c r="BX6" s="13"/>
      <c r="BY6" s="13" t="s">
        <v>212</v>
      </c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</row>
    <row r="7" ht="29.0">
      <c r="A7" s="16" t="s">
        <v>11</v>
      </c>
      <c r="B7" s="16" t="s">
        <v>12</v>
      </c>
      <c r="C7" s="16" t="s">
        <v>13</v>
      </c>
      <c r="D7" s="17" t="s">
        <v>14</v>
      </c>
      <c r="E7" s="18" t="s">
        <v>15</v>
      </c>
      <c r="F7" s="18" t="s">
        <v>15</v>
      </c>
      <c r="G7" s="18" t="s">
        <v>15</v>
      </c>
      <c r="H7" s="18" t="s">
        <v>15</v>
      </c>
      <c r="I7" s="18" t="s">
        <v>15</v>
      </c>
      <c r="J7" s="18" t="s">
        <v>15</v>
      </c>
      <c r="K7" s="18" t="s">
        <v>15</v>
      </c>
      <c r="L7" s="18" t="s">
        <v>15</v>
      </c>
      <c r="M7" s="18" t="s">
        <v>15</v>
      </c>
      <c r="N7" s="18" t="s">
        <v>15</v>
      </c>
      <c r="O7" s="18" t="s">
        <v>15</v>
      </c>
      <c r="P7" s="18" t="s">
        <v>15</v>
      </c>
      <c r="Q7" s="18" t="s">
        <v>15</v>
      </c>
      <c r="R7" s="18" t="s">
        <v>15</v>
      </c>
      <c r="S7" s="18" t="s">
        <v>15</v>
      </c>
      <c r="T7" s="18" t="s">
        <v>15</v>
      </c>
      <c r="U7" s="18" t="s">
        <v>15</v>
      </c>
      <c r="V7" s="18" t="s">
        <v>15</v>
      </c>
      <c r="W7" s="18" t="s">
        <v>15</v>
      </c>
      <c r="X7" s="18" t="s">
        <v>15</v>
      </c>
      <c r="Y7" s="18" t="s">
        <v>15</v>
      </c>
      <c r="Z7" s="18" t="s">
        <v>15</v>
      </c>
      <c r="AA7" s="18" t="s">
        <v>15</v>
      </c>
      <c r="AB7" s="18" t="s">
        <v>15</v>
      </c>
      <c r="AC7" s="18" t="s">
        <v>15</v>
      </c>
      <c r="AD7" s="18" t="s">
        <v>15</v>
      </c>
      <c r="AE7" s="18" t="s">
        <v>15</v>
      </c>
      <c r="AF7" s="18" t="s">
        <v>15</v>
      </c>
      <c r="AG7" s="18" t="s">
        <v>15</v>
      </c>
      <c r="AH7" s="18" t="s">
        <v>15</v>
      </c>
      <c r="AI7" s="18" t="s">
        <v>15</v>
      </c>
      <c r="AJ7" s="18" t="s">
        <v>15</v>
      </c>
      <c r="AK7" s="18" t="s">
        <v>15</v>
      </c>
      <c r="AL7" s="18" t="s">
        <v>15</v>
      </c>
      <c r="AM7" s="18" t="s">
        <v>15</v>
      </c>
      <c r="AN7" s="18" t="s">
        <v>15</v>
      </c>
      <c r="AO7" s="18"/>
      <c r="AP7" s="18"/>
      <c r="AQ7" s="19" t="s">
        <v>3</v>
      </c>
      <c r="AR7" s="19" t="s">
        <v>3</v>
      </c>
      <c r="AS7" s="19" t="s">
        <v>16</v>
      </c>
      <c r="AT7" s="20"/>
      <c r="AU7" s="21" t="s">
        <v>17</v>
      </c>
      <c r="AV7" s="21" t="s">
        <v>17</v>
      </c>
      <c r="AW7" s="21" t="s">
        <v>17</v>
      </c>
      <c r="AX7" s="21" t="s">
        <v>17</v>
      </c>
      <c r="AY7" s="21" t="s">
        <v>17</v>
      </c>
      <c r="AZ7" s="21" t="s">
        <v>17</v>
      </c>
      <c r="BA7" s="21" t="s">
        <v>17</v>
      </c>
      <c r="BB7" s="18" t="s">
        <v>233</v>
      </c>
      <c r="BC7" s="22" t="s">
        <v>240</v>
      </c>
      <c r="BD7" s="22" t="s">
        <v>229</v>
      </c>
      <c r="BE7" s="23" t="s">
        <v>21</v>
      </c>
      <c r="BF7" s="18" t="s">
        <v>22</v>
      </c>
      <c r="BG7" s="24" t="s">
        <v>23</v>
      </c>
      <c r="BH7" s="25" t="s">
        <v>24</v>
      </c>
      <c r="BI7" s="18" t="s">
        <v>25</v>
      </c>
      <c r="BJ7" s="18" t="s">
        <v>17</v>
      </c>
      <c r="BK7" s="18" t="s">
        <v>26</v>
      </c>
      <c r="BL7" s="18" t="s">
        <v>27</v>
      </c>
      <c r="BM7" s="18" t="s">
        <v>17</v>
      </c>
      <c r="BN7" s="18" t="s">
        <v>26</v>
      </c>
      <c r="BO7" s="18" t="s">
        <v>27</v>
      </c>
      <c r="BP7" s="18" t="s">
        <v>17</v>
      </c>
      <c r="BQ7" s="18" t="s">
        <v>26</v>
      </c>
      <c r="BR7" s="18" t="s">
        <v>27</v>
      </c>
      <c r="BS7" s="18" t="s">
        <v>17</v>
      </c>
      <c r="BT7" s="18" t="s">
        <v>26</v>
      </c>
      <c r="BU7" s="18" t="s">
        <v>27</v>
      </c>
      <c r="BV7" s="18" t="s">
        <v>17</v>
      </c>
      <c r="BW7" s="18" t="s">
        <v>26</v>
      </c>
      <c r="BX7" s="18" t="s">
        <v>27</v>
      </c>
      <c r="BY7" s="18" t="s">
        <v>17</v>
      </c>
      <c r="BZ7" s="18" t="s">
        <v>26</v>
      </c>
      <c r="CA7" s="18" t="s">
        <v>27</v>
      </c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</row>
    <row r="8" ht="14.0">
      <c r="A8" s="166" t="s">
        <v>28</v>
      </c>
      <c r="B8" s="27" t="s">
        <v>29</v>
      </c>
      <c r="C8" s="166" t="s">
        <v>30</v>
      </c>
      <c r="D8" s="166" t="s">
        <v>31</v>
      </c>
      <c r="E8" s="27"/>
      <c r="F8" s="27">
        <v>571.0</v>
      </c>
      <c r="G8" s="27">
        <v>495.0</v>
      </c>
      <c r="H8" s="27">
        <v>826.0</v>
      </c>
      <c r="I8" s="27">
        <v>491.0</v>
      </c>
      <c r="J8" s="27">
        <v>372.0</v>
      </c>
      <c r="K8" s="27">
        <v>638.0</v>
      </c>
      <c r="L8" s="27">
        <v>765.0</v>
      </c>
      <c r="M8" s="27">
        <v>626.0</v>
      </c>
      <c r="N8" s="27">
        <v>646.0</v>
      </c>
      <c r="O8" s="27">
        <v>490.0</v>
      </c>
      <c r="P8" s="27">
        <v>880.0</v>
      </c>
      <c r="Q8" s="27">
        <v>456.0</v>
      </c>
      <c r="R8" s="27">
        <v>439.0</v>
      </c>
      <c r="S8" s="27">
        <v>396.0</v>
      </c>
      <c r="T8" s="27">
        <v>330.0</v>
      </c>
      <c r="U8" s="27">
        <v>377.0</v>
      </c>
      <c r="V8" s="27">
        <v>535.0</v>
      </c>
      <c r="W8" s="27">
        <v>489.0</v>
      </c>
      <c r="X8" s="27">
        <v>512.0</v>
      </c>
      <c r="Y8" s="27">
        <v>468.0</v>
      </c>
      <c r="Z8" s="27">
        <v>520.0</v>
      </c>
      <c r="AA8" s="27">
        <v>414.0</v>
      </c>
      <c r="AB8" s="27">
        <v>433.0</v>
      </c>
      <c r="AC8" s="27">
        <v>324.0</v>
      </c>
      <c r="AD8" s="27">
        <v>315.0</v>
      </c>
      <c r="AE8" s="27">
        <v>331.0</v>
      </c>
      <c r="AF8" s="27">
        <v>335.0</v>
      </c>
      <c r="AG8" s="27">
        <v>240.0</v>
      </c>
      <c r="AH8" s="27">
        <v>518.0</v>
      </c>
      <c r="AI8" s="27">
        <v>622.0</v>
      </c>
      <c r="AJ8" s="27">
        <v>496.0</v>
      </c>
      <c r="AK8" s="27">
        <v>325.0</v>
      </c>
      <c r="AL8" s="27">
        <v>355.0</v>
      </c>
      <c r="AM8" s="27">
        <v>415.0</v>
      </c>
      <c r="AN8" s="27">
        <v>240.0</v>
      </c>
      <c r="AO8" s="186">
        <v>143.0</v>
      </c>
      <c r="AP8" s="186">
        <v>307.0</v>
      </c>
      <c r="AQ8" s="28">
        <f t="shared" ref="AQ8:AQ67" si="3">SUM(AE8:AP8)</f>
        <v>4327.0</v>
      </c>
      <c r="AR8" s="28">
        <f t="shared" ref="AR8:AR67" si="4">SUM(AK8:AP8)</f>
        <v>1785.0</v>
      </c>
      <c r="AS8" s="28">
        <f t="shared" ref="AS8:AS63" si="5">AR8*1.1</f>
        <v>1963.5</v>
      </c>
      <c r="AU8" s="171">
        <f t="shared" ref="AU8:AU14" si="6">AS8*$AU$5/$AS$5+6*$AU$16</f>
        <v>454.77118644068</v>
      </c>
      <c r="AV8" s="171">
        <f t="shared" ref="AV8:AV14" si="7">AS8*$AV$5/$AS$5+6*$AV$16</f>
        <v>374.093220338983</v>
      </c>
      <c r="AW8" s="171">
        <f t="shared" ref="AW8:AW14" si="8">AS8*$AW$5/$AS$5+6*$AW$16</f>
        <v>293.415254237288</v>
      </c>
      <c r="AX8" s="171">
        <f t="shared" ref="AX8:AX14" si="9">AS8*$AX$5/$AS$5+6*$AX$16</f>
        <v>580.830508474576</v>
      </c>
      <c r="AY8" s="175">
        <f t="shared" ref="AY8:AY9" si="10">AS8*$AY$5/$AS$5+6*$AY$16</f>
        <v>646.381355932203</v>
      </c>
      <c r="AZ8" s="175">
        <f t="shared" ref="AZ8:AZ9" si="11">AS8*$AZ$5/$AS$5+6*$AZ$16</f>
        <v>585.872881355932</v>
      </c>
      <c r="BA8" s="2">
        <f t="shared" ref="BA8:BA67" si="12">SUM(AU8:AZ8)</f>
        <v>2935.36440677966</v>
      </c>
      <c r="BB8" s="2" t="e">
        <f t="shared" ref="BB8:BB63" si="13">VLOOKUP(D8,SOHJUNE30,3,false)</f>
        <v>#REF!</v>
      </c>
      <c r="BD8" s="36"/>
      <c r="BE8" s="28" t="e">
        <f t="shared" ref="BE8:BE15" si="14">BB8+BC8+BD8-BA8</f>
        <v>#REF!</v>
      </c>
      <c r="BF8" s="29">
        <f>VLOOKUP(C8,MOQ,3,FALSE())</f>
        <v>504.0</v>
      </c>
      <c r="BG8" s="30" t="s">
        <v>32</v>
      </c>
      <c r="BH8" s="29" t="s">
        <v>77</v>
      </c>
      <c r="BI8" s="1" t="e">
        <f t="shared" ref="BI8:BI20" si="16">BB8</f>
        <v>#REF!</v>
      </c>
      <c r="BJ8" s="1">
        <f t="shared" ref="BJ8:BJ20" si="17">AU8</f>
        <v>454.77118644068</v>
      </c>
      <c r="BK8">
        <f t="shared" ref="BK8:BK9" si="18">BC8</f>
      </c>
      <c r="BL8" s="3" t="e">
        <f t="shared" ref="BL8:BL29" si="19">BI8+BK8-BJ8</f>
        <v>#REF!</v>
      </c>
      <c r="BM8" s="1">
        <f t="shared" ref="BM8:BM20" si="20">AV8</f>
        <v>374.093220338983</v>
      </c>
      <c r="BN8">
        <f t="shared" ref="BN8:BN9" si="21">BD8</f>
      </c>
      <c r="BO8" s="3" t="e">
        <f t="shared" ref="BO8:BO20" si="22">BL8+BN8-BM8</f>
        <v>#REF!</v>
      </c>
      <c r="BP8" s="1">
        <f t="shared" ref="BP8:BP20" si="23">AW8</f>
        <v>293.415254237288</v>
      </c>
      <c r="BR8" s="3" t="e">
        <f t="shared" ref="BR8:BR20" si="24">BO8+BQ8-BP8</f>
        <v>#REF!</v>
      </c>
      <c r="BS8" s="1">
        <f t="shared" ref="BS8:BS20" si="25">AX8</f>
        <v>580.830508474576</v>
      </c>
      <c r="BU8" s="3" t="e">
        <f t="shared" ref="BU8:BU20" si="26">BR8+BT8-BS8</f>
        <v>#REF!</v>
      </c>
      <c r="BV8" s="1">
        <f t="shared" ref="BV8:BV9" si="27">AY8</f>
        <v>646.381355932203</v>
      </c>
      <c r="BX8" s="3" t="e">
        <f t="shared" ref="BX8:BX9" si="28">BU8+BW8-BV8</f>
        <v>#REF!</v>
      </c>
      <c r="BY8" s="1">
        <f t="shared" ref="BY8:BY9" si="29">AZ8</f>
        <v>585.872881355932</v>
      </c>
      <c r="CA8" s="3" t="e">
        <f t="shared" ref="CA8:CA9" si="30">BX8+BZ8-BY8</f>
        <v>#REF!</v>
      </c>
    </row>
    <row r="9" ht="14.0">
      <c r="A9" s="166" t="s">
        <v>28</v>
      </c>
      <c r="B9" s="27" t="s">
        <v>29</v>
      </c>
      <c r="C9" s="166" t="s">
        <v>33</v>
      </c>
      <c r="D9" s="166" t="s">
        <v>34</v>
      </c>
      <c r="E9" s="27"/>
      <c r="F9" s="27">
        <v>143.0</v>
      </c>
      <c r="G9" s="27">
        <v>257.0</v>
      </c>
      <c r="H9" s="27">
        <v>282.0</v>
      </c>
      <c r="I9" s="27">
        <v>353.0</v>
      </c>
      <c r="J9" s="27">
        <v>293.0</v>
      </c>
      <c r="K9" s="27">
        <v>447.0</v>
      </c>
      <c r="L9" s="27">
        <v>473.0</v>
      </c>
      <c r="M9" s="27">
        <v>257.0</v>
      </c>
      <c r="N9" s="27">
        <v>248.0</v>
      </c>
      <c r="O9" s="27">
        <v>237.0</v>
      </c>
      <c r="P9" s="27">
        <v>295.0</v>
      </c>
      <c r="Q9" s="27">
        <v>223.0</v>
      </c>
      <c r="R9" s="27">
        <v>180.0</v>
      </c>
      <c r="S9" s="27">
        <v>247.0</v>
      </c>
      <c r="T9" s="27">
        <v>250.0</v>
      </c>
      <c r="U9" s="27">
        <v>156.0</v>
      </c>
      <c r="V9" s="27">
        <v>155.0</v>
      </c>
      <c r="W9" s="27">
        <v>286.0</v>
      </c>
      <c r="X9" s="27">
        <v>305.0</v>
      </c>
      <c r="Y9" s="27">
        <v>297.0</v>
      </c>
      <c r="Z9" s="27">
        <v>264.0</v>
      </c>
      <c r="AA9" s="27">
        <v>196.0</v>
      </c>
      <c r="AB9" s="27">
        <v>262.0</v>
      </c>
      <c r="AC9" s="27">
        <v>180.0</v>
      </c>
      <c r="AD9" s="27">
        <v>126.0</v>
      </c>
      <c r="AE9" s="27">
        <v>185.0</v>
      </c>
      <c r="AF9" s="27">
        <v>156.0</v>
      </c>
      <c r="AG9" s="27">
        <v>186.0</v>
      </c>
      <c r="AH9" s="27">
        <v>344.0</v>
      </c>
      <c r="AI9" s="27">
        <v>397.0</v>
      </c>
      <c r="AJ9" s="27">
        <v>252.0</v>
      </c>
      <c r="AK9" s="27">
        <v>198.0</v>
      </c>
      <c r="AL9" s="27">
        <v>212.0</v>
      </c>
      <c r="AM9" s="27">
        <v>145.0</v>
      </c>
      <c r="AN9" s="27">
        <v>130.0</v>
      </c>
      <c r="AO9" s="186">
        <v>397.0</v>
      </c>
      <c r="AP9" s="186">
        <v>377.0</v>
      </c>
      <c r="AQ9" s="28">
        <f t="shared" si="3"/>
        <v>2979.0</v>
      </c>
      <c r="AR9" s="28">
        <f t="shared" si="4"/>
        <v>1459.0</v>
      </c>
      <c r="AS9" s="28">
        <f t="shared" si="5"/>
        <v>1604.9</v>
      </c>
      <c r="AU9" s="1">
        <f t="shared" si="6"/>
        <v>372.810734463277</v>
      </c>
      <c r="AV9" s="1">
        <f t="shared" si="7"/>
        <v>306.867231638418</v>
      </c>
      <c r="AW9" s="1">
        <f t="shared" si="8"/>
        <v>240.923728813559</v>
      </c>
      <c r="AX9" s="171">
        <f t="shared" si="9"/>
        <v>475.847457627119</v>
      </c>
      <c r="AY9" s="175">
        <f t="shared" si="10"/>
        <v>529.426553672316</v>
      </c>
      <c r="AZ9" s="175">
        <f t="shared" si="11"/>
        <v>479.968926553672</v>
      </c>
      <c r="BA9" s="2">
        <f t="shared" si="12"/>
        <v>2405.84463276836</v>
      </c>
      <c r="BB9" s="2" t="e">
        <f t="shared" si="13"/>
        <v>#REF!</v>
      </c>
      <c r="BD9" s="36"/>
      <c r="BE9" s="28" t="e">
        <f t="shared" si="14"/>
        <v>#REF!</v>
      </c>
      <c r="BF9" s="29">
        <f>VLOOKUP(C9,MOQ,3,FALSE())</f>
        <v>504.0</v>
      </c>
      <c r="BG9" s="30" t="s">
        <v>32</v>
      </c>
      <c r="BH9" s="29" t="s">
        <v>10</v>
      </c>
      <c r="BI9" s="1" t="e">
        <f t="shared" si="16"/>
        <v>#REF!</v>
      </c>
      <c r="BJ9" s="1">
        <f t="shared" si="17"/>
        <v>372.810734463277</v>
      </c>
      <c r="BK9" s="1">
        <f t="shared" si="18"/>
      </c>
      <c r="BL9" s="3" t="e">
        <f t="shared" si="19"/>
        <v>#REF!</v>
      </c>
      <c r="BM9" s="1">
        <f t="shared" si="20"/>
        <v>306.867231638418</v>
      </c>
      <c r="BN9" s="1">
        <f t="shared" si="21"/>
      </c>
      <c r="BO9" s="3" t="e">
        <f t="shared" si="22"/>
        <v>#REF!</v>
      </c>
      <c r="BP9" s="1">
        <f t="shared" si="23"/>
        <v>240.923728813559</v>
      </c>
      <c r="BR9" s="3" t="e">
        <f t="shared" si="24"/>
        <v>#REF!</v>
      </c>
      <c r="BS9" s="1">
        <f t="shared" si="25"/>
        <v>475.847457627119</v>
      </c>
      <c r="BU9" s="3" t="e">
        <f t="shared" si="26"/>
        <v>#REF!</v>
      </c>
      <c r="BV9" s="1">
        <f t="shared" si="27"/>
        <v>529.426553672316</v>
      </c>
      <c r="BX9" s="3" t="e">
        <f t="shared" si="28"/>
        <v>#REF!</v>
      </c>
      <c r="BY9" s="1">
        <f t="shared" si="29"/>
        <v>479.968926553672</v>
      </c>
      <c r="CA9" s="3" t="e">
        <f t="shared" si="30"/>
        <v>#REF!</v>
      </c>
    </row>
    <row hidden="1" r="10" ht="14.0" outlineLevel="1">
      <c r="A10" s="27" t="s">
        <v>28</v>
      </c>
      <c r="B10" s="27" t="s">
        <v>29</v>
      </c>
      <c r="C10" s="27" t="s">
        <v>35</v>
      </c>
      <c r="D10" s="27" t="s">
        <v>36</v>
      </c>
      <c r="E10" s="27"/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168.0</v>
      </c>
      <c r="AB10" s="27">
        <v>78.0</v>
      </c>
      <c r="AC10" s="27">
        <v>58.0</v>
      </c>
      <c r="AD10" s="27">
        <v>53.0</v>
      </c>
      <c r="AE10" s="27">
        <v>38.0</v>
      </c>
      <c r="AF10" s="27">
        <v>35.0</v>
      </c>
      <c r="AG10" s="27">
        <v>27.0</v>
      </c>
      <c r="AH10" s="27">
        <v>28.0</v>
      </c>
      <c r="AI10" s="27">
        <v>42.0</v>
      </c>
      <c r="AJ10" s="27">
        <v>95.0</v>
      </c>
      <c r="AK10" s="27">
        <v>65.0</v>
      </c>
      <c r="AL10" s="27">
        <v>31.0</v>
      </c>
      <c r="AM10" s="27">
        <v>34.0</v>
      </c>
      <c r="AN10" s="27">
        <v>47.0</v>
      </c>
      <c r="AO10" s="186">
        <v>35.0</v>
      </c>
      <c r="AP10" s="186">
        <v>40.0</v>
      </c>
      <c r="AQ10" s="28">
        <f t="shared" si="3"/>
        <v>517.0</v>
      </c>
      <c r="AR10" s="28">
        <f t="shared" si="4"/>
        <v>252.0</v>
      </c>
      <c r="AS10" s="28">
        <f t="shared" si="5"/>
        <v>277.2</v>
      </c>
      <c r="AU10" s="1">
        <f t="shared" si="6"/>
        <v>69.3559322033898</v>
      </c>
      <c r="AV10" s="1">
        <f t="shared" si="7"/>
        <v>57.9661016949152</v>
      </c>
      <c r="AW10" s="1">
        <f t="shared" si="8"/>
        <v>46.5762711864407</v>
      </c>
      <c r="AX10" s="1">
        <f t="shared" si="9"/>
        <v>87.1525423728813</v>
      </c>
      <c r="BA10" s="2">
        <f t="shared" si="12"/>
        <v>261.050847457627</v>
      </c>
      <c r="BB10" s="2" t="e">
        <f t="shared" si="13"/>
        <v>#REF!</v>
      </c>
      <c r="BE10" s="3" t="e">
        <f t="shared" si="14"/>
        <v>#REF!</v>
      </c>
      <c r="BF10" s="1">
        <f>VLOOKUP(C10,MOQ,3,FALSE())</f>
        <v>1000.0</v>
      </c>
      <c r="BI10" s="1" t="e">
        <f t="shared" si="16"/>
        <v>#REF!</v>
      </c>
      <c r="BJ10" s="1">
        <f t="shared" si="17"/>
        <v>69.3559322033898</v>
      </c>
      <c r="BL10" s="3" t="e">
        <f t="shared" si="19"/>
        <v>#REF!</v>
      </c>
      <c r="BM10" s="1">
        <f t="shared" si="20"/>
        <v>57.9661016949152</v>
      </c>
      <c r="BO10" s="3" t="e">
        <f t="shared" si="22"/>
        <v>#REF!</v>
      </c>
      <c r="BP10" s="1">
        <f t="shared" si="23"/>
        <v>46.5762711864407</v>
      </c>
      <c r="BR10" s="3" t="e">
        <f t="shared" si="24"/>
        <v>#REF!</v>
      </c>
      <c r="BS10" s="1">
        <f t="shared" si="25"/>
        <v>87.1525423728813</v>
      </c>
      <c r="BU10" s="3" t="e">
        <f t="shared" si="26"/>
        <v>#REF!</v>
      </c>
    </row>
    <row hidden="1" r="11" ht="14.0" outlineLevel="1">
      <c r="A11" s="27" t="s">
        <v>28</v>
      </c>
      <c r="B11" s="27" t="s">
        <v>29</v>
      </c>
      <c r="C11" s="27" t="s">
        <v>37</v>
      </c>
      <c r="D11" s="27" t="s">
        <v>38</v>
      </c>
      <c r="E11" s="27"/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288.0</v>
      </c>
      <c r="AB11" s="27">
        <v>150.0</v>
      </c>
      <c r="AC11" s="27">
        <v>104.0</v>
      </c>
      <c r="AD11" s="27">
        <v>130.0</v>
      </c>
      <c r="AE11" s="27">
        <v>90.0</v>
      </c>
      <c r="AF11" s="27">
        <v>23.0</v>
      </c>
      <c r="AG11" s="27">
        <v>51.0</v>
      </c>
      <c r="AH11" s="27">
        <v>91.0</v>
      </c>
      <c r="AI11" s="27">
        <v>130.0</v>
      </c>
      <c r="AJ11" s="27">
        <v>74.0</v>
      </c>
      <c r="AK11" s="27">
        <v>53.0</v>
      </c>
      <c r="AL11" s="27">
        <v>36.0</v>
      </c>
      <c r="AM11" s="27">
        <v>53.0</v>
      </c>
      <c r="AN11" s="27">
        <v>69.0</v>
      </c>
      <c r="AO11" s="186">
        <v>44.0</v>
      </c>
      <c r="AP11" s="186">
        <v>34.0</v>
      </c>
      <c r="AQ11" s="28">
        <f t="shared" si="3"/>
        <v>748.0</v>
      </c>
      <c r="AR11" s="28">
        <f t="shared" si="4"/>
        <v>289.0</v>
      </c>
      <c r="AS11" s="28">
        <f t="shared" si="5"/>
        <v>317.9</v>
      </c>
      <c r="AU11" s="1">
        <f t="shared" si="6"/>
        <v>78.6581920903954</v>
      </c>
      <c r="AV11" s="1">
        <f t="shared" si="7"/>
        <v>65.5960451977401</v>
      </c>
      <c r="AW11" s="1">
        <f t="shared" si="8"/>
        <v>52.5338983050847</v>
      </c>
      <c r="AX11" s="1">
        <f t="shared" si="9"/>
        <v>99.0677966101694</v>
      </c>
      <c r="BA11" s="2">
        <f t="shared" si="12"/>
        <v>295.85593220339</v>
      </c>
      <c r="BB11" s="2" t="e">
        <f t="shared" si="13"/>
        <v>#REF!</v>
      </c>
      <c r="BE11" s="3" t="e">
        <f t="shared" si="14"/>
        <v>#REF!</v>
      </c>
      <c r="BF11" s="1">
        <f>VLOOKUP(C11,MOQ,3,FALSE())</f>
        <v>1000.0</v>
      </c>
      <c r="BI11" s="1" t="e">
        <f t="shared" si="16"/>
        <v>#REF!</v>
      </c>
      <c r="BJ11" s="1">
        <f t="shared" si="17"/>
        <v>78.6581920903954</v>
      </c>
      <c r="BL11" s="3" t="e">
        <f t="shared" si="19"/>
        <v>#REF!</v>
      </c>
      <c r="BM11" s="1">
        <f t="shared" si="20"/>
        <v>65.5960451977401</v>
      </c>
      <c r="BO11" s="3" t="e">
        <f t="shared" si="22"/>
        <v>#REF!</v>
      </c>
      <c r="BP11" s="1">
        <f t="shared" si="23"/>
        <v>52.5338983050847</v>
      </c>
      <c r="BR11" s="3" t="e">
        <f t="shared" si="24"/>
        <v>#REF!</v>
      </c>
      <c r="BS11" s="1">
        <f t="shared" si="25"/>
        <v>99.0677966101694</v>
      </c>
      <c r="BU11" s="3" t="e">
        <f t="shared" si="26"/>
        <v>#REF!</v>
      </c>
    </row>
    <row hidden="1" r="12" ht="14.0" outlineLevel="1">
      <c r="A12" s="27" t="s">
        <v>28</v>
      </c>
      <c r="B12" s="27" t="s">
        <v>29</v>
      </c>
      <c r="C12" s="27" t="s">
        <v>39</v>
      </c>
      <c r="D12" s="27" t="s">
        <v>40</v>
      </c>
      <c r="E12" s="27"/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175.0</v>
      </c>
      <c r="AB12" s="27">
        <v>102.0</v>
      </c>
      <c r="AC12" s="27">
        <v>58.0</v>
      </c>
      <c r="AD12" s="27">
        <v>63.0</v>
      </c>
      <c r="AE12" s="27">
        <v>30.0</v>
      </c>
      <c r="AF12" s="27">
        <v>50.0</v>
      </c>
      <c r="AG12" s="27">
        <v>42.0</v>
      </c>
      <c r="AH12" s="27">
        <v>73.0</v>
      </c>
      <c r="AI12" s="27">
        <v>101.0</v>
      </c>
      <c r="AJ12" s="27">
        <v>94.0</v>
      </c>
      <c r="AK12" s="27">
        <v>34.0</v>
      </c>
      <c r="AL12" s="27">
        <v>48.0</v>
      </c>
      <c r="AM12" s="27">
        <v>66.0</v>
      </c>
      <c r="AN12" s="27">
        <v>42.0</v>
      </c>
      <c r="AO12" s="186">
        <v>51.0</v>
      </c>
      <c r="AP12" s="186">
        <v>48.0</v>
      </c>
      <c r="AQ12" s="28">
        <f t="shared" si="3"/>
        <v>679.0</v>
      </c>
      <c r="AR12" s="28">
        <f t="shared" si="4"/>
        <v>289.0</v>
      </c>
      <c r="AS12" s="28">
        <f t="shared" si="5"/>
        <v>317.9</v>
      </c>
      <c r="AU12" s="1">
        <f t="shared" si="6"/>
        <v>78.6581920903954</v>
      </c>
      <c r="AV12" s="1">
        <f t="shared" si="7"/>
        <v>65.5960451977401</v>
      </c>
      <c r="AW12" s="1">
        <f t="shared" si="8"/>
        <v>52.5338983050847</v>
      </c>
      <c r="AX12" s="1">
        <f t="shared" si="9"/>
        <v>99.0677966101694</v>
      </c>
      <c r="BA12" s="2">
        <f t="shared" si="12"/>
        <v>295.85593220339</v>
      </c>
      <c r="BB12" s="2" t="e">
        <f t="shared" si="13"/>
        <v>#REF!</v>
      </c>
      <c r="BE12" s="3" t="e">
        <f t="shared" si="14"/>
        <v>#REF!</v>
      </c>
      <c r="BF12" s="1">
        <f>VLOOKUP(C12,MOQ,3,FALSE())</f>
        <v>1000.0</v>
      </c>
      <c r="BG12" s="4">
        <f>BF12</f>
        <v>1000.0</v>
      </c>
      <c r="BH12" s="1" t="s">
        <v>10</v>
      </c>
      <c r="BI12" s="1" t="e">
        <f t="shared" si="16"/>
        <v>#REF!</v>
      </c>
      <c r="BJ12" s="1">
        <f t="shared" si="17"/>
        <v>78.6581920903954</v>
      </c>
      <c r="BL12" s="3" t="e">
        <f t="shared" si="19"/>
        <v>#REF!</v>
      </c>
      <c r="BM12" s="1">
        <f t="shared" si="20"/>
        <v>65.5960451977401</v>
      </c>
      <c r="BO12" s="3" t="e">
        <f t="shared" si="22"/>
        <v>#REF!</v>
      </c>
      <c r="BP12" s="1">
        <f t="shared" si="23"/>
        <v>52.5338983050847</v>
      </c>
      <c r="BR12" s="3" t="e">
        <f t="shared" si="24"/>
        <v>#REF!</v>
      </c>
      <c r="BS12" s="1">
        <f t="shared" si="25"/>
        <v>99.0677966101694</v>
      </c>
      <c r="BU12" s="3" t="e">
        <f t="shared" si="26"/>
        <v>#REF!</v>
      </c>
    </row>
    <row hidden="1" r="13" ht="14.0" outlineLevel="1">
      <c r="A13" s="27" t="s">
        <v>28</v>
      </c>
      <c r="B13" s="27" t="s">
        <v>29</v>
      </c>
      <c r="C13" s="27" t="s">
        <v>41</v>
      </c>
      <c r="D13" s="27" t="s">
        <v>42</v>
      </c>
      <c r="E13" s="27"/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168.0</v>
      </c>
      <c r="AB13" s="27">
        <v>69.0</v>
      </c>
      <c r="AC13" s="27">
        <v>43.0</v>
      </c>
      <c r="AD13" s="27">
        <v>30.0</v>
      </c>
      <c r="AE13" s="27">
        <v>19.0</v>
      </c>
      <c r="AF13" s="27">
        <v>19.0</v>
      </c>
      <c r="AG13" s="27">
        <v>12.0</v>
      </c>
      <c r="AH13" s="27">
        <v>27.0</v>
      </c>
      <c r="AI13" s="27">
        <v>30.0</v>
      </c>
      <c r="AJ13" s="27">
        <v>33.0</v>
      </c>
      <c r="AK13" s="27">
        <v>34.0</v>
      </c>
      <c r="AL13" s="27">
        <v>38.0</v>
      </c>
      <c r="AM13" s="27">
        <v>47.0</v>
      </c>
      <c r="AN13" s="27">
        <v>35.0</v>
      </c>
      <c r="AO13" s="186">
        <v>17.0</v>
      </c>
      <c r="AP13" s="186">
        <v>29.0</v>
      </c>
      <c r="AQ13" s="28">
        <f t="shared" si="3"/>
        <v>340.0</v>
      </c>
      <c r="AR13" s="28">
        <f t="shared" si="4"/>
        <v>200.0</v>
      </c>
      <c r="AS13" s="28">
        <f t="shared" si="5"/>
        <v>220.0</v>
      </c>
      <c r="AU13" s="1">
        <f t="shared" si="6"/>
        <v>56.2824858757062</v>
      </c>
      <c r="AV13" s="1">
        <f t="shared" si="7"/>
        <v>47.2429378531073</v>
      </c>
      <c r="AW13" s="1">
        <f t="shared" si="8"/>
        <v>38.2033898305084</v>
      </c>
      <c r="AX13" s="1">
        <f t="shared" si="9"/>
        <v>70.4067796610169</v>
      </c>
      <c r="BA13" s="2">
        <f t="shared" si="12"/>
        <v>212.135593220339</v>
      </c>
      <c r="BB13" s="2" t="e">
        <f t="shared" si="13"/>
        <v>#REF!</v>
      </c>
      <c r="BE13" s="3" t="e">
        <f t="shared" si="14"/>
        <v>#REF!</v>
      </c>
      <c r="BF13" s="1">
        <f>VLOOKUP(C13,MOQ,3,FALSE())</f>
        <v>1000.0</v>
      </c>
      <c r="BI13" s="1" t="e">
        <f t="shared" si="16"/>
        <v>#REF!</v>
      </c>
      <c r="BJ13" s="1">
        <f t="shared" si="17"/>
        <v>56.2824858757062</v>
      </c>
      <c r="BL13" s="3" t="e">
        <f t="shared" si="19"/>
        <v>#REF!</v>
      </c>
      <c r="BM13" s="1">
        <f t="shared" si="20"/>
        <v>47.2429378531073</v>
      </c>
      <c r="BO13" s="3" t="e">
        <f t="shared" si="22"/>
        <v>#REF!</v>
      </c>
      <c r="BP13" s="1">
        <f t="shared" si="23"/>
        <v>38.2033898305084</v>
      </c>
      <c r="BR13" s="3" t="e">
        <f t="shared" si="24"/>
        <v>#REF!</v>
      </c>
      <c r="BS13" s="1">
        <f t="shared" si="25"/>
        <v>70.4067796610169</v>
      </c>
      <c r="BU13" s="3" t="e">
        <f t="shared" si="26"/>
        <v>#REF!</v>
      </c>
    </row>
    <row hidden="1" r="14" ht="14.0" outlineLevel="1">
      <c r="A14" s="27" t="s">
        <v>28</v>
      </c>
      <c r="B14" s="27" t="s">
        <v>29</v>
      </c>
      <c r="C14" s="27" t="s">
        <v>43</v>
      </c>
      <c r="D14" s="27" t="s">
        <v>44</v>
      </c>
      <c r="E14" s="27"/>
      <c r="F14" s="27">
        <v>0.0</v>
      </c>
      <c r="G14" s="27">
        <v>0.0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234.0</v>
      </c>
      <c r="AB14" s="27">
        <v>144.0</v>
      </c>
      <c r="AC14" s="27">
        <v>112.0</v>
      </c>
      <c r="AD14" s="27">
        <v>89.0</v>
      </c>
      <c r="AE14" s="27">
        <v>72.0</v>
      </c>
      <c r="AF14" s="27">
        <v>39.0</v>
      </c>
      <c r="AG14" s="27">
        <v>61.0</v>
      </c>
      <c r="AH14" s="27">
        <v>103.0</v>
      </c>
      <c r="AI14" s="27">
        <v>114.0</v>
      </c>
      <c r="AJ14" s="27">
        <v>146.0</v>
      </c>
      <c r="AK14" s="27">
        <v>74.0</v>
      </c>
      <c r="AL14" s="27">
        <v>45.0</v>
      </c>
      <c r="AM14" s="27">
        <v>82.0</v>
      </c>
      <c r="AN14" s="27">
        <v>59.0</v>
      </c>
      <c r="AO14" s="186">
        <v>89.0</v>
      </c>
      <c r="AP14" s="186">
        <v>53.0</v>
      </c>
      <c r="AQ14" s="28">
        <f t="shared" si="3"/>
        <v>937.0</v>
      </c>
      <c r="AR14" s="28">
        <f t="shared" si="4"/>
        <v>402.0</v>
      </c>
      <c r="AS14" s="28">
        <f t="shared" si="5"/>
        <v>442.2</v>
      </c>
      <c r="AU14" s="1">
        <f t="shared" si="6"/>
        <v>107.06779661017</v>
      </c>
      <c r="AV14" s="1">
        <f t="shared" si="7"/>
        <v>88.8983050847458</v>
      </c>
      <c r="AW14" s="1">
        <f t="shared" si="8"/>
        <v>70.728813559322</v>
      </c>
      <c r="AX14" s="1">
        <f t="shared" si="9"/>
        <v>135.457627118644</v>
      </c>
      <c r="BA14" s="2">
        <f t="shared" si="12"/>
        <v>402.152542372881</v>
      </c>
      <c r="BB14" s="2" t="e">
        <f t="shared" si="13"/>
        <v>#REF!</v>
      </c>
      <c r="BE14" s="3" t="e">
        <f t="shared" si="14"/>
        <v>#REF!</v>
      </c>
      <c r="BF14" s="1">
        <f>VLOOKUP(C14,MOQ,3,FALSE())</f>
        <v>1000.0</v>
      </c>
      <c r="BI14" s="1" t="e">
        <f t="shared" si="16"/>
        <v>#REF!</v>
      </c>
      <c r="BJ14" s="1">
        <f t="shared" si="17"/>
        <v>107.06779661017</v>
      </c>
      <c r="BL14" s="3" t="e">
        <f t="shared" si="19"/>
        <v>#REF!</v>
      </c>
      <c r="BM14" s="1">
        <f t="shared" si="20"/>
        <v>88.8983050847458</v>
      </c>
      <c r="BO14" s="3" t="e">
        <f t="shared" si="22"/>
        <v>#REF!</v>
      </c>
      <c r="BP14" s="1">
        <f t="shared" si="23"/>
        <v>70.728813559322</v>
      </c>
      <c r="BR14" s="3" t="e">
        <f t="shared" si="24"/>
        <v>#REF!</v>
      </c>
      <c r="BS14" s="1">
        <f t="shared" si="25"/>
        <v>135.457627118644</v>
      </c>
      <c r="BU14" s="3" t="e">
        <f t="shared" si="26"/>
        <v>#REF!</v>
      </c>
    </row>
    <row hidden="1" r="15" ht="14.0" outlineLevel="1">
      <c r="A15" s="27" t="s">
        <v>45</v>
      </c>
      <c r="B15" s="27" t="s">
        <v>29</v>
      </c>
      <c r="C15" s="27" t="s">
        <v>46</v>
      </c>
      <c r="D15" s="27" t="s">
        <v>47</v>
      </c>
      <c r="E15" s="27"/>
      <c r="F15" s="27">
        <v>0.0</v>
      </c>
      <c r="G15" s="27">
        <v>1.0</v>
      </c>
      <c r="H15" s="27">
        <v>0.0</v>
      </c>
      <c r="I15" s="27">
        <v>2.0</v>
      </c>
      <c r="J15" s="27">
        <v>0.0</v>
      </c>
      <c r="K15" s="27">
        <v>2.0</v>
      </c>
      <c r="L15" s="27">
        <v>1.0</v>
      </c>
      <c r="M15" s="27">
        <v>0.0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7">
        <v>0.0</v>
      </c>
      <c r="W15" s="27">
        <v>0.0</v>
      </c>
      <c r="X15" s="27">
        <v>0.0</v>
      </c>
      <c r="Y15" s="27">
        <v>0.0</v>
      </c>
      <c r="Z15" s="27">
        <v>0.0</v>
      </c>
      <c r="AA15" s="27">
        <v>1.0</v>
      </c>
      <c r="AB15" s="27">
        <v>0.0</v>
      </c>
      <c r="AC15" s="27">
        <v>0.0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0.0</v>
      </c>
      <c r="AK15" s="27">
        <v>0.0</v>
      </c>
      <c r="AL15" s="27">
        <v>0.0</v>
      </c>
      <c r="AM15" s="27">
        <v>0.0</v>
      </c>
      <c r="AN15" s="27">
        <v>0.0</v>
      </c>
      <c r="AO15" s="186">
        <v>0.0</v>
      </c>
      <c r="AP15" s="186">
        <v>0.0</v>
      </c>
      <c r="AQ15" s="28">
        <f t="shared" si="3"/>
        <v>0.0</v>
      </c>
      <c r="AR15" s="28">
        <f t="shared" si="4"/>
        <v>0.0</v>
      </c>
      <c r="AS15" s="28">
        <f t="shared" si="5"/>
        <v>0.0</v>
      </c>
      <c r="AU15" s="1">
        <f>AU16</f>
        <v>1.0</v>
      </c>
      <c r="AV15" s="1">
        <f>AV16</f>
        <v>1.0</v>
      </c>
      <c r="AW15" s="1">
        <f>AW16</f>
        <v>1.0</v>
      </c>
      <c r="AX15" s="1">
        <f>AX16</f>
        <v>1.0</v>
      </c>
      <c r="BA15" s="2">
        <f t="shared" si="12"/>
        <v>4.0</v>
      </c>
      <c r="BB15" s="2" t="e">
        <f t="shared" si="13"/>
        <v>#REF!</v>
      </c>
      <c r="BE15" s="3" t="e">
        <f t="shared" si="14"/>
        <v>#REF!</v>
      </c>
      <c r="BF15" s="1">
        <f>VLOOKUP(C15,MOQ,3,FALSE())</f>
        <v>300.0</v>
      </c>
      <c r="BG15" s="31"/>
      <c r="BH15" s="1" t="s">
        <v>5</v>
      </c>
      <c r="BI15" s="1" t="e">
        <f t="shared" si="16"/>
        <v>#REF!</v>
      </c>
      <c r="BJ15" s="1">
        <f t="shared" si="17"/>
        <v>1.0</v>
      </c>
      <c r="BL15" s="3" t="e">
        <f t="shared" si="19"/>
        <v>#REF!</v>
      </c>
      <c r="BM15" s="1">
        <f t="shared" si="20"/>
        <v>1.0</v>
      </c>
      <c r="BO15" s="3" t="e">
        <f t="shared" si="22"/>
        <v>#REF!</v>
      </c>
      <c r="BP15" s="1">
        <f t="shared" si="23"/>
        <v>1.0</v>
      </c>
      <c r="BR15" s="3" t="e">
        <f t="shared" si="24"/>
        <v>#REF!</v>
      </c>
      <c r="BS15" s="1">
        <f t="shared" si="25"/>
        <v>1.0</v>
      </c>
      <c r="BU15" s="3" t="e">
        <f t="shared" si="26"/>
        <v>#REF!</v>
      </c>
    </row>
    <row hidden="1" r="16" ht="14.0" outlineLevel="1">
      <c r="A16" s="27" t="s">
        <v>28</v>
      </c>
      <c r="B16" s="27" t="s">
        <v>29</v>
      </c>
      <c r="C16" s="27" t="s">
        <v>48</v>
      </c>
      <c r="D16" s="27" t="s">
        <v>49</v>
      </c>
      <c r="E16" s="27"/>
      <c r="F16" s="27">
        <v>0.0</v>
      </c>
      <c r="G16" s="27">
        <v>0.0</v>
      </c>
      <c r="H16" s="27">
        <v>1.0</v>
      </c>
      <c r="I16" s="27">
        <v>1.0</v>
      </c>
      <c r="J16" s="27">
        <v>3.0</v>
      </c>
      <c r="K16" s="27">
        <v>5.0</v>
      </c>
      <c r="L16" s="27">
        <v>0.0</v>
      </c>
      <c r="M16" s="27">
        <v>1.0</v>
      </c>
      <c r="N16" s="27">
        <v>2.0</v>
      </c>
      <c r="O16" s="27">
        <v>4.0</v>
      </c>
      <c r="P16" s="27">
        <v>1.0</v>
      </c>
      <c r="Q16" s="27">
        <v>3.0</v>
      </c>
      <c r="R16" s="27">
        <v>0.0</v>
      </c>
      <c r="S16" s="27">
        <v>1.0</v>
      </c>
      <c r="T16" s="27">
        <v>2.0</v>
      </c>
      <c r="U16" s="27">
        <v>0.0</v>
      </c>
      <c r="V16" s="27">
        <v>1.0</v>
      </c>
      <c r="W16" s="27">
        <v>1.0</v>
      </c>
      <c r="X16" s="27">
        <v>0.0</v>
      </c>
      <c r="Y16" s="27">
        <v>0.0</v>
      </c>
      <c r="Z16" s="27">
        <v>0.0</v>
      </c>
      <c r="AA16" s="27">
        <v>0.0</v>
      </c>
      <c r="AB16" s="27">
        <v>1.0</v>
      </c>
      <c r="AC16" s="27">
        <v>0.0</v>
      </c>
      <c r="AD16" s="27">
        <v>0.0</v>
      </c>
      <c r="AE16" s="27">
        <v>2.0</v>
      </c>
      <c r="AF16" s="27">
        <v>0.0</v>
      </c>
      <c r="AG16" s="27">
        <v>0.0</v>
      </c>
      <c r="AH16" s="27">
        <v>2.0</v>
      </c>
      <c r="AI16" s="27">
        <v>4.0</v>
      </c>
      <c r="AJ16" s="27">
        <v>0.0</v>
      </c>
      <c r="AK16" s="27">
        <v>0.0</v>
      </c>
      <c r="AL16" s="27">
        <v>-1.0</v>
      </c>
      <c r="AM16" s="27">
        <v>0.0</v>
      </c>
      <c r="AN16" s="27">
        <v>0.0</v>
      </c>
      <c r="AO16" s="186">
        <v>0.0</v>
      </c>
      <c r="AP16" s="186">
        <v>0.0</v>
      </c>
      <c r="AQ16" s="28">
        <f t="shared" si="3"/>
        <v>7.0</v>
      </c>
      <c r="AR16" s="28">
        <f t="shared" si="4"/>
        <v>-1.0</v>
      </c>
      <c r="AS16" s="32">
        <f t="shared" si="5"/>
        <v>-1.1</v>
      </c>
      <c r="AT16" s="33"/>
      <c r="AU16" s="33">
        <v>1.0</v>
      </c>
      <c r="AV16" s="33">
        <v>1.0</v>
      </c>
      <c r="AW16" s="33">
        <v>1.0</v>
      </c>
      <c r="AX16" s="33">
        <v>1.0</v>
      </c>
      <c r="AY16" s="33">
        <v>1.0</v>
      </c>
      <c r="AZ16" s="33">
        <v>1.0</v>
      </c>
      <c r="BA16" s="2">
        <f t="shared" si="12"/>
        <v>6.0</v>
      </c>
      <c r="BB16" s="2" t="e">
        <f t="shared" si="13"/>
        <v>#REF!</v>
      </c>
      <c r="BF16">
        <f>VLOOKUP(C16,MOQ,3,FALSE())</f>
      </c>
      <c r="BI16" s="1" t="e">
        <f t="shared" si="16"/>
        <v>#REF!</v>
      </c>
      <c r="BJ16" s="1">
        <f t="shared" si="17"/>
        <v>1.0</v>
      </c>
      <c r="BL16" s="3" t="e">
        <f t="shared" si="19"/>
        <v>#REF!</v>
      </c>
      <c r="BM16" s="1">
        <f t="shared" si="20"/>
        <v>1.0</v>
      </c>
      <c r="BO16" s="3" t="e">
        <f t="shared" si="22"/>
        <v>#REF!</v>
      </c>
      <c r="BP16" s="1">
        <f t="shared" si="23"/>
        <v>1.0</v>
      </c>
      <c r="BR16" s="3" t="e">
        <f t="shared" si="24"/>
        <v>#REF!</v>
      </c>
      <c r="BS16" s="1">
        <f t="shared" si="25"/>
        <v>1.0</v>
      </c>
      <c r="BU16" s="3" t="e">
        <f t="shared" si="26"/>
        <v>#REF!</v>
      </c>
    </row>
    <row hidden="1" r="17" ht="14.0" outlineLevel="1">
      <c r="A17" s="27" t="s">
        <v>28</v>
      </c>
      <c r="B17" s="27" t="s">
        <v>29</v>
      </c>
      <c r="C17" s="27" t="s">
        <v>50</v>
      </c>
      <c r="D17" s="27" t="s">
        <v>51</v>
      </c>
      <c r="E17" s="27"/>
      <c r="F17" s="27">
        <v>90.0</v>
      </c>
      <c r="G17" s="27">
        <v>108.0</v>
      </c>
      <c r="H17" s="27">
        <v>84.0</v>
      </c>
      <c r="I17" s="27">
        <v>155.0</v>
      </c>
      <c r="J17" s="27">
        <v>120.0</v>
      </c>
      <c r="K17" s="27">
        <v>143.0</v>
      </c>
      <c r="L17" s="27">
        <v>144.0</v>
      </c>
      <c r="M17" s="27">
        <v>155.0</v>
      </c>
      <c r="N17" s="27">
        <v>60.0</v>
      </c>
      <c r="O17" s="27">
        <v>108.0</v>
      </c>
      <c r="P17" s="27">
        <v>131.0</v>
      </c>
      <c r="Q17" s="27">
        <v>91.0</v>
      </c>
      <c r="R17" s="27">
        <v>83.0</v>
      </c>
      <c r="S17" s="27">
        <v>60.0</v>
      </c>
      <c r="T17" s="27">
        <v>76.0</v>
      </c>
      <c r="U17" s="27">
        <v>101.0</v>
      </c>
      <c r="V17" s="27">
        <v>54.0</v>
      </c>
      <c r="W17" s="27">
        <v>70.0</v>
      </c>
      <c r="X17" s="27">
        <v>156.0</v>
      </c>
      <c r="Y17" s="27">
        <v>107.0</v>
      </c>
      <c r="Z17" s="27">
        <v>76.0</v>
      </c>
      <c r="AA17" s="27">
        <v>138.0</v>
      </c>
      <c r="AB17" s="27">
        <v>48.0</v>
      </c>
      <c r="AC17" s="27">
        <v>35.0</v>
      </c>
      <c r="AD17" s="27">
        <v>30.0</v>
      </c>
      <c r="AE17" s="27">
        <v>97.0</v>
      </c>
      <c r="AF17" s="27">
        <v>82.0</v>
      </c>
      <c r="AG17" s="27">
        <v>60.0</v>
      </c>
      <c r="AH17" s="27">
        <v>42.0</v>
      </c>
      <c r="AI17" s="27">
        <v>60.0</v>
      </c>
      <c r="AJ17" s="27">
        <v>77.0</v>
      </c>
      <c r="AK17" s="27">
        <v>67.0</v>
      </c>
      <c r="AL17" s="27">
        <v>23.0</v>
      </c>
      <c r="AM17" s="27">
        <v>47.0</v>
      </c>
      <c r="AN17" s="27">
        <v>24.0</v>
      </c>
      <c r="AO17" s="186">
        <v>36.0</v>
      </c>
      <c r="AP17" s="186">
        <v>36.0</v>
      </c>
      <c r="AQ17" s="28">
        <f t="shared" si="3"/>
        <v>651.0</v>
      </c>
      <c r="AR17" s="28">
        <f t="shared" si="4"/>
        <v>233.0</v>
      </c>
      <c r="AS17" s="28">
        <f t="shared" si="5"/>
        <v>256.3</v>
      </c>
      <c r="AU17" s="1">
        <f t="shared" ref="AU17:AU20" si="36">AS17*$AU$5/$AS$5+6*$AU$21</f>
        <v>64.5790960451977</v>
      </c>
      <c r="AV17" s="1">
        <f t="shared" ref="AV17:AV20" si="37">AS17*$AV$5/$AS$5+6*$AV$21</f>
        <v>54.04802259887</v>
      </c>
      <c r="AW17" s="1">
        <f t="shared" ref="AW17:AW20" si="38">AS17*$AW$5/$AS$5+6*$AW$21</f>
        <v>43.5169491525423</v>
      </c>
      <c r="AX17" s="1">
        <f t="shared" ref="AX17:AX20" si="39">AS17*$AX$5/$AS$5+6*$AX$21</f>
        <v>81.0338983050847</v>
      </c>
      <c r="BA17" s="2">
        <f t="shared" si="12"/>
        <v>243.177966101694</v>
      </c>
      <c r="BB17" s="2" t="e">
        <f t="shared" si="13"/>
        <v>#REF!</v>
      </c>
      <c r="BE17" s="3" t="e">
        <f t="shared" ref="BE17:BE20" si="40">BB17+BC17+BD17-BA17</f>
        <v>#REF!</v>
      </c>
      <c r="BF17" s="1">
        <f>VLOOKUP(C17,MOQ,3,FALSE())</f>
        <v>480.0</v>
      </c>
      <c r="BI17" s="1" t="e">
        <f t="shared" si="16"/>
        <v>#REF!</v>
      </c>
      <c r="BJ17" s="1">
        <f t="shared" si="17"/>
        <v>64.5790960451977</v>
      </c>
      <c r="BL17" s="3" t="e">
        <f t="shared" si="19"/>
        <v>#REF!</v>
      </c>
      <c r="BM17" s="1">
        <f t="shared" si="20"/>
        <v>54.04802259887</v>
      </c>
      <c r="BO17" s="3" t="e">
        <f t="shared" si="22"/>
        <v>#REF!</v>
      </c>
      <c r="BP17" s="1">
        <f t="shared" si="23"/>
        <v>43.5169491525423</v>
      </c>
      <c r="BR17" s="3" t="e">
        <f t="shared" si="24"/>
        <v>#REF!</v>
      </c>
      <c r="BS17" s="1">
        <f t="shared" si="25"/>
        <v>81.0338983050847</v>
      </c>
      <c r="BU17" s="3" t="e">
        <f t="shared" si="26"/>
        <v>#REF!</v>
      </c>
    </row>
    <row hidden="1" r="18" ht="14.0" outlineLevel="1">
      <c r="A18" s="27" t="s">
        <v>28</v>
      </c>
      <c r="B18" s="27" t="s">
        <v>29</v>
      </c>
      <c r="C18" s="27" t="s">
        <v>52</v>
      </c>
      <c r="D18" s="27" t="s">
        <v>53</v>
      </c>
      <c r="E18" s="27"/>
      <c r="F18" s="27">
        <v>58.0</v>
      </c>
      <c r="G18" s="27">
        <v>65.0</v>
      </c>
      <c r="H18" s="27">
        <v>66.0</v>
      </c>
      <c r="I18" s="27">
        <v>132.0</v>
      </c>
      <c r="J18" s="27">
        <v>78.0</v>
      </c>
      <c r="K18" s="27">
        <v>114.0</v>
      </c>
      <c r="L18" s="27">
        <v>114.0</v>
      </c>
      <c r="M18" s="27">
        <v>135.0</v>
      </c>
      <c r="N18" s="27">
        <v>42.0</v>
      </c>
      <c r="O18" s="27">
        <v>55.0</v>
      </c>
      <c r="P18" s="27">
        <v>95.0</v>
      </c>
      <c r="Q18" s="27">
        <v>66.0</v>
      </c>
      <c r="R18" s="27">
        <v>53.0</v>
      </c>
      <c r="S18" s="27">
        <v>72.0</v>
      </c>
      <c r="T18" s="27">
        <v>42.0</v>
      </c>
      <c r="U18" s="27">
        <v>41.0</v>
      </c>
      <c r="V18" s="27">
        <v>60.0</v>
      </c>
      <c r="W18" s="27">
        <v>65.0</v>
      </c>
      <c r="X18" s="27">
        <v>108.0</v>
      </c>
      <c r="Y18" s="27">
        <v>84.0</v>
      </c>
      <c r="Z18" s="27">
        <v>29.0</v>
      </c>
      <c r="AA18" s="27">
        <v>59.0</v>
      </c>
      <c r="AB18" s="27">
        <v>36.0</v>
      </c>
      <c r="AC18" s="27">
        <v>42.0</v>
      </c>
      <c r="AD18" s="27">
        <v>48.0</v>
      </c>
      <c r="AE18" s="27">
        <v>48.0</v>
      </c>
      <c r="AF18" s="27">
        <v>66.0</v>
      </c>
      <c r="AG18" s="27">
        <v>48.0</v>
      </c>
      <c r="AH18" s="27">
        <v>30.0</v>
      </c>
      <c r="AI18" s="27">
        <v>42.0</v>
      </c>
      <c r="AJ18" s="27">
        <v>52.0</v>
      </c>
      <c r="AK18" s="27">
        <v>48.0</v>
      </c>
      <c r="AL18" s="27">
        <v>18.0</v>
      </c>
      <c r="AM18" s="27">
        <v>65.0</v>
      </c>
      <c r="AN18" s="27">
        <v>24.0</v>
      </c>
      <c r="AO18" s="186">
        <v>30.0</v>
      </c>
      <c r="AP18" s="186">
        <v>18.0</v>
      </c>
      <c r="AQ18" s="28">
        <f t="shared" si="3"/>
        <v>489.0</v>
      </c>
      <c r="AR18" s="28">
        <f t="shared" si="4"/>
        <v>203.0</v>
      </c>
      <c r="AS18" s="28">
        <f t="shared" si="5"/>
        <v>223.3</v>
      </c>
      <c r="AU18" s="1">
        <f t="shared" si="36"/>
        <v>57.0367231638418</v>
      </c>
      <c r="AV18" s="1">
        <f t="shared" si="37"/>
        <v>47.861581920904</v>
      </c>
      <c r="AW18" s="1">
        <f t="shared" si="38"/>
        <v>38.6864406779661</v>
      </c>
      <c r="AX18" s="1">
        <f t="shared" si="39"/>
        <v>71.3728813559322</v>
      </c>
      <c r="BA18" s="2">
        <f t="shared" si="12"/>
        <v>214.957627118644</v>
      </c>
      <c r="BB18" s="2" t="e">
        <f t="shared" si="13"/>
        <v>#REF!</v>
      </c>
      <c r="BE18" s="3" t="e">
        <f t="shared" si="40"/>
        <v>#REF!</v>
      </c>
      <c r="BF18" s="1">
        <f>VLOOKUP(C18,MOQ,3,FALSE())</f>
        <v>480.0</v>
      </c>
      <c r="BI18" s="1" t="e">
        <f t="shared" si="16"/>
        <v>#REF!</v>
      </c>
      <c r="BJ18" s="1">
        <f t="shared" si="17"/>
        <v>57.0367231638418</v>
      </c>
      <c r="BL18" s="3" t="e">
        <f t="shared" si="19"/>
        <v>#REF!</v>
      </c>
      <c r="BM18" s="1">
        <f t="shared" si="20"/>
        <v>47.861581920904</v>
      </c>
      <c r="BO18" s="3" t="e">
        <f t="shared" si="22"/>
        <v>#REF!</v>
      </c>
      <c r="BP18" s="1">
        <f t="shared" si="23"/>
        <v>38.6864406779661</v>
      </c>
      <c r="BR18" s="3" t="e">
        <f t="shared" si="24"/>
        <v>#REF!</v>
      </c>
      <c r="BS18" s="1">
        <f t="shared" si="25"/>
        <v>71.3728813559322</v>
      </c>
      <c r="BU18" s="3" t="e">
        <f t="shared" si="26"/>
        <v>#REF!</v>
      </c>
    </row>
    <row hidden="1" r="19" ht="14.0" outlineLevel="1">
      <c r="A19" s="27" t="s">
        <v>28</v>
      </c>
      <c r="B19" s="27" t="s">
        <v>29</v>
      </c>
      <c r="C19" s="27" t="s">
        <v>54</v>
      </c>
      <c r="D19" s="27" t="s">
        <v>55</v>
      </c>
      <c r="E19" s="27"/>
      <c r="F19" s="27">
        <v>30.0</v>
      </c>
      <c r="G19" s="27">
        <v>65.0</v>
      </c>
      <c r="H19" s="27">
        <v>30.0</v>
      </c>
      <c r="I19" s="27">
        <v>65.0</v>
      </c>
      <c r="J19" s="27">
        <v>48.0</v>
      </c>
      <c r="K19" s="27">
        <v>77.0</v>
      </c>
      <c r="L19" s="27">
        <v>84.0</v>
      </c>
      <c r="M19" s="27">
        <v>36.0</v>
      </c>
      <c r="N19" s="27">
        <v>24.0</v>
      </c>
      <c r="O19" s="27">
        <v>30.0</v>
      </c>
      <c r="P19" s="27">
        <v>72.0</v>
      </c>
      <c r="Q19" s="27">
        <v>18.0</v>
      </c>
      <c r="R19" s="27">
        <v>42.0</v>
      </c>
      <c r="S19" s="27">
        <v>18.0</v>
      </c>
      <c r="T19" s="27">
        <v>48.0</v>
      </c>
      <c r="U19" s="27">
        <v>18.0</v>
      </c>
      <c r="V19" s="27">
        <v>48.0</v>
      </c>
      <c r="W19" s="27">
        <v>23.0</v>
      </c>
      <c r="X19" s="27">
        <v>48.0</v>
      </c>
      <c r="Y19" s="27">
        <v>35.0</v>
      </c>
      <c r="Z19" s="27">
        <v>18.0</v>
      </c>
      <c r="AA19" s="27">
        <v>60.0</v>
      </c>
      <c r="AB19" s="27">
        <v>36.0</v>
      </c>
      <c r="AC19" s="27">
        <v>5.0</v>
      </c>
      <c r="AD19" s="27">
        <v>18.0</v>
      </c>
      <c r="AE19" s="27">
        <v>25.0</v>
      </c>
      <c r="AF19" s="27">
        <v>36.0</v>
      </c>
      <c r="AG19" s="27">
        <v>54.0</v>
      </c>
      <c r="AH19" s="27">
        <v>0.0</v>
      </c>
      <c r="AI19" s="27">
        <v>18.0</v>
      </c>
      <c r="AJ19" s="27">
        <v>46.0</v>
      </c>
      <c r="AK19" s="27">
        <v>22.0</v>
      </c>
      <c r="AL19" s="27">
        <v>12.0</v>
      </c>
      <c r="AM19" s="27">
        <v>6.0</v>
      </c>
      <c r="AN19" s="27">
        <v>18.0</v>
      </c>
      <c r="AO19" s="186">
        <v>24.0</v>
      </c>
      <c r="AP19" s="186">
        <v>6.0</v>
      </c>
      <c r="AQ19" s="28">
        <f t="shared" si="3"/>
        <v>267.0</v>
      </c>
      <c r="AR19" s="28">
        <f t="shared" si="4"/>
        <v>88.0</v>
      </c>
      <c r="AS19" s="28">
        <f t="shared" si="5"/>
        <v>96.8</v>
      </c>
      <c r="AU19" s="1">
        <f t="shared" si="36"/>
        <v>28.1242937853107</v>
      </c>
      <c r="AV19" s="1">
        <f t="shared" si="37"/>
        <v>24.1468926553672</v>
      </c>
      <c r="AW19" s="1">
        <f t="shared" si="38"/>
        <v>20.1694915254237</v>
      </c>
      <c r="AX19" s="1">
        <f t="shared" si="39"/>
        <v>34.3389830508474</v>
      </c>
      <c r="BA19" s="2">
        <f t="shared" si="12"/>
        <v>106.779661016949</v>
      </c>
      <c r="BB19" s="2" t="e">
        <f t="shared" si="13"/>
        <v>#REF!</v>
      </c>
      <c r="BE19" s="3" t="e">
        <f t="shared" si="40"/>
        <v>#REF!</v>
      </c>
      <c r="BF19" s="1">
        <f>VLOOKUP(C19,MOQ,3,FALSE())</f>
        <v>480.0</v>
      </c>
      <c r="BI19" s="1" t="e">
        <f t="shared" si="16"/>
        <v>#REF!</v>
      </c>
      <c r="BJ19" s="1">
        <f t="shared" si="17"/>
        <v>28.1242937853107</v>
      </c>
      <c r="BL19" s="3" t="e">
        <f t="shared" si="19"/>
        <v>#REF!</v>
      </c>
      <c r="BM19" s="1">
        <f t="shared" si="20"/>
        <v>24.1468926553672</v>
      </c>
      <c r="BO19" s="3" t="e">
        <f t="shared" si="22"/>
        <v>#REF!</v>
      </c>
      <c r="BP19" s="1">
        <f t="shared" si="23"/>
        <v>20.1694915254237</v>
      </c>
      <c r="BR19" s="3" t="e">
        <f t="shared" si="24"/>
        <v>#REF!</v>
      </c>
      <c r="BS19" s="1">
        <f t="shared" si="25"/>
        <v>34.3389830508474</v>
      </c>
      <c r="BU19" s="3" t="e">
        <f t="shared" si="26"/>
        <v>#REF!</v>
      </c>
    </row>
    <row hidden="1" r="20" ht="14.0" outlineLevel="1">
      <c r="A20" s="27" t="s">
        <v>28</v>
      </c>
      <c r="B20" s="27" t="s">
        <v>29</v>
      </c>
      <c r="C20" s="27" t="s">
        <v>56</v>
      </c>
      <c r="D20" s="27" t="s">
        <v>57</v>
      </c>
      <c r="E20" s="27"/>
      <c r="F20" s="27">
        <v>30.0</v>
      </c>
      <c r="G20" s="27">
        <v>78.0</v>
      </c>
      <c r="H20" s="27">
        <v>42.0</v>
      </c>
      <c r="I20" s="27">
        <v>72.0</v>
      </c>
      <c r="J20" s="27">
        <v>40.0</v>
      </c>
      <c r="K20" s="27">
        <v>71.0</v>
      </c>
      <c r="L20" s="27">
        <v>113.0</v>
      </c>
      <c r="M20" s="27">
        <v>36.0</v>
      </c>
      <c r="N20" s="27">
        <v>24.0</v>
      </c>
      <c r="O20" s="27">
        <v>30.0</v>
      </c>
      <c r="P20" s="27">
        <v>66.0</v>
      </c>
      <c r="Q20" s="27">
        <v>42.0</v>
      </c>
      <c r="R20" s="27">
        <v>24.0</v>
      </c>
      <c r="S20" s="27">
        <v>54.0</v>
      </c>
      <c r="T20" s="27">
        <v>54.0</v>
      </c>
      <c r="U20" s="27">
        <v>36.0</v>
      </c>
      <c r="V20" s="27">
        <v>48.0</v>
      </c>
      <c r="W20" s="27">
        <v>30.0</v>
      </c>
      <c r="X20" s="27">
        <v>66.0</v>
      </c>
      <c r="Y20" s="27">
        <v>54.0</v>
      </c>
      <c r="Z20" s="27">
        <v>30.0</v>
      </c>
      <c r="AA20" s="27">
        <v>66.0</v>
      </c>
      <c r="AB20" s="27">
        <v>30.0</v>
      </c>
      <c r="AC20" s="27">
        <v>23.0</v>
      </c>
      <c r="AD20" s="27">
        <v>30.0</v>
      </c>
      <c r="AE20" s="27">
        <v>24.0</v>
      </c>
      <c r="AF20" s="27">
        <v>48.0</v>
      </c>
      <c r="AG20" s="27">
        <v>36.0</v>
      </c>
      <c r="AH20" s="27">
        <v>30.0</v>
      </c>
      <c r="AI20" s="27">
        <v>36.0</v>
      </c>
      <c r="AJ20" s="27">
        <v>36.0</v>
      </c>
      <c r="AK20" s="27">
        <v>18.0</v>
      </c>
      <c r="AL20" s="27">
        <v>24.0</v>
      </c>
      <c r="AM20" s="27">
        <v>48.0</v>
      </c>
      <c r="AN20" s="27">
        <v>18.0</v>
      </c>
      <c r="AO20" s="186">
        <v>18.0</v>
      </c>
      <c r="AP20" s="186">
        <v>18.0</v>
      </c>
      <c r="AQ20" s="28">
        <f t="shared" si="3"/>
        <v>354.0</v>
      </c>
      <c r="AR20" s="28">
        <f t="shared" si="4"/>
        <v>144.0</v>
      </c>
      <c r="AS20" s="28">
        <f t="shared" si="5"/>
        <v>158.4</v>
      </c>
      <c r="AU20" s="1">
        <f t="shared" si="36"/>
        <v>42.2033898305084</v>
      </c>
      <c r="AV20" s="1">
        <f t="shared" si="37"/>
        <v>35.6949152542372</v>
      </c>
      <c r="AW20" s="1">
        <f t="shared" si="38"/>
        <v>29.1864406779661</v>
      </c>
      <c r="AX20" s="1">
        <f t="shared" si="39"/>
        <v>52.3728813559322</v>
      </c>
      <c r="BA20" s="2">
        <f t="shared" si="12"/>
        <v>159.457627118643</v>
      </c>
      <c r="BB20" s="2" t="e">
        <f t="shared" si="13"/>
        <v>#REF!</v>
      </c>
      <c r="BE20" s="3" t="e">
        <f t="shared" si="40"/>
        <v>#REF!</v>
      </c>
      <c r="BF20" s="1">
        <f>VLOOKUP(C20,MOQ,3,FALSE())</f>
        <v>480.0</v>
      </c>
      <c r="BI20" s="1" t="e">
        <f t="shared" si="16"/>
        <v>#REF!</v>
      </c>
      <c r="BJ20" s="1">
        <f t="shared" si="17"/>
        <v>42.2033898305084</v>
      </c>
      <c r="BL20" s="3" t="e">
        <f t="shared" si="19"/>
        <v>#REF!</v>
      </c>
      <c r="BM20" s="1">
        <f t="shared" si="20"/>
        <v>35.6949152542372</v>
      </c>
      <c r="BO20" s="3" t="e">
        <f t="shared" si="22"/>
        <v>#REF!</v>
      </c>
      <c r="BP20" s="1">
        <f t="shared" si="23"/>
        <v>29.1864406779661</v>
      </c>
      <c r="BR20" s="3" t="e">
        <f t="shared" si="24"/>
        <v>#REF!</v>
      </c>
      <c r="BS20" s="1">
        <f t="shared" si="25"/>
        <v>52.3728813559322</v>
      </c>
      <c r="BU20" s="3" t="e">
        <f t="shared" si="26"/>
        <v>#REF!</v>
      </c>
    </row>
    <row hidden="1" r="21" ht="14.0" outlineLevel="1">
      <c r="A21" s="27" t="s">
        <v>28</v>
      </c>
      <c r="B21" s="27" t="s">
        <v>29</v>
      </c>
      <c r="C21" s="27" t="s">
        <v>58</v>
      </c>
      <c r="D21" s="27" t="s">
        <v>59</v>
      </c>
      <c r="E21" s="27"/>
      <c r="F21" s="27">
        <v>1.0</v>
      </c>
      <c r="G21" s="27">
        <v>3.0</v>
      </c>
      <c r="H21" s="27">
        <v>1.0</v>
      </c>
      <c r="I21" s="27">
        <v>4.0</v>
      </c>
      <c r="J21" s="27">
        <v>0.0</v>
      </c>
      <c r="K21" s="27">
        <v>3.0</v>
      </c>
      <c r="L21" s="27">
        <v>1.0</v>
      </c>
      <c r="M21" s="27">
        <v>2.0</v>
      </c>
      <c r="N21" s="27">
        <v>1.0</v>
      </c>
      <c r="O21" s="27">
        <v>3.0</v>
      </c>
      <c r="P21" s="27">
        <v>1.0</v>
      </c>
      <c r="Q21" s="27">
        <v>1.0</v>
      </c>
      <c r="R21" s="27">
        <v>5.0</v>
      </c>
      <c r="S21" s="27">
        <v>2.0</v>
      </c>
      <c r="T21" s="27">
        <v>2.0</v>
      </c>
      <c r="U21" s="27">
        <v>1.0</v>
      </c>
      <c r="V21" s="27">
        <v>0.0</v>
      </c>
      <c r="W21" s="27">
        <v>2.0</v>
      </c>
      <c r="X21" s="27">
        <v>0.0</v>
      </c>
      <c r="Y21" s="27">
        <v>0.0</v>
      </c>
      <c r="Z21" s="27">
        <v>1.0</v>
      </c>
      <c r="AA21" s="27">
        <v>4.0</v>
      </c>
      <c r="AB21" s="27">
        <v>4.0</v>
      </c>
      <c r="AC21" s="27">
        <v>0.0</v>
      </c>
      <c r="AD21" s="27">
        <v>0.0</v>
      </c>
      <c r="AE21" s="27">
        <v>0.0</v>
      </c>
      <c r="AF21" s="27">
        <v>2.0</v>
      </c>
      <c r="AG21" s="27">
        <v>1.0</v>
      </c>
      <c r="AH21" s="27">
        <v>1.0</v>
      </c>
      <c r="AI21" s="27">
        <v>0.0</v>
      </c>
      <c r="AJ21" s="27">
        <v>1.0</v>
      </c>
      <c r="AK21" s="27">
        <v>0.0</v>
      </c>
      <c r="AL21" s="27">
        <v>1.0</v>
      </c>
      <c r="AM21" s="27">
        <v>1.0</v>
      </c>
      <c r="AN21" s="27">
        <v>2.0</v>
      </c>
      <c r="AO21" s="186">
        <v>1.0</v>
      </c>
      <c r="AP21" s="186">
        <v>1.0</v>
      </c>
      <c r="AQ21" s="28">
        <f t="shared" si="3"/>
        <v>11.0</v>
      </c>
      <c r="AR21" s="28">
        <f t="shared" si="4"/>
        <v>6.0</v>
      </c>
      <c r="AS21" s="32">
        <f t="shared" si="5"/>
        <v>6.6</v>
      </c>
      <c r="AT21" s="33"/>
      <c r="AU21" s="33">
        <v>1.0</v>
      </c>
      <c r="AV21" s="33">
        <v>1.0</v>
      </c>
      <c r="AW21" s="33">
        <v>1.0</v>
      </c>
      <c r="AX21" s="33">
        <v>1.0</v>
      </c>
      <c r="AY21" s="2">
        <v>1.0</v>
      </c>
      <c r="AZ21" s="2">
        <v>1.0</v>
      </c>
      <c r="BA21" s="2">
        <f t="shared" si="12"/>
        <v>6.0</v>
      </c>
      <c r="BB21" s="2" t="e">
        <f t="shared" si="13"/>
        <v>#REF!</v>
      </c>
      <c r="BF21">
        <f>VLOOKUP(C21,MOQ,3,FALSE())</f>
      </c>
      <c r="BL21" s="3">
        <f t="shared" si="19"/>
        <v>0.0</v>
      </c>
      <c r="BO21" s="3"/>
      <c r="BR21" s="3"/>
      <c r="BU21" s="3"/>
    </row>
    <row r="22" ht="14.0" collapsed="1">
      <c r="A22" s="189" t="s">
        <v>28</v>
      </c>
      <c r="B22" s="189" t="s">
        <v>29</v>
      </c>
      <c r="C22" s="40" t="s">
        <v>60</v>
      </c>
      <c r="D22" s="189" t="s">
        <v>61</v>
      </c>
      <c r="E22" s="189"/>
      <c r="F22" s="189">
        <v>0.0</v>
      </c>
      <c r="G22" s="189">
        <v>0.0</v>
      </c>
      <c r="H22" s="189">
        <v>0.0</v>
      </c>
      <c r="I22" s="189">
        <v>0.0</v>
      </c>
      <c r="J22" s="189">
        <v>0.0</v>
      </c>
      <c r="K22" s="189">
        <v>0.0</v>
      </c>
      <c r="L22" s="189">
        <v>0.0</v>
      </c>
      <c r="M22" s="189">
        <v>0.0</v>
      </c>
      <c r="N22" s="189">
        <v>0.0</v>
      </c>
      <c r="O22" s="189">
        <v>0.0</v>
      </c>
      <c r="P22" s="189">
        <v>0.0</v>
      </c>
      <c r="Q22" s="189">
        <v>0.0</v>
      </c>
      <c r="R22" s="189">
        <v>0.0</v>
      </c>
      <c r="S22" s="189">
        <v>0.0</v>
      </c>
      <c r="T22" s="189">
        <v>182.0</v>
      </c>
      <c r="U22" s="189">
        <v>96.0</v>
      </c>
      <c r="V22" s="189">
        <v>630.0</v>
      </c>
      <c r="W22" s="189">
        <v>714.0</v>
      </c>
      <c r="X22" s="189">
        <v>1034.0</v>
      </c>
      <c r="Y22" s="189">
        <v>266.0</v>
      </c>
      <c r="Z22" s="189">
        <v>66.0</v>
      </c>
      <c r="AA22" s="189">
        <v>12.0</v>
      </c>
      <c r="AB22" s="189">
        <v>18.0</v>
      </c>
      <c r="AC22" s="189">
        <v>1088.0</v>
      </c>
      <c r="AD22" s="189">
        <v>0.0</v>
      </c>
      <c r="AE22" s="34">
        <v>936.0</v>
      </c>
      <c r="AF22" s="34">
        <v>84.0</v>
      </c>
      <c r="AG22" s="34">
        <v>60.0</v>
      </c>
      <c r="AH22" s="34">
        <v>564.0</v>
      </c>
      <c r="AI22" s="34">
        <v>901.0</v>
      </c>
      <c r="AJ22" s="34">
        <v>660.0</v>
      </c>
      <c r="AK22" s="34">
        <v>811.0</v>
      </c>
      <c r="AL22" s="34">
        <v>234.0</v>
      </c>
      <c r="AM22" s="190">
        <v>54.0</v>
      </c>
      <c r="AN22" s="34">
        <v>348.0</v>
      </c>
      <c r="AO22" s="191">
        <v>595.0</v>
      </c>
      <c r="AP22" s="191">
        <v>402.0</v>
      </c>
      <c r="AQ22" s="35">
        <f t="shared" si="3"/>
        <v>5649.0</v>
      </c>
      <c r="AR22" s="35">
        <f t="shared" si="4"/>
        <v>2444.0</v>
      </c>
      <c r="AS22" s="35">
        <f t="shared" si="5"/>
        <v>2688.4</v>
      </c>
      <c r="AT22" s="36"/>
      <c r="AU22" s="176" t="e">
        <f>AS22*$AU$5/$AS$5+AU8+AU26-BB26</f>
        <v>#REF!</v>
      </c>
      <c r="AV22" s="176">
        <f>AS22*$AV$5/$AS$5+AV26*0.5+AV8*0.5</f>
        <v>855.384180790959</v>
      </c>
      <c r="AW22" s="176">
        <f>AS22*$AW$5/$AS$5+AW26*0.25+AW8*0.25</f>
        <v>531.330508474575</v>
      </c>
      <c r="AX22" s="176">
        <f>AS22*$AX$5/$AS$5+AX26*0.25+AX8*0.25</f>
        <v>1058.16101694915</v>
      </c>
      <c r="AY22" s="176">
        <f>AS22*$AY$5/$AS$5+AY26*0.25+AY8*0.25</f>
        <v>1155.2627118644</v>
      </c>
      <c r="AZ22" s="176">
        <f>AS22*$AZ$5/$AS$5+AZ26*0.25+AZ8*0.25</f>
        <v>1046.24576271186</v>
      </c>
      <c r="BA22" s="36" t="e">
        <f t="shared" si="12"/>
        <v>#REF!</v>
      </c>
      <c r="BB22" s="36" t="e">
        <f t="shared" si="13"/>
        <v>#REF!</v>
      </c>
      <c r="BC22" s="192" t="e">
        <f t="shared" ref="BC22:BC25" si="47">VLOOKUP(C22,JULY,3,false)</f>
        <v>#REF!</v>
      </c>
      <c r="BD22" s="37" t="e">
        <f t="shared" ref="BD22:BD25" si="48">VLOOKUP(C22,AUGUST,3,false)</f>
        <v>#REF!</v>
      </c>
      <c r="BE22" s="35" t="e">
        <f t="shared" ref="BE22:BE29" si="49">BB22+BC22+BD22-BA22</f>
        <v>#REF!</v>
      </c>
      <c r="BF22" s="37">
        <f>VLOOKUP(C22,MOQ,3,FALSE())</f>
        <v>3000.0</v>
      </c>
      <c r="BG22" s="38" t="s">
        <v>32</v>
      </c>
      <c r="BH22" s="29" t="s">
        <v>77</v>
      </c>
      <c r="BI22" s="36" t="e">
        <f t="shared" ref="BI22:BI29" si="50">BB22</f>
        <v>#REF!</v>
      </c>
      <c r="BJ22" s="36" t="e">
        <f t="shared" ref="BJ22:BJ29" si="51">AU22</f>
        <v>#REF!</v>
      </c>
      <c r="BK22" s="192" t="e">
        <f t="shared" ref="BK22:BK29" si="52">BC22</f>
        <v>#REF!</v>
      </c>
      <c r="BL22" s="193" t="e">
        <f t="shared" si="19"/>
        <v>#REF!</v>
      </c>
      <c r="BM22" s="36">
        <f t="shared" ref="BM22:BM29" si="53">AV22</f>
        <v>855.384180790959</v>
      </c>
      <c r="BN22" s="192" t="e">
        <f t="shared" ref="BN22:BN29" si="54">BD22</f>
        <v>#REF!</v>
      </c>
      <c r="BO22" s="35" t="e">
        <f t="shared" ref="BO22:BO29" si="55">BL22+BN22-BM22</f>
        <v>#REF!</v>
      </c>
      <c r="BP22" s="36">
        <f t="shared" ref="BP22:BP29" si="56">AW22</f>
        <v>531.330508474575</v>
      </c>
      <c r="BQ22" s="36"/>
      <c r="BR22" s="35" t="e">
        <f t="shared" ref="BR22:BR29" si="57">BO22+BQ22-BP22</f>
        <v>#REF!</v>
      </c>
      <c r="BS22" s="36">
        <f t="shared" ref="BS22:BS29" si="58">AX22</f>
        <v>1058.16101694915</v>
      </c>
      <c r="BT22" s="36"/>
      <c r="BU22" s="35" t="e">
        <f t="shared" ref="BU22:BU29" si="59">BR22+BT22-BS22</f>
        <v>#REF!</v>
      </c>
      <c r="BV22" s="192">
        <f t="shared" ref="BV22:BV29" si="60">AY22</f>
        <v>1155.2627118644</v>
      </c>
      <c r="BW22" s="192"/>
      <c r="BX22" s="193" t="e">
        <f t="shared" ref="BX22:BX29" si="61">BU22+BW22-BV22</f>
        <v>#REF!</v>
      </c>
      <c r="BY22" s="192">
        <f t="shared" ref="BY22:BY29" si="62">AZ22</f>
        <v>1046.24576271186</v>
      </c>
      <c r="BZ22" s="192"/>
      <c r="CA22" s="193" t="e">
        <f t="shared" ref="CA22:CA29" si="63">BX22+BZ22-BY22</f>
        <v>#REF!</v>
      </c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AMC22" s="194"/>
      <c r="AMD22" s="194"/>
      <c r="AME22" s="194"/>
      <c r="AMF22" s="194"/>
      <c r="AMG22" s="194"/>
      <c r="AMH22" s="194"/>
      <c r="AMI22" s="194"/>
      <c r="AMJ22" s="194"/>
    </row>
    <row r="23" ht="14.0">
      <c r="A23" s="189" t="s">
        <v>28</v>
      </c>
      <c r="B23" s="189" t="s">
        <v>29</v>
      </c>
      <c r="C23" s="189" t="s">
        <v>62</v>
      </c>
      <c r="D23" s="189" t="s">
        <v>63</v>
      </c>
      <c r="E23" s="189"/>
      <c r="F23" s="189">
        <v>0.0</v>
      </c>
      <c r="G23" s="189">
        <v>0.0</v>
      </c>
      <c r="H23" s="189">
        <v>0.0</v>
      </c>
      <c r="I23" s="189">
        <v>0.0</v>
      </c>
      <c r="J23" s="189">
        <v>0.0</v>
      </c>
      <c r="K23" s="189">
        <v>0.0</v>
      </c>
      <c r="L23" s="189">
        <v>0.0</v>
      </c>
      <c r="M23" s="189">
        <v>0.0</v>
      </c>
      <c r="N23" s="189">
        <v>0.0</v>
      </c>
      <c r="O23" s="189">
        <v>0.0</v>
      </c>
      <c r="P23" s="189">
        <v>0.0</v>
      </c>
      <c r="Q23" s="189">
        <v>0.0</v>
      </c>
      <c r="R23" s="189">
        <v>0.0</v>
      </c>
      <c r="S23" s="189">
        <v>0.0</v>
      </c>
      <c r="T23" s="189">
        <v>181.0</v>
      </c>
      <c r="U23" s="189">
        <v>96.0</v>
      </c>
      <c r="V23" s="189">
        <v>630.0</v>
      </c>
      <c r="W23" s="189">
        <v>618.0</v>
      </c>
      <c r="X23" s="189">
        <v>950.0</v>
      </c>
      <c r="Y23" s="189">
        <v>306.0</v>
      </c>
      <c r="Z23" s="189">
        <v>54.0</v>
      </c>
      <c r="AA23" s="189">
        <v>18.0</v>
      </c>
      <c r="AB23" s="189">
        <v>48.0</v>
      </c>
      <c r="AC23" s="189">
        <v>1135.0</v>
      </c>
      <c r="AD23" s="189">
        <v>0.0</v>
      </c>
      <c r="AE23" s="34">
        <v>828.0</v>
      </c>
      <c r="AF23" s="34">
        <v>24.0</v>
      </c>
      <c r="AG23" s="34">
        <v>60.0</v>
      </c>
      <c r="AH23" s="34">
        <v>666.0</v>
      </c>
      <c r="AI23" s="34">
        <v>733.0</v>
      </c>
      <c r="AJ23" s="34">
        <v>246.0</v>
      </c>
      <c r="AK23" s="34">
        <v>882.0</v>
      </c>
      <c r="AL23" s="34">
        <v>162.0</v>
      </c>
      <c r="AM23" s="190">
        <v>31.0</v>
      </c>
      <c r="AN23" s="34">
        <v>241.0</v>
      </c>
      <c r="AO23" s="191">
        <v>489.0</v>
      </c>
      <c r="AP23" s="191">
        <v>456.0</v>
      </c>
      <c r="AQ23" s="35">
        <f t="shared" si="3"/>
        <v>4818.0</v>
      </c>
      <c r="AR23" s="35">
        <f t="shared" si="4"/>
        <v>2261.0</v>
      </c>
      <c r="AS23" s="35">
        <f t="shared" si="5"/>
        <v>2487.1</v>
      </c>
      <c r="AT23" s="36"/>
      <c r="AU23" s="176">
        <f>AS23*$AU$5/$AS$5+AU29</f>
        <v>796.271186440678</v>
      </c>
      <c r="AV23" s="176">
        <f>AS23*$AV$5/$AS$5+AV29*0.5</f>
        <v>559.922316384181</v>
      </c>
      <c r="AW23" s="176">
        <f>AS23*$AW$5/$AS$5+AW29*0.25+AW81*0.25</f>
        <v>420.573305084746</v>
      </c>
      <c r="AX23" s="176">
        <f>AS23*$AX$5/$AS$5+AX29*0.25+AX81*0.25+AX9*0.25</f>
        <v>938.808474576272</v>
      </c>
      <c r="AY23" s="176">
        <f>AS23*$AY$5/$AS$5+AY29*0.25+AY9*0.25+AY81*0.25</f>
        <v>1031.73926553671</v>
      </c>
      <c r="AZ23" s="176">
        <f>AS23*$AZ$5/$AS$5+AZ29*0.25+AZ9*0.25+AZ81*0.25</f>
        <v>916.464689265528</v>
      </c>
      <c r="BA23" s="36">
        <f t="shared" si="12"/>
        <v>4663.77923728811</v>
      </c>
      <c r="BB23" s="36" t="e">
        <f t="shared" si="13"/>
        <v>#REF!</v>
      </c>
      <c r="BC23" s="192" t="e">
        <f t="shared" si="47"/>
        <v>#REF!</v>
      </c>
      <c r="BD23" s="37" t="e">
        <f t="shared" si="48"/>
        <v>#REF!</v>
      </c>
      <c r="BE23" s="35" t="e">
        <f t="shared" si="49"/>
        <v>#REF!</v>
      </c>
      <c r="BF23" s="37">
        <f>VLOOKUP(C23,MOQ,3,FALSE())</f>
        <v>3000.0</v>
      </c>
      <c r="BG23" s="41"/>
      <c r="BH23" s="29" t="s">
        <v>77</v>
      </c>
      <c r="BI23" s="36" t="e">
        <f t="shared" si="50"/>
        <v>#REF!</v>
      </c>
      <c r="BJ23" s="36">
        <f t="shared" si="51"/>
        <v>796.271186440678</v>
      </c>
      <c r="BK23" s="192" t="e">
        <f t="shared" si="52"/>
        <v>#REF!</v>
      </c>
      <c r="BL23" s="193" t="e">
        <f t="shared" si="19"/>
        <v>#REF!</v>
      </c>
      <c r="BM23" s="36">
        <f t="shared" si="53"/>
        <v>559.922316384181</v>
      </c>
      <c r="BN23" s="192" t="e">
        <f t="shared" si="54"/>
        <v>#REF!</v>
      </c>
      <c r="BO23" s="35" t="e">
        <f t="shared" si="55"/>
        <v>#REF!</v>
      </c>
      <c r="BP23" s="36">
        <f t="shared" si="56"/>
        <v>420.573305084746</v>
      </c>
      <c r="BQ23" s="36"/>
      <c r="BR23" s="35" t="e">
        <f t="shared" si="57"/>
        <v>#REF!</v>
      </c>
      <c r="BS23" s="36">
        <f t="shared" si="58"/>
        <v>938.808474576272</v>
      </c>
      <c r="BT23" s="36"/>
      <c r="BU23" s="35" t="e">
        <f t="shared" si="59"/>
        <v>#REF!</v>
      </c>
      <c r="BV23" s="192">
        <f t="shared" si="60"/>
        <v>1031.73926553671</v>
      </c>
      <c r="BW23" s="192"/>
      <c r="BX23" s="193" t="e">
        <f t="shared" si="61"/>
        <v>#REF!</v>
      </c>
      <c r="BY23" s="192">
        <f t="shared" si="62"/>
        <v>916.464689265528</v>
      </c>
      <c r="BZ23" s="192"/>
      <c r="CA23" s="193" t="e">
        <f t="shared" si="63"/>
        <v>#REF!</v>
      </c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AMC23" s="194"/>
      <c r="AMD23" s="194"/>
      <c r="AME23" s="194"/>
      <c r="AMF23" s="194"/>
      <c r="AMG23" s="194"/>
      <c r="AMH23" s="194"/>
      <c r="AMI23" s="194"/>
      <c r="AMJ23" s="194"/>
    </row>
    <row r="24" ht="14.0">
      <c r="A24" s="189" t="s">
        <v>28</v>
      </c>
      <c r="B24" s="189" t="s">
        <v>29</v>
      </c>
      <c r="C24" s="40" t="s">
        <v>65</v>
      </c>
      <c r="D24" s="189" t="s">
        <v>66</v>
      </c>
      <c r="E24" s="189"/>
      <c r="F24" s="189">
        <v>0.0</v>
      </c>
      <c r="G24" s="189">
        <v>0.0</v>
      </c>
      <c r="H24" s="189">
        <v>0.0</v>
      </c>
      <c r="I24" s="189">
        <v>0.0</v>
      </c>
      <c r="J24" s="189">
        <v>0.0</v>
      </c>
      <c r="K24" s="189">
        <v>0.0</v>
      </c>
      <c r="L24" s="189">
        <v>0.0</v>
      </c>
      <c r="M24" s="189">
        <v>0.0</v>
      </c>
      <c r="N24" s="189">
        <v>0.0</v>
      </c>
      <c r="O24" s="189">
        <v>0.0</v>
      </c>
      <c r="P24" s="189">
        <v>0.0</v>
      </c>
      <c r="Q24" s="189">
        <v>0.0</v>
      </c>
      <c r="R24" s="189">
        <v>0.0</v>
      </c>
      <c r="S24" s="189">
        <v>0.0</v>
      </c>
      <c r="T24" s="189">
        <v>1.0</v>
      </c>
      <c r="U24" s="189">
        <v>96.0</v>
      </c>
      <c r="V24" s="189">
        <v>36.0</v>
      </c>
      <c r="W24" s="189">
        <v>126.0</v>
      </c>
      <c r="X24" s="189">
        <v>44.0</v>
      </c>
      <c r="Y24" s="189">
        <v>408.0</v>
      </c>
      <c r="Z24" s="189">
        <v>31.0</v>
      </c>
      <c r="AA24" s="189">
        <v>36.0</v>
      </c>
      <c r="AB24" s="189">
        <v>30.0</v>
      </c>
      <c r="AC24" s="189">
        <v>594.0</v>
      </c>
      <c r="AD24" s="189">
        <v>6.0</v>
      </c>
      <c r="AE24" s="34">
        <v>486.0</v>
      </c>
      <c r="AF24" s="34">
        <v>60.0</v>
      </c>
      <c r="AG24" s="34">
        <v>12.0</v>
      </c>
      <c r="AH24" s="34">
        <v>498.0</v>
      </c>
      <c r="AI24" s="34">
        <v>572.0</v>
      </c>
      <c r="AJ24" s="34">
        <v>470.0</v>
      </c>
      <c r="AK24" s="34">
        <v>715.0</v>
      </c>
      <c r="AL24" s="34">
        <v>139.0</v>
      </c>
      <c r="AM24" s="190">
        <v>43.0</v>
      </c>
      <c r="AN24" s="34">
        <v>288.0</v>
      </c>
      <c r="AO24" s="191">
        <v>406.0</v>
      </c>
      <c r="AP24" s="191">
        <v>381.0</v>
      </c>
      <c r="AQ24" s="35">
        <f t="shared" si="3"/>
        <v>4070.0</v>
      </c>
      <c r="AR24" s="35">
        <f t="shared" si="4"/>
        <v>1972.0</v>
      </c>
      <c r="AS24" s="35">
        <f t="shared" si="5"/>
        <v>2169.2</v>
      </c>
      <c r="AT24" s="36"/>
      <c r="AU24" s="176">
        <f>AS24*$AU$5/$AS$5+AU28</f>
        <v>630.841807909604</v>
      </c>
      <c r="AV24" s="176">
        <f>AS24*$AV$5/$AS$5+AV28*0.5</f>
        <v>462.27966101694</v>
      </c>
      <c r="AW24" s="176">
        <f>AS24*$AW$5/$AS$5+AW28*0.25</f>
        <v>339.385593220338</v>
      </c>
      <c r="AX24" s="176">
        <f>AS24*$AX$5/$AS$5+AX28*0.25</f>
        <v>677.271186440678</v>
      </c>
      <c r="AY24" s="176">
        <f>AS24*$AY$5/$AS$5+AY28*0.25</f>
        <v>742.806497175141</v>
      </c>
      <c r="AZ24" s="176">
        <f>AS24*$AZ$5/$AS$5+AZ28*0.25</f>
        <v>672.620056497174</v>
      </c>
      <c r="BA24" s="36">
        <f t="shared" si="12"/>
        <v>3525.20480225988</v>
      </c>
      <c r="BB24" s="36" t="e">
        <f t="shared" si="13"/>
        <v>#REF!</v>
      </c>
      <c r="BC24" s="192" t="e">
        <f t="shared" si="47"/>
        <v>#REF!</v>
      </c>
      <c r="BD24" s="37" t="e">
        <f t="shared" si="48"/>
        <v>#REF!</v>
      </c>
      <c r="BE24" s="35" t="e">
        <f t="shared" si="49"/>
        <v>#REF!</v>
      </c>
      <c r="BF24" s="37">
        <f>VLOOKUP(C24,MOQ,3,FALSE())</f>
        <v>3000.0</v>
      </c>
      <c r="BG24" s="38" t="s">
        <v>32</v>
      </c>
      <c r="BH24" s="29" t="s">
        <v>241</v>
      </c>
      <c r="BI24" s="36" t="e">
        <f t="shared" si="50"/>
        <v>#REF!</v>
      </c>
      <c r="BJ24" s="36">
        <f t="shared" si="51"/>
        <v>630.841807909604</v>
      </c>
      <c r="BK24" s="192" t="e">
        <f t="shared" si="52"/>
        <v>#REF!</v>
      </c>
      <c r="BL24" s="193" t="e">
        <f t="shared" si="19"/>
        <v>#REF!</v>
      </c>
      <c r="BM24" s="36">
        <f t="shared" si="53"/>
        <v>462.27966101694</v>
      </c>
      <c r="BN24" s="192" t="e">
        <f t="shared" si="54"/>
        <v>#REF!</v>
      </c>
      <c r="BO24" s="35" t="e">
        <f t="shared" si="55"/>
        <v>#REF!</v>
      </c>
      <c r="BP24" s="36">
        <f t="shared" si="56"/>
        <v>339.385593220338</v>
      </c>
      <c r="BQ24" s="36"/>
      <c r="BR24" s="35" t="e">
        <f t="shared" si="57"/>
        <v>#REF!</v>
      </c>
      <c r="BS24" s="36">
        <f t="shared" si="58"/>
        <v>677.271186440678</v>
      </c>
      <c r="BT24" s="36"/>
      <c r="BU24" s="35" t="e">
        <f t="shared" si="59"/>
        <v>#REF!</v>
      </c>
      <c r="BV24" s="192">
        <f t="shared" si="60"/>
        <v>742.806497175141</v>
      </c>
      <c r="BW24" s="192"/>
      <c r="BX24" s="193" t="e">
        <f t="shared" si="61"/>
        <v>#REF!</v>
      </c>
      <c r="BY24" s="192">
        <f t="shared" si="62"/>
        <v>672.620056497174</v>
      </c>
      <c r="BZ24" s="192"/>
      <c r="CA24" s="193" t="e">
        <f t="shared" si="63"/>
        <v>#REF!</v>
      </c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AMC24" s="194"/>
      <c r="AMD24" s="194"/>
      <c r="AME24" s="194"/>
      <c r="AMF24" s="194"/>
      <c r="AMG24" s="194"/>
      <c r="AMH24" s="194"/>
      <c r="AMI24" s="194"/>
      <c r="AMJ24" s="194"/>
    </row>
    <row r="25" ht="14.0">
      <c r="A25" s="189" t="s">
        <v>28</v>
      </c>
      <c r="B25" s="189" t="s">
        <v>29</v>
      </c>
      <c r="C25" s="189" t="s">
        <v>67</v>
      </c>
      <c r="D25" s="189" t="s">
        <v>68</v>
      </c>
      <c r="E25" s="189"/>
      <c r="F25" s="189">
        <v>0.0</v>
      </c>
      <c r="G25" s="189">
        <v>0.0</v>
      </c>
      <c r="H25" s="189">
        <v>0.0</v>
      </c>
      <c r="I25" s="189">
        <v>0.0</v>
      </c>
      <c r="J25" s="189">
        <v>0.0</v>
      </c>
      <c r="K25" s="189">
        <v>0.0</v>
      </c>
      <c r="L25" s="189">
        <v>0.0</v>
      </c>
      <c r="M25" s="189">
        <v>0.0</v>
      </c>
      <c r="N25" s="189">
        <v>0.0</v>
      </c>
      <c r="O25" s="189">
        <v>0.0</v>
      </c>
      <c r="P25" s="189">
        <v>0.0</v>
      </c>
      <c r="Q25" s="189">
        <v>0.0</v>
      </c>
      <c r="R25" s="189">
        <v>0.0</v>
      </c>
      <c r="S25" s="189">
        <v>0.0</v>
      </c>
      <c r="T25" s="189">
        <v>1.0</v>
      </c>
      <c r="U25" s="189">
        <v>132.0</v>
      </c>
      <c r="V25" s="189">
        <v>36.0</v>
      </c>
      <c r="W25" s="189">
        <v>90.0</v>
      </c>
      <c r="X25" s="189">
        <v>37.0</v>
      </c>
      <c r="Y25" s="189">
        <v>383.0</v>
      </c>
      <c r="Z25" s="189">
        <v>36.0</v>
      </c>
      <c r="AA25" s="189">
        <v>30.0</v>
      </c>
      <c r="AB25" s="189">
        <v>66.0</v>
      </c>
      <c r="AC25" s="189">
        <v>606.0</v>
      </c>
      <c r="AD25" s="189">
        <v>6.0</v>
      </c>
      <c r="AE25" s="34">
        <v>492.0</v>
      </c>
      <c r="AF25" s="34">
        <v>60.0</v>
      </c>
      <c r="AG25" s="34">
        <v>24.0</v>
      </c>
      <c r="AH25" s="34">
        <v>464.0</v>
      </c>
      <c r="AI25" s="34">
        <v>595.0</v>
      </c>
      <c r="AJ25" s="34">
        <v>560.0</v>
      </c>
      <c r="AK25" s="34">
        <v>770.0</v>
      </c>
      <c r="AL25" s="34">
        <v>282.0</v>
      </c>
      <c r="AM25" s="190">
        <v>19.0</v>
      </c>
      <c r="AN25" s="34">
        <v>264.0</v>
      </c>
      <c r="AO25" s="191">
        <v>497.0</v>
      </c>
      <c r="AP25" s="191">
        <v>386.0</v>
      </c>
      <c r="AQ25" s="35">
        <f t="shared" si="3"/>
        <v>4413.0</v>
      </c>
      <c r="AR25" s="35">
        <f t="shared" si="4"/>
        <v>2218.0</v>
      </c>
      <c r="AS25" s="35">
        <f t="shared" si="5"/>
        <v>2439.8</v>
      </c>
      <c r="AT25" s="36"/>
      <c r="AU25" s="176">
        <f>AS25*$AU$5/$AS$5+AU27</f>
        <v>740.457627118643</v>
      </c>
      <c r="AV25" s="176">
        <f>AS25*$AV$5/$AS$5+AV27*0.5</f>
        <v>532.598870056496</v>
      </c>
      <c r="AW25" s="176">
        <f>AS25*$AW$5/$AS$5+AW27*0.25</f>
        <v>386.64406779661</v>
      </c>
      <c r="AX25" s="176">
        <f>AS25*$AX$5/$AS$5+AX27*0.25</f>
        <v>771.78813559322</v>
      </c>
      <c r="AY25" s="176">
        <f>AS25*$AY$5/$AS$5+AY27*0.25</f>
        <v>848.101694915246</v>
      </c>
      <c r="AZ25" s="176">
        <f>AS25*$AZ$5/$AS$5+AZ27*0.25</f>
        <v>767.966101694914</v>
      </c>
      <c r="BA25" s="36">
        <f t="shared" si="12"/>
        <v>4047.55649717512</v>
      </c>
      <c r="BB25" s="36" t="e">
        <f t="shared" si="13"/>
        <v>#REF!</v>
      </c>
      <c r="BC25" s="192" t="e">
        <f t="shared" si="47"/>
        <v>#REF!</v>
      </c>
      <c r="BD25" s="37" t="e">
        <f t="shared" si="48"/>
        <v>#REF!</v>
      </c>
      <c r="BE25" s="35" t="e">
        <f t="shared" si="49"/>
        <v>#REF!</v>
      </c>
      <c r="BF25" s="37">
        <f>VLOOKUP(C25,MOQ,3,FALSE())</f>
        <v>3000.0</v>
      </c>
      <c r="BG25" s="41"/>
      <c r="BH25" s="29" t="s">
        <v>77</v>
      </c>
      <c r="BI25" s="36" t="e">
        <f t="shared" si="50"/>
        <v>#REF!</v>
      </c>
      <c r="BJ25" s="36">
        <f t="shared" si="51"/>
        <v>740.457627118643</v>
      </c>
      <c r="BK25" s="192" t="e">
        <f t="shared" si="52"/>
        <v>#REF!</v>
      </c>
      <c r="BL25" s="193" t="e">
        <f t="shared" si="19"/>
        <v>#REF!</v>
      </c>
      <c r="BM25" s="36">
        <f t="shared" si="53"/>
        <v>532.598870056496</v>
      </c>
      <c r="BN25" s="192" t="e">
        <f t="shared" si="54"/>
        <v>#REF!</v>
      </c>
      <c r="BO25" s="35" t="e">
        <f t="shared" si="55"/>
        <v>#REF!</v>
      </c>
      <c r="BP25" s="36">
        <f t="shared" si="56"/>
        <v>386.64406779661</v>
      </c>
      <c r="BQ25" s="36"/>
      <c r="BR25" s="35" t="e">
        <f t="shared" si="57"/>
        <v>#REF!</v>
      </c>
      <c r="BS25" s="36">
        <f t="shared" si="58"/>
        <v>771.78813559322</v>
      </c>
      <c r="BT25" s="36"/>
      <c r="BU25" s="35" t="e">
        <f t="shared" si="59"/>
        <v>#REF!</v>
      </c>
      <c r="BV25" s="192">
        <f t="shared" si="60"/>
        <v>848.101694915246</v>
      </c>
      <c r="BW25" s="192"/>
      <c r="BX25" s="193" t="e">
        <f t="shared" si="61"/>
        <v>#REF!</v>
      </c>
      <c r="BY25" s="192">
        <f t="shared" si="62"/>
        <v>767.966101694914</v>
      </c>
      <c r="BZ25" s="192"/>
      <c r="CA25" s="193" t="e">
        <f t="shared" si="63"/>
        <v>#REF!</v>
      </c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AMC25" s="194"/>
      <c r="AMD25" s="194"/>
      <c r="AME25" s="194"/>
      <c r="AMF25" s="194"/>
      <c r="AMG25" s="194"/>
      <c r="AMH25" s="194"/>
      <c r="AMI25" s="194"/>
      <c r="AMJ25" s="194"/>
    </row>
    <row r="26" customHeight="1" ht="12.0">
      <c r="A26" s="166" t="s">
        <v>28</v>
      </c>
      <c r="B26" s="27" t="s">
        <v>29</v>
      </c>
      <c r="C26" s="166" t="s">
        <v>69</v>
      </c>
      <c r="D26" s="166" t="s">
        <v>70</v>
      </c>
      <c r="E26" s="27"/>
      <c r="F26" s="27">
        <v>332.0</v>
      </c>
      <c r="G26" s="27">
        <v>484.0</v>
      </c>
      <c r="H26" s="27">
        <v>408.0</v>
      </c>
      <c r="I26" s="27">
        <v>455.0</v>
      </c>
      <c r="J26" s="27">
        <v>567.0</v>
      </c>
      <c r="K26" s="27">
        <v>558.0</v>
      </c>
      <c r="L26" s="27">
        <v>495.0</v>
      </c>
      <c r="M26" s="27">
        <v>424.0</v>
      </c>
      <c r="N26" s="27">
        <v>304.0</v>
      </c>
      <c r="O26" s="27">
        <v>295.0</v>
      </c>
      <c r="P26" s="27">
        <v>322.0</v>
      </c>
      <c r="Q26" s="27">
        <v>300.0</v>
      </c>
      <c r="R26" s="27">
        <v>173.0</v>
      </c>
      <c r="S26" s="27">
        <v>276.0</v>
      </c>
      <c r="T26" s="27">
        <v>312.0</v>
      </c>
      <c r="U26" s="27">
        <v>254.0</v>
      </c>
      <c r="V26" s="27">
        <v>385.0</v>
      </c>
      <c r="W26" s="27">
        <v>508.0</v>
      </c>
      <c r="X26" s="27">
        <v>550.0</v>
      </c>
      <c r="Y26" s="27">
        <v>332.0</v>
      </c>
      <c r="Z26" s="27">
        <v>132.0</v>
      </c>
      <c r="AA26" s="27">
        <v>443.0</v>
      </c>
      <c r="AB26" s="27">
        <v>242.0</v>
      </c>
      <c r="AC26" s="27">
        <v>274.0</v>
      </c>
      <c r="AD26" s="27">
        <v>273.0</v>
      </c>
      <c r="AE26" s="27">
        <v>219.0</v>
      </c>
      <c r="AF26" s="27">
        <v>346.0</v>
      </c>
      <c r="AG26" s="27">
        <v>163.0</v>
      </c>
      <c r="AH26" s="27">
        <v>421.0</v>
      </c>
      <c r="AI26" s="27">
        <v>306.0</v>
      </c>
      <c r="AJ26" s="27">
        <v>466.0</v>
      </c>
      <c r="AK26" s="27">
        <v>193.0</v>
      </c>
      <c r="AL26" s="27">
        <v>239.0</v>
      </c>
      <c r="AM26" s="27">
        <v>238.0</v>
      </c>
      <c r="AN26" s="27">
        <v>147.0</v>
      </c>
      <c r="AO26" s="186">
        <v>223.0</v>
      </c>
      <c r="AP26" s="186">
        <v>263.0</v>
      </c>
      <c r="AQ26" s="28">
        <f t="shared" si="3"/>
        <v>3224.0</v>
      </c>
      <c r="AR26" s="28">
        <f t="shared" si="4"/>
        <v>1303.0</v>
      </c>
      <c r="AS26" s="28">
        <f t="shared" si="5"/>
        <v>1433.3</v>
      </c>
      <c r="AU26" s="1">
        <f>AS26*$AU$5/$AS$5+12*$AU$30</f>
        <v>399.59039548022</v>
      </c>
      <c r="AV26" s="171">
        <f>AS26*$AV$5/$AS$5+12*$AV$30</f>
        <v>328.697740112994</v>
      </c>
      <c r="AW26" s="171">
        <f>AS26*$AW$5/$AS$5+12*$AW$30</f>
        <v>257.805084745762</v>
      </c>
      <c r="AX26" s="171">
        <f>AS26*$AX$5/$AS$5+12*$AX$30</f>
        <v>503.610169491525</v>
      </c>
      <c r="AY26" s="175">
        <f t="shared" ref="AY26:AY29" si="86">AS26*$AY$5/$AS$5</f>
        <v>467.460451977401</v>
      </c>
      <c r="AZ26" s="175">
        <f t="shared" ref="AZ26:AZ29" si="87">AS26*$AZ$5/$AS$5</f>
        <v>423.290960451977</v>
      </c>
      <c r="BA26" s="2">
        <f t="shared" si="12"/>
        <v>2380.45480225988</v>
      </c>
      <c r="BB26" s="2" t="e">
        <f t="shared" si="13"/>
        <v>#REF!</v>
      </c>
      <c r="BD26" s="36"/>
      <c r="BE26" s="28" t="e">
        <f t="shared" si="49"/>
        <v>#REF!</v>
      </c>
      <c r="BF26" s="29">
        <f>VLOOKUP(C26,MOQ,3,FALSE())</f>
        <v>1620.0</v>
      </c>
      <c r="BG26" s="177" t="e">
        <f>BE26*-1</f>
        <v>#REF!</v>
      </c>
      <c r="BH26" s="29" t="s">
        <v>7</v>
      </c>
      <c r="BI26" s="1" t="e">
        <f t="shared" si="50"/>
        <v>#REF!</v>
      </c>
      <c r="BJ26" s="1">
        <f t="shared" si="51"/>
        <v>399.59039548022</v>
      </c>
      <c r="BK26" s="1">
        <f t="shared" si="52"/>
      </c>
      <c r="BL26" s="3" t="e">
        <f t="shared" si="19"/>
        <v>#REF!</v>
      </c>
      <c r="BM26" s="1">
        <f t="shared" si="53"/>
        <v>328.697740112994</v>
      </c>
      <c r="BN26" s="1">
        <f t="shared" si="54"/>
      </c>
      <c r="BO26" s="3" t="e">
        <f t="shared" si="55"/>
        <v>#REF!</v>
      </c>
      <c r="BP26" s="1">
        <f t="shared" si="56"/>
        <v>257.805084745762</v>
      </c>
      <c r="BR26" s="3" t="e">
        <f t="shared" si="57"/>
        <v>#REF!</v>
      </c>
      <c r="BS26" s="1">
        <f t="shared" si="58"/>
        <v>503.610169491525</v>
      </c>
      <c r="BU26" s="3" t="e">
        <f t="shared" si="59"/>
        <v>#REF!</v>
      </c>
      <c r="BV26" s="1">
        <f t="shared" si="60"/>
        <v>467.460451977401</v>
      </c>
      <c r="BX26" s="3" t="e">
        <f t="shared" si="61"/>
        <v>#REF!</v>
      </c>
      <c r="BY26" s="1">
        <f t="shared" si="62"/>
        <v>423.290960451977</v>
      </c>
      <c r="CA26" s="3" t="e">
        <f t="shared" si="63"/>
        <v>#REF!</v>
      </c>
    </row>
    <row r="27" ht="14.0">
      <c r="A27" s="166" t="s">
        <v>45</v>
      </c>
      <c r="B27" s="27" t="s">
        <v>29</v>
      </c>
      <c r="C27" s="166" t="s">
        <v>71</v>
      </c>
      <c r="D27" s="166" t="s">
        <v>72</v>
      </c>
      <c r="E27" s="27"/>
      <c r="F27" s="27">
        <v>187.0</v>
      </c>
      <c r="G27" s="27">
        <v>234.0</v>
      </c>
      <c r="H27" s="27">
        <v>244.0</v>
      </c>
      <c r="I27" s="27">
        <v>248.0</v>
      </c>
      <c r="J27" s="27">
        <v>263.0</v>
      </c>
      <c r="K27" s="27">
        <v>354.0</v>
      </c>
      <c r="L27" s="27">
        <v>309.0</v>
      </c>
      <c r="M27" s="27">
        <v>307.0</v>
      </c>
      <c r="N27" s="27">
        <v>199.0</v>
      </c>
      <c r="O27" s="27">
        <v>153.0</v>
      </c>
      <c r="P27" s="27">
        <v>251.0</v>
      </c>
      <c r="Q27" s="27">
        <v>171.0</v>
      </c>
      <c r="R27" s="27">
        <v>111.0</v>
      </c>
      <c r="S27" s="27">
        <v>166.0</v>
      </c>
      <c r="T27" s="27">
        <v>179.0</v>
      </c>
      <c r="U27" s="27">
        <v>149.0</v>
      </c>
      <c r="V27" s="27">
        <v>245.0</v>
      </c>
      <c r="W27" s="27">
        <v>257.0</v>
      </c>
      <c r="X27" s="27">
        <v>312.0</v>
      </c>
      <c r="Y27" s="27">
        <v>255.0</v>
      </c>
      <c r="Z27" s="27">
        <v>286.0</v>
      </c>
      <c r="AA27" s="27">
        <v>65.0</v>
      </c>
      <c r="AB27" s="27">
        <v>130.0</v>
      </c>
      <c r="AC27" s="27">
        <v>292.0</v>
      </c>
      <c r="AD27" s="27">
        <v>143.0</v>
      </c>
      <c r="AE27" s="27">
        <v>184.0</v>
      </c>
      <c r="AF27" s="27">
        <v>191.0</v>
      </c>
      <c r="AG27" s="27">
        <v>137.0</v>
      </c>
      <c r="AH27" s="27">
        <v>259.0</v>
      </c>
      <c r="AI27" s="27">
        <v>131.0</v>
      </c>
      <c r="AJ27" s="27">
        <v>282.0</v>
      </c>
      <c r="AK27" s="27">
        <v>190.0</v>
      </c>
      <c r="AL27" s="27">
        <v>171.0</v>
      </c>
      <c r="AM27" s="27">
        <v>217.0</v>
      </c>
      <c r="AN27" s="27">
        <v>5.0</v>
      </c>
      <c r="AO27" s="186">
        <v>1.0</v>
      </c>
      <c r="AP27" s="186">
        <v>0.0</v>
      </c>
      <c r="AQ27" s="28">
        <f t="shared" si="3"/>
        <v>1768.0</v>
      </c>
      <c r="AR27" s="28">
        <f t="shared" si="4"/>
        <v>584.0</v>
      </c>
      <c r="AS27" s="28">
        <f t="shared" si="5"/>
        <v>642.4</v>
      </c>
      <c r="AU27" s="171">
        <f t="shared" ref="AU27:AU29" si="89">AS27*$AU$5/$AS$5+6*$AU$30</f>
        <v>182.824858757062</v>
      </c>
      <c r="AV27" s="171">
        <f t="shared" ref="AV27:AV29" si="90">AS27*$AV$5/$AS$5+6*$AV$30</f>
        <v>150.429378531072</v>
      </c>
      <c r="AW27" s="171">
        <f t="shared" ref="AW27:AW29" si="91">AS27*$AW$5/$AS$5+6*$AW$30</f>
        <v>118.033898305084</v>
      </c>
      <c r="AX27" s="171">
        <f t="shared" ref="AX27:AX29" si="92">AS27*$AX$5/$AS$5+6*$AX$30</f>
        <v>230.067796610169</v>
      </c>
      <c r="AY27" s="175">
        <f t="shared" si="86"/>
        <v>209.514124293785</v>
      </c>
      <c r="AZ27" s="175">
        <f t="shared" si="87"/>
        <v>189.717514124293</v>
      </c>
      <c r="BA27" s="2">
        <f t="shared" si="12"/>
        <v>1080.58757062147</v>
      </c>
      <c r="BB27" s="2" t="e">
        <f t="shared" si="13"/>
        <v>#REF!</v>
      </c>
      <c r="BD27" s="36"/>
      <c r="BE27" s="28" t="e">
        <f t="shared" si="49"/>
        <v>#REF!</v>
      </c>
      <c r="BF27" s="29">
        <f>VLOOKUP(C27,MOQ,3,FALSE())</f>
        <v>1080.0</v>
      </c>
      <c r="BG27" s="30"/>
      <c r="BH27" s="29" t="s">
        <v>77</v>
      </c>
      <c r="BI27" s="1" t="e">
        <f t="shared" si="50"/>
        <v>#REF!</v>
      </c>
      <c r="BJ27" s="1">
        <f t="shared" si="51"/>
        <v>182.824858757062</v>
      </c>
      <c r="BK27" s="1">
        <f t="shared" si="52"/>
      </c>
      <c r="BL27" s="3" t="e">
        <f t="shared" si="19"/>
        <v>#REF!</v>
      </c>
      <c r="BM27" s="1">
        <f t="shared" si="53"/>
        <v>150.429378531072</v>
      </c>
      <c r="BN27" s="1">
        <f t="shared" si="54"/>
      </c>
      <c r="BO27" s="3" t="e">
        <f t="shared" si="55"/>
        <v>#REF!</v>
      </c>
      <c r="BP27" s="1">
        <f t="shared" si="56"/>
        <v>118.033898305084</v>
      </c>
      <c r="BR27" s="3" t="e">
        <f t="shared" si="57"/>
        <v>#REF!</v>
      </c>
      <c r="BS27" s="1">
        <f t="shared" si="58"/>
        <v>230.067796610169</v>
      </c>
      <c r="BU27" s="3" t="e">
        <f t="shared" si="59"/>
        <v>#REF!</v>
      </c>
      <c r="BV27" s="1">
        <f t="shared" si="60"/>
        <v>209.514124293785</v>
      </c>
      <c r="BX27" s="3" t="e">
        <f t="shared" si="61"/>
        <v>#REF!</v>
      </c>
      <c r="BY27" s="1">
        <f t="shared" si="62"/>
        <v>189.717514124293</v>
      </c>
      <c r="CA27" s="3" t="e">
        <f t="shared" si="63"/>
        <v>#REF!</v>
      </c>
    </row>
    <row r="28" ht="14.0">
      <c r="A28" s="166" t="s">
        <v>45</v>
      </c>
      <c r="B28" s="27" t="s">
        <v>29</v>
      </c>
      <c r="C28" s="166" t="s">
        <v>73</v>
      </c>
      <c r="D28" s="166" t="s">
        <v>74</v>
      </c>
      <c r="E28" s="27"/>
      <c r="F28" s="27">
        <v>105.0</v>
      </c>
      <c r="G28" s="27">
        <v>264.0</v>
      </c>
      <c r="H28" s="27">
        <v>181.0</v>
      </c>
      <c r="I28" s="27">
        <v>261.0</v>
      </c>
      <c r="J28" s="27">
        <v>159.0</v>
      </c>
      <c r="K28" s="27">
        <v>297.0</v>
      </c>
      <c r="L28" s="27">
        <v>282.0</v>
      </c>
      <c r="M28" s="27">
        <v>186.0</v>
      </c>
      <c r="N28" s="27">
        <v>147.0</v>
      </c>
      <c r="O28" s="27">
        <v>141.0</v>
      </c>
      <c r="P28" s="27">
        <v>137.0</v>
      </c>
      <c r="Q28" s="27">
        <v>147.0</v>
      </c>
      <c r="R28" s="27">
        <v>65.0</v>
      </c>
      <c r="S28" s="27">
        <v>106.0</v>
      </c>
      <c r="T28" s="27">
        <v>108.0</v>
      </c>
      <c r="U28" s="27">
        <v>111.0</v>
      </c>
      <c r="V28" s="27">
        <v>160.0</v>
      </c>
      <c r="W28" s="27">
        <v>164.0</v>
      </c>
      <c r="X28" s="27">
        <v>281.0</v>
      </c>
      <c r="Y28" s="27">
        <v>221.0</v>
      </c>
      <c r="Z28" s="27">
        <v>174.0</v>
      </c>
      <c r="AA28" s="27">
        <v>122.0</v>
      </c>
      <c r="AB28" s="27">
        <v>96.0</v>
      </c>
      <c r="AC28" s="27">
        <v>121.0</v>
      </c>
      <c r="AD28" s="27">
        <v>111.0</v>
      </c>
      <c r="AE28" s="27">
        <v>96.0</v>
      </c>
      <c r="AF28" s="27">
        <v>124.0</v>
      </c>
      <c r="AG28" s="27">
        <v>77.0</v>
      </c>
      <c r="AH28" s="27">
        <v>151.0</v>
      </c>
      <c r="AI28" s="27">
        <v>143.0</v>
      </c>
      <c r="AJ28" s="27">
        <v>151.0</v>
      </c>
      <c r="AK28" s="27">
        <v>114.0</v>
      </c>
      <c r="AL28" s="27">
        <v>126.0</v>
      </c>
      <c r="AM28" s="27">
        <v>71.0</v>
      </c>
      <c r="AN28" s="27">
        <v>82.0</v>
      </c>
      <c r="AO28" s="186">
        <v>2.0</v>
      </c>
      <c r="AP28" s="195">
        <v>-1.0</v>
      </c>
      <c r="AQ28" s="28">
        <f t="shared" si="3"/>
        <v>1136.0</v>
      </c>
      <c r="AR28" s="28">
        <f t="shared" si="4"/>
        <v>394.0</v>
      </c>
      <c r="AS28" s="28">
        <f t="shared" si="5"/>
        <v>433.4</v>
      </c>
      <c r="AU28" s="171">
        <f t="shared" si="89"/>
        <v>135.056497175141</v>
      </c>
      <c r="AV28" s="171">
        <f t="shared" si="90"/>
        <v>111.248587570621</v>
      </c>
      <c r="AW28" s="171">
        <f t="shared" si="91"/>
        <v>87.4406779661017</v>
      </c>
      <c r="AX28" s="171">
        <f t="shared" si="92"/>
        <v>168.881355932203</v>
      </c>
      <c r="AY28" s="175">
        <f t="shared" si="86"/>
        <v>141.350282485876</v>
      </c>
      <c r="AZ28" s="175">
        <f t="shared" si="87"/>
        <v>127.994350282486</v>
      </c>
      <c r="BA28" s="2">
        <f t="shared" si="12"/>
        <v>771.97175141242</v>
      </c>
      <c r="BB28" s="2" t="e">
        <f t="shared" si="13"/>
        <v>#REF!</v>
      </c>
      <c r="BD28" s="36"/>
      <c r="BE28" s="28" t="e">
        <f t="shared" si="49"/>
        <v>#REF!</v>
      </c>
      <c r="BF28" s="29">
        <f>VLOOKUP(C28,MOQ,3,FALSE())</f>
        <v>660.0</v>
      </c>
      <c r="BG28" s="30"/>
      <c r="BH28" s="29" t="s">
        <v>77</v>
      </c>
      <c r="BI28" s="1" t="e">
        <f t="shared" si="50"/>
        <v>#REF!</v>
      </c>
      <c r="BJ28" s="1">
        <f t="shared" si="51"/>
        <v>135.056497175141</v>
      </c>
      <c r="BK28" s="1">
        <f t="shared" si="52"/>
      </c>
      <c r="BL28" s="3" t="e">
        <f t="shared" si="19"/>
        <v>#REF!</v>
      </c>
      <c r="BM28" s="1">
        <f t="shared" si="53"/>
        <v>111.248587570621</v>
      </c>
      <c r="BN28" s="1">
        <f t="shared" si="54"/>
      </c>
      <c r="BO28" s="3" t="e">
        <f t="shared" si="55"/>
        <v>#REF!</v>
      </c>
      <c r="BP28" s="1">
        <f t="shared" si="56"/>
        <v>87.4406779661017</v>
      </c>
      <c r="BR28" s="3" t="e">
        <f t="shared" si="57"/>
        <v>#REF!</v>
      </c>
      <c r="BS28" s="1">
        <f t="shared" si="58"/>
        <v>168.881355932203</v>
      </c>
      <c r="BU28" s="3" t="e">
        <f t="shared" si="59"/>
        <v>#REF!</v>
      </c>
      <c r="BV28" s="1">
        <f t="shared" si="60"/>
        <v>141.350282485876</v>
      </c>
      <c r="BX28" s="3" t="e">
        <f t="shared" si="61"/>
        <v>#REF!</v>
      </c>
      <c r="BY28" s="1">
        <f t="shared" si="62"/>
        <v>127.994350282486</v>
      </c>
      <c r="CA28" s="3" t="e">
        <f t="shared" si="63"/>
        <v>#REF!</v>
      </c>
    </row>
    <row r="29" ht="14.0">
      <c r="A29" s="166" t="s">
        <v>45</v>
      </c>
      <c r="B29" s="27" t="s">
        <v>29</v>
      </c>
      <c r="C29" s="166" t="s">
        <v>75</v>
      </c>
      <c r="D29" s="166" t="s">
        <v>76</v>
      </c>
      <c r="E29" s="27"/>
      <c r="F29" s="27">
        <v>310.0</v>
      </c>
      <c r="G29" s="27">
        <v>397.0</v>
      </c>
      <c r="H29" s="27">
        <v>272.0</v>
      </c>
      <c r="I29" s="27">
        <v>366.0</v>
      </c>
      <c r="J29" s="27">
        <v>379.0</v>
      </c>
      <c r="K29" s="27">
        <v>383.0</v>
      </c>
      <c r="L29" s="27">
        <v>420.0</v>
      </c>
      <c r="M29" s="27">
        <v>425.0</v>
      </c>
      <c r="N29" s="27">
        <v>338.0</v>
      </c>
      <c r="O29" s="27">
        <v>201.0</v>
      </c>
      <c r="P29" s="27">
        <v>336.0</v>
      </c>
      <c r="Q29" s="27">
        <v>218.0</v>
      </c>
      <c r="R29" s="27">
        <v>181.0</v>
      </c>
      <c r="S29" s="27">
        <v>199.0</v>
      </c>
      <c r="T29" s="27">
        <v>272.0</v>
      </c>
      <c r="U29" s="27">
        <v>184.0</v>
      </c>
      <c r="V29" s="27">
        <v>311.0</v>
      </c>
      <c r="W29" s="27">
        <v>325.0</v>
      </c>
      <c r="X29" s="27">
        <v>432.0</v>
      </c>
      <c r="Y29" s="27">
        <v>331.0</v>
      </c>
      <c r="Z29" s="27">
        <v>335.0</v>
      </c>
      <c r="AA29" s="27">
        <v>264.0</v>
      </c>
      <c r="AB29" s="27">
        <v>127.0</v>
      </c>
      <c r="AC29" s="27">
        <v>246.0</v>
      </c>
      <c r="AD29" s="27">
        <v>180.0</v>
      </c>
      <c r="AE29" s="27">
        <v>248.0</v>
      </c>
      <c r="AF29" s="27">
        <v>243.0</v>
      </c>
      <c r="AG29" s="27">
        <v>192.0</v>
      </c>
      <c r="AH29" s="27">
        <v>286.0</v>
      </c>
      <c r="AI29" s="27">
        <v>262.0</v>
      </c>
      <c r="AJ29" s="27">
        <v>329.0</v>
      </c>
      <c r="AK29" s="27">
        <v>193.0</v>
      </c>
      <c r="AL29" s="27">
        <v>214.0</v>
      </c>
      <c r="AM29" s="27">
        <v>207.0</v>
      </c>
      <c r="AN29" s="27">
        <v>144.0</v>
      </c>
      <c r="AO29" s="195">
        <v>-1.0</v>
      </c>
      <c r="AP29" s="186">
        <v>6.0</v>
      </c>
      <c r="AQ29" s="28">
        <f t="shared" si="3"/>
        <v>2323.0</v>
      </c>
      <c r="AR29" s="28">
        <f t="shared" si="4"/>
        <v>763.0</v>
      </c>
      <c r="AS29" s="28">
        <f t="shared" si="5"/>
        <v>839.3</v>
      </c>
      <c r="AU29" s="171">
        <f t="shared" si="89"/>
        <v>227.827683615819</v>
      </c>
      <c r="AV29" s="171">
        <f t="shared" si="90"/>
        <v>187.341807909604</v>
      </c>
      <c r="AW29" s="171">
        <f t="shared" si="91"/>
        <v>146.85593220339</v>
      </c>
      <c r="AX29" s="171">
        <f t="shared" si="92"/>
        <v>287.71186440678</v>
      </c>
      <c r="AY29" s="175">
        <f t="shared" si="86"/>
        <v>273.731638418079</v>
      </c>
      <c r="AZ29" s="175">
        <f t="shared" si="87"/>
        <v>247.867231638418</v>
      </c>
      <c r="BA29" s="2">
        <f t="shared" si="12"/>
        <v>1371.33615819209</v>
      </c>
      <c r="BB29" s="2" t="e">
        <f t="shared" si="13"/>
        <v>#REF!</v>
      </c>
      <c r="BD29" s="36"/>
      <c r="BE29" s="28" t="e">
        <f t="shared" si="49"/>
        <v>#REF!</v>
      </c>
      <c r="BF29" s="29">
        <f>VLOOKUP(C29,MOQ,3,FALSE())</f>
        <v>480.0</v>
      </c>
      <c r="BG29" s="30"/>
      <c r="BH29" s="29" t="s">
        <v>77</v>
      </c>
      <c r="BI29" s="1" t="e">
        <f t="shared" si="50"/>
        <v>#REF!</v>
      </c>
      <c r="BJ29" s="1">
        <f t="shared" si="51"/>
        <v>227.827683615819</v>
      </c>
      <c r="BK29" s="1">
        <f t="shared" si="52"/>
      </c>
      <c r="BL29" s="3" t="e">
        <f t="shared" si="19"/>
        <v>#REF!</v>
      </c>
      <c r="BM29" s="1">
        <f t="shared" si="53"/>
        <v>187.341807909604</v>
      </c>
      <c r="BN29" s="1">
        <f t="shared" si="54"/>
      </c>
      <c r="BO29" s="3" t="e">
        <f t="shared" si="55"/>
        <v>#REF!</v>
      </c>
      <c r="BP29" s="1">
        <f t="shared" si="56"/>
        <v>146.85593220339</v>
      </c>
      <c r="BR29" s="3" t="e">
        <f t="shared" si="57"/>
        <v>#REF!</v>
      </c>
      <c r="BS29" s="1">
        <f t="shared" si="58"/>
        <v>287.71186440678</v>
      </c>
      <c r="BU29" s="3" t="e">
        <f t="shared" si="59"/>
        <v>#REF!</v>
      </c>
      <c r="BV29" s="1">
        <f t="shared" si="60"/>
        <v>273.731638418079</v>
      </c>
      <c r="BX29" s="3" t="e">
        <f t="shared" si="61"/>
        <v>#REF!</v>
      </c>
      <c r="BY29" s="1">
        <f t="shared" si="62"/>
        <v>247.867231638418</v>
      </c>
      <c r="CA29" s="3" t="e">
        <f t="shared" si="63"/>
        <v>#REF!</v>
      </c>
    </row>
    <row r="30" ht="14.0">
      <c r="A30" s="166" t="s">
        <v>28</v>
      </c>
      <c r="B30" s="27" t="s">
        <v>29</v>
      </c>
      <c r="C30" s="166" t="s">
        <v>78</v>
      </c>
      <c r="D30" s="166" t="s">
        <v>79</v>
      </c>
      <c r="E30" s="27"/>
      <c r="F30" s="27">
        <v>3.0</v>
      </c>
      <c r="G30" s="27">
        <v>8.0</v>
      </c>
      <c r="H30" s="27">
        <v>9.0</v>
      </c>
      <c r="I30" s="27">
        <v>9.0</v>
      </c>
      <c r="J30" s="27">
        <v>12.0</v>
      </c>
      <c r="K30" s="27">
        <v>14.0</v>
      </c>
      <c r="L30" s="27">
        <v>4.0</v>
      </c>
      <c r="M30" s="27">
        <v>9.0</v>
      </c>
      <c r="N30" s="27">
        <v>9.0</v>
      </c>
      <c r="O30" s="27">
        <v>13.0</v>
      </c>
      <c r="P30" s="27">
        <v>7.0</v>
      </c>
      <c r="Q30" s="27">
        <v>6.0</v>
      </c>
      <c r="R30" s="27">
        <v>9.0</v>
      </c>
      <c r="S30" s="27">
        <v>9.0</v>
      </c>
      <c r="T30" s="27">
        <v>10.0</v>
      </c>
      <c r="U30" s="27">
        <v>8.0</v>
      </c>
      <c r="V30" s="27">
        <v>9.0</v>
      </c>
      <c r="W30" s="27">
        <v>4.0</v>
      </c>
      <c r="X30" s="27">
        <v>7.0</v>
      </c>
      <c r="Y30" s="27">
        <v>5.0</v>
      </c>
      <c r="Z30" s="27">
        <v>1.0</v>
      </c>
      <c r="AA30" s="27">
        <v>1.0</v>
      </c>
      <c r="AB30" s="27">
        <v>0.0</v>
      </c>
      <c r="AC30" s="27">
        <v>8.0</v>
      </c>
      <c r="AD30" s="27">
        <v>3.0</v>
      </c>
      <c r="AE30" s="27">
        <v>4.0</v>
      </c>
      <c r="AF30" s="27">
        <v>4.0</v>
      </c>
      <c r="AG30" s="27">
        <v>11.0</v>
      </c>
      <c r="AH30" s="27">
        <v>7.0</v>
      </c>
      <c r="AI30" s="27">
        <v>9.0</v>
      </c>
      <c r="AJ30" s="27">
        <v>5.0</v>
      </c>
      <c r="AK30" s="27">
        <v>3.0</v>
      </c>
      <c r="AL30" s="27">
        <v>1.0</v>
      </c>
      <c r="AM30" s="27">
        <v>3.0</v>
      </c>
      <c r="AN30" s="27">
        <v>2.0</v>
      </c>
      <c r="AO30" s="186">
        <v>0.0</v>
      </c>
      <c r="AP30" s="186">
        <v>0.0</v>
      </c>
      <c r="AQ30" s="28">
        <f t="shared" si="3"/>
        <v>49.0</v>
      </c>
      <c r="AR30" s="28">
        <f t="shared" si="4"/>
        <v>9.0</v>
      </c>
      <c r="AS30" s="32">
        <f t="shared" si="5"/>
        <v>9.9</v>
      </c>
      <c r="AT30" s="33"/>
      <c r="AU30" s="33">
        <v>6.0</v>
      </c>
      <c r="AV30" s="33">
        <v>5.0</v>
      </c>
      <c r="AW30" s="33">
        <v>4.0</v>
      </c>
      <c r="AX30" s="33">
        <v>7.0</v>
      </c>
      <c r="AY30" s="36">
        <v>8.0</v>
      </c>
      <c r="AZ30" s="36">
        <v>7.0</v>
      </c>
      <c r="BA30" s="2">
        <f t="shared" si="12"/>
        <v>37.0</v>
      </c>
      <c r="BB30" s="2" t="e">
        <f t="shared" si="13"/>
        <v>#REF!</v>
      </c>
      <c r="BD30" s="36"/>
      <c r="BF30">
        <f>VLOOKUP(C30,MOQ,3,FALSE())</f>
      </c>
      <c r="BH30" s="29"/>
      <c r="BL30" s="3"/>
      <c r="BO30" s="3"/>
      <c r="BR30" s="3"/>
      <c r="BU30" s="3"/>
    </row>
    <row hidden="1" r="31" ht="14.0" outlineLevel="1">
      <c r="A31" s="27" t="s">
        <v>28</v>
      </c>
      <c r="B31" s="27" t="s">
        <v>29</v>
      </c>
      <c r="C31" s="27" t="s">
        <v>80</v>
      </c>
      <c r="D31" s="27" t="s">
        <v>81</v>
      </c>
      <c r="E31" s="27"/>
      <c r="F31" s="27">
        <v>0.0</v>
      </c>
      <c r="G31" s="27">
        <v>48.0</v>
      </c>
      <c r="H31" s="27">
        <v>1409.0</v>
      </c>
      <c r="I31" s="27">
        <v>1121.0</v>
      </c>
      <c r="J31" s="27">
        <v>210.0</v>
      </c>
      <c r="K31" s="27">
        <v>177.0</v>
      </c>
      <c r="L31" s="27">
        <v>1956.0</v>
      </c>
      <c r="M31" s="27">
        <v>195.0</v>
      </c>
      <c r="N31" s="27">
        <v>643.0</v>
      </c>
      <c r="O31" s="27">
        <v>4.0</v>
      </c>
      <c r="P31" s="27">
        <v>1219.0</v>
      </c>
      <c r="Q31" s="27">
        <v>222.0</v>
      </c>
      <c r="R31" s="27">
        <v>162.0</v>
      </c>
      <c r="S31" s="27">
        <v>678.0</v>
      </c>
      <c r="T31" s="27">
        <v>936.0</v>
      </c>
      <c r="U31" s="27">
        <v>26.0</v>
      </c>
      <c r="V31" s="27">
        <v>960.0</v>
      </c>
      <c r="W31" s="27">
        <v>876.0</v>
      </c>
      <c r="X31" s="27">
        <v>534.0</v>
      </c>
      <c r="Y31" s="27">
        <v>464.0</v>
      </c>
      <c r="Z31" s="27">
        <v>223.0</v>
      </c>
      <c r="AA31" s="27">
        <v>760.0</v>
      </c>
      <c r="AB31" s="27">
        <v>229.0</v>
      </c>
      <c r="AC31" s="27">
        <v>985.0</v>
      </c>
      <c r="AD31" s="27">
        <v>96.0</v>
      </c>
      <c r="AE31" s="27">
        <v>809.0</v>
      </c>
      <c r="AF31" s="27">
        <v>144.0</v>
      </c>
      <c r="AG31" s="27">
        <v>162.0</v>
      </c>
      <c r="AH31" s="27">
        <v>611.0</v>
      </c>
      <c r="AI31" s="27">
        <v>679.0</v>
      </c>
      <c r="AJ31" s="27">
        <v>600.0</v>
      </c>
      <c r="AK31" s="27">
        <v>642.0</v>
      </c>
      <c r="AL31" s="27">
        <v>285.0</v>
      </c>
      <c r="AM31" s="27">
        <v>168.0</v>
      </c>
      <c r="AN31" s="27">
        <v>384.0</v>
      </c>
      <c r="AO31" s="186">
        <v>318.0</v>
      </c>
      <c r="AP31" s="186">
        <v>292.0</v>
      </c>
      <c r="AQ31" s="28">
        <f t="shared" si="3"/>
        <v>5094.0</v>
      </c>
      <c r="AR31" s="28">
        <f t="shared" si="4"/>
        <v>2089.0</v>
      </c>
      <c r="AS31" s="28">
        <f t="shared" si="5"/>
        <v>2297.9</v>
      </c>
      <c r="AU31" s="1">
        <f>AS31*$AU$5/$AS$5+12*$AU$36</f>
        <v>597.200564971751</v>
      </c>
      <c r="AV31" s="1">
        <f>AS31*$AV$5/$AS$5+12*$AV$36</f>
        <v>490.782485875706</v>
      </c>
      <c r="AW31" s="1">
        <f>AS31*$AW$5/$AS$5+12*$AW$36</f>
        <v>384.364406779661</v>
      </c>
      <c r="AX31" s="1">
        <f>AS31*$AX$5/$AS$5+12*$AX$36</f>
        <v>768.728813559322</v>
      </c>
      <c r="BA31" s="2">
        <f t="shared" si="12"/>
        <v>2241.07627118644</v>
      </c>
      <c r="BB31" s="2" t="e">
        <f t="shared" si="13"/>
        <v>#REF!</v>
      </c>
      <c r="BD31" s="36" t="e">
        <f t="shared" ref="BD31:BD32" si="97">VLOOKUP(C31,AUGUST,3,false)</f>
        <v>#REF!</v>
      </c>
      <c r="BE31" s="3" t="e">
        <f t="shared" ref="BE31:BE35" si="98">BB31+BC31+BD31-BA31</f>
        <v>#REF!</v>
      </c>
      <c r="BF31" s="1">
        <f>VLOOKUP(C31,MOQ,3,FALSE())</f>
        <v>3000.0</v>
      </c>
      <c r="BG31" s="43" t="s">
        <v>32</v>
      </c>
      <c r="BI31" s="1" t="e">
        <f t="shared" ref="BI31:BI35" si="99">BB31</f>
        <v>#REF!</v>
      </c>
      <c r="BJ31" s="1">
        <f t="shared" ref="BJ31:BJ35" si="100">AU31</f>
        <v>597.200564971751</v>
      </c>
      <c r="BL31" s="3" t="e">
        <f t="shared" ref="BL31:BL67" si="101">BI31+BK31-BJ31</f>
        <v>#REF!</v>
      </c>
      <c r="BM31" s="1">
        <f t="shared" ref="BM31:BM35" si="102">AV31</f>
        <v>490.782485875706</v>
      </c>
      <c r="BO31" s="3" t="e">
        <f t="shared" ref="BO31:BO35" si="103">BL31+BN31-BM31</f>
        <v>#REF!</v>
      </c>
      <c r="BP31" s="1">
        <f t="shared" ref="BP31:BP35" si="104">AW31</f>
        <v>384.364406779661</v>
      </c>
      <c r="BR31" s="3" t="e">
        <f t="shared" ref="BR31:BR35" si="105">BO31+BQ31-BP31</f>
        <v>#REF!</v>
      </c>
      <c r="BS31" s="1">
        <f t="shared" ref="BS31:BS35" si="106">AX31</f>
        <v>768.728813559322</v>
      </c>
      <c r="BU31" s="3" t="e">
        <f t="shared" ref="BU31:BU35" si="107">BR31+BT31-BS31</f>
        <v>#REF!</v>
      </c>
    </row>
    <row hidden="1" r="32" ht="14.0" outlineLevel="1">
      <c r="A32" s="27" t="s">
        <v>28</v>
      </c>
      <c r="B32" s="27" t="s">
        <v>29</v>
      </c>
      <c r="C32" s="27" t="s">
        <v>82</v>
      </c>
      <c r="D32" s="27" t="s">
        <v>83</v>
      </c>
      <c r="E32" s="27"/>
      <c r="F32" s="27">
        <v>0.0</v>
      </c>
      <c r="G32" s="27">
        <v>36.0</v>
      </c>
      <c r="H32" s="27">
        <v>1290.0</v>
      </c>
      <c r="I32" s="27">
        <v>899.0</v>
      </c>
      <c r="J32" s="27">
        <v>228.0</v>
      </c>
      <c r="K32" s="27">
        <v>280.0</v>
      </c>
      <c r="L32" s="27">
        <v>1686.0</v>
      </c>
      <c r="M32" s="27">
        <v>157.0</v>
      </c>
      <c r="N32" s="27">
        <v>882.0</v>
      </c>
      <c r="O32" s="27">
        <v>222.0</v>
      </c>
      <c r="P32" s="27">
        <v>1068.0</v>
      </c>
      <c r="Q32" s="27">
        <v>175.0</v>
      </c>
      <c r="R32" s="27">
        <v>142.0</v>
      </c>
      <c r="S32" s="27">
        <v>690.0</v>
      </c>
      <c r="T32" s="27">
        <v>682.0</v>
      </c>
      <c r="U32" s="27">
        <v>-14.0</v>
      </c>
      <c r="V32" s="27">
        <v>669.0</v>
      </c>
      <c r="W32" s="27">
        <v>637.0</v>
      </c>
      <c r="X32" s="27">
        <v>556.0</v>
      </c>
      <c r="Y32" s="27">
        <v>502.0</v>
      </c>
      <c r="Z32" s="27">
        <v>172.0</v>
      </c>
      <c r="AA32" s="27">
        <v>642.0</v>
      </c>
      <c r="AB32" s="27">
        <v>131.0</v>
      </c>
      <c r="AC32" s="27">
        <v>1033.0</v>
      </c>
      <c r="AD32" s="27">
        <v>90.0</v>
      </c>
      <c r="AE32" s="27">
        <v>652.0</v>
      </c>
      <c r="AF32" s="27">
        <v>132.0</v>
      </c>
      <c r="AG32" s="27">
        <v>108.0</v>
      </c>
      <c r="AH32" s="27">
        <v>548.0</v>
      </c>
      <c r="AI32" s="27">
        <v>642.0</v>
      </c>
      <c r="AJ32" s="27">
        <v>446.0</v>
      </c>
      <c r="AK32" s="27">
        <v>657.0</v>
      </c>
      <c r="AL32" s="27">
        <v>312.0</v>
      </c>
      <c r="AM32" s="27">
        <v>144.0</v>
      </c>
      <c r="AN32" s="27">
        <v>309.0</v>
      </c>
      <c r="AO32" s="186">
        <v>282.0</v>
      </c>
      <c r="AP32" s="186">
        <v>228.0</v>
      </c>
      <c r="AQ32" s="28">
        <f t="shared" si="3"/>
        <v>4460.0</v>
      </c>
      <c r="AR32" s="28">
        <f t="shared" si="4"/>
        <v>1932.0</v>
      </c>
      <c r="AS32" s="28">
        <f t="shared" si="5"/>
        <v>2125.2</v>
      </c>
      <c r="AU32" s="1">
        <f t="shared" ref="AU32:AU35" si="108">AS32*$AU$5/$AS$5+6*$AU$36</f>
        <v>521.728813559321</v>
      </c>
      <c r="AV32" s="1">
        <f t="shared" ref="AV32:AV35" si="109">AS32*$AV$5/$AS$5+6*$AV$36</f>
        <v>428.406779661017</v>
      </c>
      <c r="AW32" s="1">
        <f t="shared" ref="AW32:AW35" si="110">AS32*$AW$5/$AS$5+6*$AW$36</f>
        <v>335.084745762711</v>
      </c>
      <c r="AX32" s="1">
        <f t="shared" ref="AX32:AX35" si="111">AS32*$AX$5/$AS$5+6*$AX$36</f>
        <v>670.169491525423</v>
      </c>
      <c r="BA32" s="2">
        <f t="shared" si="12"/>
        <v>1955.38983050847</v>
      </c>
      <c r="BB32" s="2" t="e">
        <f t="shared" si="13"/>
        <v>#REF!</v>
      </c>
      <c r="BD32" s="36" t="e">
        <f t="shared" si="97"/>
        <v>#REF!</v>
      </c>
      <c r="BE32" s="3" t="e">
        <f t="shared" si="98"/>
        <v>#REF!</v>
      </c>
      <c r="BF32" s="1">
        <f>VLOOKUP(C32,MOQ,3,FALSE())</f>
        <v>3000.0</v>
      </c>
      <c r="BG32" s="4">
        <f>BF32</f>
        <v>3000.0</v>
      </c>
      <c r="BH32" s="1" t="s">
        <v>8</v>
      </c>
      <c r="BI32" s="1" t="e">
        <f t="shared" si="99"/>
        <v>#REF!</v>
      </c>
      <c r="BJ32" s="1">
        <f t="shared" si="100"/>
        <v>521.728813559321</v>
      </c>
      <c r="BL32" s="3" t="e">
        <f t="shared" si="101"/>
        <v>#REF!</v>
      </c>
      <c r="BM32" s="1">
        <f t="shared" si="102"/>
        <v>428.406779661017</v>
      </c>
      <c r="BO32" s="3" t="e">
        <f t="shared" si="103"/>
        <v>#REF!</v>
      </c>
      <c r="BP32" s="1">
        <f t="shared" si="104"/>
        <v>335.084745762711</v>
      </c>
      <c r="BR32" s="3" t="e">
        <f t="shared" si="105"/>
        <v>#REF!</v>
      </c>
      <c r="BS32" s="1">
        <f t="shared" si="106"/>
        <v>670.169491525423</v>
      </c>
      <c r="BU32" s="3" t="e">
        <f t="shared" si="107"/>
        <v>#REF!</v>
      </c>
    </row>
    <row hidden="1" r="33" ht="14.0" outlineLevel="1">
      <c r="A33" s="27" t="s">
        <v>28</v>
      </c>
      <c r="B33" s="27" t="s">
        <v>29</v>
      </c>
      <c r="C33" s="27" t="s">
        <v>84</v>
      </c>
      <c r="D33" s="27" t="s">
        <v>85</v>
      </c>
      <c r="E33" s="27"/>
      <c r="F33" s="27">
        <v>0.0</v>
      </c>
      <c r="G33" s="27">
        <v>30.0</v>
      </c>
      <c r="H33" s="27">
        <v>48.0</v>
      </c>
      <c r="I33" s="27">
        <v>107.0</v>
      </c>
      <c r="J33" s="27">
        <v>102.0</v>
      </c>
      <c r="K33" s="27">
        <v>179.0</v>
      </c>
      <c r="L33" s="27">
        <v>454.0</v>
      </c>
      <c r="M33" s="27">
        <v>140.0</v>
      </c>
      <c r="N33" s="27">
        <v>258.0</v>
      </c>
      <c r="O33" s="27">
        <v>232.0</v>
      </c>
      <c r="P33" s="27">
        <v>524.0</v>
      </c>
      <c r="Q33" s="27">
        <v>86.0</v>
      </c>
      <c r="R33" s="27">
        <v>71.0</v>
      </c>
      <c r="S33" s="27">
        <v>293.0</v>
      </c>
      <c r="T33" s="27">
        <v>130.0</v>
      </c>
      <c r="U33" s="27">
        <v>71.0</v>
      </c>
      <c r="V33" s="27">
        <v>142.0</v>
      </c>
      <c r="W33" s="27">
        <v>137.0</v>
      </c>
      <c r="X33" s="27">
        <v>150.0</v>
      </c>
      <c r="Y33" s="27">
        <v>160.0</v>
      </c>
      <c r="Z33" s="27">
        <v>135.0</v>
      </c>
      <c r="AA33" s="27">
        <v>144.0</v>
      </c>
      <c r="AB33" s="27">
        <v>110.0</v>
      </c>
      <c r="AC33" s="27">
        <v>108.0</v>
      </c>
      <c r="AD33" s="27">
        <v>60.0</v>
      </c>
      <c r="AE33" s="27">
        <v>114.0</v>
      </c>
      <c r="AF33" s="27">
        <v>88.0</v>
      </c>
      <c r="AG33" s="27">
        <v>66.0</v>
      </c>
      <c r="AH33" s="27">
        <v>173.0</v>
      </c>
      <c r="AI33" s="27">
        <v>134.0</v>
      </c>
      <c r="AJ33" s="27">
        <v>127.0</v>
      </c>
      <c r="AK33" s="27">
        <v>150.0</v>
      </c>
      <c r="AL33" s="27">
        <v>125.0</v>
      </c>
      <c r="AM33" s="27">
        <v>123.0</v>
      </c>
      <c r="AN33" s="27">
        <v>78.0</v>
      </c>
      <c r="AO33" s="186">
        <v>91.0</v>
      </c>
      <c r="AP33" s="186">
        <v>59.0</v>
      </c>
      <c r="AQ33" s="28">
        <f t="shared" si="3"/>
        <v>1328.0</v>
      </c>
      <c r="AR33" s="28">
        <f t="shared" si="4"/>
        <v>626.0</v>
      </c>
      <c r="AS33" s="28">
        <f t="shared" si="5"/>
        <v>688.6</v>
      </c>
      <c r="AU33" s="1">
        <f t="shared" si="108"/>
        <v>193.38418079096</v>
      </c>
      <c r="AV33" s="1">
        <f t="shared" si="109"/>
        <v>159.090395480226</v>
      </c>
      <c r="AW33" s="1">
        <f t="shared" si="110"/>
        <v>124.796610169491</v>
      </c>
      <c r="AX33" s="1">
        <f t="shared" si="111"/>
        <v>249.593220338983</v>
      </c>
      <c r="BA33" s="2">
        <f t="shared" si="12"/>
        <v>726.86440677966</v>
      </c>
      <c r="BB33" s="2" t="e">
        <f t="shared" si="13"/>
        <v>#REF!</v>
      </c>
      <c r="BD33" s="36"/>
      <c r="BE33" s="3" t="e">
        <f t="shared" si="98"/>
        <v>#REF!</v>
      </c>
      <c r="BF33" s="1">
        <f>VLOOKUP(C33,MOQ,3,FALSE())</f>
        <v>3000.0</v>
      </c>
      <c r="BI33" s="1" t="e">
        <f t="shared" si="99"/>
        <v>#REF!</v>
      </c>
      <c r="BJ33" s="1">
        <f t="shared" si="100"/>
        <v>193.38418079096</v>
      </c>
      <c r="BL33" s="3" t="e">
        <f t="shared" si="101"/>
        <v>#REF!</v>
      </c>
      <c r="BM33" s="1">
        <f t="shared" si="102"/>
        <v>159.090395480226</v>
      </c>
      <c r="BO33" s="3" t="e">
        <f t="shared" si="103"/>
        <v>#REF!</v>
      </c>
      <c r="BP33" s="1">
        <f t="shared" si="104"/>
        <v>124.796610169491</v>
      </c>
      <c r="BR33" s="3" t="e">
        <f t="shared" si="105"/>
        <v>#REF!</v>
      </c>
      <c r="BS33" s="1">
        <f t="shared" si="106"/>
        <v>249.593220338983</v>
      </c>
      <c r="BU33" s="3" t="e">
        <f t="shared" si="107"/>
        <v>#REF!</v>
      </c>
    </row>
    <row hidden="1" r="34" ht="14.0" outlineLevel="1">
      <c r="A34" s="27" t="s">
        <v>28</v>
      </c>
      <c r="B34" s="27" t="s">
        <v>29</v>
      </c>
      <c r="C34" s="27" t="s">
        <v>86</v>
      </c>
      <c r="D34" s="27" t="s">
        <v>87</v>
      </c>
      <c r="E34" s="27"/>
      <c r="F34" s="27">
        <v>0.0</v>
      </c>
      <c r="G34" s="27">
        <v>36.0</v>
      </c>
      <c r="H34" s="27">
        <v>90.0</v>
      </c>
      <c r="I34" s="27">
        <v>84.0</v>
      </c>
      <c r="J34" s="27">
        <v>142.0</v>
      </c>
      <c r="K34" s="27">
        <v>112.0</v>
      </c>
      <c r="L34" s="27">
        <v>462.0</v>
      </c>
      <c r="M34" s="27">
        <v>101.0</v>
      </c>
      <c r="N34" s="27">
        <v>306.0</v>
      </c>
      <c r="O34" s="27">
        <v>155.0</v>
      </c>
      <c r="P34" s="27">
        <v>576.0</v>
      </c>
      <c r="Q34" s="27">
        <v>147.0</v>
      </c>
      <c r="R34" s="27">
        <v>116.0</v>
      </c>
      <c r="S34" s="27">
        <v>429.0</v>
      </c>
      <c r="T34" s="27">
        <v>451.0</v>
      </c>
      <c r="U34" s="27">
        <v>-44.0</v>
      </c>
      <c r="V34" s="27">
        <v>773.0</v>
      </c>
      <c r="W34" s="27">
        <v>663.0</v>
      </c>
      <c r="X34" s="27">
        <v>714.0</v>
      </c>
      <c r="Y34" s="27">
        <v>532.0</v>
      </c>
      <c r="Z34" s="27">
        <v>157.0</v>
      </c>
      <c r="AA34" s="27">
        <v>576.0</v>
      </c>
      <c r="AB34" s="27">
        <v>107.0</v>
      </c>
      <c r="AC34" s="27">
        <v>983.0</v>
      </c>
      <c r="AD34" s="27">
        <v>78.0</v>
      </c>
      <c r="AE34" s="27">
        <v>642.0</v>
      </c>
      <c r="AF34" s="27">
        <v>119.0</v>
      </c>
      <c r="AG34" s="27">
        <v>108.0</v>
      </c>
      <c r="AH34" s="27">
        <v>487.0</v>
      </c>
      <c r="AI34" s="27">
        <v>563.0</v>
      </c>
      <c r="AJ34" s="27">
        <v>618.0</v>
      </c>
      <c r="AK34" s="27">
        <v>516.0</v>
      </c>
      <c r="AL34" s="27">
        <v>249.0</v>
      </c>
      <c r="AM34" s="27">
        <v>100.0</v>
      </c>
      <c r="AN34" s="27">
        <v>268.0</v>
      </c>
      <c r="AO34" s="186">
        <v>306.0</v>
      </c>
      <c r="AP34" s="186">
        <v>222.0</v>
      </c>
      <c r="AQ34" s="28">
        <f t="shared" si="3"/>
        <v>4198.0</v>
      </c>
      <c r="AR34" s="28">
        <f t="shared" si="4"/>
        <v>1661.0</v>
      </c>
      <c r="AS34" s="28">
        <f t="shared" si="5"/>
        <v>1827.1</v>
      </c>
      <c r="AU34" s="1">
        <f t="shared" si="108"/>
        <v>453.59604519774</v>
      </c>
      <c r="AV34" s="1">
        <f t="shared" si="109"/>
        <v>372.522598870056</v>
      </c>
      <c r="AW34" s="1">
        <f t="shared" si="110"/>
        <v>291.449152542372</v>
      </c>
      <c r="AX34" s="1">
        <f t="shared" si="111"/>
        <v>582.898305084746</v>
      </c>
      <c r="BA34" s="2">
        <f t="shared" si="12"/>
        <v>1700.46610169491</v>
      </c>
      <c r="BB34" s="2" t="e">
        <f t="shared" si="13"/>
        <v>#REF!</v>
      </c>
      <c r="BD34" s="36" t="e">
        <f>VLOOKUP(C34,AUGUST,3,false)</f>
        <v>#REF!</v>
      </c>
      <c r="BE34" s="3" t="e">
        <f t="shared" si="98"/>
        <v>#REF!</v>
      </c>
      <c r="BF34" s="1">
        <f>VLOOKUP(C34,MOQ,3,FALSE())</f>
        <v>3000.0</v>
      </c>
      <c r="BG34" s="43" t="s">
        <v>32</v>
      </c>
      <c r="BH34" s="1" t="s">
        <v>10</v>
      </c>
      <c r="BI34" s="1" t="e">
        <f t="shared" si="99"/>
        <v>#REF!</v>
      </c>
      <c r="BJ34" s="1">
        <f t="shared" si="100"/>
        <v>453.59604519774</v>
      </c>
      <c r="BL34" s="3" t="e">
        <f t="shared" si="101"/>
        <v>#REF!</v>
      </c>
      <c r="BM34" s="1">
        <f t="shared" si="102"/>
        <v>372.522598870056</v>
      </c>
      <c r="BO34" s="3" t="e">
        <f t="shared" si="103"/>
        <v>#REF!</v>
      </c>
      <c r="BP34" s="1">
        <f t="shared" si="104"/>
        <v>291.449152542372</v>
      </c>
      <c r="BR34" s="3" t="e">
        <f t="shared" si="105"/>
        <v>#REF!</v>
      </c>
      <c r="BS34" s="1">
        <f t="shared" si="106"/>
        <v>582.898305084746</v>
      </c>
      <c r="BU34" s="3" t="e">
        <f t="shared" si="107"/>
        <v>#REF!</v>
      </c>
    </row>
    <row hidden="1" r="35" ht="14.0" outlineLevel="1">
      <c r="A35" s="27" t="s">
        <v>28</v>
      </c>
      <c r="B35" s="27" t="s">
        <v>29</v>
      </c>
      <c r="C35" s="27" t="s">
        <v>88</v>
      </c>
      <c r="D35" s="27" t="s">
        <v>89</v>
      </c>
      <c r="E35" s="27"/>
      <c r="F35" s="27">
        <v>0.0</v>
      </c>
      <c r="G35" s="27">
        <v>42.0</v>
      </c>
      <c r="H35" s="27">
        <v>1067.0</v>
      </c>
      <c r="I35" s="27">
        <v>713.0</v>
      </c>
      <c r="J35" s="27">
        <v>186.0</v>
      </c>
      <c r="K35" s="27">
        <v>184.0</v>
      </c>
      <c r="L35" s="27">
        <v>1600.0</v>
      </c>
      <c r="M35" s="27">
        <v>115.0</v>
      </c>
      <c r="N35" s="27">
        <v>618.0</v>
      </c>
      <c r="O35" s="27">
        <v>143.0</v>
      </c>
      <c r="P35" s="27">
        <v>882.0</v>
      </c>
      <c r="Q35" s="27">
        <v>132.0</v>
      </c>
      <c r="R35" s="27">
        <v>95.0</v>
      </c>
      <c r="S35" s="27">
        <v>350.0</v>
      </c>
      <c r="T35" s="27">
        <v>506.0</v>
      </c>
      <c r="U35" s="27">
        <v>48.0</v>
      </c>
      <c r="V35" s="27">
        <v>522.0</v>
      </c>
      <c r="W35" s="27">
        <v>523.0</v>
      </c>
      <c r="X35" s="27">
        <v>434.0</v>
      </c>
      <c r="Y35" s="27">
        <v>314.0</v>
      </c>
      <c r="Z35" s="27">
        <v>98.0</v>
      </c>
      <c r="AA35" s="27">
        <v>438.0</v>
      </c>
      <c r="AB35" s="27">
        <v>129.0</v>
      </c>
      <c r="AC35" s="27">
        <v>825.0</v>
      </c>
      <c r="AD35" s="27">
        <v>60.0</v>
      </c>
      <c r="AE35" s="27">
        <v>468.0</v>
      </c>
      <c r="AF35" s="27">
        <v>84.0</v>
      </c>
      <c r="AG35" s="27">
        <v>77.0</v>
      </c>
      <c r="AH35" s="27">
        <v>332.0</v>
      </c>
      <c r="AI35" s="27">
        <v>498.0</v>
      </c>
      <c r="AJ35" s="27">
        <v>390.0</v>
      </c>
      <c r="AK35" s="27">
        <v>467.0</v>
      </c>
      <c r="AL35" s="27">
        <v>210.0</v>
      </c>
      <c r="AM35" s="27">
        <v>96.0</v>
      </c>
      <c r="AN35" s="27">
        <v>162.0</v>
      </c>
      <c r="AO35" s="186">
        <v>132.0</v>
      </c>
      <c r="AP35" s="186">
        <v>144.0</v>
      </c>
      <c r="AQ35" s="28">
        <f t="shared" si="3"/>
        <v>3060.0</v>
      </c>
      <c r="AR35" s="28">
        <f t="shared" si="4"/>
        <v>1211.0</v>
      </c>
      <c r="AS35" s="28">
        <f t="shared" si="5"/>
        <v>1332.1</v>
      </c>
      <c r="AU35" s="1">
        <f t="shared" si="108"/>
        <v>340.460451977401</v>
      </c>
      <c r="AV35" s="1">
        <f t="shared" si="109"/>
        <v>279.725988700564</v>
      </c>
      <c r="AW35" s="1">
        <f t="shared" si="110"/>
        <v>218.991525423729</v>
      </c>
      <c r="AX35" s="1">
        <f t="shared" si="111"/>
        <v>437.983050847458</v>
      </c>
      <c r="BA35" s="2">
        <f t="shared" si="12"/>
        <v>1277.16101694915</v>
      </c>
      <c r="BB35" s="2" t="e">
        <f t="shared" si="13"/>
        <v>#REF!</v>
      </c>
      <c r="BD35" s="36"/>
      <c r="BE35" s="3" t="e">
        <f t="shared" si="98"/>
        <v>#REF!</v>
      </c>
      <c r="BF35" s="1">
        <f>VLOOKUP(C35,MOQ,3,FALSE())</f>
        <v>3000.0</v>
      </c>
      <c r="BG35" s="43" t="s">
        <v>32</v>
      </c>
      <c r="BI35" s="1" t="e">
        <f t="shared" si="99"/>
        <v>#REF!</v>
      </c>
      <c r="BJ35" s="1">
        <f t="shared" si="100"/>
        <v>340.460451977401</v>
      </c>
      <c r="BL35" s="3" t="e">
        <f t="shared" si="101"/>
        <v>#REF!</v>
      </c>
      <c r="BM35" s="1">
        <f t="shared" si="102"/>
        <v>279.725988700564</v>
      </c>
      <c r="BO35" s="3" t="e">
        <f t="shared" si="103"/>
        <v>#REF!</v>
      </c>
      <c r="BP35" s="1">
        <f t="shared" si="104"/>
        <v>218.991525423729</v>
      </c>
      <c r="BR35" s="3" t="e">
        <f t="shared" si="105"/>
        <v>#REF!</v>
      </c>
      <c r="BS35" s="1">
        <f t="shared" si="106"/>
        <v>437.983050847458</v>
      </c>
      <c r="BU35" s="3" t="e">
        <f t="shared" si="107"/>
        <v>#REF!</v>
      </c>
    </row>
    <row hidden="1" r="36" ht="14.0" outlineLevel="1">
      <c r="A36" s="27" t="s">
        <v>28</v>
      </c>
      <c r="B36" s="27" t="s">
        <v>29</v>
      </c>
      <c r="C36" s="27" t="s">
        <v>90</v>
      </c>
      <c r="D36" s="27" t="s">
        <v>91</v>
      </c>
      <c r="E36" s="27"/>
      <c r="F36" s="27">
        <v>0.0</v>
      </c>
      <c r="G36" s="27">
        <v>11.0</v>
      </c>
      <c r="H36" s="27">
        <v>19.0</v>
      </c>
      <c r="I36" s="27">
        <v>6.0</v>
      </c>
      <c r="J36" s="27">
        <v>0.0</v>
      </c>
      <c r="K36" s="27">
        <v>2.0</v>
      </c>
      <c r="L36" s="27">
        <v>2.0</v>
      </c>
      <c r="M36" s="27">
        <v>3.0</v>
      </c>
      <c r="N36" s="27">
        <v>2.0</v>
      </c>
      <c r="O36" s="27">
        <v>0.0</v>
      </c>
      <c r="P36" s="27">
        <v>1.0</v>
      </c>
      <c r="Q36" s="27">
        <v>4.0</v>
      </c>
      <c r="R36" s="27">
        <v>14.0</v>
      </c>
      <c r="S36" s="27">
        <v>8.0</v>
      </c>
      <c r="T36" s="27">
        <v>4.0</v>
      </c>
      <c r="U36" s="27">
        <v>11.0</v>
      </c>
      <c r="V36" s="27">
        <v>9.0</v>
      </c>
      <c r="W36" s="27">
        <v>6.0</v>
      </c>
      <c r="X36" s="27">
        <v>1.0</v>
      </c>
      <c r="Y36" s="27">
        <v>5.0</v>
      </c>
      <c r="Z36" s="27">
        <v>1.0</v>
      </c>
      <c r="AA36" s="27">
        <v>8.0</v>
      </c>
      <c r="AB36" s="27">
        <v>5.0</v>
      </c>
      <c r="AC36" s="27">
        <v>3.0</v>
      </c>
      <c r="AD36" s="27">
        <v>3.0</v>
      </c>
      <c r="AE36" s="27">
        <v>4.0</v>
      </c>
      <c r="AF36" s="27">
        <v>2.0</v>
      </c>
      <c r="AG36" s="27">
        <v>6.0</v>
      </c>
      <c r="AH36" s="27">
        <v>9.0</v>
      </c>
      <c r="AI36" s="27">
        <v>8.0</v>
      </c>
      <c r="AJ36" s="27">
        <v>0.0</v>
      </c>
      <c r="AK36" s="27">
        <v>4.0</v>
      </c>
      <c r="AL36" s="27">
        <v>7.0</v>
      </c>
      <c r="AM36" s="27">
        <v>4.0</v>
      </c>
      <c r="AN36" s="27">
        <v>2.0</v>
      </c>
      <c r="AO36" s="186">
        <v>2.0</v>
      </c>
      <c r="AP36" s="186">
        <v>1.0</v>
      </c>
      <c r="AQ36" s="28">
        <f t="shared" si="3"/>
        <v>49.0</v>
      </c>
      <c r="AR36" s="28">
        <f t="shared" si="4"/>
        <v>20.0</v>
      </c>
      <c r="AS36" s="32">
        <f t="shared" si="5"/>
        <v>22.0</v>
      </c>
      <c r="AT36" s="33"/>
      <c r="AU36" s="33">
        <v>6.0</v>
      </c>
      <c r="AV36" s="33">
        <v>5.0</v>
      </c>
      <c r="AW36" s="33">
        <v>4.0</v>
      </c>
      <c r="AX36" s="33">
        <v>8.0</v>
      </c>
      <c r="BA36" s="2">
        <f t="shared" si="12"/>
        <v>23.0</v>
      </c>
      <c r="BB36" s="2" t="e">
        <f t="shared" si="13"/>
        <v>#REF!</v>
      </c>
      <c r="BD36" s="36"/>
      <c r="BF36">
        <f>VLOOKUP(C36,MOQ,3,FALSE())</f>
      </c>
      <c r="BL36" s="3">
        <f t="shared" si="101"/>
        <v>0.0</v>
      </c>
      <c r="BO36" s="3"/>
      <c r="BR36" s="3"/>
      <c r="BU36" s="3"/>
    </row>
    <row hidden="1" r="37" ht="14.0" outlineLevel="1">
      <c r="A37" s="27" t="s">
        <v>28</v>
      </c>
      <c r="B37" s="27" t="s">
        <v>29</v>
      </c>
      <c r="C37" s="27" t="s">
        <v>92</v>
      </c>
      <c r="D37" s="27" t="s">
        <v>93</v>
      </c>
      <c r="E37" s="27"/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180.0</v>
      </c>
      <c r="R37" s="27">
        <v>204.0</v>
      </c>
      <c r="S37" s="27">
        <v>162.0</v>
      </c>
      <c r="T37" s="27">
        <v>165.0</v>
      </c>
      <c r="U37" s="27">
        <v>187.0</v>
      </c>
      <c r="V37" s="27">
        <v>168.0</v>
      </c>
      <c r="W37" s="27">
        <v>192.0</v>
      </c>
      <c r="X37" s="27">
        <v>282.0</v>
      </c>
      <c r="Y37" s="27">
        <v>219.0</v>
      </c>
      <c r="Z37" s="27">
        <v>191.0</v>
      </c>
      <c r="AA37" s="27">
        <v>255.0</v>
      </c>
      <c r="AB37" s="27">
        <v>150.0</v>
      </c>
      <c r="AC37" s="27">
        <v>222.0</v>
      </c>
      <c r="AD37" s="27">
        <v>159.0</v>
      </c>
      <c r="AE37" s="27">
        <v>176.0</v>
      </c>
      <c r="AF37" s="27">
        <v>185.0</v>
      </c>
      <c r="AG37" s="27">
        <v>168.0</v>
      </c>
      <c r="AH37" s="27">
        <v>240.0</v>
      </c>
      <c r="AI37" s="27">
        <v>347.0</v>
      </c>
      <c r="AJ37" s="27">
        <v>209.0</v>
      </c>
      <c r="AK37" s="27">
        <v>173.0</v>
      </c>
      <c r="AL37" s="27">
        <v>172.0</v>
      </c>
      <c r="AM37" s="27">
        <v>162.0</v>
      </c>
      <c r="AN37" s="27">
        <v>160.0</v>
      </c>
      <c r="AO37" s="186">
        <v>181.0</v>
      </c>
      <c r="AP37" s="186">
        <v>163.0</v>
      </c>
      <c r="AQ37" s="28">
        <f t="shared" si="3"/>
        <v>2336.0</v>
      </c>
      <c r="AR37" s="28">
        <f t="shared" si="4"/>
        <v>1011.0</v>
      </c>
      <c r="AS37" s="28">
        <f t="shared" si="5"/>
        <v>1112.1</v>
      </c>
      <c r="AU37" s="1">
        <f t="shared" ref="AU37:AU61" si="114">AS37*$AU$5/$AS$5</f>
        <v>254.177966101694</v>
      </c>
      <c r="AV37" s="1">
        <f t="shared" ref="AV37:AV61" si="115">AS37*$AV$5/$AS$5</f>
        <v>208.483050847458</v>
      </c>
      <c r="AW37" s="1">
        <f t="shared" ref="AW37:AW61" si="116">AS37*$AW$5/$AS$5</f>
        <v>162.78813559322</v>
      </c>
      <c r="AX37" s="1">
        <f t="shared" ref="AX37:AX61" si="117">AS37*$AX$5/$AS$5</f>
        <v>325.57627118644</v>
      </c>
      <c r="BA37" s="2">
        <f t="shared" si="12"/>
        <v>951.025423728812</v>
      </c>
      <c r="BB37" s="2" t="e">
        <f t="shared" si="13"/>
        <v>#REF!</v>
      </c>
      <c r="BD37" s="36"/>
      <c r="BE37" s="3" t="e">
        <f t="shared" ref="BE37:BE61" si="118">BB37+BC37+BD37-BA37</f>
        <v>#REF!</v>
      </c>
      <c r="BF37" s="1">
        <f>VLOOKUP(C37,MOQ,3,FALSE())</f>
        <v>504.0</v>
      </c>
      <c r="BG37" s="4">
        <f>BF37</f>
        <v>504.0</v>
      </c>
      <c r="BH37" s="1" t="s">
        <v>9</v>
      </c>
      <c r="BI37" s="1" t="e">
        <f t="shared" ref="BI37:BI61" si="120">BB37</f>
        <v>#REF!</v>
      </c>
      <c r="BJ37" s="1">
        <f t="shared" ref="BJ37:BJ61" si="121">AU37</f>
        <v>254.177966101694</v>
      </c>
      <c r="BL37" s="3" t="e">
        <f t="shared" si="101"/>
        <v>#REF!</v>
      </c>
      <c r="BM37" s="1">
        <f t="shared" ref="BM37:BM61" si="122">AV37</f>
        <v>208.483050847458</v>
      </c>
      <c r="BO37" s="3" t="e">
        <f t="shared" ref="BO37:BO61" si="123">BL37+BN37-BM37</f>
        <v>#REF!</v>
      </c>
      <c r="BP37" s="1">
        <f t="shared" ref="BP37:BP61" si="124">AW37</f>
        <v>162.78813559322</v>
      </c>
      <c r="BR37" s="3" t="e">
        <f t="shared" ref="BR37:BR61" si="125">BO37+BQ37-BP37</f>
        <v>#REF!</v>
      </c>
      <c r="BS37" s="1">
        <f t="shared" ref="BS37:BS61" si="126">AX37</f>
        <v>325.57627118644</v>
      </c>
      <c r="BU37" s="3" t="e">
        <f t="shared" ref="BU37:BU61" si="127">BR37+BT37-BS37</f>
        <v>#REF!</v>
      </c>
    </row>
    <row hidden="1" r="38" ht="14.0" outlineLevel="1">
      <c r="A38" s="27" t="s">
        <v>28</v>
      </c>
      <c r="B38" s="27" t="s">
        <v>29</v>
      </c>
      <c r="C38" s="27" t="s">
        <v>94</v>
      </c>
      <c r="D38" s="27" t="s">
        <v>95</v>
      </c>
      <c r="E38" s="27"/>
      <c r="F38" s="27">
        <v>74.0</v>
      </c>
      <c r="G38" s="27">
        <v>99.0</v>
      </c>
      <c r="H38" s="27">
        <v>99.0</v>
      </c>
      <c r="I38" s="27">
        <v>163.0</v>
      </c>
      <c r="J38" s="27">
        <v>111.0</v>
      </c>
      <c r="K38" s="27">
        <v>139.0</v>
      </c>
      <c r="L38" s="27">
        <v>141.0</v>
      </c>
      <c r="M38" s="27">
        <v>147.0</v>
      </c>
      <c r="N38" s="27">
        <v>64.0</v>
      </c>
      <c r="O38" s="27">
        <v>86.0</v>
      </c>
      <c r="P38" s="27">
        <v>150.0</v>
      </c>
      <c r="Q38" s="27">
        <v>75.0</v>
      </c>
      <c r="R38" s="27">
        <v>86.0</v>
      </c>
      <c r="S38" s="27">
        <v>187.0</v>
      </c>
      <c r="T38" s="27">
        <v>151.0</v>
      </c>
      <c r="U38" s="27">
        <v>191.0</v>
      </c>
      <c r="V38" s="27">
        <v>146.0</v>
      </c>
      <c r="W38" s="27">
        <v>178.0</v>
      </c>
      <c r="X38" s="27">
        <v>258.0</v>
      </c>
      <c r="Y38" s="27">
        <v>106.0</v>
      </c>
      <c r="Z38" s="27">
        <v>1.0</v>
      </c>
      <c r="AA38" s="27">
        <v>245.0</v>
      </c>
      <c r="AB38" s="27">
        <v>137.0</v>
      </c>
      <c r="AC38" s="27">
        <v>177.0</v>
      </c>
      <c r="AD38" s="27">
        <v>162.0</v>
      </c>
      <c r="AE38" s="27">
        <v>151.0</v>
      </c>
      <c r="AF38" s="27">
        <v>144.0</v>
      </c>
      <c r="AG38" s="27">
        <v>141.0</v>
      </c>
      <c r="AH38" s="27">
        <v>176.0</v>
      </c>
      <c r="AI38" s="27">
        <v>209.0</v>
      </c>
      <c r="AJ38" s="27">
        <v>186.0</v>
      </c>
      <c r="AK38" s="27">
        <v>126.0</v>
      </c>
      <c r="AL38" s="27">
        <v>141.0</v>
      </c>
      <c r="AM38" s="27">
        <v>137.0</v>
      </c>
      <c r="AN38" s="27">
        <v>42.0</v>
      </c>
      <c r="AO38" s="186">
        <v>-1.0</v>
      </c>
      <c r="AP38" s="186">
        <v>0.0</v>
      </c>
      <c r="AQ38" s="28">
        <f t="shared" si="3"/>
        <v>1452.0</v>
      </c>
      <c r="AR38" s="28">
        <f t="shared" si="4"/>
        <v>445.0</v>
      </c>
      <c r="AS38" s="28">
        <f t="shared" si="5"/>
        <v>489.5</v>
      </c>
      <c r="AU38" s="1">
        <f t="shared" si="114"/>
        <v>111.878531073446</v>
      </c>
      <c r="AV38" s="1">
        <f t="shared" si="115"/>
        <v>91.7655367231638</v>
      </c>
      <c r="AW38" s="1">
        <f t="shared" si="116"/>
        <v>71.6525423728813</v>
      </c>
      <c r="AX38" s="1">
        <f t="shared" si="117"/>
        <v>143.305084745762</v>
      </c>
      <c r="BA38" s="2">
        <f t="shared" si="12"/>
        <v>418.601694915253</v>
      </c>
      <c r="BB38" s="2" t="e">
        <f t="shared" si="13"/>
        <v>#REF!</v>
      </c>
      <c r="BD38" s="36"/>
      <c r="BE38" s="3" t="e">
        <f t="shared" si="118"/>
        <v>#REF!</v>
      </c>
      <c r="BF38" s="1">
        <f>VLOOKUP(C38,MOQ,3,FALSE())</f>
        <v>480.0</v>
      </c>
      <c r="BG38" s="43" t="s">
        <v>32</v>
      </c>
      <c r="BH38" s="1" t="s">
        <v>10</v>
      </c>
      <c r="BI38" s="1" t="e">
        <f t="shared" si="120"/>
        <v>#REF!</v>
      </c>
      <c r="BJ38" s="1">
        <f t="shared" si="121"/>
        <v>111.878531073446</v>
      </c>
      <c r="BL38" s="3" t="e">
        <f t="shared" si="101"/>
        <v>#REF!</v>
      </c>
      <c r="BM38" s="1">
        <f t="shared" si="122"/>
        <v>91.7655367231638</v>
      </c>
      <c r="BO38" s="3" t="e">
        <f t="shared" si="123"/>
        <v>#REF!</v>
      </c>
      <c r="BP38" s="1">
        <f t="shared" si="124"/>
        <v>71.6525423728813</v>
      </c>
      <c r="BR38" s="3" t="e">
        <f t="shared" si="125"/>
        <v>#REF!</v>
      </c>
      <c r="BS38" s="1">
        <f t="shared" si="126"/>
        <v>143.305084745762</v>
      </c>
      <c r="BU38" s="3" t="e">
        <f t="shared" si="127"/>
        <v>#REF!</v>
      </c>
    </row>
    <row hidden="1" r="39" ht="14.0" outlineLevel="1">
      <c r="A39" s="27" t="s">
        <v>28</v>
      </c>
      <c r="B39" s="27" t="s">
        <v>29</v>
      </c>
      <c r="C39" s="27" t="s">
        <v>96</v>
      </c>
      <c r="D39" s="27" t="s">
        <v>97</v>
      </c>
      <c r="E39" s="27"/>
      <c r="F39" s="27">
        <v>65.0</v>
      </c>
      <c r="G39" s="27">
        <v>33.0</v>
      </c>
      <c r="H39" s="27">
        <v>77.0</v>
      </c>
      <c r="I39" s="27">
        <v>125.0</v>
      </c>
      <c r="J39" s="27">
        <v>110.0</v>
      </c>
      <c r="K39" s="27">
        <v>86.0</v>
      </c>
      <c r="L39" s="27">
        <v>108.0</v>
      </c>
      <c r="M39" s="27">
        <v>116.0</v>
      </c>
      <c r="N39" s="27">
        <v>35.0</v>
      </c>
      <c r="O39" s="27">
        <v>57.0</v>
      </c>
      <c r="P39" s="27">
        <v>104.0</v>
      </c>
      <c r="Q39" s="27">
        <v>81.0</v>
      </c>
      <c r="R39" s="27">
        <v>92.0</v>
      </c>
      <c r="S39" s="27">
        <v>120.0</v>
      </c>
      <c r="T39" s="27">
        <v>116.0</v>
      </c>
      <c r="U39" s="27">
        <v>126.0</v>
      </c>
      <c r="V39" s="27">
        <v>92.0</v>
      </c>
      <c r="W39" s="27">
        <v>221.0</v>
      </c>
      <c r="X39" s="27">
        <v>156.0</v>
      </c>
      <c r="Y39" s="27">
        <v>68.0</v>
      </c>
      <c r="Z39" s="27">
        <v>0.0</v>
      </c>
      <c r="AA39" s="27">
        <v>157.0</v>
      </c>
      <c r="AB39" s="27">
        <v>62.0</v>
      </c>
      <c r="AC39" s="27">
        <v>70.0</v>
      </c>
      <c r="AD39" s="27">
        <v>96.0</v>
      </c>
      <c r="AE39" s="27">
        <v>50.0</v>
      </c>
      <c r="AF39" s="27">
        <v>73.0</v>
      </c>
      <c r="AG39" s="27">
        <v>77.0</v>
      </c>
      <c r="AH39" s="27">
        <v>122.0</v>
      </c>
      <c r="AI39" s="27">
        <v>100.0</v>
      </c>
      <c r="AJ39" s="27">
        <v>95.0</v>
      </c>
      <c r="AK39" s="27">
        <v>95.0</v>
      </c>
      <c r="AL39" s="27">
        <v>53.0</v>
      </c>
      <c r="AM39" s="27">
        <v>75.0</v>
      </c>
      <c r="AN39" s="27">
        <v>44.0</v>
      </c>
      <c r="AO39" s="186">
        <v>142.0</v>
      </c>
      <c r="AP39" s="186">
        <v>93.0</v>
      </c>
      <c r="AQ39" s="28">
        <f t="shared" si="3"/>
        <v>1019.0</v>
      </c>
      <c r="AR39" s="28">
        <f t="shared" si="4"/>
        <v>502.0</v>
      </c>
      <c r="AS39" s="28">
        <f t="shared" si="5"/>
        <v>552.2</v>
      </c>
      <c r="AU39" s="1">
        <f t="shared" si="114"/>
        <v>126.209039548022</v>
      </c>
      <c r="AV39" s="1">
        <f t="shared" si="115"/>
        <v>103.519774011299</v>
      </c>
      <c r="AW39" s="1">
        <f t="shared" si="116"/>
        <v>80.8305084745762</v>
      </c>
      <c r="AX39" s="1">
        <f t="shared" si="117"/>
        <v>161.661016949152</v>
      </c>
      <c r="BA39" s="2">
        <f t="shared" si="12"/>
        <v>472.220338983049</v>
      </c>
      <c r="BB39" s="2" t="e">
        <f t="shared" si="13"/>
        <v>#REF!</v>
      </c>
      <c r="BD39" s="36"/>
      <c r="BE39" s="3" t="e">
        <f t="shared" si="118"/>
        <v>#REF!</v>
      </c>
      <c r="BF39" s="1">
        <f>VLOOKUP(C39,MOQ,3,FALSE())</f>
        <v>480.0</v>
      </c>
      <c r="BI39" s="1" t="e">
        <f t="shared" si="120"/>
        <v>#REF!</v>
      </c>
      <c r="BJ39" s="1">
        <f t="shared" si="121"/>
        <v>126.209039548022</v>
      </c>
      <c r="BL39" s="3" t="e">
        <f t="shared" si="101"/>
        <v>#REF!</v>
      </c>
      <c r="BM39" s="1">
        <f t="shared" si="122"/>
        <v>103.519774011299</v>
      </c>
      <c r="BO39" s="3" t="e">
        <f t="shared" si="123"/>
        <v>#REF!</v>
      </c>
      <c r="BP39" s="1">
        <f t="shared" si="124"/>
        <v>80.8305084745762</v>
      </c>
      <c r="BR39" s="3" t="e">
        <f t="shared" si="125"/>
        <v>#REF!</v>
      </c>
      <c r="BS39" s="1">
        <f t="shared" si="126"/>
        <v>161.661016949152</v>
      </c>
      <c r="BU39" s="3" t="e">
        <f t="shared" si="127"/>
        <v>#REF!</v>
      </c>
    </row>
    <row hidden="1" r="40" ht="14.0" outlineLevel="1">
      <c r="A40" s="27" t="s">
        <v>28</v>
      </c>
      <c r="B40" s="27" t="s">
        <v>98</v>
      </c>
      <c r="C40" s="27" t="s">
        <v>99</v>
      </c>
      <c r="D40" s="27" t="s">
        <v>100</v>
      </c>
      <c r="E40" s="27"/>
      <c r="F40" s="27">
        <v>276.0</v>
      </c>
      <c r="G40" s="27">
        <v>360.0</v>
      </c>
      <c r="H40" s="27">
        <v>371.0</v>
      </c>
      <c r="I40" s="27">
        <v>762.0</v>
      </c>
      <c r="J40" s="27">
        <v>492.0</v>
      </c>
      <c r="K40" s="27">
        <v>922.0</v>
      </c>
      <c r="L40" s="27">
        <v>793.0</v>
      </c>
      <c r="M40" s="27">
        <v>480.0</v>
      </c>
      <c r="N40" s="27">
        <v>504.0</v>
      </c>
      <c r="O40" s="27">
        <v>368.0</v>
      </c>
      <c r="P40" s="27">
        <v>841.0</v>
      </c>
      <c r="Q40" s="27">
        <v>505.0</v>
      </c>
      <c r="R40" s="27">
        <v>458.0</v>
      </c>
      <c r="S40" s="27">
        <v>594.0</v>
      </c>
      <c r="T40" s="27">
        <v>865.0</v>
      </c>
      <c r="U40" s="27">
        <v>603.0</v>
      </c>
      <c r="V40" s="27">
        <v>890.0</v>
      </c>
      <c r="W40" s="27">
        <v>788.0</v>
      </c>
      <c r="X40" s="27">
        <v>792.0</v>
      </c>
      <c r="Y40" s="27">
        <v>492.0</v>
      </c>
      <c r="Z40" s="27">
        <v>440.0</v>
      </c>
      <c r="AA40" s="27">
        <v>324.0</v>
      </c>
      <c r="AB40" s="27">
        <v>0.0</v>
      </c>
      <c r="AC40" s="27">
        <v>948.0</v>
      </c>
      <c r="AD40" s="27">
        <v>402.0</v>
      </c>
      <c r="AE40" s="27">
        <v>601.0</v>
      </c>
      <c r="AF40" s="27">
        <v>414.0</v>
      </c>
      <c r="AG40" s="27">
        <v>432.0</v>
      </c>
      <c r="AH40" s="27">
        <v>739.0</v>
      </c>
      <c r="AI40" s="27">
        <v>882.0</v>
      </c>
      <c r="AJ40" s="27">
        <v>600.0</v>
      </c>
      <c r="AK40" s="27">
        <v>436.0</v>
      </c>
      <c r="AL40" s="27">
        <v>450.0</v>
      </c>
      <c r="AM40" s="27">
        <v>303.0</v>
      </c>
      <c r="AN40" s="27">
        <v>372.0</v>
      </c>
      <c r="AO40" s="186">
        <v>457.0</v>
      </c>
      <c r="AP40" s="186">
        <v>480.0</v>
      </c>
      <c r="AQ40" s="28">
        <f t="shared" si="3"/>
        <v>6166.0</v>
      </c>
      <c r="AR40" s="28">
        <f t="shared" si="4"/>
        <v>2498.0</v>
      </c>
      <c r="AS40" s="28">
        <f t="shared" si="5"/>
        <v>2747.8</v>
      </c>
      <c r="AU40" s="1">
        <f t="shared" si="114"/>
        <v>628.02824858757</v>
      </c>
      <c r="AV40" s="1">
        <f t="shared" si="115"/>
        <v>515.12429378531</v>
      </c>
      <c r="AW40" s="1">
        <f t="shared" si="116"/>
        <v>402.22033898305</v>
      </c>
      <c r="AX40" s="1">
        <f t="shared" si="117"/>
        <v>804.440677966101</v>
      </c>
      <c r="BA40" s="2">
        <f t="shared" si="12"/>
        <v>2349.81355932203</v>
      </c>
      <c r="BB40" s="2" t="e">
        <f t="shared" si="13"/>
        <v>#REF!</v>
      </c>
      <c r="BD40" s="36" t="e">
        <f>VLOOKUP(C40,AUGUST,3,false)</f>
        <v>#REF!</v>
      </c>
      <c r="BE40" s="3" t="e">
        <f t="shared" si="118"/>
        <v>#REF!</v>
      </c>
      <c r="BF40" s="1">
        <f>VLOOKUP(C40,MOQ,3,FALSE())</f>
        <v>1008.0</v>
      </c>
      <c r="BG40" s="43" t="s">
        <v>32</v>
      </c>
      <c r="BH40" s="1" t="s">
        <v>10</v>
      </c>
      <c r="BI40" s="1" t="e">
        <f t="shared" si="120"/>
        <v>#REF!</v>
      </c>
      <c r="BJ40" s="1">
        <f t="shared" si="121"/>
        <v>628.02824858757</v>
      </c>
      <c r="BL40" s="3" t="e">
        <f t="shared" si="101"/>
        <v>#REF!</v>
      </c>
      <c r="BM40" s="1">
        <f t="shared" si="122"/>
        <v>515.12429378531</v>
      </c>
      <c r="BO40" s="3" t="e">
        <f t="shared" si="123"/>
        <v>#REF!</v>
      </c>
      <c r="BP40" s="1">
        <f t="shared" si="124"/>
        <v>402.22033898305</v>
      </c>
      <c r="BR40" s="3" t="e">
        <f t="shared" si="125"/>
        <v>#REF!</v>
      </c>
      <c r="BS40" s="1">
        <f t="shared" si="126"/>
        <v>804.440677966101</v>
      </c>
      <c r="BU40" s="3" t="e">
        <f t="shared" si="127"/>
        <v>#REF!</v>
      </c>
    </row>
    <row hidden="1" r="41" ht="14.0" outlineLevel="1">
      <c r="A41" s="27" t="s">
        <v>28</v>
      </c>
      <c r="B41" s="27" t="s">
        <v>98</v>
      </c>
      <c r="C41" s="27" t="s">
        <v>101</v>
      </c>
      <c r="D41" s="27" t="s">
        <v>102</v>
      </c>
      <c r="E41" s="27"/>
      <c r="F41" s="27">
        <v>204.0</v>
      </c>
      <c r="G41" s="27">
        <v>186.0</v>
      </c>
      <c r="H41" s="27">
        <v>204.0</v>
      </c>
      <c r="I41" s="27">
        <v>276.0</v>
      </c>
      <c r="J41" s="27">
        <v>264.0</v>
      </c>
      <c r="K41" s="27">
        <v>474.0</v>
      </c>
      <c r="L41" s="27">
        <v>264.0</v>
      </c>
      <c r="M41" s="27">
        <v>186.0</v>
      </c>
      <c r="N41" s="27">
        <v>144.0</v>
      </c>
      <c r="O41" s="27">
        <v>192.0</v>
      </c>
      <c r="P41" s="27">
        <v>156.0</v>
      </c>
      <c r="Q41" s="27">
        <v>162.0</v>
      </c>
      <c r="R41" s="27">
        <v>111.0</v>
      </c>
      <c r="S41" s="27">
        <v>78.0</v>
      </c>
      <c r="T41" s="27">
        <v>138.0</v>
      </c>
      <c r="U41" s="27">
        <v>133.0</v>
      </c>
      <c r="V41" s="27">
        <v>157.0</v>
      </c>
      <c r="W41" s="27">
        <v>132.0</v>
      </c>
      <c r="X41" s="27">
        <v>162.0</v>
      </c>
      <c r="Y41" s="27">
        <v>120.0</v>
      </c>
      <c r="Z41" s="27">
        <v>91.0</v>
      </c>
      <c r="AA41" s="27">
        <v>126.0</v>
      </c>
      <c r="AB41" s="27">
        <v>121.0</v>
      </c>
      <c r="AC41" s="27">
        <v>102.0</v>
      </c>
      <c r="AD41" s="27">
        <v>84.0</v>
      </c>
      <c r="AE41" s="27">
        <v>78.0</v>
      </c>
      <c r="AF41" s="27">
        <v>90.0</v>
      </c>
      <c r="AG41" s="27">
        <v>90.0</v>
      </c>
      <c r="AH41" s="27">
        <v>150.0</v>
      </c>
      <c r="AI41" s="27">
        <v>144.0</v>
      </c>
      <c r="AJ41" s="27">
        <v>90.0</v>
      </c>
      <c r="AK41" s="27">
        <v>61.0</v>
      </c>
      <c r="AL41" s="27">
        <v>60.0</v>
      </c>
      <c r="AM41" s="27">
        <v>96.0</v>
      </c>
      <c r="AN41" s="27">
        <v>24.0</v>
      </c>
      <c r="AO41" s="186">
        <v>78.0</v>
      </c>
      <c r="AP41" s="186">
        <v>48.0</v>
      </c>
      <c r="AQ41" s="28">
        <f t="shared" si="3"/>
        <v>1009.0</v>
      </c>
      <c r="AR41" s="28">
        <f t="shared" si="4"/>
        <v>367.0</v>
      </c>
      <c r="AS41" s="28">
        <f t="shared" si="5"/>
        <v>403.7</v>
      </c>
      <c r="AU41" s="1">
        <f t="shared" si="114"/>
        <v>92.2683615819209</v>
      </c>
      <c r="AV41" s="1">
        <f t="shared" si="115"/>
        <v>75.680790960452</v>
      </c>
      <c r="AW41" s="1">
        <f t="shared" si="116"/>
        <v>59.093220338983</v>
      </c>
      <c r="AX41" s="1">
        <f t="shared" si="117"/>
        <v>118.186440677966</v>
      </c>
      <c r="BA41" s="2">
        <f t="shared" si="12"/>
        <v>345.228813559321</v>
      </c>
      <c r="BB41" s="2" t="e">
        <f t="shared" si="13"/>
        <v>#REF!</v>
      </c>
      <c r="BD41" s="36"/>
      <c r="BE41" s="3" t="e">
        <f t="shared" si="118"/>
        <v>#REF!</v>
      </c>
      <c r="BF41" s="1">
        <f>VLOOKUP(C41,MOQ,3,FALSE())</f>
        <v>1008.0</v>
      </c>
      <c r="BI41" s="1" t="e">
        <f t="shared" si="120"/>
        <v>#REF!</v>
      </c>
      <c r="BJ41" s="1">
        <f t="shared" si="121"/>
        <v>92.2683615819209</v>
      </c>
      <c r="BL41" s="3" t="e">
        <f t="shared" si="101"/>
        <v>#REF!</v>
      </c>
      <c r="BM41" s="1">
        <f t="shared" si="122"/>
        <v>75.680790960452</v>
      </c>
      <c r="BO41" s="3" t="e">
        <f t="shared" si="123"/>
        <v>#REF!</v>
      </c>
      <c r="BP41" s="1">
        <f t="shared" si="124"/>
        <v>59.093220338983</v>
      </c>
      <c r="BR41" s="3" t="e">
        <f t="shared" si="125"/>
        <v>#REF!</v>
      </c>
      <c r="BS41" s="1">
        <f t="shared" si="126"/>
        <v>118.186440677966</v>
      </c>
      <c r="BU41" s="3" t="e">
        <f t="shared" si="127"/>
        <v>#REF!</v>
      </c>
    </row>
    <row hidden="1" r="42" ht="14.0" outlineLevel="1">
      <c r="A42" s="27" t="s">
        <v>28</v>
      </c>
      <c r="B42" s="27" t="s">
        <v>98</v>
      </c>
      <c r="C42" s="27" t="s">
        <v>103</v>
      </c>
      <c r="D42" s="27" t="s">
        <v>104</v>
      </c>
      <c r="E42" s="27"/>
      <c r="F42" s="27">
        <v>247.0</v>
      </c>
      <c r="G42" s="27">
        <v>342.0</v>
      </c>
      <c r="H42" s="27">
        <v>318.0</v>
      </c>
      <c r="I42" s="27">
        <v>594.0</v>
      </c>
      <c r="J42" s="27">
        <v>378.0</v>
      </c>
      <c r="K42" s="27">
        <v>649.0</v>
      </c>
      <c r="L42" s="27">
        <v>648.0</v>
      </c>
      <c r="M42" s="27">
        <v>85.0</v>
      </c>
      <c r="N42" s="27">
        <v>270.0</v>
      </c>
      <c r="O42" s="27">
        <v>278.0</v>
      </c>
      <c r="P42" s="27">
        <v>559.0</v>
      </c>
      <c r="Q42" s="27">
        <v>271.0</v>
      </c>
      <c r="R42" s="27">
        <v>235.0</v>
      </c>
      <c r="S42" s="27">
        <v>408.0</v>
      </c>
      <c r="T42" s="27">
        <v>390.0</v>
      </c>
      <c r="U42" s="27">
        <v>372.0</v>
      </c>
      <c r="V42" s="27">
        <v>648.0</v>
      </c>
      <c r="W42" s="27">
        <v>692.0</v>
      </c>
      <c r="X42" s="27">
        <v>853.0</v>
      </c>
      <c r="Y42" s="27">
        <v>499.0</v>
      </c>
      <c r="Z42" s="27">
        <v>427.0</v>
      </c>
      <c r="AA42" s="27">
        <v>501.0</v>
      </c>
      <c r="AB42" s="27">
        <v>0.0</v>
      </c>
      <c r="AC42" s="27">
        <v>672.0</v>
      </c>
      <c r="AD42" s="27">
        <v>0.0</v>
      </c>
      <c r="AE42" s="27">
        <v>492.0</v>
      </c>
      <c r="AF42" s="27">
        <v>324.0</v>
      </c>
      <c r="AG42" s="27">
        <v>288.0</v>
      </c>
      <c r="AH42" s="27">
        <v>732.0</v>
      </c>
      <c r="AI42" s="27">
        <v>978.0</v>
      </c>
      <c r="AJ42" s="27">
        <v>546.0</v>
      </c>
      <c r="AK42" s="27">
        <v>480.0</v>
      </c>
      <c r="AL42" s="27">
        <v>390.0</v>
      </c>
      <c r="AM42" s="27">
        <v>288.0</v>
      </c>
      <c r="AN42" s="27">
        <v>390.0</v>
      </c>
      <c r="AO42" s="186">
        <v>356.0</v>
      </c>
      <c r="AP42" s="186">
        <v>330.0</v>
      </c>
      <c r="AQ42" s="28">
        <f t="shared" si="3"/>
        <v>5594.0</v>
      </c>
      <c r="AR42" s="28">
        <f t="shared" si="4"/>
        <v>2234.0</v>
      </c>
      <c r="AS42" s="28">
        <f t="shared" si="5"/>
        <v>2457.4</v>
      </c>
      <c r="AU42" s="1">
        <f t="shared" si="114"/>
        <v>561.655367231638</v>
      </c>
      <c r="AV42" s="1">
        <f t="shared" si="115"/>
        <v>460.683615819209</v>
      </c>
      <c r="AW42" s="1">
        <f t="shared" si="116"/>
        <v>359.71186440678</v>
      </c>
      <c r="AX42" s="1">
        <f t="shared" si="117"/>
        <v>719.423728813559</v>
      </c>
      <c r="BA42" s="2">
        <f t="shared" si="12"/>
        <v>2101.47457627119</v>
      </c>
      <c r="BB42" s="2" t="e">
        <f t="shared" si="13"/>
        <v>#REF!</v>
      </c>
      <c r="BD42" s="36" t="e">
        <f t="shared" ref="BD42:BD45" si="129">VLOOKUP(C42,AUGUST,3,false)</f>
        <v>#REF!</v>
      </c>
      <c r="BE42" s="3" t="e">
        <f t="shared" si="118"/>
        <v>#REF!</v>
      </c>
      <c r="BF42" s="1">
        <f>VLOOKUP(C42,MOQ,3,FALSE())</f>
        <v>1008.0</v>
      </c>
      <c r="BG42" s="43" t="s">
        <v>32</v>
      </c>
      <c r="BH42" s="1" t="s">
        <v>10</v>
      </c>
      <c r="BI42" s="1" t="e">
        <f t="shared" si="120"/>
        <v>#REF!</v>
      </c>
      <c r="BJ42" s="1">
        <f t="shared" si="121"/>
        <v>561.655367231638</v>
      </c>
      <c r="BL42" s="3" t="e">
        <f t="shared" si="101"/>
        <v>#REF!</v>
      </c>
      <c r="BM42" s="1">
        <f t="shared" si="122"/>
        <v>460.683615819209</v>
      </c>
      <c r="BO42" s="3" t="e">
        <f t="shared" si="123"/>
        <v>#REF!</v>
      </c>
      <c r="BP42" s="1">
        <f t="shared" si="124"/>
        <v>359.71186440678</v>
      </c>
      <c r="BR42" s="3" t="e">
        <f t="shared" si="125"/>
        <v>#REF!</v>
      </c>
      <c r="BS42" s="1">
        <f t="shared" si="126"/>
        <v>719.423728813559</v>
      </c>
      <c r="BU42" s="3" t="e">
        <f t="shared" si="127"/>
        <v>#REF!</v>
      </c>
    </row>
    <row hidden="1" r="43" ht="14.0" outlineLevel="1">
      <c r="A43" s="27" t="s">
        <v>28</v>
      </c>
      <c r="B43" s="27" t="s">
        <v>98</v>
      </c>
      <c r="C43" s="27" t="s">
        <v>105</v>
      </c>
      <c r="D43" s="27" t="s">
        <v>106</v>
      </c>
      <c r="E43" s="27"/>
      <c r="F43" s="27">
        <v>201.0</v>
      </c>
      <c r="G43" s="27">
        <v>294.0</v>
      </c>
      <c r="H43" s="27">
        <v>306.0</v>
      </c>
      <c r="I43" s="27">
        <v>173.0</v>
      </c>
      <c r="J43" s="27">
        <v>0.0</v>
      </c>
      <c r="K43" s="27">
        <v>847.0</v>
      </c>
      <c r="L43" s="27">
        <v>558.0</v>
      </c>
      <c r="M43" s="27">
        <v>252.0</v>
      </c>
      <c r="N43" s="27">
        <v>294.0</v>
      </c>
      <c r="O43" s="27">
        <v>6.0</v>
      </c>
      <c r="P43" s="27">
        <v>0.0</v>
      </c>
      <c r="Q43" s="27">
        <v>187.0</v>
      </c>
      <c r="R43" s="27">
        <v>277.0</v>
      </c>
      <c r="S43" s="27">
        <v>432.0</v>
      </c>
      <c r="T43" s="27">
        <v>312.0</v>
      </c>
      <c r="U43" s="27">
        <v>315.0</v>
      </c>
      <c r="V43" s="27">
        <v>519.0</v>
      </c>
      <c r="W43" s="27">
        <v>525.0</v>
      </c>
      <c r="X43" s="27">
        <v>839.0</v>
      </c>
      <c r="Y43" s="27">
        <v>565.0</v>
      </c>
      <c r="Z43" s="27">
        <v>313.0</v>
      </c>
      <c r="AA43" s="27">
        <v>58.0</v>
      </c>
      <c r="AB43" s="27">
        <v>0.0</v>
      </c>
      <c r="AC43" s="27">
        <v>844.0</v>
      </c>
      <c r="AD43" s="27">
        <v>162.0</v>
      </c>
      <c r="AE43" s="27">
        <v>402.0</v>
      </c>
      <c r="AF43" s="27">
        <v>282.0</v>
      </c>
      <c r="AG43" s="27">
        <v>222.0</v>
      </c>
      <c r="AH43" s="27">
        <v>528.0</v>
      </c>
      <c r="AI43" s="27">
        <v>528.0</v>
      </c>
      <c r="AJ43" s="27">
        <v>414.0</v>
      </c>
      <c r="AK43" s="27">
        <v>330.0</v>
      </c>
      <c r="AL43" s="27">
        <v>318.0</v>
      </c>
      <c r="AM43" s="27">
        <v>222.0</v>
      </c>
      <c r="AN43" s="27">
        <v>204.0</v>
      </c>
      <c r="AO43" s="186">
        <v>289.0</v>
      </c>
      <c r="AP43" s="186">
        <v>294.0</v>
      </c>
      <c r="AQ43" s="28">
        <f t="shared" si="3"/>
        <v>4033.0</v>
      </c>
      <c r="AR43" s="28">
        <f t="shared" si="4"/>
        <v>1657.0</v>
      </c>
      <c r="AS43" s="28">
        <f t="shared" si="5"/>
        <v>1822.7</v>
      </c>
      <c r="AU43" s="1">
        <f t="shared" si="114"/>
        <v>416.590395480226</v>
      </c>
      <c r="AV43" s="1">
        <f t="shared" si="115"/>
        <v>341.697740112994</v>
      </c>
      <c r="AW43" s="1">
        <f t="shared" si="116"/>
        <v>266.805084745762</v>
      </c>
      <c r="AX43" s="1">
        <f t="shared" si="117"/>
        <v>533.610169491525</v>
      </c>
      <c r="BA43" s="2">
        <f t="shared" si="12"/>
        <v>1558.7033898305</v>
      </c>
      <c r="BB43" s="2" t="e">
        <f t="shared" si="13"/>
        <v>#REF!</v>
      </c>
      <c r="BD43" s="36" t="e">
        <f t="shared" si="129"/>
        <v>#REF!</v>
      </c>
      <c r="BE43" s="3" t="e">
        <f t="shared" si="118"/>
        <v>#REF!</v>
      </c>
      <c r="BF43" s="1">
        <f>VLOOKUP(C43,MOQ,3,FALSE())</f>
        <v>1008.0</v>
      </c>
      <c r="BG43" s="4">
        <f t="shared" ref="BG43:BG44" si="130">BF43</f>
        <v>1008.0</v>
      </c>
      <c r="BH43" s="1" t="s">
        <v>10</v>
      </c>
      <c r="BI43" s="1" t="e">
        <f t="shared" si="120"/>
        <v>#REF!</v>
      </c>
      <c r="BJ43" s="1">
        <f t="shared" si="121"/>
        <v>416.590395480226</v>
      </c>
      <c r="BL43" s="3" t="e">
        <f t="shared" si="101"/>
        <v>#REF!</v>
      </c>
      <c r="BM43" s="1">
        <f t="shared" si="122"/>
        <v>341.697740112994</v>
      </c>
      <c r="BO43" s="3" t="e">
        <f t="shared" si="123"/>
        <v>#REF!</v>
      </c>
      <c r="BP43" s="1">
        <f t="shared" si="124"/>
        <v>266.805084745762</v>
      </c>
      <c r="BR43" s="3" t="e">
        <f t="shared" si="125"/>
        <v>#REF!</v>
      </c>
      <c r="BS43" s="1">
        <f t="shared" si="126"/>
        <v>533.610169491525</v>
      </c>
      <c r="BU43" s="3" t="e">
        <f t="shared" si="127"/>
        <v>#REF!</v>
      </c>
    </row>
    <row hidden="1" r="44" ht="14.0" outlineLevel="1">
      <c r="A44" s="27" t="s">
        <v>28</v>
      </c>
      <c r="B44" s="27" t="s">
        <v>98</v>
      </c>
      <c r="C44" s="27" t="s">
        <v>107</v>
      </c>
      <c r="D44" s="27" t="s">
        <v>108</v>
      </c>
      <c r="E44" s="27"/>
      <c r="F44" s="27">
        <v>192.0</v>
      </c>
      <c r="G44" s="27">
        <v>222.0</v>
      </c>
      <c r="H44" s="27">
        <v>829.0</v>
      </c>
      <c r="I44" s="27">
        <v>846.0</v>
      </c>
      <c r="J44" s="27">
        <v>306.0</v>
      </c>
      <c r="K44" s="27">
        <v>201.0</v>
      </c>
      <c r="L44" s="27">
        <v>1114.0</v>
      </c>
      <c r="M44" s="27">
        <v>250.0</v>
      </c>
      <c r="N44" s="27">
        <v>479.0</v>
      </c>
      <c r="O44" s="27">
        <v>242.0</v>
      </c>
      <c r="P44" s="27">
        <v>798.0</v>
      </c>
      <c r="Q44" s="27">
        <v>374.0</v>
      </c>
      <c r="R44" s="27">
        <v>252.0</v>
      </c>
      <c r="S44" s="27">
        <v>480.0</v>
      </c>
      <c r="T44" s="27">
        <v>537.0</v>
      </c>
      <c r="U44" s="27">
        <v>401.0</v>
      </c>
      <c r="V44" s="27">
        <v>591.0</v>
      </c>
      <c r="W44" s="27">
        <v>605.0</v>
      </c>
      <c r="X44" s="27">
        <v>595.0</v>
      </c>
      <c r="Y44" s="27">
        <v>388.0</v>
      </c>
      <c r="Z44" s="27">
        <v>312.0</v>
      </c>
      <c r="AA44" s="27">
        <v>552.0</v>
      </c>
      <c r="AB44" s="27">
        <v>254.0</v>
      </c>
      <c r="AC44" s="27">
        <v>630.0</v>
      </c>
      <c r="AD44" s="27">
        <v>209.0</v>
      </c>
      <c r="AE44" s="27">
        <v>348.0</v>
      </c>
      <c r="AF44" s="27">
        <v>288.0</v>
      </c>
      <c r="AG44" s="27">
        <v>336.0</v>
      </c>
      <c r="AH44" s="27">
        <v>498.0</v>
      </c>
      <c r="AI44" s="27">
        <v>624.0</v>
      </c>
      <c r="AJ44" s="27">
        <v>414.0</v>
      </c>
      <c r="AK44" s="27">
        <v>384.0</v>
      </c>
      <c r="AL44" s="27">
        <v>306.0</v>
      </c>
      <c r="AM44" s="27">
        <v>284.0</v>
      </c>
      <c r="AN44" s="27">
        <v>252.0</v>
      </c>
      <c r="AO44" s="186">
        <v>282.0</v>
      </c>
      <c r="AP44" s="186">
        <v>239.0</v>
      </c>
      <c r="AQ44" s="28">
        <f t="shared" si="3"/>
        <v>4255.0</v>
      </c>
      <c r="AR44" s="28">
        <f t="shared" si="4"/>
        <v>1747.0</v>
      </c>
      <c r="AS44" s="28">
        <f t="shared" si="5"/>
        <v>1921.7</v>
      </c>
      <c r="AU44" s="1">
        <f t="shared" si="114"/>
        <v>439.217514124293</v>
      </c>
      <c r="AV44" s="1">
        <f t="shared" si="115"/>
        <v>360.257062146892</v>
      </c>
      <c r="AW44" s="1">
        <f t="shared" si="116"/>
        <v>281.296610169491</v>
      </c>
      <c r="AX44" s="1">
        <f t="shared" si="117"/>
        <v>562.593220338983</v>
      </c>
      <c r="BA44" s="2">
        <f t="shared" si="12"/>
        <v>1643.36440677966</v>
      </c>
      <c r="BB44" s="2" t="e">
        <f t="shared" si="13"/>
        <v>#REF!</v>
      </c>
      <c r="BD44" s="36" t="e">
        <f t="shared" si="129"/>
        <v>#REF!</v>
      </c>
      <c r="BE44" s="3" t="e">
        <f t="shared" si="118"/>
        <v>#REF!</v>
      </c>
      <c r="BF44" s="1">
        <f>VLOOKUP(C44,MOQ,3,FALSE())</f>
        <v>1008.0</v>
      </c>
      <c r="BG44" s="4">
        <f t="shared" si="130"/>
        <v>1008.0</v>
      </c>
      <c r="BH44" s="1" t="s">
        <v>10</v>
      </c>
      <c r="BI44" s="1" t="e">
        <f t="shared" si="120"/>
        <v>#REF!</v>
      </c>
      <c r="BJ44" s="1">
        <f t="shared" si="121"/>
        <v>439.217514124293</v>
      </c>
      <c r="BL44" s="3" t="e">
        <f t="shared" si="101"/>
        <v>#REF!</v>
      </c>
      <c r="BM44" s="1">
        <f t="shared" si="122"/>
        <v>360.257062146892</v>
      </c>
      <c r="BO44" s="3" t="e">
        <f t="shared" si="123"/>
        <v>#REF!</v>
      </c>
      <c r="BP44" s="1">
        <f t="shared" si="124"/>
        <v>281.296610169491</v>
      </c>
      <c r="BR44" s="3" t="e">
        <f t="shared" si="125"/>
        <v>#REF!</v>
      </c>
      <c r="BS44" s="1">
        <f t="shared" si="126"/>
        <v>562.593220338983</v>
      </c>
      <c r="BU44" s="3" t="e">
        <f t="shared" si="127"/>
        <v>#REF!</v>
      </c>
    </row>
    <row hidden="1" r="45" ht="14.0" outlineLevel="1">
      <c r="A45" s="27" t="s">
        <v>28</v>
      </c>
      <c r="B45" s="27" t="s">
        <v>98</v>
      </c>
      <c r="C45" s="27" t="s">
        <v>109</v>
      </c>
      <c r="D45" s="27" t="s">
        <v>110</v>
      </c>
      <c r="E45" s="27"/>
      <c r="F45" s="27">
        <v>0.0</v>
      </c>
      <c r="G45" s="27">
        <v>90.0</v>
      </c>
      <c r="H45" s="27">
        <v>834.0</v>
      </c>
      <c r="I45" s="27">
        <v>456.0</v>
      </c>
      <c r="J45" s="27">
        <v>0.0</v>
      </c>
      <c r="K45" s="27">
        <v>222.0</v>
      </c>
      <c r="L45" s="27">
        <v>1014.0</v>
      </c>
      <c r="M45" s="27">
        <v>229.0</v>
      </c>
      <c r="N45" s="27">
        <v>444.0</v>
      </c>
      <c r="O45" s="27">
        <v>180.0</v>
      </c>
      <c r="P45" s="27">
        <v>690.0</v>
      </c>
      <c r="Q45" s="27">
        <v>300.0</v>
      </c>
      <c r="R45" s="27">
        <v>362.0</v>
      </c>
      <c r="S45" s="27">
        <v>450.0</v>
      </c>
      <c r="T45" s="27">
        <v>613.0</v>
      </c>
      <c r="U45" s="27">
        <v>303.0</v>
      </c>
      <c r="V45" s="27">
        <v>554.0</v>
      </c>
      <c r="W45" s="27">
        <v>594.0</v>
      </c>
      <c r="X45" s="27">
        <v>516.0</v>
      </c>
      <c r="Y45" s="27">
        <v>318.0</v>
      </c>
      <c r="Z45" s="27">
        <v>360.0</v>
      </c>
      <c r="AA45" s="27">
        <v>286.0</v>
      </c>
      <c r="AB45" s="27">
        <v>0.0</v>
      </c>
      <c r="AC45" s="27">
        <v>658.0</v>
      </c>
      <c r="AD45" s="27">
        <v>222.0</v>
      </c>
      <c r="AE45" s="27">
        <v>258.0</v>
      </c>
      <c r="AF45" s="27">
        <v>234.0</v>
      </c>
      <c r="AG45" s="27">
        <v>270.0</v>
      </c>
      <c r="AH45" s="27">
        <v>528.0</v>
      </c>
      <c r="AI45" s="27">
        <v>618.0</v>
      </c>
      <c r="AJ45" s="27">
        <v>366.0</v>
      </c>
      <c r="AK45" s="27">
        <v>359.0</v>
      </c>
      <c r="AL45" s="27">
        <v>288.0</v>
      </c>
      <c r="AM45" s="27">
        <v>284.0</v>
      </c>
      <c r="AN45" s="27">
        <v>246.0</v>
      </c>
      <c r="AO45" s="186">
        <v>234.0</v>
      </c>
      <c r="AP45" s="186">
        <v>258.0</v>
      </c>
      <c r="AQ45" s="28">
        <f t="shared" si="3"/>
        <v>3943.0</v>
      </c>
      <c r="AR45" s="28">
        <f t="shared" si="4"/>
        <v>1669.0</v>
      </c>
      <c r="AS45" s="28">
        <f t="shared" si="5"/>
        <v>1835.9</v>
      </c>
      <c r="AU45" s="1">
        <f t="shared" si="114"/>
        <v>419.607344632768</v>
      </c>
      <c r="AV45" s="1">
        <f t="shared" si="115"/>
        <v>344.17231638418</v>
      </c>
      <c r="AW45" s="1">
        <f t="shared" si="116"/>
        <v>268.737288135593</v>
      </c>
      <c r="AX45" s="1">
        <f t="shared" si="117"/>
        <v>537.474576271186</v>
      </c>
      <c r="BA45" s="2">
        <f t="shared" si="12"/>
        <v>1569.99152542372</v>
      </c>
      <c r="BB45" s="2" t="e">
        <f t="shared" si="13"/>
        <v>#REF!</v>
      </c>
      <c r="BD45" s="36" t="e">
        <f t="shared" si="129"/>
        <v>#REF!</v>
      </c>
      <c r="BE45" s="3" t="e">
        <f t="shared" si="118"/>
        <v>#REF!</v>
      </c>
      <c r="BF45" s="1">
        <f>VLOOKUP(C45,MOQ,3,FALSE())</f>
        <v>1008.0</v>
      </c>
      <c r="BG45" s="4">
        <v>1008.0</v>
      </c>
      <c r="BH45" s="1" t="s">
        <v>10</v>
      </c>
      <c r="BI45" s="1" t="e">
        <f t="shared" si="120"/>
        <v>#REF!</v>
      </c>
      <c r="BJ45" s="1">
        <f t="shared" si="121"/>
        <v>419.607344632768</v>
      </c>
      <c r="BL45" s="3" t="e">
        <f t="shared" si="101"/>
        <v>#REF!</v>
      </c>
      <c r="BM45" s="1">
        <f t="shared" si="122"/>
        <v>344.17231638418</v>
      </c>
      <c r="BO45" s="3" t="e">
        <f t="shared" si="123"/>
        <v>#REF!</v>
      </c>
      <c r="BP45" s="1">
        <f t="shared" si="124"/>
        <v>268.737288135593</v>
      </c>
      <c r="BR45" s="3" t="e">
        <f t="shared" si="125"/>
        <v>#REF!</v>
      </c>
      <c r="BS45" s="1">
        <f t="shared" si="126"/>
        <v>537.474576271186</v>
      </c>
      <c r="BU45" s="3" t="e">
        <f t="shared" si="127"/>
        <v>#REF!</v>
      </c>
    </row>
    <row hidden="1" r="46" ht="14.0" outlineLevel="1">
      <c r="A46" s="27" t="s">
        <v>28</v>
      </c>
      <c r="B46" s="27" t="s">
        <v>98</v>
      </c>
      <c r="C46" s="27" t="s">
        <v>111</v>
      </c>
      <c r="D46" s="27" t="s">
        <v>112</v>
      </c>
      <c r="E46" s="27"/>
      <c r="F46" s="27">
        <v>144.0</v>
      </c>
      <c r="G46" s="27">
        <v>120.0</v>
      </c>
      <c r="H46" s="27">
        <v>188.0</v>
      </c>
      <c r="I46" s="27">
        <v>354.0</v>
      </c>
      <c r="J46" s="27">
        <v>223.0</v>
      </c>
      <c r="K46" s="27">
        <v>324.0</v>
      </c>
      <c r="L46" s="27">
        <v>181.0</v>
      </c>
      <c r="M46" s="27">
        <v>295.0</v>
      </c>
      <c r="N46" s="27">
        <v>137.0</v>
      </c>
      <c r="O46" s="27">
        <v>151.0</v>
      </c>
      <c r="P46" s="27">
        <v>150.0</v>
      </c>
      <c r="Q46" s="27">
        <v>144.0</v>
      </c>
      <c r="R46" s="27">
        <v>152.0</v>
      </c>
      <c r="S46" s="27">
        <v>114.0</v>
      </c>
      <c r="T46" s="27">
        <v>105.0</v>
      </c>
      <c r="U46" s="27">
        <v>187.0</v>
      </c>
      <c r="V46" s="27">
        <v>182.0</v>
      </c>
      <c r="W46" s="27">
        <v>124.0</v>
      </c>
      <c r="X46" s="27">
        <v>170.0</v>
      </c>
      <c r="Y46" s="27">
        <v>108.0</v>
      </c>
      <c r="Z46" s="27">
        <v>102.0</v>
      </c>
      <c r="AA46" s="27">
        <v>168.0</v>
      </c>
      <c r="AB46" s="27">
        <v>142.0</v>
      </c>
      <c r="AC46" s="27">
        <v>138.0</v>
      </c>
      <c r="AD46" s="27">
        <v>78.0</v>
      </c>
      <c r="AE46" s="27">
        <v>48.0</v>
      </c>
      <c r="AF46" s="27">
        <v>132.0</v>
      </c>
      <c r="AG46" s="27">
        <v>102.0</v>
      </c>
      <c r="AH46" s="27">
        <v>132.0</v>
      </c>
      <c r="AI46" s="27">
        <v>193.0</v>
      </c>
      <c r="AJ46" s="27">
        <v>84.0</v>
      </c>
      <c r="AK46" s="27">
        <v>96.0</v>
      </c>
      <c r="AL46" s="27">
        <v>78.0</v>
      </c>
      <c r="AM46" s="27">
        <v>66.0</v>
      </c>
      <c r="AN46" s="27">
        <v>6.0</v>
      </c>
      <c r="AO46" s="186">
        <v>72.0</v>
      </c>
      <c r="AP46" s="186">
        <v>31.0</v>
      </c>
      <c r="AQ46" s="28">
        <f t="shared" si="3"/>
        <v>1040.0</v>
      </c>
      <c r="AR46" s="28">
        <f t="shared" si="4"/>
        <v>349.0</v>
      </c>
      <c r="AS46" s="28">
        <f t="shared" si="5"/>
        <v>383.9</v>
      </c>
      <c r="AU46" s="1">
        <f t="shared" si="114"/>
        <v>87.7429378531073</v>
      </c>
      <c r="AV46" s="1">
        <f t="shared" si="115"/>
        <v>71.9689265536723</v>
      </c>
      <c r="AW46" s="1">
        <f t="shared" si="116"/>
        <v>56.1949152542372</v>
      </c>
      <c r="AX46" s="1">
        <f t="shared" si="117"/>
        <v>112.389830508474</v>
      </c>
      <c r="BA46" s="2">
        <f t="shared" si="12"/>
        <v>328.29661016949</v>
      </c>
      <c r="BB46" s="2" t="e">
        <f t="shared" si="13"/>
        <v>#REF!</v>
      </c>
      <c r="BD46" s="36"/>
      <c r="BE46" s="3" t="e">
        <f t="shared" si="118"/>
        <v>#REF!</v>
      </c>
      <c r="BF46" s="1">
        <f>VLOOKUP(C46,MOQ,3,FALSE())</f>
        <v>1008.0</v>
      </c>
      <c r="BG46" s="43" t="s">
        <v>32</v>
      </c>
      <c r="BI46" s="1" t="e">
        <f t="shared" si="120"/>
        <v>#REF!</v>
      </c>
      <c r="BJ46" s="1">
        <f t="shared" si="121"/>
        <v>87.7429378531073</v>
      </c>
      <c r="BL46" s="3" t="e">
        <f t="shared" si="101"/>
        <v>#REF!</v>
      </c>
      <c r="BM46" s="1">
        <f t="shared" si="122"/>
        <v>71.9689265536723</v>
      </c>
      <c r="BO46" s="3" t="e">
        <f t="shared" si="123"/>
        <v>#REF!</v>
      </c>
      <c r="BP46" s="1">
        <f t="shared" si="124"/>
        <v>56.1949152542372</v>
      </c>
      <c r="BR46" s="3" t="e">
        <f t="shared" si="125"/>
        <v>#REF!</v>
      </c>
      <c r="BS46" s="1">
        <f t="shared" si="126"/>
        <v>112.389830508474</v>
      </c>
      <c r="BU46" s="3" t="e">
        <f t="shared" si="127"/>
        <v>#REF!</v>
      </c>
    </row>
    <row hidden="1" r="47" ht="14.0" outlineLevel="1">
      <c r="A47" s="27" t="s">
        <v>28</v>
      </c>
      <c r="B47" s="27" t="s">
        <v>98</v>
      </c>
      <c r="C47" s="27" t="s">
        <v>113</v>
      </c>
      <c r="D47" s="27" t="s">
        <v>114</v>
      </c>
      <c r="E47" s="27"/>
      <c r="F47" s="27">
        <v>24.0</v>
      </c>
      <c r="G47" s="27">
        <v>18.0</v>
      </c>
      <c r="H47" s="27">
        <v>53.0</v>
      </c>
      <c r="I47" s="27">
        <v>54.0</v>
      </c>
      <c r="J47" s="27">
        <v>30.0</v>
      </c>
      <c r="K47" s="27">
        <v>54.0</v>
      </c>
      <c r="L47" s="27">
        <v>18.0</v>
      </c>
      <c r="M47" s="27">
        <v>24.0</v>
      </c>
      <c r="N47" s="27">
        <v>12.0</v>
      </c>
      <c r="O47" s="27">
        <v>30.0</v>
      </c>
      <c r="P47" s="27">
        <v>36.0</v>
      </c>
      <c r="Q47" s="27">
        <v>54.0</v>
      </c>
      <c r="R47" s="27">
        <v>24.0</v>
      </c>
      <c r="S47" s="27">
        <v>12.0</v>
      </c>
      <c r="T47" s="27">
        <v>25.0</v>
      </c>
      <c r="U47" s="27">
        <v>39.0</v>
      </c>
      <c r="V47" s="27">
        <v>30.0</v>
      </c>
      <c r="W47" s="27">
        <v>25.0</v>
      </c>
      <c r="X47" s="27">
        <v>31.0</v>
      </c>
      <c r="Y47" s="27">
        <v>39.0</v>
      </c>
      <c r="Z47" s="27">
        <v>44.0</v>
      </c>
      <c r="AA47" s="27">
        <v>24.0</v>
      </c>
      <c r="AB47" s="27">
        <v>12.0</v>
      </c>
      <c r="AC47" s="27">
        <v>30.0</v>
      </c>
      <c r="AD47" s="27">
        <v>30.0</v>
      </c>
      <c r="AE47" s="27">
        <v>6.0</v>
      </c>
      <c r="AF47" s="27">
        <v>60.0</v>
      </c>
      <c r="AG47" s="27">
        <v>18.0</v>
      </c>
      <c r="AH47" s="27">
        <v>18.0</v>
      </c>
      <c r="AI47" s="27">
        <v>36.0</v>
      </c>
      <c r="AJ47" s="27">
        <v>18.0</v>
      </c>
      <c r="AK47" s="27">
        <v>18.0</v>
      </c>
      <c r="AL47" s="27">
        <v>48.0</v>
      </c>
      <c r="AM47" s="27">
        <v>42.0</v>
      </c>
      <c r="AN47" s="27">
        <v>18.0</v>
      </c>
      <c r="AO47" s="186">
        <v>7.0</v>
      </c>
      <c r="AP47" s="186">
        <v>12.0</v>
      </c>
      <c r="AQ47" s="28">
        <f t="shared" si="3"/>
        <v>301.0</v>
      </c>
      <c r="AR47" s="28">
        <f t="shared" si="4"/>
        <v>145.0</v>
      </c>
      <c r="AS47" s="28">
        <f t="shared" si="5"/>
        <v>159.5</v>
      </c>
      <c r="AU47" s="1">
        <f t="shared" si="114"/>
        <v>36.454802259887</v>
      </c>
      <c r="AV47" s="1">
        <f t="shared" si="115"/>
        <v>29.9011299435028</v>
      </c>
      <c r="AW47" s="1">
        <f t="shared" si="116"/>
        <v>23.3474576271186</v>
      </c>
      <c r="AX47" s="1">
        <f t="shared" si="117"/>
        <v>46.6949152542372</v>
      </c>
      <c r="BA47" s="2">
        <f t="shared" si="12"/>
        <v>136.398305084746</v>
      </c>
      <c r="BB47" s="2" t="e">
        <f t="shared" si="13"/>
        <v>#REF!</v>
      </c>
      <c r="BD47" s="36"/>
      <c r="BE47" s="3" t="e">
        <f t="shared" si="118"/>
        <v>#REF!</v>
      </c>
      <c r="BF47" s="1">
        <f>VLOOKUP(C47,MOQ,3,FALSE())</f>
        <v>1008.0</v>
      </c>
      <c r="BG47" s="43" t="s">
        <v>32</v>
      </c>
      <c r="BI47" s="1" t="e">
        <f t="shared" si="120"/>
        <v>#REF!</v>
      </c>
      <c r="BJ47" s="1">
        <f t="shared" si="121"/>
        <v>36.454802259887</v>
      </c>
      <c r="BL47" s="3" t="e">
        <f t="shared" si="101"/>
        <v>#REF!</v>
      </c>
      <c r="BM47" s="1">
        <f t="shared" si="122"/>
        <v>29.9011299435028</v>
      </c>
      <c r="BO47" s="3" t="e">
        <f t="shared" si="123"/>
        <v>#REF!</v>
      </c>
      <c r="BP47" s="1">
        <f t="shared" si="124"/>
        <v>23.3474576271186</v>
      </c>
      <c r="BR47" s="3" t="e">
        <f t="shared" si="125"/>
        <v>#REF!</v>
      </c>
      <c r="BS47" s="1">
        <f t="shared" si="126"/>
        <v>46.6949152542372</v>
      </c>
      <c r="BU47" s="3" t="e">
        <f t="shared" si="127"/>
        <v>#REF!</v>
      </c>
    </row>
    <row hidden="1" r="48" ht="14.0" outlineLevel="1">
      <c r="A48" s="27" t="s">
        <v>28</v>
      </c>
      <c r="B48" s="27" t="s">
        <v>98</v>
      </c>
      <c r="C48" s="27" t="s">
        <v>115</v>
      </c>
      <c r="D48" s="27" t="s">
        <v>116</v>
      </c>
      <c r="E48" s="27"/>
      <c r="F48" s="27">
        <v>228.0</v>
      </c>
      <c r="G48" s="27">
        <v>210.0</v>
      </c>
      <c r="H48" s="27">
        <v>204.0</v>
      </c>
      <c r="I48" s="27">
        <v>450.0</v>
      </c>
      <c r="J48" s="27">
        <v>288.0</v>
      </c>
      <c r="K48" s="27">
        <v>444.0</v>
      </c>
      <c r="L48" s="27">
        <v>197.0</v>
      </c>
      <c r="M48" s="27">
        <v>258.0</v>
      </c>
      <c r="N48" s="27">
        <v>186.0</v>
      </c>
      <c r="O48" s="27">
        <v>210.0</v>
      </c>
      <c r="P48" s="27">
        <v>198.0</v>
      </c>
      <c r="Q48" s="27">
        <v>187.0</v>
      </c>
      <c r="R48" s="27">
        <v>120.0</v>
      </c>
      <c r="S48" s="27">
        <v>162.0</v>
      </c>
      <c r="T48" s="27">
        <v>163.0</v>
      </c>
      <c r="U48" s="27">
        <v>150.0</v>
      </c>
      <c r="V48" s="27">
        <v>177.0</v>
      </c>
      <c r="W48" s="27">
        <v>178.0</v>
      </c>
      <c r="X48" s="27">
        <v>274.0</v>
      </c>
      <c r="Y48" s="27">
        <v>120.0</v>
      </c>
      <c r="Z48" s="27">
        <v>126.0</v>
      </c>
      <c r="AA48" s="27">
        <v>228.0</v>
      </c>
      <c r="AB48" s="27">
        <v>102.0</v>
      </c>
      <c r="AC48" s="27">
        <v>222.0</v>
      </c>
      <c r="AD48" s="27">
        <v>168.0</v>
      </c>
      <c r="AE48" s="27">
        <v>108.0</v>
      </c>
      <c r="AF48" s="27">
        <v>120.0</v>
      </c>
      <c r="AG48" s="27">
        <v>180.0</v>
      </c>
      <c r="AH48" s="27">
        <v>216.0</v>
      </c>
      <c r="AI48" s="27">
        <v>258.0</v>
      </c>
      <c r="AJ48" s="27">
        <v>180.0</v>
      </c>
      <c r="AK48" s="27">
        <v>120.0</v>
      </c>
      <c r="AL48" s="27">
        <v>66.0</v>
      </c>
      <c r="AM48" s="27">
        <v>108.0</v>
      </c>
      <c r="AN48" s="27">
        <v>114.0</v>
      </c>
      <c r="AO48" s="186">
        <v>90.0</v>
      </c>
      <c r="AP48" s="186">
        <v>102.0</v>
      </c>
      <c r="AQ48" s="28">
        <f t="shared" si="3"/>
        <v>1662.0</v>
      </c>
      <c r="AR48" s="28">
        <f t="shared" si="4"/>
        <v>600.0</v>
      </c>
      <c r="AS48" s="28">
        <f t="shared" si="5"/>
        <v>660.0</v>
      </c>
      <c r="AU48" s="1">
        <f t="shared" si="114"/>
        <v>150.84745762711</v>
      </c>
      <c r="AV48" s="1">
        <f t="shared" si="115"/>
        <v>123.728813559322</v>
      </c>
      <c r="AW48" s="1">
        <f t="shared" si="116"/>
        <v>96.6101694915254</v>
      </c>
      <c r="AX48" s="1">
        <f t="shared" si="117"/>
        <v>193.22033898305</v>
      </c>
      <c r="BA48" s="2">
        <f t="shared" si="12"/>
        <v>564.406779661008</v>
      </c>
      <c r="BB48" s="2" t="e">
        <f t="shared" si="13"/>
        <v>#REF!</v>
      </c>
      <c r="BD48" s="36"/>
      <c r="BE48" s="3" t="e">
        <f t="shared" si="118"/>
        <v>#REF!</v>
      </c>
      <c r="BF48" s="1">
        <f>VLOOKUP(C48,MOQ,3,FALSE())</f>
        <v>1008.0</v>
      </c>
      <c r="BI48" s="1" t="e">
        <f t="shared" si="120"/>
        <v>#REF!</v>
      </c>
      <c r="BJ48" s="1">
        <f t="shared" si="121"/>
        <v>150.84745762711</v>
      </c>
      <c r="BL48" s="3" t="e">
        <f t="shared" si="101"/>
        <v>#REF!</v>
      </c>
      <c r="BM48" s="1">
        <f t="shared" si="122"/>
        <v>123.728813559322</v>
      </c>
      <c r="BO48" s="3" t="e">
        <f t="shared" si="123"/>
        <v>#REF!</v>
      </c>
      <c r="BP48" s="1">
        <f t="shared" si="124"/>
        <v>96.6101694915254</v>
      </c>
      <c r="BR48" s="3" t="e">
        <f t="shared" si="125"/>
        <v>#REF!</v>
      </c>
      <c r="BS48" s="1">
        <f t="shared" si="126"/>
        <v>193.22033898305</v>
      </c>
      <c r="BU48" s="3" t="e">
        <f t="shared" si="127"/>
        <v>#REF!</v>
      </c>
    </row>
    <row hidden="1" r="49" ht="14.0" outlineLevel="1">
      <c r="A49" s="27" t="s">
        <v>28</v>
      </c>
      <c r="B49" s="27" t="s">
        <v>98</v>
      </c>
      <c r="C49" s="27" t="s">
        <v>117</v>
      </c>
      <c r="D49" s="27" t="s">
        <v>118</v>
      </c>
      <c r="E49" s="27"/>
      <c r="F49" s="27">
        <v>228.0</v>
      </c>
      <c r="G49" s="27">
        <v>288.0</v>
      </c>
      <c r="H49" s="27">
        <v>1043.0</v>
      </c>
      <c r="I49" s="27">
        <v>1044.0</v>
      </c>
      <c r="J49" s="27">
        <v>402.0</v>
      </c>
      <c r="K49" s="27">
        <v>438.0</v>
      </c>
      <c r="L49" s="27">
        <v>1121.0</v>
      </c>
      <c r="M49" s="27">
        <v>0.0</v>
      </c>
      <c r="N49" s="27">
        <v>540.0</v>
      </c>
      <c r="O49" s="27">
        <v>396.0</v>
      </c>
      <c r="P49" s="27">
        <v>822.0</v>
      </c>
      <c r="Q49" s="27">
        <v>372.0</v>
      </c>
      <c r="R49" s="27">
        <v>272.0</v>
      </c>
      <c r="S49" s="27">
        <v>504.0</v>
      </c>
      <c r="T49" s="27">
        <v>649.0</v>
      </c>
      <c r="U49" s="27">
        <v>380.0</v>
      </c>
      <c r="V49" s="27">
        <v>836.0</v>
      </c>
      <c r="W49" s="27">
        <v>742.0</v>
      </c>
      <c r="X49" s="27">
        <v>919.0</v>
      </c>
      <c r="Y49" s="27">
        <v>433.0</v>
      </c>
      <c r="Z49" s="27">
        <v>313.0</v>
      </c>
      <c r="AA49" s="27">
        <v>276.0</v>
      </c>
      <c r="AB49" s="27">
        <v>0.0</v>
      </c>
      <c r="AC49" s="27">
        <v>937.0</v>
      </c>
      <c r="AD49" s="27">
        <v>259.0</v>
      </c>
      <c r="AE49" s="27">
        <v>552.0</v>
      </c>
      <c r="AF49" s="27">
        <v>354.0</v>
      </c>
      <c r="AG49" s="27">
        <v>408.0</v>
      </c>
      <c r="AH49" s="27">
        <v>732.0</v>
      </c>
      <c r="AI49" s="27">
        <v>804.0</v>
      </c>
      <c r="AJ49" s="27">
        <v>564.0</v>
      </c>
      <c r="AK49" s="27">
        <v>459.0</v>
      </c>
      <c r="AL49" s="27">
        <v>408.0</v>
      </c>
      <c r="AM49" s="27">
        <v>266.0</v>
      </c>
      <c r="AN49" s="27">
        <v>300.0</v>
      </c>
      <c r="AO49" s="186">
        <v>360.0</v>
      </c>
      <c r="AP49" s="186">
        <v>348.0</v>
      </c>
      <c r="AQ49" s="28">
        <f t="shared" si="3"/>
        <v>5555.0</v>
      </c>
      <c r="AR49" s="28">
        <f t="shared" si="4"/>
        <v>2141.0</v>
      </c>
      <c r="AS49" s="28">
        <f t="shared" si="5"/>
        <v>2355.1</v>
      </c>
      <c r="AU49" s="1">
        <f t="shared" si="114"/>
        <v>538.274011299435</v>
      </c>
      <c r="AV49" s="1">
        <f t="shared" si="115"/>
        <v>441.505649717514</v>
      </c>
      <c r="AW49" s="1">
        <f t="shared" si="116"/>
        <v>344.737288135593</v>
      </c>
      <c r="AX49" s="1">
        <f t="shared" si="117"/>
        <v>689.474576271186</v>
      </c>
      <c r="BA49" s="2">
        <f t="shared" si="12"/>
        <v>2013.99152542372</v>
      </c>
      <c r="BB49" s="2" t="e">
        <f t="shared" si="13"/>
        <v>#REF!</v>
      </c>
      <c r="BD49" s="36" t="e">
        <f t="shared" ref="BD49:BD51" si="131">VLOOKUP(C49,AUGUST,3,false)</f>
        <v>#REF!</v>
      </c>
      <c r="BE49" s="3" t="e">
        <f t="shared" si="118"/>
        <v>#REF!</v>
      </c>
      <c r="BF49" s="1">
        <f>VLOOKUP(C49,MOQ,3,FALSE())</f>
        <v>1008.0</v>
      </c>
      <c r="BG49" s="43" t="s">
        <v>32</v>
      </c>
      <c r="BH49" s="1" t="s">
        <v>10</v>
      </c>
      <c r="BI49" s="1" t="e">
        <f t="shared" si="120"/>
        <v>#REF!</v>
      </c>
      <c r="BJ49" s="1">
        <f t="shared" si="121"/>
        <v>538.274011299435</v>
      </c>
      <c r="BL49" s="3" t="e">
        <f t="shared" si="101"/>
        <v>#REF!</v>
      </c>
      <c r="BM49" s="1">
        <f t="shared" si="122"/>
        <v>441.505649717514</v>
      </c>
      <c r="BO49" s="3" t="e">
        <f t="shared" si="123"/>
        <v>#REF!</v>
      </c>
      <c r="BP49" s="1">
        <f t="shared" si="124"/>
        <v>344.737288135593</v>
      </c>
      <c r="BR49" s="3" t="e">
        <f t="shared" si="125"/>
        <v>#REF!</v>
      </c>
      <c r="BS49" s="1">
        <f t="shared" si="126"/>
        <v>689.474576271186</v>
      </c>
      <c r="BU49" s="3" t="e">
        <f t="shared" si="127"/>
        <v>#REF!</v>
      </c>
    </row>
    <row hidden="1" r="50" ht="14.0" outlineLevel="1">
      <c r="A50" s="27" t="s">
        <v>28</v>
      </c>
      <c r="B50" s="27" t="s">
        <v>98</v>
      </c>
      <c r="C50" s="27" t="s">
        <v>119</v>
      </c>
      <c r="D50" s="27" t="s">
        <v>120</v>
      </c>
      <c r="E50" s="27"/>
      <c r="F50" s="27">
        <v>171.0</v>
      </c>
      <c r="G50" s="27">
        <v>258.0</v>
      </c>
      <c r="H50" s="27">
        <v>114.0</v>
      </c>
      <c r="I50" s="27">
        <v>0.0</v>
      </c>
      <c r="J50" s="27">
        <v>0.0</v>
      </c>
      <c r="K50" s="27">
        <v>854.0</v>
      </c>
      <c r="L50" s="27">
        <v>252.0</v>
      </c>
      <c r="M50" s="27">
        <v>216.0</v>
      </c>
      <c r="N50" s="27">
        <v>187.0</v>
      </c>
      <c r="O50" s="27">
        <v>252.0</v>
      </c>
      <c r="P50" s="27">
        <v>343.0</v>
      </c>
      <c r="Q50" s="27">
        <v>186.0</v>
      </c>
      <c r="R50" s="27">
        <v>253.0</v>
      </c>
      <c r="S50" s="27">
        <v>186.0</v>
      </c>
      <c r="T50" s="27">
        <v>258.0</v>
      </c>
      <c r="U50" s="27">
        <v>264.0</v>
      </c>
      <c r="V50" s="27">
        <v>348.0</v>
      </c>
      <c r="W50" s="27">
        <v>330.0</v>
      </c>
      <c r="X50" s="27">
        <v>367.0</v>
      </c>
      <c r="Y50" s="27">
        <v>240.0</v>
      </c>
      <c r="Z50" s="27">
        <v>192.0</v>
      </c>
      <c r="AA50" s="27">
        <v>162.0</v>
      </c>
      <c r="AB50" s="27">
        <v>12.0</v>
      </c>
      <c r="AC50" s="27">
        <v>258.0</v>
      </c>
      <c r="AD50" s="27">
        <v>180.0</v>
      </c>
      <c r="AE50" s="27">
        <v>198.0</v>
      </c>
      <c r="AF50" s="27">
        <v>240.0</v>
      </c>
      <c r="AG50" s="27">
        <v>174.0</v>
      </c>
      <c r="AH50" s="27">
        <v>211.0</v>
      </c>
      <c r="AI50" s="27">
        <v>423.0</v>
      </c>
      <c r="AJ50" s="27">
        <v>162.0</v>
      </c>
      <c r="AK50" s="27">
        <v>150.0</v>
      </c>
      <c r="AL50" s="27">
        <v>138.0</v>
      </c>
      <c r="AM50" s="27">
        <v>186.0</v>
      </c>
      <c r="AN50" s="27">
        <v>96.0</v>
      </c>
      <c r="AO50" s="186">
        <v>134.0</v>
      </c>
      <c r="AP50" s="186">
        <v>90.0</v>
      </c>
      <c r="AQ50" s="28">
        <f t="shared" si="3"/>
        <v>2202.0</v>
      </c>
      <c r="AR50" s="28">
        <f t="shared" si="4"/>
        <v>794.0</v>
      </c>
      <c r="AS50" s="28">
        <f t="shared" si="5"/>
        <v>873.4</v>
      </c>
      <c r="AU50" s="1">
        <f t="shared" si="114"/>
        <v>199.621468926553</v>
      </c>
      <c r="AV50" s="1">
        <f t="shared" si="115"/>
        <v>163.734463276836</v>
      </c>
      <c r="AW50" s="1">
        <f t="shared" si="116"/>
        <v>127.847457627119</v>
      </c>
      <c r="AX50" s="1">
        <f t="shared" si="117"/>
        <v>255.694915254237</v>
      </c>
      <c r="BA50" s="2">
        <f t="shared" si="12"/>
        <v>746.898305084745</v>
      </c>
      <c r="BB50" s="2" t="e">
        <f t="shared" si="13"/>
        <v>#REF!</v>
      </c>
      <c r="BD50" s="36" t="e">
        <f t="shared" si="131"/>
        <v>#REF!</v>
      </c>
      <c r="BE50" s="3" t="e">
        <f t="shared" si="118"/>
        <v>#REF!</v>
      </c>
      <c r="BF50" s="1">
        <f>VLOOKUP(C50,MOQ,3,FALSE())</f>
        <v>1008.0</v>
      </c>
      <c r="BG50" s="43" t="s">
        <v>32</v>
      </c>
      <c r="BI50" s="1" t="e">
        <f t="shared" si="120"/>
        <v>#REF!</v>
      </c>
      <c r="BJ50" s="1">
        <f t="shared" si="121"/>
        <v>199.621468926553</v>
      </c>
      <c r="BL50" s="3" t="e">
        <f t="shared" si="101"/>
        <v>#REF!</v>
      </c>
      <c r="BM50" s="1">
        <f t="shared" si="122"/>
        <v>163.734463276836</v>
      </c>
      <c r="BO50" s="3" t="e">
        <f t="shared" si="123"/>
        <v>#REF!</v>
      </c>
      <c r="BP50" s="1">
        <f t="shared" si="124"/>
        <v>127.847457627119</v>
      </c>
      <c r="BR50" s="3" t="e">
        <f t="shared" si="125"/>
        <v>#REF!</v>
      </c>
      <c r="BS50" s="1">
        <f t="shared" si="126"/>
        <v>255.694915254237</v>
      </c>
      <c r="BU50" s="3" t="e">
        <f t="shared" si="127"/>
        <v>#REF!</v>
      </c>
    </row>
    <row hidden="1" r="51" ht="14.0" outlineLevel="1">
      <c r="A51" s="27" t="s">
        <v>28</v>
      </c>
      <c r="B51" s="27" t="s">
        <v>98</v>
      </c>
      <c r="C51" s="27" t="s">
        <v>121</v>
      </c>
      <c r="D51" s="27" t="s">
        <v>122</v>
      </c>
      <c r="E51" s="27"/>
      <c r="F51" s="27">
        <v>213.0</v>
      </c>
      <c r="G51" s="27">
        <v>438.0</v>
      </c>
      <c r="H51" s="27">
        <v>84.0</v>
      </c>
      <c r="I51" s="27">
        <v>0.0</v>
      </c>
      <c r="J51" s="27">
        <v>0.0</v>
      </c>
      <c r="K51" s="27">
        <v>1095.0</v>
      </c>
      <c r="L51" s="27">
        <v>476.0</v>
      </c>
      <c r="M51" s="27">
        <v>331.0</v>
      </c>
      <c r="N51" s="27">
        <v>372.0</v>
      </c>
      <c r="O51" s="27">
        <v>168.0</v>
      </c>
      <c r="P51" s="27">
        <v>0.0</v>
      </c>
      <c r="Q51" s="27">
        <v>187.0</v>
      </c>
      <c r="R51" s="27">
        <v>278.0</v>
      </c>
      <c r="S51" s="27">
        <v>270.0</v>
      </c>
      <c r="T51" s="27">
        <v>301.0</v>
      </c>
      <c r="U51" s="27">
        <v>366.0</v>
      </c>
      <c r="V51" s="27">
        <v>283.0</v>
      </c>
      <c r="W51" s="27">
        <v>512.0</v>
      </c>
      <c r="X51" s="27">
        <v>583.0</v>
      </c>
      <c r="Y51" s="27">
        <v>330.0</v>
      </c>
      <c r="Z51" s="27">
        <v>410.0</v>
      </c>
      <c r="AA51" s="27">
        <v>82.0</v>
      </c>
      <c r="AB51" s="27">
        <v>0.0</v>
      </c>
      <c r="AC51" s="27">
        <v>510.0</v>
      </c>
      <c r="AD51" s="27">
        <v>198.0</v>
      </c>
      <c r="AE51" s="27">
        <v>276.0</v>
      </c>
      <c r="AF51" s="27">
        <v>312.0</v>
      </c>
      <c r="AG51" s="27">
        <v>246.0</v>
      </c>
      <c r="AH51" s="27">
        <v>318.0</v>
      </c>
      <c r="AI51" s="27">
        <v>450.0</v>
      </c>
      <c r="AJ51" s="27">
        <v>187.0</v>
      </c>
      <c r="AK51" s="27">
        <v>253.0</v>
      </c>
      <c r="AL51" s="27">
        <v>237.0</v>
      </c>
      <c r="AM51" s="27">
        <v>378.0</v>
      </c>
      <c r="AN51" s="27">
        <v>246.0</v>
      </c>
      <c r="AO51" s="186">
        <v>241.0</v>
      </c>
      <c r="AP51" s="186">
        <v>224.0</v>
      </c>
      <c r="AQ51" s="28">
        <f t="shared" si="3"/>
        <v>3368.0</v>
      </c>
      <c r="AR51" s="28">
        <f t="shared" si="4"/>
        <v>1579.0</v>
      </c>
      <c r="AS51" s="28">
        <f t="shared" si="5"/>
        <v>1736.9</v>
      </c>
      <c r="AU51" s="1">
        <f t="shared" si="114"/>
        <v>396.9802259887</v>
      </c>
      <c r="AV51" s="1">
        <f t="shared" si="115"/>
        <v>325.612994350282</v>
      </c>
      <c r="AW51" s="1">
        <f t="shared" si="116"/>
        <v>254.245762711864</v>
      </c>
      <c r="AX51" s="1">
        <f t="shared" si="117"/>
        <v>508.491525423729</v>
      </c>
      <c r="BA51" s="2">
        <f t="shared" si="12"/>
        <v>1485.33050847458</v>
      </c>
      <c r="BB51" s="2" t="e">
        <f t="shared" si="13"/>
        <v>#REF!</v>
      </c>
      <c r="BD51" s="36" t="e">
        <f t="shared" si="131"/>
        <v>#REF!</v>
      </c>
      <c r="BE51" s="3" t="e">
        <f t="shared" si="118"/>
        <v>#REF!</v>
      </c>
      <c r="BF51" s="1">
        <f>VLOOKUP(C51,MOQ,3,FALSE())</f>
        <v>1008.0</v>
      </c>
      <c r="BG51" s="43" t="s">
        <v>32</v>
      </c>
      <c r="BI51" s="1" t="e">
        <f t="shared" si="120"/>
        <v>#REF!</v>
      </c>
      <c r="BJ51" s="1">
        <f t="shared" si="121"/>
        <v>396.9802259887</v>
      </c>
      <c r="BL51" s="3" t="e">
        <f t="shared" si="101"/>
        <v>#REF!</v>
      </c>
      <c r="BM51" s="1">
        <f t="shared" si="122"/>
        <v>325.612994350282</v>
      </c>
      <c r="BO51" s="3" t="e">
        <f t="shared" si="123"/>
        <v>#REF!</v>
      </c>
      <c r="BP51" s="1">
        <f t="shared" si="124"/>
        <v>254.245762711864</v>
      </c>
      <c r="BR51" s="3" t="e">
        <f t="shared" si="125"/>
        <v>#REF!</v>
      </c>
      <c r="BS51" s="1">
        <f t="shared" si="126"/>
        <v>508.491525423729</v>
      </c>
      <c r="BU51" s="3" t="e">
        <f t="shared" si="127"/>
        <v>#REF!</v>
      </c>
    </row>
    <row hidden="1" r="52" ht="14.0" outlineLevel="1">
      <c r="A52" s="27" t="s">
        <v>28</v>
      </c>
      <c r="B52" s="27" t="s">
        <v>98</v>
      </c>
      <c r="C52" s="27" t="s">
        <v>123</v>
      </c>
      <c r="D52" s="27" t="s">
        <v>124</v>
      </c>
      <c r="E52" s="27"/>
      <c r="F52" s="27">
        <v>201.0</v>
      </c>
      <c r="G52" s="27">
        <v>306.0</v>
      </c>
      <c r="H52" s="27">
        <v>246.0</v>
      </c>
      <c r="I52" s="27">
        <v>156.0</v>
      </c>
      <c r="J52" s="27">
        <v>0.0</v>
      </c>
      <c r="K52" s="27">
        <v>661.0</v>
      </c>
      <c r="L52" s="27">
        <v>295.0</v>
      </c>
      <c r="M52" s="27">
        <v>192.0</v>
      </c>
      <c r="N52" s="27">
        <v>108.0</v>
      </c>
      <c r="O52" s="27">
        <v>186.0</v>
      </c>
      <c r="P52" s="27">
        <v>138.0</v>
      </c>
      <c r="Q52" s="27">
        <v>174.0</v>
      </c>
      <c r="R52" s="27">
        <v>103.0</v>
      </c>
      <c r="S52" s="27">
        <v>150.0</v>
      </c>
      <c r="T52" s="27">
        <v>180.0</v>
      </c>
      <c r="U52" s="27">
        <v>168.0</v>
      </c>
      <c r="V52" s="27">
        <v>162.0</v>
      </c>
      <c r="W52" s="27">
        <v>118.0</v>
      </c>
      <c r="X52" s="27">
        <v>193.0</v>
      </c>
      <c r="Y52" s="27">
        <v>194.0</v>
      </c>
      <c r="Z52" s="27">
        <v>132.0</v>
      </c>
      <c r="AA52" s="27">
        <v>162.0</v>
      </c>
      <c r="AB52" s="27">
        <v>84.0</v>
      </c>
      <c r="AC52" s="27">
        <v>114.0</v>
      </c>
      <c r="AD52" s="27">
        <v>42.0</v>
      </c>
      <c r="AE52" s="27">
        <v>66.0</v>
      </c>
      <c r="AF52" s="27">
        <v>120.0</v>
      </c>
      <c r="AG52" s="27">
        <v>120.0</v>
      </c>
      <c r="AH52" s="27">
        <v>90.0</v>
      </c>
      <c r="AI52" s="27">
        <v>198.0</v>
      </c>
      <c r="AJ52" s="27">
        <v>90.0</v>
      </c>
      <c r="AK52" s="27">
        <v>114.0</v>
      </c>
      <c r="AL52" s="27">
        <v>102.0</v>
      </c>
      <c r="AM52" s="27">
        <v>126.0</v>
      </c>
      <c r="AN52" s="27">
        <v>54.0</v>
      </c>
      <c r="AO52" s="186">
        <v>73.0</v>
      </c>
      <c r="AP52" s="186">
        <v>97.0</v>
      </c>
      <c r="AQ52" s="28">
        <f t="shared" si="3"/>
        <v>1250.0</v>
      </c>
      <c r="AR52" s="28">
        <f t="shared" si="4"/>
        <v>566.0</v>
      </c>
      <c r="AS52" s="28">
        <f t="shared" si="5"/>
        <v>622.6</v>
      </c>
      <c r="AU52" s="1">
        <f t="shared" si="114"/>
        <v>142.299435028249</v>
      </c>
      <c r="AV52" s="1">
        <f t="shared" si="115"/>
        <v>116.717514124293</v>
      </c>
      <c r="AW52" s="1">
        <f t="shared" si="116"/>
        <v>91.135593220339</v>
      </c>
      <c r="AX52" s="1">
        <f t="shared" si="117"/>
        <v>182.271186440678</v>
      </c>
      <c r="BA52" s="2">
        <f t="shared" si="12"/>
        <v>532.423728813559</v>
      </c>
      <c r="BB52" s="2" t="e">
        <f t="shared" si="13"/>
        <v>#REF!</v>
      </c>
      <c r="BD52" s="36"/>
      <c r="BE52" s="3" t="e">
        <f t="shared" si="118"/>
        <v>#REF!</v>
      </c>
      <c r="BF52" s="1">
        <f>VLOOKUP(C52,MOQ,3,FALSE())</f>
        <v>1008.0</v>
      </c>
      <c r="BI52" s="1" t="e">
        <f t="shared" si="120"/>
        <v>#REF!</v>
      </c>
      <c r="BJ52" s="1">
        <f t="shared" si="121"/>
        <v>142.299435028249</v>
      </c>
      <c r="BL52" s="3" t="e">
        <f t="shared" si="101"/>
        <v>#REF!</v>
      </c>
      <c r="BM52" s="1">
        <f t="shared" si="122"/>
        <v>116.717514124293</v>
      </c>
      <c r="BO52" s="3" t="e">
        <f t="shared" si="123"/>
        <v>#REF!</v>
      </c>
      <c r="BP52" s="1">
        <f t="shared" si="124"/>
        <v>91.135593220339</v>
      </c>
      <c r="BR52" s="3" t="e">
        <f t="shared" si="125"/>
        <v>#REF!</v>
      </c>
      <c r="BS52" s="1">
        <f t="shared" si="126"/>
        <v>182.271186440678</v>
      </c>
      <c r="BU52" s="3" t="e">
        <f t="shared" si="127"/>
        <v>#REF!</v>
      </c>
    </row>
    <row hidden="1" r="53" ht="14.0" outlineLevel="1">
      <c r="A53" s="27" t="s">
        <v>28</v>
      </c>
      <c r="B53" s="27" t="s">
        <v>98</v>
      </c>
      <c r="C53" s="27" t="s">
        <v>125</v>
      </c>
      <c r="D53" s="27" t="s">
        <v>126</v>
      </c>
      <c r="E53" s="27"/>
      <c r="F53" s="27">
        <v>195.0</v>
      </c>
      <c r="G53" s="27">
        <v>336.0</v>
      </c>
      <c r="H53" s="27">
        <v>276.0</v>
      </c>
      <c r="I53" s="27">
        <v>89.0</v>
      </c>
      <c r="J53" s="27">
        <v>0.0</v>
      </c>
      <c r="K53" s="27">
        <v>733.0</v>
      </c>
      <c r="L53" s="27">
        <v>228.0</v>
      </c>
      <c r="M53" s="27">
        <v>132.0</v>
      </c>
      <c r="N53" s="27">
        <v>140.0</v>
      </c>
      <c r="O53" s="27">
        <v>140.0</v>
      </c>
      <c r="P53" s="27">
        <v>146.0</v>
      </c>
      <c r="Q53" s="27">
        <v>186.0</v>
      </c>
      <c r="R53" s="27">
        <v>114.0</v>
      </c>
      <c r="S53" s="27">
        <v>126.0</v>
      </c>
      <c r="T53" s="27">
        <v>138.0</v>
      </c>
      <c r="U53" s="27">
        <v>144.0</v>
      </c>
      <c r="V53" s="27">
        <v>132.0</v>
      </c>
      <c r="W53" s="27">
        <v>150.0</v>
      </c>
      <c r="X53" s="27">
        <v>103.0</v>
      </c>
      <c r="Y53" s="27">
        <v>144.0</v>
      </c>
      <c r="Z53" s="27">
        <v>156.0</v>
      </c>
      <c r="AA53" s="27">
        <v>168.0</v>
      </c>
      <c r="AB53" s="27">
        <v>77.0</v>
      </c>
      <c r="AC53" s="27">
        <v>72.0</v>
      </c>
      <c r="AD53" s="27">
        <v>60.0</v>
      </c>
      <c r="AE53" s="27">
        <v>48.0</v>
      </c>
      <c r="AF53" s="27">
        <v>48.0</v>
      </c>
      <c r="AG53" s="27">
        <v>96.0</v>
      </c>
      <c r="AH53" s="27">
        <v>138.0</v>
      </c>
      <c r="AI53" s="27">
        <v>180.0</v>
      </c>
      <c r="AJ53" s="27">
        <v>72.0</v>
      </c>
      <c r="AK53" s="27">
        <v>61.0</v>
      </c>
      <c r="AL53" s="27">
        <v>42.0</v>
      </c>
      <c r="AM53" s="27">
        <v>90.0</v>
      </c>
      <c r="AN53" s="27">
        <v>54.0</v>
      </c>
      <c r="AO53" s="186">
        <v>61.0</v>
      </c>
      <c r="AP53" s="186">
        <v>30.0</v>
      </c>
      <c r="AQ53" s="28">
        <f t="shared" si="3"/>
        <v>920.0</v>
      </c>
      <c r="AR53" s="28">
        <f t="shared" si="4"/>
        <v>338.0</v>
      </c>
      <c r="AS53" s="28">
        <f t="shared" si="5"/>
        <v>371.8</v>
      </c>
      <c r="AU53" s="1">
        <f t="shared" si="114"/>
        <v>84.9774011299435</v>
      </c>
      <c r="AV53" s="1">
        <f t="shared" si="115"/>
        <v>69.7005649717514</v>
      </c>
      <c r="AW53" s="1">
        <f t="shared" si="116"/>
        <v>54.4237288135593</v>
      </c>
      <c r="AX53" s="1">
        <f t="shared" si="117"/>
        <v>108.847457627119</v>
      </c>
      <c r="BA53" s="2">
        <f t="shared" si="12"/>
        <v>317.949152542373</v>
      </c>
      <c r="BB53" s="2" t="e">
        <f t="shared" si="13"/>
        <v>#REF!</v>
      </c>
      <c r="BD53" s="36"/>
      <c r="BE53" s="3" t="e">
        <f t="shared" si="118"/>
        <v>#REF!</v>
      </c>
      <c r="BF53" s="1">
        <f>VLOOKUP(C53,MOQ,3,FALSE())</f>
        <v>1008.0</v>
      </c>
      <c r="BI53" s="1" t="e">
        <f t="shared" si="120"/>
        <v>#REF!</v>
      </c>
      <c r="BJ53" s="1">
        <f t="shared" si="121"/>
        <v>84.9774011299435</v>
      </c>
      <c r="BL53" s="3" t="e">
        <f t="shared" si="101"/>
        <v>#REF!</v>
      </c>
      <c r="BM53" s="1">
        <f t="shared" si="122"/>
        <v>69.7005649717514</v>
      </c>
      <c r="BO53" s="3" t="e">
        <f t="shared" si="123"/>
        <v>#REF!</v>
      </c>
      <c r="BP53" s="1">
        <f t="shared" si="124"/>
        <v>54.4237288135593</v>
      </c>
      <c r="BR53" s="3" t="e">
        <f t="shared" si="125"/>
        <v>#REF!</v>
      </c>
      <c r="BS53" s="1">
        <f t="shared" si="126"/>
        <v>108.847457627119</v>
      </c>
      <c r="BU53" s="3" t="e">
        <f t="shared" si="127"/>
        <v>#REF!</v>
      </c>
    </row>
    <row hidden="1" r="54" ht="14.0" outlineLevel="1">
      <c r="A54" s="27" t="s">
        <v>28</v>
      </c>
      <c r="B54" s="27" t="s">
        <v>98</v>
      </c>
      <c r="C54" s="27" t="s">
        <v>127</v>
      </c>
      <c r="D54" s="27" t="s">
        <v>128</v>
      </c>
      <c r="E54" s="27"/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222.0</v>
      </c>
      <c r="S54" s="27">
        <v>366.0</v>
      </c>
      <c r="T54" s="27">
        <v>266.0</v>
      </c>
      <c r="U54" s="27">
        <v>381.0</v>
      </c>
      <c r="V54" s="27">
        <v>324.0</v>
      </c>
      <c r="W54" s="27">
        <v>306.0</v>
      </c>
      <c r="X54" s="27">
        <v>354.0</v>
      </c>
      <c r="Y54" s="27">
        <v>240.0</v>
      </c>
      <c r="Z54" s="27">
        <v>246.0</v>
      </c>
      <c r="AA54" s="27">
        <v>136.0</v>
      </c>
      <c r="AB54" s="27">
        <v>0.0</v>
      </c>
      <c r="AC54" s="27">
        <v>270.0</v>
      </c>
      <c r="AD54" s="27">
        <v>132.0</v>
      </c>
      <c r="AE54" s="27">
        <v>150.0</v>
      </c>
      <c r="AF54" s="27">
        <v>192.0</v>
      </c>
      <c r="AG54" s="27">
        <v>192.0</v>
      </c>
      <c r="AH54" s="27">
        <v>198.0</v>
      </c>
      <c r="AI54" s="27">
        <v>336.0</v>
      </c>
      <c r="AJ54" s="27">
        <v>180.0</v>
      </c>
      <c r="AK54" s="27">
        <v>180.0</v>
      </c>
      <c r="AL54" s="27">
        <v>138.0</v>
      </c>
      <c r="AM54" s="27">
        <v>174.0</v>
      </c>
      <c r="AN54" s="27">
        <v>120.0</v>
      </c>
      <c r="AO54" s="186">
        <v>144.0</v>
      </c>
      <c r="AP54" s="186">
        <v>120.0</v>
      </c>
      <c r="AQ54" s="28">
        <f t="shared" si="3"/>
        <v>2124.0</v>
      </c>
      <c r="AR54" s="28">
        <f t="shared" si="4"/>
        <v>876.0</v>
      </c>
      <c r="AS54" s="28">
        <f t="shared" si="5"/>
        <v>963.6</v>
      </c>
      <c r="AU54" s="1">
        <f t="shared" si="114"/>
        <v>220.237288135593</v>
      </c>
      <c r="AV54" s="1">
        <f t="shared" si="115"/>
        <v>180.64406779661</v>
      </c>
      <c r="AW54" s="1">
        <f t="shared" si="116"/>
        <v>141.050847457627</v>
      </c>
      <c r="AX54" s="1">
        <f t="shared" si="117"/>
        <v>282.101694915254</v>
      </c>
      <c r="BA54" s="2">
        <f t="shared" si="12"/>
        <v>824.033898305084</v>
      </c>
      <c r="BB54" s="2" t="e">
        <f t="shared" si="13"/>
        <v>#REF!</v>
      </c>
      <c r="BD54" s="36"/>
      <c r="BE54" s="3" t="e">
        <f t="shared" si="118"/>
        <v>#REF!</v>
      </c>
      <c r="BF54" s="1">
        <f>VLOOKUP(C54,MOQ,3,FALSE())</f>
        <v>1008.0</v>
      </c>
      <c r="BI54" s="1" t="e">
        <f t="shared" si="120"/>
        <v>#REF!</v>
      </c>
      <c r="BJ54" s="1">
        <f t="shared" si="121"/>
        <v>220.237288135593</v>
      </c>
      <c r="BL54" s="3" t="e">
        <f t="shared" si="101"/>
        <v>#REF!</v>
      </c>
      <c r="BM54" s="1">
        <f t="shared" si="122"/>
        <v>180.64406779661</v>
      </c>
      <c r="BO54" s="3" t="e">
        <f t="shared" si="123"/>
        <v>#REF!</v>
      </c>
      <c r="BP54" s="1">
        <f t="shared" si="124"/>
        <v>141.050847457627</v>
      </c>
      <c r="BR54" s="3" t="e">
        <f t="shared" si="125"/>
        <v>#REF!</v>
      </c>
      <c r="BS54" s="1">
        <f t="shared" si="126"/>
        <v>282.101694915254</v>
      </c>
      <c r="BU54" s="3" t="e">
        <f t="shared" si="127"/>
        <v>#REF!</v>
      </c>
    </row>
    <row hidden="1" r="55" ht="14.0" outlineLevel="1">
      <c r="A55" s="27" t="s">
        <v>28</v>
      </c>
      <c r="B55" s="27" t="s">
        <v>98</v>
      </c>
      <c r="C55" s="27" t="s">
        <v>129</v>
      </c>
      <c r="D55" s="27" t="s">
        <v>130</v>
      </c>
      <c r="E55" s="27"/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204.0</v>
      </c>
      <c r="S55" s="27">
        <v>294.0</v>
      </c>
      <c r="T55" s="27">
        <v>211.0</v>
      </c>
      <c r="U55" s="27">
        <v>298.0</v>
      </c>
      <c r="V55" s="27">
        <v>300.0</v>
      </c>
      <c r="W55" s="27">
        <v>252.0</v>
      </c>
      <c r="X55" s="27">
        <v>313.0</v>
      </c>
      <c r="Y55" s="27">
        <v>174.0</v>
      </c>
      <c r="Z55" s="27">
        <v>168.0</v>
      </c>
      <c r="AA55" s="27">
        <v>288.0</v>
      </c>
      <c r="AB55" s="27">
        <v>180.0</v>
      </c>
      <c r="AC55" s="27">
        <v>156.0</v>
      </c>
      <c r="AD55" s="27">
        <v>102.0</v>
      </c>
      <c r="AE55" s="27">
        <v>114.0</v>
      </c>
      <c r="AF55" s="27">
        <v>156.0</v>
      </c>
      <c r="AG55" s="27">
        <v>120.0</v>
      </c>
      <c r="AH55" s="27">
        <v>192.0</v>
      </c>
      <c r="AI55" s="27">
        <v>264.0</v>
      </c>
      <c r="AJ55" s="27">
        <v>156.0</v>
      </c>
      <c r="AK55" s="27">
        <v>78.0</v>
      </c>
      <c r="AL55" s="27">
        <v>120.0</v>
      </c>
      <c r="AM55" s="27">
        <v>132.0</v>
      </c>
      <c r="AN55" s="27">
        <v>138.0</v>
      </c>
      <c r="AO55" s="186">
        <v>132.0</v>
      </c>
      <c r="AP55" s="186">
        <v>78.0</v>
      </c>
      <c r="AQ55" s="28">
        <f t="shared" si="3"/>
        <v>1680.0</v>
      </c>
      <c r="AR55" s="28">
        <f t="shared" si="4"/>
        <v>678.0</v>
      </c>
      <c r="AS55" s="28">
        <f t="shared" si="5"/>
        <v>745.8</v>
      </c>
      <c r="AU55" s="1">
        <f t="shared" si="114"/>
        <v>170.457627118644</v>
      </c>
      <c r="AV55" s="1">
        <f t="shared" si="115"/>
        <v>139.813559322033</v>
      </c>
      <c r="AW55" s="1">
        <f t="shared" si="116"/>
        <v>109.169491525423</v>
      </c>
      <c r="AX55" s="1">
        <f t="shared" si="117"/>
        <v>218.338983050847</v>
      </c>
      <c r="BA55" s="2">
        <f t="shared" si="12"/>
        <v>637.779661016947</v>
      </c>
      <c r="BB55" s="2" t="e">
        <f t="shared" si="13"/>
        <v>#REF!</v>
      </c>
      <c r="BD55" s="36"/>
      <c r="BE55" s="3" t="e">
        <f t="shared" si="118"/>
        <v>#REF!</v>
      </c>
      <c r="BF55" s="1">
        <f>VLOOKUP(C55,MOQ,3,FALSE())</f>
        <v>1008.0</v>
      </c>
      <c r="BI55" s="1" t="e">
        <f t="shared" si="120"/>
        <v>#REF!</v>
      </c>
      <c r="BJ55" s="1">
        <f t="shared" si="121"/>
        <v>170.457627118644</v>
      </c>
      <c r="BL55" s="3" t="e">
        <f t="shared" si="101"/>
        <v>#REF!</v>
      </c>
      <c r="BM55" s="1">
        <f t="shared" si="122"/>
        <v>139.813559322033</v>
      </c>
      <c r="BO55" s="3" t="e">
        <f t="shared" si="123"/>
        <v>#REF!</v>
      </c>
      <c r="BP55" s="1">
        <f t="shared" si="124"/>
        <v>109.169491525423</v>
      </c>
      <c r="BR55" s="3" t="e">
        <f t="shared" si="125"/>
        <v>#REF!</v>
      </c>
      <c r="BS55" s="1">
        <f t="shared" si="126"/>
        <v>218.338983050847</v>
      </c>
      <c r="BU55" s="3" t="e">
        <f t="shared" si="127"/>
        <v>#REF!</v>
      </c>
    </row>
    <row hidden="1" r="56" ht="14.0" outlineLevel="1">
      <c r="A56" s="27" t="s">
        <v>28</v>
      </c>
      <c r="B56" s="27" t="s">
        <v>98</v>
      </c>
      <c r="C56" s="27" t="s">
        <v>131</v>
      </c>
      <c r="D56" s="27" t="s">
        <v>132</v>
      </c>
      <c r="E56" s="27"/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114.0</v>
      </c>
      <c r="S56" s="27">
        <v>216.0</v>
      </c>
      <c r="T56" s="27">
        <v>156.0</v>
      </c>
      <c r="U56" s="27">
        <v>230.0</v>
      </c>
      <c r="V56" s="27">
        <v>241.0</v>
      </c>
      <c r="W56" s="27">
        <v>217.0</v>
      </c>
      <c r="X56" s="27">
        <v>248.0</v>
      </c>
      <c r="Y56" s="27">
        <v>204.0</v>
      </c>
      <c r="Z56" s="27">
        <v>180.0</v>
      </c>
      <c r="AA56" s="27">
        <v>33.0</v>
      </c>
      <c r="AB56" s="27">
        <v>0.0</v>
      </c>
      <c r="AC56" s="27">
        <v>252.0</v>
      </c>
      <c r="AD56" s="27">
        <v>96.0</v>
      </c>
      <c r="AE56" s="27">
        <v>84.0</v>
      </c>
      <c r="AF56" s="27">
        <v>126.0</v>
      </c>
      <c r="AG56" s="27">
        <v>126.0</v>
      </c>
      <c r="AH56" s="27">
        <v>246.0</v>
      </c>
      <c r="AI56" s="27">
        <v>221.0</v>
      </c>
      <c r="AJ56" s="27">
        <v>126.0</v>
      </c>
      <c r="AK56" s="27">
        <v>96.0</v>
      </c>
      <c r="AL56" s="27">
        <v>114.0</v>
      </c>
      <c r="AM56" s="27">
        <v>138.0</v>
      </c>
      <c r="AN56" s="27">
        <v>66.0</v>
      </c>
      <c r="AO56" s="186">
        <v>102.0</v>
      </c>
      <c r="AP56" s="186">
        <v>42.0</v>
      </c>
      <c r="AQ56" s="28">
        <f t="shared" si="3"/>
        <v>1487.0</v>
      </c>
      <c r="AR56" s="28">
        <f t="shared" si="4"/>
        <v>558.0</v>
      </c>
      <c r="AS56" s="28">
        <f t="shared" si="5"/>
        <v>613.8</v>
      </c>
      <c r="AU56" s="1">
        <f t="shared" si="114"/>
        <v>140.28813559322</v>
      </c>
      <c r="AV56" s="1">
        <f t="shared" si="115"/>
        <v>115.067796610169</v>
      </c>
      <c r="AW56" s="1">
        <f t="shared" si="116"/>
        <v>89.8474576271186</v>
      </c>
      <c r="AX56" s="1">
        <f t="shared" si="117"/>
        <v>179.694915254237</v>
      </c>
      <c r="BA56" s="2">
        <f t="shared" si="12"/>
        <v>524.898305084744</v>
      </c>
      <c r="BB56" s="2" t="e">
        <f t="shared" si="13"/>
        <v>#REF!</v>
      </c>
      <c r="BD56" s="36"/>
      <c r="BE56" s="3" t="e">
        <f t="shared" si="118"/>
        <v>#REF!</v>
      </c>
      <c r="BF56" s="1">
        <f>VLOOKUP(C56,MOQ,3,FALSE())</f>
        <v>1008.0</v>
      </c>
      <c r="BI56" s="1" t="e">
        <f t="shared" si="120"/>
        <v>#REF!</v>
      </c>
      <c r="BJ56" s="1">
        <f t="shared" si="121"/>
        <v>140.28813559322</v>
      </c>
      <c r="BL56" s="3" t="e">
        <f t="shared" si="101"/>
        <v>#REF!</v>
      </c>
      <c r="BM56" s="1">
        <f t="shared" si="122"/>
        <v>115.067796610169</v>
      </c>
      <c r="BO56" s="3" t="e">
        <f t="shared" si="123"/>
        <v>#REF!</v>
      </c>
      <c r="BP56" s="1">
        <f t="shared" si="124"/>
        <v>89.8474576271186</v>
      </c>
      <c r="BR56" s="3" t="e">
        <f t="shared" si="125"/>
        <v>#REF!</v>
      </c>
      <c r="BS56" s="1">
        <f t="shared" si="126"/>
        <v>179.694915254237</v>
      </c>
      <c r="BU56" s="3" t="e">
        <f t="shared" si="127"/>
        <v>#REF!</v>
      </c>
    </row>
    <row hidden="1" r="57" ht="14.0" outlineLevel="1">
      <c r="A57" s="27" t="s">
        <v>28</v>
      </c>
      <c r="B57" s="27" t="s">
        <v>98</v>
      </c>
      <c r="C57" s="27" t="s">
        <v>133</v>
      </c>
      <c r="D57" s="27" t="s">
        <v>134</v>
      </c>
      <c r="E57" s="27"/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252.0</v>
      </c>
      <c r="AH57" s="27">
        <v>336.0</v>
      </c>
      <c r="AI57" s="27">
        <v>420.0</v>
      </c>
      <c r="AJ57" s="27">
        <v>0.0</v>
      </c>
      <c r="AK57" s="27">
        <v>0.0</v>
      </c>
      <c r="AL57" s="27">
        <v>0.0</v>
      </c>
      <c r="AM57" s="27">
        <v>90.0</v>
      </c>
      <c r="AN57" s="27">
        <v>126.0</v>
      </c>
      <c r="AO57" s="186">
        <v>108.0</v>
      </c>
      <c r="AP57" s="186">
        <v>78.0</v>
      </c>
      <c r="AQ57" s="28">
        <f t="shared" si="3"/>
        <v>1410.0</v>
      </c>
      <c r="AR57" s="28">
        <f t="shared" si="4"/>
        <v>402.0</v>
      </c>
      <c r="AS57" s="28">
        <f t="shared" si="5"/>
        <v>442.2</v>
      </c>
      <c r="AU57" s="1">
        <f t="shared" si="114"/>
        <v>101.06779661017</v>
      </c>
      <c r="AV57" s="1">
        <f t="shared" si="115"/>
        <v>82.8983050847458</v>
      </c>
      <c r="AW57" s="1">
        <f t="shared" si="116"/>
        <v>64.728813559322</v>
      </c>
      <c r="AX57" s="1">
        <f t="shared" si="117"/>
        <v>129.457627118644</v>
      </c>
      <c r="BA57" s="2">
        <f t="shared" si="12"/>
        <v>378.152542372881</v>
      </c>
      <c r="BB57" s="2" t="e">
        <f t="shared" si="13"/>
        <v>#REF!</v>
      </c>
      <c r="BD57" s="36" t="e">
        <f>VLOOKUP(C57,AUGUST,3,false)</f>
        <v>#REF!</v>
      </c>
      <c r="BE57" s="3" t="e">
        <f t="shared" si="118"/>
        <v>#REF!</v>
      </c>
      <c r="BF57" s="1">
        <v>1008.0</v>
      </c>
      <c r="BG57" s="4">
        <f>BF57</f>
        <v>1008.0</v>
      </c>
      <c r="BH57" s="1" t="s">
        <v>10</v>
      </c>
      <c r="BI57" s="1" t="e">
        <f t="shared" si="120"/>
        <v>#REF!</v>
      </c>
      <c r="BJ57" s="1">
        <f t="shared" si="121"/>
        <v>101.06779661017</v>
      </c>
      <c r="BL57" s="3" t="e">
        <f t="shared" si="101"/>
        <v>#REF!</v>
      </c>
      <c r="BM57" s="1">
        <f t="shared" si="122"/>
        <v>82.8983050847458</v>
      </c>
      <c r="BO57" s="3" t="e">
        <f t="shared" si="123"/>
        <v>#REF!</v>
      </c>
      <c r="BP57" s="1">
        <f t="shared" si="124"/>
        <v>64.728813559322</v>
      </c>
      <c r="BR57" s="3" t="e">
        <f t="shared" si="125"/>
        <v>#REF!</v>
      </c>
      <c r="BS57" s="1">
        <f t="shared" si="126"/>
        <v>129.457627118644</v>
      </c>
      <c r="BU57" s="3" t="e">
        <f t="shared" si="127"/>
        <v>#REF!</v>
      </c>
    </row>
    <row hidden="1" r="58" ht="14.0" outlineLevel="1">
      <c r="A58" s="27" t="s">
        <v>28</v>
      </c>
      <c r="B58" s="27" t="s">
        <v>98</v>
      </c>
      <c r="C58" s="27" t="s">
        <v>135</v>
      </c>
      <c r="D58" s="27" t="s">
        <v>136</v>
      </c>
      <c r="E58" s="27"/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102.0</v>
      </c>
      <c r="AN58" s="27">
        <v>144.0</v>
      </c>
      <c r="AO58" s="186">
        <v>168.0</v>
      </c>
      <c r="AP58" s="186">
        <v>92.0</v>
      </c>
      <c r="AQ58" s="28">
        <f t="shared" si="3"/>
        <v>506.0</v>
      </c>
      <c r="AR58" s="28">
        <f t="shared" si="4"/>
        <v>506.0</v>
      </c>
      <c r="AS58" s="28">
        <f t="shared" si="5"/>
        <v>556.6</v>
      </c>
      <c r="AU58" s="1">
        <f t="shared" si="114"/>
        <v>127.21468926553</v>
      </c>
      <c r="AV58" s="1">
        <f t="shared" si="115"/>
        <v>104.344632768361</v>
      </c>
      <c r="AW58" s="1">
        <f t="shared" si="116"/>
        <v>81.4745762711864</v>
      </c>
      <c r="AX58" s="1">
        <f t="shared" si="117"/>
        <v>162.949152542372</v>
      </c>
      <c r="BA58" s="2">
        <f t="shared" si="12"/>
        <v>475.983050847449</v>
      </c>
      <c r="BB58" s="2" t="e">
        <f t="shared" si="13"/>
        <v>#REF!</v>
      </c>
      <c r="BD58" s="36"/>
      <c r="BE58" s="3" t="e">
        <f t="shared" si="118"/>
        <v>#REF!</v>
      </c>
      <c r="BF58" s="1">
        <v>1008.0</v>
      </c>
      <c r="BI58" s="1" t="e">
        <f t="shared" si="120"/>
        <v>#REF!</v>
      </c>
      <c r="BJ58" s="1">
        <f t="shared" si="121"/>
        <v>127.21468926553</v>
      </c>
      <c r="BL58" s="3" t="e">
        <f t="shared" si="101"/>
        <v>#REF!</v>
      </c>
      <c r="BM58" s="1">
        <f t="shared" si="122"/>
        <v>104.344632768361</v>
      </c>
      <c r="BO58" s="3" t="e">
        <f t="shared" si="123"/>
        <v>#REF!</v>
      </c>
      <c r="BP58" s="1">
        <f t="shared" si="124"/>
        <v>81.4745762711864</v>
      </c>
      <c r="BR58" s="3" t="e">
        <f t="shared" si="125"/>
        <v>#REF!</v>
      </c>
      <c r="BS58" s="1">
        <f t="shared" si="126"/>
        <v>162.949152542372</v>
      </c>
      <c r="BU58" s="3" t="e">
        <f t="shared" si="127"/>
        <v>#REF!</v>
      </c>
    </row>
    <row hidden="1" r="59" ht="14.0" outlineLevel="1">
      <c r="A59" s="27" t="s">
        <v>28</v>
      </c>
      <c r="B59" s="27" t="s">
        <v>98</v>
      </c>
      <c r="C59" s="27" t="s">
        <v>137</v>
      </c>
      <c r="D59" s="27" t="s">
        <v>138</v>
      </c>
      <c r="E59" s="27"/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126.0</v>
      </c>
      <c r="AN59" s="27">
        <v>168.0</v>
      </c>
      <c r="AO59" s="186">
        <v>180.0</v>
      </c>
      <c r="AP59" s="186">
        <v>104.0</v>
      </c>
      <c r="AQ59" s="28">
        <f t="shared" si="3"/>
        <v>578.0</v>
      </c>
      <c r="AR59" s="28">
        <f t="shared" si="4"/>
        <v>578.0</v>
      </c>
      <c r="AS59" s="28">
        <f t="shared" si="5"/>
        <v>635.8</v>
      </c>
      <c r="AU59" s="1">
        <f t="shared" si="114"/>
        <v>145.31638418079</v>
      </c>
      <c r="AV59" s="1">
        <f t="shared" si="115"/>
        <v>119.19209039548</v>
      </c>
      <c r="AW59" s="1">
        <f t="shared" si="116"/>
        <v>93.0677966101694</v>
      </c>
      <c r="AX59" s="1">
        <f t="shared" si="117"/>
        <v>186.135593220339</v>
      </c>
      <c r="BA59" s="2">
        <f t="shared" si="12"/>
        <v>543.711864406778</v>
      </c>
      <c r="BB59" s="2" t="e">
        <f t="shared" si="13"/>
        <v>#REF!</v>
      </c>
      <c r="BD59" s="36"/>
      <c r="BE59" s="3" t="e">
        <f t="shared" si="118"/>
        <v>#REF!</v>
      </c>
      <c r="BF59" s="1">
        <v>1008.0</v>
      </c>
      <c r="BI59" s="1" t="e">
        <f t="shared" si="120"/>
        <v>#REF!</v>
      </c>
      <c r="BJ59" s="1">
        <f t="shared" si="121"/>
        <v>145.31638418079</v>
      </c>
      <c r="BL59" s="3" t="e">
        <f t="shared" si="101"/>
        <v>#REF!</v>
      </c>
      <c r="BM59" s="1">
        <f t="shared" si="122"/>
        <v>119.19209039548</v>
      </c>
      <c r="BO59" s="3" t="e">
        <f t="shared" si="123"/>
        <v>#REF!</v>
      </c>
      <c r="BP59" s="1">
        <f t="shared" si="124"/>
        <v>93.0677966101694</v>
      </c>
      <c r="BR59" s="3" t="e">
        <f t="shared" si="125"/>
        <v>#REF!</v>
      </c>
      <c r="BS59" s="1">
        <f t="shared" si="126"/>
        <v>186.135593220339</v>
      </c>
      <c r="BU59" s="3" t="e">
        <f t="shared" si="127"/>
        <v>#REF!</v>
      </c>
    </row>
    <row hidden="1" r="60" ht="14.0" outlineLevel="1">
      <c r="A60" s="27" t="s">
        <v>28</v>
      </c>
      <c r="B60" s="27" t="s">
        <v>98</v>
      </c>
      <c r="C60" s="27" t="s">
        <v>139</v>
      </c>
      <c r="D60" s="27" t="s">
        <v>140</v>
      </c>
      <c r="E60" s="27"/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114.0</v>
      </c>
      <c r="AN60" s="27">
        <v>156.0</v>
      </c>
      <c r="AO60" s="186">
        <v>216.0</v>
      </c>
      <c r="AP60" s="186">
        <v>146.0</v>
      </c>
      <c r="AQ60" s="28">
        <f t="shared" si="3"/>
        <v>632.0</v>
      </c>
      <c r="AR60" s="28">
        <f t="shared" si="4"/>
        <v>632.0</v>
      </c>
      <c r="AS60" s="28">
        <f t="shared" si="5"/>
        <v>695.2</v>
      </c>
      <c r="AU60" s="1">
        <f t="shared" si="114"/>
        <v>158.892655367231</v>
      </c>
      <c r="AV60" s="1">
        <f t="shared" si="115"/>
        <v>130.327683615819</v>
      </c>
      <c r="AW60" s="1">
        <f t="shared" si="116"/>
        <v>101.762711864407</v>
      </c>
      <c r="AX60" s="1">
        <f t="shared" si="117"/>
        <v>203.525423728813</v>
      </c>
      <c r="BA60" s="2">
        <f t="shared" si="12"/>
        <v>594.50847457627</v>
      </c>
      <c r="BB60" s="2" t="e">
        <f t="shared" si="13"/>
        <v>#REF!</v>
      </c>
      <c r="BD60" s="36"/>
      <c r="BE60" s="3" t="e">
        <f t="shared" si="118"/>
        <v>#REF!</v>
      </c>
      <c r="BF60" s="1">
        <v>1008.0</v>
      </c>
      <c r="BI60" s="1" t="e">
        <f t="shared" si="120"/>
        <v>#REF!</v>
      </c>
      <c r="BJ60" s="1">
        <f t="shared" si="121"/>
        <v>158.892655367231</v>
      </c>
      <c r="BL60" s="3" t="e">
        <f t="shared" si="101"/>
        <v>#REF!</v>
      </c>
      <c r="BM60" s="1">
        <f t="shared" si="122"/>
        <v>130.327683615819</v>
      </c>
      <c r="BO60" s="3" t="e">
        <f t="shared" si="123"/>
        <v>#REF!</v>
      </c>
      <c r="BP60" s="1">
        <f t="shared" si="124"/>
        <v>101.762711864407</v>
      </c>
      <c r="BR60" s="3" t="e">
        <f t="shared" si="125"/>
        <v>#REF!</v>
      </c>
      <c r="BS60" s="1">
        <f t="shared" si="126"/>
        <v>203.525423728813</v>
      </c>
      <c r="BU60" s="3" t="e">
        <f t="shared" si="127"/>
        <v>#REF!</v>
      </c>
    </row>
    <row hidden="1" r="61" ht="14.0" outlineLevel="1">
      <c r="A61" s="27" t="s">
        <v>28</v>
      </c>
      <c r="B61" s="27" t="s">
        <v>98</v>
      </c>
      <c r="C61" s="27" t="s">
        <v>141</v>
      </c>
      <c r="D61" s="27" t="s">
        <v>142</v>
      </c>
      <c r="E61" s="27"/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7">
        <v>0.0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7">
        <v>0.0</v>
      </c>
      <c r="X61" s="27">
        <v>0.0</v>
      </c>
      <c r="Y61" s="27">
        <v>0.0</v>
      </c>
      <c r="Z61" s="27">
        <v>0.0</v>
      </c>
      <c r="AA61" s="27">
        <v>0.0</v>
      </c>
      <c r="AB61" s="27">
        <v>0.0</v>
      </c>
      <c r="AC61" s="27">
        <v>0.0</v>
      </c>
      <c r="AD61" s="27">
        <v>0.0</v>
      </c>
      <c r="AE61" s="27">
        <v>0.0</v>
      </c>
      <c r="AF61" s="27">
        <v>0.0</v>
      </c>
      <c r="AG61" s="27">
        <v>0.0</v>
      </c>
      <c r="AH61" s="27">
        <v>0.0</v>
      </c>
      <c r="AI61" s="27">
        <v>0.0</v>
      </c>
      <c r="AJ61" s="27">
        <v>0.0</v>
      </c>
      <c r="AK61" s="27">
        <v>0.0</v>
      </c>
      <c r="AL61" s="27">
        <v>0.0</v>
      </c>
      <c r="AM61" s="27">
        <v>120.0</v>
      </c>
      <c r="AN61" s="27">
        <v>216.0</v>
      </c>
      <c r="AO61" s="186">
        <v>240.0</v>
      </c>
      <c r="AP61" s="186">
        <v>128.0</v>
      </c>
      <c r="AQ61" s="28">
        <f t="shared" si="3"/>
        <v>704.0</v>
      </c>
      <c r="AR61" s="28">
        <f t="shared" si="4"/>
        <v>704.0</v>
      </c>
      <c r="AS61" s="28">
        <f t="shared" si="5"/>
        <v>774.4</v>
      </c>
      <c r="AU61" s="1">
        <f t="shared" si="114"/>
        <v>176.9943502824</v>
      </c>
      <c r="AV61" s="1">
        <f t="shared" si="115"/>
        <v>145.175141242938</v>
      </c>
      <c r="AW61" s="1">
        <f t="shared" si="116"/>
        <v>113.35593220339</v>
      </c>
      <c r="AX61" s="1">
        <f t="shared" si="117"/>
        <v>226.71186440678</v>
      </c>
      <c r="BA61" s="2">
        <f t="shared" si="12"/>
        <v>662.237288135508</v>
      </c>
      <c r="BB61" s="2" t="e">
        <f t="shared" si="13"/>
        <v>#REF!</v>
      </c>
      <c r="BD61" s="36"/>
      <c r="BE61" s="3" t="e">
        <f t="shared" si="118"/>
        <v>#REF!</v>
      </c>
      <c r="BF61" s="1">
        <v>1008.0</v>
      </c>
      <c r="BI61" s="1" t="e">
        <f t="shared" si="120"/>
        <v>#REF!</v>
      </c>
      <c r="BJ61" s="1">
        <f t="shared" si="121"/>
        <v>176.9943502824</v>
      </c>
      <c r="BL61" s="3" t="e">
        <f t="shared" si="101"/>
        <v>#REF!</v>
      </c>
      <c r="BM61" s="1">
        <f t="shared" si="122"/>
        <v>145.175141242938</v>
      </c>
      <c r="BO61" s="3" t="e">
        <f t="shared" si="123"/>
        <v>#REF!</v>
      </c>
      <c r="BP61" s="1">
        <f t="shared" si="124"/>
        <v>113.35593220339</v>
      </c>
      <c r="BR61" s="3" t="e">
        <f t="shared" si="125"/>
        <v>#REF!</v>
      </c>
      <c r="BS61" s="1">
        <f t="shared" si="126"/>
        <v>226.71186440678</v>
      </c>
      <c r="BU61" s="3" t="e">
        <f t="shared" si="127"/>
        <v>#REF!</v>
      </c>
    </row>
    <row hidden="1" r="62" ht="14.0" outlineLevel="1">
      <c r="A62" s="27" t="s">
        <v>28</v>
      </c>
      <c r="B62" s="27" t="s">
        <v>98</v>
      </c>
      <c r="C62" s="27" t="s">
        <v>143</v>
      </c>
      <c r="D62" s="27" t="s">
        <v>144</v>
      </c>
      <c r="E62" s="27"/>
      <c r="F62" s="27">
        <v>5.0</v>
      </c>
      <c r="G62" s="27">
        <v>4.0</v>
      </c>
      <c r="H62" s="27">
        <v>4.0</v>
      </c>
      <c r="I62" s="27">
        <v>4.0</v>
      </c>
      <c r="J62" s="27">
        <v>0.0</v>
      </c>
      <c r="K62" s="27">
        <v>2.0</v>
      </c>
      <c r="L62" s="27">
        <v>2.0</v>
      </c>
      <c r="M62" s="27">
        <v>1.0</v>
      </c>
      <c r="N62" s="27">
        <v>3.0</v>
      </c>
      <c r="O62" s="27">
        <v>1.0</v>
      </c>
      <c r="P62" s="27">
        <v>3.0</v>
      </c>
      <c r="Q62" s="27">
        <v>4.0</v>
      </c>
      <c r="R62" s="27">
        <v>4.0</v>
      </c>
      <c r="S62" s="27">
        <v>3.0</v>
      </c>
      <c r="T62" s="27">
        <v>5.0</v>
      </c>
      <c r="U62" s="27">
        <v>2.0</v>
      </c>
      <c r="V62" s="27">
        <v>5.0</v>
      </c>
      <c r="W62" s="27">
        <v>1.0</v>
      </c>
      <c r="X62" s="27">
        <v>0.0</v>
      </c>
      <c r="Y62" s="27">
        <v>2.0</v>
      </c>
      <c r="Z62" s="27">
        <v>1.0</v>
      </c>
      <c r="AA62" s="27">
        <v>7.0</v>
      </c>
      <c r="AB62" s="27">
        <v>3.0</v>
      </c>
      <c r="AC62" s="27">
        <v>4.0</v>
      </c>
      <c r="AD62" s="27">
        <v>0.0</v>
      </c>
      <c r="AE62" s="27">
        <v>4.0</v>
      </c>
      <c r="AF62" s="27">
        <v>6.0</v>
      </c>
      <c r="AG62" s="27">
        <v>2.0</v>
      </c>
      <c r="AH62" s="27">
        <v>8.0</v>
      </c>
      <c r="AI62" s="27">
        <v>8.0</v>
      </c>
      <c r="AJ62" s="27">
        <v>2.0</v>
      </c>
      <c r="AK62" s="27">
        <v>1.0</v>
      </c>
      <c r="AL62" s="27">
        <v>2.0</v>
      </c>
      <c r="AM62" s="27">
        <v>3.0</v>
      </c>
      <c r="AN62" s="27">
        <v>2.0</v>
      </c>
      <c r="AO62" s="186">
        <v>0.0</v>
      </c>
      <c r="AP62" s="186">
        <v>2.0</v>
      </c>
      <c r="AQ62" s="28">
        <f t="shared" si="3"/>
        <v>40.0</v>
      </c>
      <c r="AR62" s="28">
        <f t="shared" si="4"/>
        <v>10.0</v>
      </c>
      <c r="AS62" s="32">
        <f t="shared" si="5"/>
        <v>11.0</v>
      </c>
      <c r="AT62" s="33"/>
      <c r="AU62" s="33">
        <v>5.0</v>
      </c>
      <c r="AV62" s="33">
        <v>4.0</v>
      </c>
      <c r="AW62" s="33">
        <v>3.0</v>
      </c>
      <c r="AX62" s="33">
        <v>6.0</v>
      </c>
      <c r="BA62" s="2">
        <f t="shared" si="12"/>
        <v>18.0</v>
      </c>
      <c r="BB62" s="2" t="e">
        <f t="shared" si="13"/>
        <v>#REF!</v>
      </c>
      <c r="BD62" s="36"/>
      <c r="BL62" s="3">
        <f t="shared" si="101"/>
        <v>0.0</v>
      </c>
      <c r="BO62" s="3"/>
      <c r="BR62" s="3"/>
      <c r="BU62" s="3"/>
    </row>
    <row hidden="1" r="63" ht="14.0" outlineLevel="1">
      <c r="A63" s="27" t="s">
        <v>28</v>
      </c>
      <c r="B63" s="27" t="s">
        <v>98</v>
      </c>
      <c r="C63" s="27" t="s">
        <v>145</v>
      </c>
      <c r="D63" s="27" t="s">
        <v>146</v>
      </c>
      <c r="E63" s="27"/>
      <c r="F63" s="27">
        <v>1.0</v>
      </c>
      <c r="G63" s="27">
        <v>0.0</v>
      </c>
      <c r="H63" s="27">
        <v>1.0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2.0</v>
      </c>
      <c r="P63" s="27">
        <v>1.0</v>
      </c>
      <c r="Q63" s="27">
        <v>1.0</v>
      </c>
      <c r="R63" s="27">
        <v>3.0</v>
      </c>
      <c r="S63" s="27">
        <v>0.0</v>
      </c>
      <c r="T63" s="27">
        <v>0.0</v>
      </c>
      <c r="U63" s="27">
        <v>1.0</v>
      </c>
      <c r="V63" s="27">
        <v>0.0</v>
      </c>
      <c r="W63" s="27">
        <v>1.0</v>
      </c>
      <c r="X63" s="27">
        <v>1.0</v>
      </c>
      <c r="Y63" s="27">
        <v>1.0</v>
      </c>
      <c r="Z63" s="27">
        <v>1.0</v>
      </c>
      <c r="AA63" s="27">
        <v>0.0</v>
      </c>
      <c r="AB63" s="27">
        <v>2.0</v>
      </c>
      <c r="AC63" s="27">
        <v>0.0</v>
      </c>
      <c r="AD63" s="27">
        <v>2.0</v>
      </c>
      <c r="AE63" s="27">
        <v>0.0</v>
      </c>
      <c r="AF63" s="27">
        <v>0.0</v>
      </c>
      <c r="AG63" s="27">
        <v>0.0</v>
      </c>
      <c r="AH63" s="27">
        <v>1.0</v>
      </c>
      <c r="AI63" s="27">
        <v>1.0</v>
      </c>
      <c r="AJ63" s="27">
        <v>0.0</v>
      </c>
      <c r="AK63" s="27">
        <v>0.0</v>
      </c>
      <c r="AL63" s="27">
        <v>1.0</v>
      </c>
      <c r="AM63" s="27">
        <v>0.0</v>
      </c>
      <c r="AN63" s="27">
        <v>0.0</v>
      </c>
      <c r="AO63" s="186">
        <v>0.0</v>
      </c>
      <c r="AP63" s="186">
        <v>0.0</v>
      </c>
      <c r="AQ63" s="28">
        <f t="shared" si="3"/>
        <v>3.0</v>
      </c>
      <c r="AR63" s="28">
        <f t="shared" si="4"/>
        <v>1.0</v>
      </c>
      <c r="AS63" s="32">
        <f t="shared" si="5"/>
        <v>1.1</v>
      </c>
      <c r="AT63" s="33"/>
      <c r="AU63" s="33">
        <v>1.0</v>
      </c>
      <c r="AV63" s="33">
        <v>0.0</v>
      </c>
      <c r="AW63" s="33">
        <v>0.0</v>
      </c>
      <c r="AX63" s="33">
        <v>1.0</v>
      </c>
      <c r="BA63" s="2">
        <f t="shared" si="12"/>
        <v>2.0</v>
      </c>
      <c r="BB63" s="2" t="e">
        <f t="shared" si="13"/>
        <v>#REF!</v>
      </c>
      <c r="BD63" s="36"/>
      <c r="BL63" s="3">
        <f t="shared" si="101"/>
        <v>0.0</v>
      </c>
      <c r="BO63" s="3"/>
      <c r="BR63" s="3"/>
      <c r="BU63" s="3"/>
    </row>
    <row r="64" collapsed="1">
      <c r="A64" s="178"/>
      <c r="B64" s="178"/>
      <c r="C64" s="178" t="s">
        <v>192</v>
      </c>
      <c r="D64" s="178" t="s">
        <v>242</v>
      </c>
      <c r="AO64" s="4"/>
      <c r="AP64" s="4"/>
      <c r="AQ64" s="28">
        <f t="shared" si="3"/>
        <v>0.0</v>
      </c>
      <c r="AR64" s="28">
        <f t="shared" si="4"/>
        <v>0.0</v>
      </c>
      <c r="AU64" s="178">
        <v>1080.0</v>
      </c>
      <c r="AV64" s="178">
        <f>AV26*0.5+AV80*0.5+AV84+0.5</f>
        <v>527.298870056497</v>
      </c>
      <c r="AW64" s="178">
        <f>AW26*0.75+AW80*0.75+AW84+0.75+400</f>
        <v>886.153813559321</v>
      </c>
      <c r="AX64" s="178">
        <f>AX26*0.75+AX80*0.75+AX84+0.75+400</f>
        <v>1138.15762711864</v>
      </c>
      <c r="AY64" s="178">
        <f>AY26*0.75+AY80*0.75+AY84+0.75+400</f>
        <v>953.157061896032</v>
      </c>
      <c r="AZ64" s="178">
        <f>AZ26*0.75+AZ80*0.75+AZ84+0.75+400</f>
        <v>1129.60365550771</v>
      </c>
      <c r="BA64" s="28">
        <f t="shared" si="12"/>
        <v>5714.3710281382</v>
      </c>
      <c r="BB64" s="2">
        <v>0.0</v>
      </c>
      <c r="BC64" s="1" t="e">
        <f t="shared" ref="BC64:BC67" si="139">VLOOKUP(C64,JULY,3,false)</f>
        <v>#REF!</v>
      </c>
      <c r="BD64" s="36"/>
      <c r="BE64" s="28" t="e">
        <f t="shared" ref="BE64:BE67" si="140">BB64+BC64+BD64-BA64</f>
        <v>#REF!</v>
      </c>
      <c r="BF64" s="29">
        <v>2040.0</v>
      </c>
      <c r="BG64" s="177">
        <f>BF64</f>
        <v>2040.0</v>
      </c>
      <c r="BH64" s="29" t="s">
        <v>248</v>
      </c>
      <c r="BI64" s="1">
        <f t="shared" ref="BI64:BI67" si="142">BB64</f>
        <v>0.0</v>
      </c>
      <c r="BJ64" s="1">
        <f t="shared" ref="BJ64:BJ67" si="143">AU64</f>
        <v>1080.0</v>
      </c>
      <c r="BK64" s="1" t="e">
        <f t="shared" ref="BK64:BK67" si="144">BC64</f>
        <v>#REF!</v>
      </c>
      <c r="BL64" s="3" t="e">
        <f t="shared" si="101"/>
        <v>#REF!</v>
      </c>
      <c r="BM64" s="1">
        <f t="shared" ref="BM64:BM67" si="145">AV64</f>
        <v>527.298870056497</v>
      </c>
      <c r="BN64" s="1">
        <f t="shared" ref="BN64:BN67" si="146">BD64</f>
      </c>
      <c r="BO64" s="3" t="e">
        <f t="shared" ref="BO64:BO67" si="147">BL64+BN64-BM64</f>
        <v>#REF!</v>
      </c>
      <c r="BP64" s="1">
        <f t="shared" ref="BP64:BP67" si="148">AW64</f>
        <v>886.153813559321</v>
      </c>
      <c r="BR64" s="3" t="e">
        <f t="shared" ref="BR64:BR67" si="149">BO64+BQ64-BP64</f>
        <v>#REF!</v>
      </c>
      <c r="BS64" s="1">
        <f t="shared" ref="BS64:BS67" si="150">AX64</f>
        <v>1138.15762711864</v>
      </c>
      <c r="BU64" s="3" t="e">
        <f t="shared" ref="BU64:BU67" si="151">BR64+BT64-BS64</f>
        <v>#REF!</v>
      </c>
      <c r="BV64" s="1">
        <f t="shared" ref="BV64:BV67" si="152">AY64</f>
        <v>953.157061896032</v>
      </c>
      <c r="BX64" s="3" t="e">
        <f t="shared" ref="BX64:BX67" si="153">BU64+BW64-BV64</f>
        <v>#REF!</v>
      </c>
      <c r="BY64" s="1">
        <f t="shared" ref="BY64:BY67" si="154">AZ64</f>
        <v>1129.60365550771</v>
      </c>
      <c r="CA64" s="3" t="e">
        <f t="shared" ref="CA64:CA67" si="155">BX64+BZ64-BY64</f>
        <v>#REF!</v>
      </c>
    </row>
    <row r="65">
      <c r="A65" s="178"/>
      <c r="B65" s="178"/>
      <c r="C65" s="178" t="s">
        <v>194</v>
      </c>
      <c r="D65" s="178" t="s">
        <v>243</v>
      </c>
      <c r="AO65" s="4"/>
      <c r="AP65" s="4"/>
      <c r="AQ65" s="28">
        <f t="shared" si="3"/>
        <v>0.0</v>
      </c>
      <c r="AR65" s="28">
        <f t="shared" si="4"/>
        <v>0.0</v>
      </c>
      <c r="AV65" s="178">
        <f>AV27*0.5</f>
        <v>75.214689265536</v>
      </c>
      <c r="AW65" s="178">
        <f>AW27*0.75</f>
        <v>88.525423728813</v>
      </c>
      <c r="AX65" s="178">
        <f>AX27*0.75</f>
        <v>172.550847457627</v>
      </c>
      <c r="AY65" s="178">
        <f>AY27*0.75</f>
        <v>157.135593220339</v>
      </c>
      <c r="AZ65" s="178">
        <f>AZ27*0.75</f>
        <v>142.28813559322</v>
      </c>
      <c r="BA65" s="28">
        <f t="shared" si="12"/>
        <v>635.714689265535</v>
      </c>
      <c r="BB65" s="2">
        <v>0.0</v>
      </c>
      <c r="BC65" s="1" t="e">
        <f t="shared" si="139"/>
        <v>#REF!</v>
      </c>
      <c r="BD65" s="36"/>
      <c r="BE65" s="28" t="e">
        <f t="shared" si="140"/>
        <v>#REF!</v>
      </c>
      <c r="BF65" s="29">
        <v>2040.0</v>
      </c>
      <c r="BG65" s="15"/>
      <c r="BH65" s="29" t="s">
        <v>258</v>
      </c>
      <c r="BI65" s="1">
        <f t="shared" si="142"/>
        <v>0.0</v>
      </c>
      <c r="BJ65" s="1">
        <f t="shared" si="143"/>
      </c>
      <c r="BK65" s="1" t="e">
        <f t="shared" si="144"/>
        <v>#REF!</v>
      </c>
      <c r="BL65" s="3" t="e">
        <f t="shared" si="101"/>
        <v>#REF!</v>
      </c>
      <c r="BM65" s="1">
        <f t="shared" si="145"/>
        <v>75.214689265536</v>
      </c>
      <c r="BN65" s="1">
        <f t="shared" si="146"/>
      </c>
      <c r="BO65" s="3" t="e">
        <f t="shared" si="147"/>
        <v>#REF!</v>
      </c>
      <c r="BP65" s="1">
        <f t="shared" si="148"/>
        <v>88.525423728813</v>
      </c>
      <c r="BR65" s="3" t="e">
        <f t="shared" si="149"/>
        <v>#REF!</v>
      </c>
      <c r="BS65" s="1">
        <f t="shared" si="150"/>
        <v>172.550847457627</v>
      </c>
      <c r="BU65" s="3" t="e">
        <f t="shared" si="151"/>
        <v>#REF!</v>
      </c>
      <c r="BV65" s="1">
        <f t="shared" si="152"/>
        <v>157.135593220339</v>
      </c>
      <c r="BX65" s="3" t="e">
        <f t="shared" si="153"/>
        <v>#REF!</v>
      </c>
      <c r="BY65" s="1">
        <f t="shared" si="154"/>
        <v>142.28813559322</v>
      </c>
      <c r="CA65" s="3" t="e">
        <f t="shared" si="155"/>
        <v>#REF!</v>
      </c>
    </row>
    <row r="66">
      <c r="A66" s="178"/>
      <c r="B66" s="178"/>
      <c r="C66" s="178" t="s">
        <v>196</v>
      </c>
      <c r="D66" s="178" t="s">
        <v>244</v>
      </c>
      <c r="AO66" s="4"/>
      <c r="AP66" s="4"/>
      <c r="AQ66" s="28">
        <f t="shared" si="3"/>
        <v>0.0</v>
      </c>
      <c r="AR66" s="28">
        <f t="shared" si="4"/>
        <v>0.0</v>
      </c>
      <c r="AV66" s="178">
        <f>AV28*0.5+AV83*0.5</f>
        <v>55.6242937853105</v>
      </c>
      <c r="AW66" s="178">
        <f>AW28*0.75+AW83*0.75+250</f>
        <v>495.580508474576</v>
      </c>
      <c r="AX66" s="178">
        <f>AX28*0.75+AX83*0.75+250</f>
        <v>556.661016949152</v>
      </c>
      <c r="AY66" s="178">
        <f>AY28*0.75+AY83*0.75+250</f>
        <v>536.012711864407</v>
      </c>
      <c r="AZ66" s="178">
        <f>AZ28*0.75+AZ83*0.75+250</f>
        <v>525.995762711864</v>
      </c>
      <c r="BA66" s="28">
        <f t="shared" si="12"/>
        <v>2169.8742937853</v>
      </c>
      <c r="BB66" s="2">
        <v>0.0</v>
      </c>
      <c r="BC66" s="1" t="e">
        <f t="shared" si="139"/>
        <v>#REF!</v>
      </c>
      <c r="BD66" s="36"/>
      <c r="BE66" s="28" t="e">
        <f t="shared" si="140"/>
        <v>#REF!</v>
      </c>
      <c r="BF66" s="29">
        <v>2040.0</v>
      </c>
      <c r="BG66" s="177">
        <f t="shared" ref="BG66:BG67" si="166">BF66</f>
        <v>2040.0</v>
      </c>
      <c r="BH66" s="29" t="s">
        <v>259</v>
      </c>
      <c r="BI66" s="1">
        <f t="shared" si="142"/>
        <v>0.0</v>
      </c>
      <c r="BJ66" s="1">
        <f t="shared" si="143"/>
      </c>
      <c r="BK66" s="1" t="e">
        <f t="shared" si="144"/>
        <v>#REF!</v>
      </c>
      <c r="BL66" s="3" t="e">
        <f t="shared" si="101"/>
        <v>#REF!</v>
      </c>
      <c r="BM66" s="1">
        <f t="shared" si="145"/>
        <v>55.6242937853105</v>
      </c>
      <c r="BN66" s="1">
        <f t="shared" si="146"/>
      </c>
      <c r="BO66" s="3" t="e">
        <f t="shared" si="147"/>
        <v>#REF!</v>
      </c>
      <c r="BP66" s="1">
        <f t="shared" si="148"/>
        <v>495.580508474576</v>
      </c>
      <c r="BR66" s="3" t="e">
        <f t="shared" si="149"/>
        <v>#REF!</v>
      </c>
      <c r="BS66" s="1">
        <f t="shared" si="150"/>
        <v>556.661016949152</v>
      </c>
      <c r="BU66" s="3" t="e">
        <f t="shared" si="151"/>
        <v>#REF!</v>
      </c>
      <c r="BV66" s="1">
        <f t="shared" si="152"/>
        <v>536.012711864407</v>
      </c>
      <c r="BX66" s="3" t="e">
        <f t="shared" si="153"/>
        <v>#REF!</v>
      </c>
      <c r="BY66" s="1">
        <f t="shared" si="154"/>
        <v>525.995762711864</v>
      </c>
      <c r="CA66" s="3" t="e">
        <f t="shared" si="155"/>
        <v>#REF!</v>
      </c>
    </row>
    <row r="67">
      <c r="A67" s="178"/>
      <c r="B67" s="178"/>
      <c r="C67" s="178" t="s">
        <v>198</v>
      </c>
      <c r="D67" s="178" t="s">
        <v>245</v>
      </c>
      <c r="AO67" s="4"/>
      <c r="AP67" s="4"/>
      <c r="AQ67" s="28">
        <f t="shared" si="3"/>
        <v>0.0</v>
      </c>
      <c r="AR67" s="28">
        <f t="shared" si="4"/>
        <v>0.0</v>
      </c>
      <c r="AU67" s="178">
        <v>540.0</v>
      </c>
      <c r="AV67" s="178">
        <f>AV29*0.5</f>
        <v>93.670903954802</v>
      </c>
      <c r="AW67" s="178">
        <f>AW29*0.75+AW81*0.75</f>
        <v>169.541949152542</v>
      </c>
      <c r="AX67" s="178">
        <f>AX29*0.75+AX81*0.75</f>
        <v>275.183898305085</v>
      </c>
      <c r="AY67" s="178">
        <f>AY29*0.75+AY9*0.75+AY81*0.75</f>
        <v>661.768644067796</v>
      </c>
      <c r="AZ67" s="178">
        <f>AZ29*0.75+AZ9*0.75+AZ81*0.75</f>
        <v>545.877118644067</v>
      </c>
      <c r="BA67" s="28">
        <f t="shared" si="12"/>
        <v>2286.04251412429</v>
      </c>
      <c r="BB67" s="2">
        <v>0.0</v>
      </c>
      <c r="BC67" s="1" t="e">
        <f t="shared" si="139"/>
        <v>#REF!</v>
      </c>
      <c r="BD67" s="36"/>
      <c r="BE67" s="28" t="e">
        <f t="shared" si="140"/>
        <v>#REF!</v>
      </c>
      <c r="BF67" s="29">
        <v>2040.0</v>
      </c>
      <c r="BG67" s="177">
        <f t="shared" si="166"/>
        <v>2040.0</v>
      </c>
      <c r="BH67" s="29" t="s">
        <v>259</v>
      </c>
      <c r="BI67" s="1">
        <f t="shared" si="142"/>
        <v>0.0</v>
      </c>
      <c r="BJ67" s="1">
        <f t="shared" si="143"/>
        <v>540.0</v>
      </c>
      <c r="BK67" s="1" t="e">
        <f t="shared" si="144"/>
        <v>#REF!</v>
      </c>
      <c r="BL67" s="3" t="e">
        <f t="shared" si="101"/>
        <v>#REF!</v>
      </c>
      <c r="BM67" s="1">
        <f t="shared" si="145"/>
        <v>93.670903954802</v>
      </c>
      <c r="BN67" s="1">
        <f t="shared" si="146"/>
      </c>
      <c r="BO67" s="3" t="e">
        <f t="shared" si="147"/>
        <v>#REF!</v>
      </c>
      <c r="BP67" s="1">
        <f t="shared" si="148"/>
        <v>169.541949152542</v>
      </c>
      <c r="BR67" s="3" t="e">
        <f t="shared" si="149"/>
        <v>#REF!</v>
      </c>
      <c r="BS67" s="1">
        <f t="shared" si="150"/>
        <v>275.183898305085</v>
      </c>
      <c r="BU67" s="3" t="e">
        <f t="shared" si="151"/>
        <v>#REF!</v>
      </c>
      <c r="BV67" s="1">
        <f t="shared" si="152"/>
        <v>661.768644067796</v>
      </c>
      <c r="BX67" s="3" t="e">
        <f t="shared" si="153"/>
        <v>#REF!</v>
      </c>
      <c r="BY67" s="1">
        <f t="shared" si="154"/>
        <v>545.877118644067</v>
      </c>
      <c r="CA67" s="3" t="e">
        <f t="shared" si="155"/>
        <v>#REF!</v>
      </c>
    </row>
    <row r="68">
      <c r="BF68" s="29"/>
      <c r="BG68" s="15"/>
    </row>
    <row hidden="1"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L69" s="27"/>
      <c r="AM69" s="27"/>
      <c r="AN69" s="27"/>
      <c r="AO69" s="27"/>
      <c r="AP69" s="27"/>
      <c r="AQ69" s="27"/>
    </row>
    <row r="70" ht="14.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44">
        <v>0.058</v>
      </c>
      <c r="AC70" s="44">
        <v>0.122</v>
      </c>
      <c r="AD70" s="44">
        <v>0.103</v>
      </c>
      <c r="AE70" s="44">
        <v>0.079</v>
      </c>
      <c r="AF70" s="44">
        <v>0.069</v>
      </c>
      <c r="AG70" s="44">
        <v>0.065</v>
      </c>
      <c r="AH70" s="44">
        <v>0.066</v>
      </c>
      <c r="AI70" s="44">
        <v>0.052</v>
      </c>
      <c r="AJ70" s="44">
        <v>0.106</v>
      </c>
      <c r="AK70" s="44">
        <v>0.153</v>
      </c>
      <c r="AL70" s="44">
        <v>0.054</v>
      </c>
      <c r="AM70" s="44">
        <v>0.073</v>
      </c>
      <c r="AN70" s="44">
        <v>0.058</v>
      </c>
      <c r="AO70" s="44">
        <v>0.122</v>
      </c>
      <c r="AP70" s="44">
        <v>0.103</v>
      </c>
      <c r="AQ70" s="5">
        <f>SUM(AE70:AP70)</f>
        <v>1.0</v>
      </c>
      <c r="AR70" s="8">
        <f>SUM(AK70:AP70)</f>
        <v>0.563</v>
      </c>
      <c r="AS70" s="8">
        <f>AR70*1.1</f>
        <v>0.6193</v>
      </c>
      <c r="AU70" s="44">
        <v>0.103</v>
      </c>
      <c r="AV70" s="44">
        <v>0.079</v>
      </c>
      <c r="AW70" s="44">
        <v>0.069</v>
      </c>
      <c r="AX70" s="44">
        <v>0.065</v>
      </c>
      <c r="AY70" s="44">
        <v>0.052</v>
      </c>
      <c r="AZ70" s="44">
        <v>0.106</v>
      </c>
      <c r="BF70" s="29"/>
      <c r="BG70" s="15"/>
    </row>
    <row r="71" ht="15.0">
      <c r="A71" s="45" t="s">
        <v>147</v>
      </c>
      <c r="B71" s="6"/>
      <c r="C71" s="6"/>
      <c r="D71" s="6"/>
      <c r="E71" s="9">
        <v>45799</v>
      </c>
      <c r="F71" s="9">
        <v>45830</v>
      </c>
      <c r="G71" s="9">
        <v>45860</v>
      </c>
      <c r="H71" s="9">
        <v>45891</v>
      </c>
      <c r="I71" s="9">
        <v>45922</v>
      </c>
      <c r="J71" s="9">
        <v>45952</v>
      </c>
      <c r="K71" s="9">
        <v>45983</v>
      </c>
      <c r="L71" s="9">
        <v>46013</v>
      </c>
      <c r="M71" s="9">
        <v>45680</v>
      </c>
      <c r="N71" s="9">
        <v>45711</v>
      </c>
      <c r="O71" s="9">
        <v>45739</v>
      </c>
      <c r="P71" s="9">
        <v>45770</v>
      </c>
      <c r="Q71" s="10">
        <v>45800</v>
      </c>
      <c r="R71" s="10">
        <v>45831</v>
      </c>
      <c r="S71" s="10">
        <v>45861</v>
      </c>
      <c r="T71" s="10">
        <v>45892</v>
      </c>
      <c r="U71" s="10">
        <v>45923</v>
      </c>
      <c r="V71" s="10">
        <v>45953</v>
      </c>
      <c r="W71" s="10">
        <v>45984</v>
      </c>
      <c r="X71" s="10">
        <v>46014</v>
      </c>
      <c r="Y71" s="10">
        <v>45681</v>
      </c>
      <c r="Z71" s="10">
        <v>45712</v>
      </c>
      <c r="AA71" s="10">
        <v>45740</v>
      </c>
      <c r="AB71" s="10">
        <v>45771</v>
      </c>
      <c r="AC71" s="11">
        <v>45801</v>
      </c>
      <c r="AD71" s="11">
        <v>45832</v>
      </c>
      <c r="AE71" s="11">
        <v>45862</v>
      </c>
      <c r="AF71" s="11">
        <v>45893</v>
      </c>
      <c r="AG71" s="11">
        <v>45924</v>
      </c>
      <c r="AH71" s="11">
        <v>45954</v>
      </c>
      <c r="AI71" s="11">
        <v>45985</v>
      </c>
      <c r="AJ71" s="11">
        <v>46015</v>
      </c>
      <c r="AK71" s="11">
        <v>45682</v>
      </c>
      <c r="AL71" s="11">
        <v>45713</v>
      </c>
      <c r="AM71" s="11">
        <v>45741</v>
      </c>
      <c r="AN71" s="11">
        <v>45772</v>
      </c>
      <c r="AO71" s="11">
        <v>45802</v>
      </c>
      <c r="AP71" s="11">
        <v>45833</v>
      </c>
      <c r="AQ71" s="12" t="s">
        <v>1</v>
      </c>
      <c r="AR71" s="12" t="s">
        <v>247</v>
      </c>
      <c r="AS71" s="12" t="s">
        <v>247</v>
      </c>
      <c r="AT71" s="13"/>
      <c r="AU71" s="11">
        <v>45862</v>
      </c>
      <c r="AV71" s="11">
        <v>45893</v>
      </c>
      <c r="AW71" s="11">
        <v>45924</v>
      </c>
      <c r="AX71" s="11">
        <v>45955</v>
      </c>
      <c r="AY71" s="11">
        <v>45986</v>
      </c>
      <c r="AZ71" s="11">
        <v>46016</v>
      </c>
      <c r="BA71" s="13" t="s">
        <v>3</v>
      </c>
      <c r="BB71" s="13" t="s">
        <v>3</v>
      </c>
      <c r="BC71" s="13" t="s">
        <v>3</v>
      </c>
      <c r="BD71" s="13" t="s">
        <v>3</v>
      </c>
      <c r="BE71" s="14" t="s">
        <v>3</v>
      </c>
      <c r="BF71" s="46" t="s">
        <v>3</v>
      </c>
      <c r="BG71" s="15" t="s">
        <v>3</v>
      </c>
      <c r="BH71" s="13"/>
      <c r="BI71" s="13" t="s">
        <v>6</v>
      </c>
      <c r="BJ71" s="13" t="s">
        <v>7</v>
      </c>
      <c r="BK71" s="13"/>
      <c r="BL71" s="13"/>
      <c r="BM71" s="13" t="s">
        <v>8</v>
      </c>
      <c r="BN71" s="13"/>
      <c r="BO71" s="13"/>
      <c r="BP71" s="13" t="s">
        <v>9</v>
      </c>
      <c r="BQ71" s="13"/>
      <c r="BR71" s="13"/>
      <c r="BS71" s="13" t="s">
        <v>10</v>
      </c>
      <c r="BT71" s="13"/>
      <c r="BU71" s="13"/>
      <c r="BV71" s="13" t="s">
        <v>227</v>
      </c>
      <c r="BW71" s="13"/>
      <c r="BX71" s="13"/>
      <c r="BY71" s="13" t="s">
        <v>212</v>
      </c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</row>
    <row r="72" ht="29.0">
      <c r="A72" s="16" t="s">
        <v>11</v>
      </c>
      <c r="B72" s="16" t="s">
        <v>12</v>
      </c>
      <c r="C72" s="16" t="s">
        <v>13</v>
      </c>
      <c r="D72" s="17" t="s">
        <v>14</v>
      </c>
      <c r="E72" s="18" t="s">
        <v>15</v>
      </c>
      <c r="F72" s="18" t="s">
        <v>15</v>
      </c>
      <c r="G72" s="18" t="s">
        <v>15</v>
      </c>
      <c r="H72" s="18" t="s">
        <v>15</v>
      </c>
      <c r="I72" s="18" t="s">
        <v>15</v>
      </c>
      <c r="J72" s="18" t="s">
        <v>15</v>
      </c>
      <c r="K72" s="18" t="s">
        <v>15</v>
      </c>
      <c r="L72" s="18" t="s">
        <v>15</v>
      </c>
      <c r="M72" s="18" t="s">
        <v>15</v>
      </c>
      <c r="N72" s="18" t="s">
        <v>15</v>
      </c>
      <c r="O72" s="18" t="s">
        <v>15</v>
      </c>
      <c r="P72" s="18" t="s">
        <v>15</v>
      </c>
      <c r="Q72" s="18" t="s">
        <v>15</v>
      </c>
      <c r="R72" s="18" t="s">
        <v>15</v>
      </c>
      <c r="S72" s="18" t="s">
        <v>15</v>
      </c>
      <c r="T72" s="18" t="s">
        <v>15</v>
      </c>
      <c r="U72" s="18" t="s">
        <v>15</v>
      </c>
      <c r="V72" s="18" t="s">
        <v>15</v>
      </c>
      <c r="W72" s="18" t="s">
        <v>15</v>
      </c>
      <c r="X72" s="18" t="s">
        <v>15</v>
      </c>
      <c r="Y72" s="18" t="s">
        <v>15</v>
      </c>
      <c r="Z72" s="18" t="s">
        <v>15</v>
      </c>
      <c r="AA72" s="18" t="s">
        <v>15</v>
      </c>
      <c r="AB72" s="18" t="s">
        <v>15</v>
      </c>
      <c r="AC72" s="18" t="s">
        <v>15</v>
      </c>
      <c r="AD72" s="18" t="s">
        <v>15</v>
      </c>
      <c r="AE72" s="18" t="s">
        <v>15</v>
      </c>
      <c r="AF72" s="18" t="s">
        <v>15</v>
      </c>
      <c r="AG72" s="18" t="s">
        <v>15</v>
      </c>
      <c r="AH72" s="18" t="s">
        <v>15</v>
      </c>
      <c r="AI72" s="18" t="s">
        <v>15</v>
      </c>
      <c r="AJ72" s="18" t="s">
        <v>15</v>
      </c>
      <c r="AK72" s="18" t="s">
        <v>15</v>
      </c>
      <c r="AL72" s="18" t="s">
        <v>15</v>
      </c>
      <c r="AM72" s="18" t="s">
        <v>15</v>
      </c>
      <c r="AN72" s="18"/>
      <c r="AO72" s="18"/>
      <c r="AP72" s="18"/>
      <c r="AQ72" s="19" t="s">
        <v>3</v>
      </c>
      <c r="AR72" s="19" t="s">
        <v>3</v>
      </c>
      <c r="AS72" s="19" t="s">
        <v>16</v>
      </c>
      <c r="AT72" s="20"/>
      <c r="AU72" s="21" t="s">
        <v>17</v>
      </c>
      <c r="AV72" s="21" t="s">
        <v>17</v>
      </c>
      <c r="AW72" s="21" t="s">
        <v>17</v>
      </c>
      <c r="AX72" s="21" t="s">
        <v>17</v>
      </c>
      <c r="AY72" s="21" t="s">
        <v>17</v>
      </c>
      <c r="AZ72" s="21" t="s">
        <v>17</v>
      </c>
      <c r="BA72" s="21" t="s">
        <v>17</v>
      </c>
      <c r="BB72" s="18" t="s">
        <v>233</v>
      </c>
      <c r="BC72" s="22" t="s">
        <v>240</v>
      </c>
      <c r="BD72" s="22" t="s">
        <v>229</v>
      </c>
      <c r="BE72" s="23" t="s">
        <v>21</v>
      </c>
      <c r="BF72" s="47" t="s">
        <v>22</v>
      </c>
      <c r="BG72" s="24" t="s">
        <v>23</v>
      </c>
      <c r="BH72" s="25" t="s">
        <v>24</v>
      </c>
      <c r="BI72" s="18" t="s">
        <v>25</v>
      </c>
      <c r="BJ72" s="18" t="s">
        <v>17</v>
      </c>
      <c r="BK72" s="18" t="s">
        <v>26</v>
      </c>
      <c r="BL72" s="18" t="s">
        <v>27</v>
      </c>
      <c r="BM72" s="18" t="s">
        <v>17</v>
      </c>
      <c r="BN72" s="18" t="s">
        <v>26</v>
      </c>
      <c r="BO72" s="18" t="s">
        <v>27</v>
      </c>
      <c r="BP72" s="18" t="s">
        <v>17</v>
      </c>
      <c r="BQ72" s="18" t="s">
        <v>26</v>
      </c>
      <c r="BR72" s="18" t="s">
        <v>27</v>
      </c>
      <c r="BS72" s="18" t="s">
        <v>17</v>
      </c>
      <c r="BT72" s="18" t="s">
        <v>26</v>
      </c>
      <c r="BU72" s="18" t="s">
        <v>27</v>
      </c>
      <c r="BV72" s="18" t="s">
        <v>17</v>
      </c>
      <c r="BW72" s="18" t="s">
        <v>26</v>
      </c>
      <c r="BX72" s="18" t="s">
        <v>27</v>
      </c>
      <c r="BY72" s="18" t="s">
        <v>17</v>
      </c>
      <c r="BZ72" s="18" t="s">
        <v>26</v>
      </c>
      <c r="CA72" s="18" t="s">
        <v>27</v>
      </c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</row>
    <row hidden="1" r="73" ht="14.0" outlineLevel="1">
      <c r="A73" s="27" t="s">
        <v>28</v>
      </c>
      <c r="B73" s="27" t="s">
        <v>98</v>
      </c>
      <c r="C73" s="27" t="s">
        <v>99</v>
      </c>
      <c r="D73" s="27" t="s">
        <v>100</v>
      </c>
      <c r="E73" s="27">
        <v>42.0</v>
      </c>
      <c r="F73" s="27">
        <v>42.0</v>
      </c>
      <c r="G73" s="27">
        <v>84.0</v>
      </c>
      <c r="H73" s="27">
        <v>126.0</v>
      </c>
      <c r="I73" s="27">
        <v>84.0</v>
      </c>
      <c r="J73" s="27">
        <v>84.0</v>
      </c>
      <c r="K73" s="27">
        <v>168.0</v>
      </c>
      <c r="L73" s="27">
        <v>126.0</v>
      </c>
      <c r="M73" s="27">
        <v>252.0</v>
      </c>
      <c r="N73" s="27">
        <v>42.0</v>
      </c>
      <c r="O73" s="27">
        <v>42.0</v>
      </c>
      <c r="P73" s="27">
        <v>84.0</v>
      </c>
      <c r="Q73" s="27">
        <v>126.0</v>
      </c>
      <c r="R73" s="27">
        <v>126.0</v>
      </c>
      <c r="S73" s="27">
        <v>126.0</v>
      </c>
      <c r="T73" s="27">
        <v>42.0</v>
      </c>
      <c r="U73" s="27">
        <v>84.0</v>
      </c>
      <c r="V73" s="27">
        <v>42.0</v>
      </c>
      <c r="W73" s="27">
        <v>84.0</v>
      </c>
      <c r="X73" s="27">
        <v>252.0</v>
      </c>
      <c r="Y73" s="27">
        <v>84.0</v>
      </c>
      <c r="Z73" s="27">
        <v>0.0</v>
      </c>
      <c r="AA73" s="27">
        <v>42.0</v>
      </c>
      <c r="AB73" s="27">
        <v>0.0</v>
      </c>
      <c r="AC73" s="27">
        <v>42.0</v>
      </c>
      <c r="AD73" s="27">
        <v>336.0</v>
      </c>
      <c r="AE73" s="27">
        <v>42.0</v>
      </c>
      <c r="AF73" s="27">
        <v>84.0</v>
      </c>
      <c r="AG73" s="27">
        <v>42.0</v>
      </c>
      <c r="AH73" s="27">
        <v>42.0</v>
      </c>
      <c r="AI73" s="27">
        <v>42.0</v>
      </c>
      <c r="AJ73" s="27">
        <v>84.0</v>
      </c>
      <c r="AK73" s="27">
        <v>168.0</v>
      </c>
      <c r="AL73" s="27">
        <v>42.0</v>
      </c>
      <c r="AM73" s="27">
        <v>42.0</v>
      </c>
      <c r="AN73" s="27">
        <v>0.0</v>
      </c>
      <c r="AO73" s="27"/>
      <c r="AP73" s="27"/>
      <c r="AQ73" s="28">
        <f t="shared" ref="AQ73:AQ100" si="175">SUM(AA73:AM73)</f>
        <v>1008.0</v>
      </c>
      <c r="AR73" s="28">
        <f t="shared" ref="AR73:AR100" si="176">SUM(AH73:AM73)</f>
        <v>420.0</v>
      </c>
      <c r="AS73" s="28">
        <f t="shared" ref="AS73:AS100" si="177">AR73*1.1</f>
        <v>462.0</v>
      </c>
      <c r="AU73" s="3">
        <f t="shared" ref="AU73:AU80" si="178">AD73*1.1</f>
        <v>369.6</v>
      </c>
      <c r="AV73" s="3">
        <f t="shared" ref="AV73:AV80" si="179">AE73*1.1</f>
        <v>46.2</v>
      </c>
      <c r="AW73" s="3">
        <f t="shared" ref="AW73:AW80" si="180">AF73*1.1</f>
        <v>92.4</v>
      </c>
      <c r="AX73" s="3">
        <f t="shared" ref="AX73:AX80" si="181">AG73*1.1</f>
        <v>46.2</v>
      </c>
      <c r="AY73" s="28"/>
      <c r="AZ73" s="28"/>
      <c r="BA73" s="28">
        <f t="shared" ref="BA73:BA79" si="182">SUM(AU73:AX73)</f>
        <v>554.4</v>
      </c>
      <c r="BB73" s="2" t="e">
        <f t="shared" ref="BB73:BB100" si="183">VLOOKUP(D73,SOHJUNE30,3,false)</f>
        <v>#REF!</v>
      </c>
      <c r="BD73" s="36" t="e">
        <f t="shared" ref="BD73:BD74" si="184">VLOOKUP(C73,AUGUST,3,false)</f>
        <v>#REF!</v>
      </c>
      <c r="BE73" s="3" t="e">
        <f>BB73+BC73+BD73-BA73-BA40</f>
        <v>#REF!</v>
      </c>
      <c r="BF73" s="1">
        <f>VLOOKUP(C73,MOQ,3,FALSE())</f>
        <v>1008.0</v>
      </c>
      <c r="BI73" s="1" t="e">
        <f t="shared" ref="BI73:BI100" si="187">BB73</f>
        <v>#REF!</v>
      </c>
      <c r="BJ73" s="1">
        <f>AU73+BJ40</f>
        <v>997.62824858757</v>
      </c>
      <c r="BL73" s="3" t="e">
        <f t="shared" ref="BL73:BL79" si="189">#REF!+BK73-BJ73</f>
        <v>#REF!</v>
      </c>
      <c r="BM73" s="1">
        <f>AV73+BM40</f>
        <v>561.32429378531</v>
      </c>
      <c r="BO73" s="3" t="e">
        <f t="shared" ref="BO73:BO100" si="191">BL73+BN73-BM73</f>
        <v>#REF!</v>
      </c>
      <c r="BP73" s="1">
        <f>AW73+BP40</f>
        <v>494.62033898305</v>
      </c>
      <c r="BR73" s="3" t="e">
        <f t="shared" ref="BR73:BR100" si="193">BO73+BQ73-BP73</f>
        <v>#REF!</v>
      </c>
      <c r="BS73" s="1">
        <f>AX73+BS40</f>
        <v>850.640677966101</v>
      </c>
      <c r="BU73" s="3" t="e">
        <f t="shared" ref="BU73:BU100" si="195">BR73+BT73-BS73</f>
        <v>#REF!</v>
      </c>
    </row>
    <row hidden="1" r="74" ht="14.0" outlineLevel="1">
      <c r="A74" s="27" t="s">
        <v>28</v>
      </c>
      <c r="B74" s="27" t="s">
        <v>98</v>
      </c>
      <c r="C74" s="27" t="s">
        <v>103</v>
      </c>
      <c r="D74" s="27" t="s">
        <v>104</v>
      </c>
      <c r="E74" s="27">
        <v>0.0</v>
      </c>
      <c r="F74" s="27">
        <v>546.0</v>
      </c>
      <c r="G74" s="27">
        <v>0.0</v>
      </c>
      <c r="H74" s="27">
        <v>42.0</v>
      </c>
      <c r="I74" s="27">
        <v>84.0</v>
      </c>
      <c r="J74" s="27">
        <v>126.0</v>
      </c>
      <c r="K74" s="27">
        <v>84.0</v>
      </c>
      <c r="L74" s="27">
        <v>210.0</v>
      </c>
      <c r="M74" s="27">
        <v>0.0</v>
      </c>
      <c r="N74" s="27">
        <v>420.0</v>
      </c>
      <c r="O74" s="27">
        <v>42.0</v>
      </c>
      <c r="P74" s="27">
        <v>126.0</v>
      </c>
      <c r="Q74" s="27">
        <v>126.0</v>
      </c>
      <c r="R74" s="27">
        <v>84.0</v>
      </c>
      <c r="S74" s="27">
        <v>126.0</v>
      </c>
      <c r="T74" s="27">
        <v>126.0</v>
      </c>
      <c r="U74" s="27">
        <v>84.0</v>
      </c>
      <c r="V74" s="27">
        <v>126.0</v>
      </c>
      <c r="W74" s="27">
        <v>126.0</v>
      </c>
      <c r="X74" s="27">
        <v>168.0</v>
      </c>
      <c r="Y74" s="27">
        <v>252.0</v>
      </c>
      <c r="Z74" s="27">
        <v>42.0</v>
      </c>
      <c r="AA74" s="27">
        <v>42.0</v>
      </c>
      <c r="AB74" s="27">
        <v>0.0</v>
      </c>
      <c r="AC74" s="27">
        <v>336.0</v>
      </c>
      <c r="AD74" s="27">
        <v>0.0</v>
      </c>
      <c r="AE74" s="27">
        <v>168.0</v>
      </c>
      <c r="AF74" s="27">
        <v>42.0</v>
      </c>
      <c r="AG74" s="27">
        <v>42.0</v>
      </c>
      <c r="AH74" s="27">
        <v>84.0</v>
      </c>
      <c r="AI74" s="27">
        <v>84.0</v>
      </c>
      <c r="AJ74" s="27">
        <v>84.0</v>
      </c>
      <c r="AK74" s="27">
        <v>210.0</v>
      </c>
      <c r="AL74" s="27">
        <v>42.0</v>
      </c>
      <c r="AM74" s="27">
        <v>42.0</v>
      </c>
      <c r="AN74" s="27">
        <v>84.0</v>
      </c>
      <c r="AO74" s="27"/>
      <c r="AP74" s="27"/>
      <c r="AQ74" s="28">
        <f t="shared" si="175"/>
        <v>1176.0</v>
      </c>
      <c r="AR74" s="28">
        <f t="shared" si="176"/>
        <v>546.0</v>
      </c>
      <c r="AS74" s="28">
        <f t="shared" si="177"/>
        <v>600.6</v>
      </c>
      <c r="AU74" s="3">
        <f t="shared" si="178"/>
        <v>0.0</v>
      </c>
      <c r="AV74" s="3">
        <f t="shared" si="179"/>
        <v>184.8</v>
      </c>
      <c r="AW74" s="3">
        <f t="shared" si="180"/>
        <v>46.2</v>
      </c>
      <c r="AX74" s="3">
        <f t="shared" si="181"/>
        <v>46.2</v>
      </c>
      <c r="AY74" s="28"/>
      <c r="AZ74" s="28"/>
      <c r="BA74" s="28">
        <f t="shared" si="182"/>
        <v>277.2</v>
      </c>
      <c r="BB74" s="2" t="e">
        <f t="shared" si="183"/>
        <v>#REF!</v>
      </c>
      <c r="BD74" s="36" t="e">
        <f t="shared" si="184"/>
        <v>#REF!</v>
      </c>
      <c r="BE74" s="3" t="e">
        <f>BB74+BC74+BD74-BA74-BA42</f>
        <v>#REF!</v>
      </c>
      <c r="BF74" s="1">
        <f>VLOOKUP(C74,MOQ,3,FALSE())</f>
        <v>1008.0</v>
      </c>
      <c r="BI74" s="1" t="e">
        <f t="shared" si="187"/>
        <v>#REF!</v>
      </c>
      <c r="BJ74" s="1">
        <f>AU74+BJ42</f>
        <v>561.655367231638</v>
      </c>
      <c r="BL74" s="3" t="e">
        <f t="shared" si="189"/>
        <v>#REF!</v>
      </c>
      <c r="BM74" s="1">
        <f>AV74+BM42</f>
        <v>645.483615819209</v>
      </c>
      <c r="BO74" s="3" t="e">
        <f t="shared" si="191"/>
        <v>#REF!</v>
      </c>
      <c r="BP74" s="1">
        <f>AW74+BP42</f>
        <v>405.91186440678</v>
      </c>
      <c r="BR74" s="3" t="e">
        <f t="shared" si="193"/>
        <v>#REF!</v>
      </c>
      <c r="BS74" s="1">
        <f>AX74+BS42</f>
        <v>765.623728813559</v>
      </c>
      <c r="BU74" s="3" t="e">
        <f t="shared" si="195"/>
        <v>#REF!</v>
      </c>
    </row>
    <row hidden="1" r="75" ht="14.0" outlineLevel="1">
      <c r="A75" s="27" t="s">
        <v>28</v>
      </c>
      <c r="B75" s="27" t="s">
        <v>98</v>
      </c>
      <c r="C75" s="27" t="s">
        <v>111</v>
      </c>
      <c r="D75" s="27" t="s">
        <v>112</v>
      </c>
      <c r="E75" s="27">
        <v>84.0</v>
      </c>
      <c r="F75" s="27">
        <v>84.0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7">
        <v>0.0</v>
      </c>
      <c r="N75" s="27">
        <v>0.0</v>
      </c>
      <c r="O75" s="27">
        <v>0.0</v>
      </c>
      <c r="P75" s="27">
        <v>0.0</v>
      </c>
      <c r="Q75" s="27">
        <v>0.0</v>
      </c>
      <c r="R75" s="27">
        <v>0.0</v>
      </c>
      <c r="S75" s="27">
        <v>0.0</v>
      </c>
      <c r="T75" s="27">
        <v>0.0</v>
      </c>
      <c r="U75" s="27">
        <v>0.0</v>
      </c>
      <c r="V75" s="27">
        <v>0.0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B75" s="27">
        <v>0.0</v>
      </c>
      <c r="AC75" s="27">
        <v>0.0</v>
      </c>
      <c r="AD75" s="27">
        <v>0.0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0.0</v>
      </c>
      <c r="AK75" s="27">
        <v>0.0</v>
      </c>
      <c r="AL75" s="27">
        <v>0.0</v>
      </c>
      <c r="AM75" s="27">
        <v>0.0</v>
      </c>
      <c r="AN75" s="27">
        <v>0.0</v>
      </c>
      <c r="AO75" s="27"/>
      <c r="AP75" s="27"/>
      <c r="AQ75" s="28">
        <f t="shared" si="175"/>
        <v>0.0</v>
      </c>
      <c r="AR75" s="28">
        <f t="shared" si="176"/>
        <v>0.0</v>
      </c>
      <c r="AS75" s="28">
        <f t="shared" si="177"/>
        <v>0.0</v>
      </c>
      <c r="AU75" s="3">
        <f t="shared" si="178"/>
        <v>0.0</v>
      </c>
      <c r="AV75" s="3">
        <f t="shared" si="179"/>
        <v>0.0</v>
      </c>
      <c r="AW75" s="3">
        <f t="shared" si="180"/>
        <v>0.0</v>
      </c>
      <c r="AX75" s="3">
        <f t="shared" si="181"/>
        <v>0.0</v>
      </c>
      <c r="AY75" s="28"/>
      <c r="AZ75" s="28"/>
      <c r="BA75" s="28">
        <f t="shared" si="182"/>
        <v>0.0</v>
      </c>
      <c r="BB75" s="2" t="e">
        <f t="shared" si="183"/>
        <v>#REF!</v>
      </c>
      <c r="BD75" s="36"/>
      <c r="BE75" s="3" t="e">
        <f t="shared" ref="BE75:BE76" si="201">BB75+BC75+BD75-BA75-BA46</f>
        <v>#REF!</v>
      </c>
      <c r="BF75" s="1">
        <f>VLOOKUP(C75,MOQ,3,FALSE())</f>
        <v>1008.0</v>
      </c>
      <c r="BI75" s="1" t="e">
        <f t="shared" si="187"/>
        <v>#REF!</v>
      </c>
      <c r="BJ75" s="1">
        <f t="shared" ref="BJ75:BJ76" si="202">AU75+BJ46</f>
        <v>87.7429378531073</v>
      </c>
      <c r="BL75" s="3" t="e">
        <f t="shared" si="189"/>
        <v>#REF!</v>
      </c>
      <c r="BM75" s="1">
        <f t="shared" ref="BM75:BM76" si="203">AV75+BM46</f>
        <v>71.9689265536723</v>
      </c>
      <c r="BO75" s="3" t="e">
        <f t="shared" si="191"/>
        <v>#REF!</v>
      </c>
      <c r="BP75" s="1">
        <f t="shared" ref="BP75:BP76" si="204">AW75+BP46</f>
        <v>56.1949152542372</v>
      </c>
      <c r="BR75" s="3" t="e">
        <f t="shared" si="193"/>
        <v>#REF!</v>
      </c>
      <c r="BS75" s="1">
        <f t="shared" ref="BS75:BS76" si="205">AX75+BS46</f>
        <v>112.389830508474</v>
      </c>
      <c r="BU75" s="3" t="e">
        <f t="shared" si="195"/>
        <v>#REF!</v>
      </c>
    </row>
    <row hidden="1" r="76" ht="14.0" outlineLevel="1">
      <c r="A76" s="27" t="s">
        <v>28</v>
      </c>
      <c r="B76" s="27" t="s">
        <v>98</v>
      </c>
      <c r="C76" s="27" t="s">
        <v>113</v>
      </c>
      <c r="D76" s="27" t="s">
        <v>114</v>
      </c>
      <c r="E76" s="27">
        <v>0.0</v>
      </c>
      <c r="F76" s="27">
        <v>0.0</v>
      </c>
      <c r="G76" s="27">
        <v>0.0</v>
      </c>
      <c r="H76" s="27">
        <v>210.0</v>
      </c>
      <c r="I76" s="27">
        <v>42.0</v>
      </c>
      <c r="J76" s="27">
        <v>0.0</v>
      </c>
      <c r="K76" s="27">
        <v>84.0</v>
      </c>
      <c r="L76" s="27">
        <v>84.0</v>
      </c>
      <c r="M76" s="27">
        <v>126.0</v>
      </c>
      <c r="N76" s="27">
        <v>0.0</v>
      </c>
      <c r="O76" s="27">
        <v>84.0</v>
      </c>
      <c r="P76" s="27">
        <v>42.0</v>
      </c>
      <c r="Q76" s="27">
        <v>42.0</v>
      </c>
      <c r="R76" s="27">
        <v>42.0</v>
      </c>
      <c r="S76" s="27">
        <v>42.0</v>
      </c>
      <c r="T76" s="27">
        <v>42.0</v>
      </c>
      <c r="U76" s="27">
        <v>0.0</v>
      </c>
      <c r="V76" s="27">
        <v>126.0</v>
      </c>
      <c r="W76" s="27">
        <v>0.0</v>
      </c>
      <c r="X76" s="27">
        <v>84.0</v>
      </c>
      <c r="Y76" s="27">
        <v>126.0</v>
      </c>
      <c r="Z76" s="27">
        <v>42.0</v>
      </c>
      <c r="AA76" s="27">
        <v>42.0</v>
      </c>
      <c r="AB76" s="27">
        <v>42.0</v>
      </c>
      <c r="AC76" s="27">
        <v>42.0</v>
      </c>
      <c r="AD76" s="27">
        <v>42.0</v>
      </c>
      <c r="AE76" s="27">
        <v>42.0</v>
      </c>
      <c r="AF76" s="27">
        <v>42.0</v>
      </c>
      <c r="AG76" s="27">
        <v>0.0</v>
      </c>
      <c r="AH76" s="27">
        <v>42.0</v>
      </c>
      <c r="AI76" s="27">
        <v>42.0</v>
      </c>
      <c r="AJ76" s="27">
        <v>0.0</v>
      </c>
      <c r="AK76" s="27">
        <v>84.0</v>
      </c>
      <c r="AL76" s="27">
        <v>42.0</v>
      </c>
      <c r="AM76" s="27">
        <v>0.0</v>
      </c>
      <c r="AN76" s="27">
        <v>84.0</v>
      </c>
      <c r="AO76" s="27"/>
      <c r="AP76" s="27"/>
      <c r="AQ76" s="28">
        <f t="shared" si="175"/>
        <v>462.0</v>
      </c>
      <c r="AR76" s="28">
        <f t="shared" si="176"/>
        <v>210.0</v>
      </c>
      <c r="AS76" s="28">
        <f t="shared" si="177"/>
        <v>231.0</v>
      </c>
      <c r="AU76" s="3">
        <f t="shared" si="178"/>
        <v>46.2</v>
      </c>
      <c r="AV76" s="3">
        <f t="shared" si="179"/>
        <v>46.2</v>
      </c>
      <c r="AW76" s="3">
        <f t="shared" si="180"/>
        <v>46.2</v>
      </c>
      <c r="AX76" s="3">
        <f t="shared" si="181"/>
        <v>0.0</v>
      </c>
      <c r="AY76" s="28"/>
      <c r="AZ76" s="28"/>
      <c r="BA76" s="28">
        <f t="shared" si="182"/>
        <v>138.6</v>
      </c>
      <c r="BB76" s="2" t="e">
        <f t="shared" si="183"/>
        <v>#REF!</v>
      </c>
      <c r="BD76" s="36"/>
      <c r="BE76" s="3" t="e">
        <f t="shared" si="201"/>
        <v>#REF!</v>
      </c>
      <c r="BF76" s="1">
        <f>VLOOKUP(C76,MOQ,3,FALSE())</f>
        <v>1008.0</v>
      </c>
      <c r="BI76" s="1" t="e">
        <f t="shared" si="187"/>
        <v>#REF!</v>
      </c>
      <c r="BJ76" s="1">
        <f t="shared" si="202"/>
        <v>82.654802259887</v>
      </c>
      <c r="BL76" s="3" t="e">
        <f t="shared" si="189"/>
        <v>#REF!</v>
      </c>
      <c r="BM76" s="1">
        <f t="shared" si="203"/>
        <v>76.1011299435028</v>
      </c>
      <c r="BO76" s="3" t="e">
        <f t="shared" si="191"/>
        <v>#REF!</v>
      </c>
      <c r="BP76" s="1">
        <f t="shared" si="204"/>
        <v>69.5474576271186</v>
      </c>
      <c r="BR76" s="3" t="e">
        <f t="shared" si="193"/>
        <v>#REF!</v>
      </c>
      <c r="BS76" s="1">
        <f t="shared" si="205"/>
        <v>46.6949152542372</v>
      </c>
      <c r="BU76" s="3" t="e">
        <f t="shared" si="195"/>
        <v>#REF!</v>
      </c>
    </row>
    <row hidden="1" r="77" ht="14.0" outlineLevel="1">
      <c r="A77" s="27" t="s">
        <v>28</v>
      </c>
      <c r="B77" s="27" t="s">
        <v>98</v>
      </c>
      <c r="C77" s="27" t="s">
        <v>117</v>
      </c>
      <c r="D77" s="27" t="s">
        <v>118</v>
      </c>
      <c r="E77" s="27">
        <v>42.0</v>
      </c>
      <c r="F77" s="27">
        <v>42.0</v>
      </c>
      <c r="G77" s="27">
        <v>84.0</v>
      </c>
      <c r="H77" s="27">
        <v>84.0</v>
      </c>
      <c r="I77" s="27">
        <v>126.0</v>
      </c>
      <c r="J77" s="27">
        <v>42.0</v>
      </c>
      <c r="K77" s="27">
        <v>42.0</v>
      </c>
      <c r="L77" s="27">
        <v>168.0</v>
      </c>
      <c r="M77" s="27">
        <v>0.0</v>
      </c>
      <c r="N77" s="27">
        <v>462.0</v>
      </c>
      <c r="O77" s="27">
        <v>0.0</v>
      </c>
      <c r="P77" s="27">
        <v>84.0</v>
      </c>
      <c r="Q77" s="27">
        <v>42.0</v>
      </c>
      <c r="R77" s="27">
        <v>42.0</v>
      </c>
      <c r="S77" s="27">
        <v>84.0</v>
      </c>
      <c r="T77" s="27">
        <v>84.0</v>
      </c>
      <c r="U77" s="27">
        <v>84.0</v>
      </c>
      <c r="V77" s="27">
        <v>126.0</v>
      </c>
      <c r="W77" s="27">
        <v>42.0</v>
      </c>
      <c r="X77" s="27">
        <v>168.0</v>
      </c>
      <c r="Y77" s="27">
        <v>84.0</v>
      </c>
      <c r="Z77" s="27">
        <v>84.0</v>
      </c>
      <c r="AA77" s="27">
        <v>42.0</v>
      </c>
      <c r="AB77" s="27">
        <v>0.0</v>
      </c>
      <c r="AC77" s="27">
        <v>210.0</v>
      </c>
      <c r="AD77" s="27">
        <v>42.0</v>
      </c>
      <c r="AE77" s="27">
        <v>84.0</v>
      </c>
      <c r="AF77" s="27">
        <v>84.0</v>
      </c>
      <c r="AG77" s="27">
        <v>42.0</v>
      </c>
      <c r="AH77" s="27">
        <v>0.0</v>
      </c>
      <c r="AI77" s="27">
        <v>84.0</v>
      </c>
      <c r="AJ77" s="27">
        <v>42.0</v>
      </c>
      <c r="AK77" s="27">
        <v>252.0</v>
      </c>
      <c r="AL77" s="27">
        <v>42.0</v>
      </c>
      <c r="AM77" s="27">
        <v>0.0</v>
      </c>
      <c r="AN77" s="27">
        <v>42.0</v>
      </c>
      <c r="AO77" s="27"/>
      <c r="AP77" s="27"/>
      <c r="AQ77" s="28">
        <f t="shared" si="175"/>
        <v>924.0</v>
      </c>
      <c r="AR77" s="28">
        <f t="shared" si="176"/>
        <v>420.0</v>
      </c>
      <c r="AS77" s="28">
        <f t="shared" si="177"/>
        <v>462.0</v>
      </c>
      <c r="AU77" s="3">
        <f t="shared" si="178"/>
        <v>46.2</v>
      </c>
      <c r="AV77" s="3">
        <f t="shared" si="179"/>
        <v>92.4</v>
      </c>
      <c r="AW77" s="3">
        <f t="shared" si="180"/>
        <v>92.4</v>
      </c>
      <c r="AX77" s="3">
        <f t="shared" si="181"/>
        <v>46.2</v>
      </c>
      <c r="AY77" s="28"/>
      <c r="AZ77" s="28"/>
      <c r="BA77" s="28">
        <f t="shared" si="182"/>
        <v>277.2</v>
      </c>
      <c r="BB77" s="2" t="e">
        <f t="shared" si="183"/>
        <v>#REF!</v>
      </c>
      <c r="BD77" s="36" t="e">
        <f t="shared" ref="BD77:BD79" si="206">VLOOKUP(C77,AUGUST,3,false)</f>
        <v>#REF!</v>
      </c>
      <c r="BE77" s="3" t="e">
        <f t="shared" ref="BE77:BE79" si="207">BB77+BC77+BD77-BA77-BA49</f>
        <v>#REF!</v>
      </c>
      <c r="BF77" s="1">
        <f>VLOOKUP(C77,MOQ,3,FALSE())</f>
        <v>1008.0</v>
      </c>
      <c r="BI77" s="1" t="e">
        <f t="shared" si="187"/>
        <v>#REF!</v>
      </c>
      <c r="BJ77" s="1">
        <f t="shared" ref="BJ77:BJ79" si="208">AU77+BJ49</f>
        <v>584.474011299435</v>
      </c>
      <c r="BL77" s="3" t="e">
        <f t="shared" si="189"/>
        <v>#REF!</v>
      </c>
      <c r="BM77" s="1">
        <f t="shared" ref="BM77:BM79" si="209">AV77+BM49</f>
        <v>533.905649717514</v>
      </c>
      <c r="BO77" s="3" t="e">
        <f t="shared" si="191"/>
        <v>#REF!</v>
      </c>
      <c r="BP77" s="1">
        <f t="shared" ref="BP77:BP79" si="210">AW77+BP49</f>
        <v>437.137288135593</v>
      </c>
      <c r="BR77" s="3" t="e">
        <f t="shared" si="193"/>
        <v>#REF!</v>
      </c>
      <c r="BS77" s="1">
        <f t="shared" ref="BS77:BS79" si="211">AX77+BS49</f>
        <v>735.674576271186</v>
      </c>
      <c r="BU77" s="3" t="e">
        <f t="shared" si="195"/>
        <v>#REF!</v>
      </c>
    </row>
    <row hidden="1" r="78" ht="14.0" outlineLevel="1">
      <c r="A78" s="27" t="s">
        <v>28</v>
      </c>
      <c r="B78" s="27" t="s">
        <v>98</v>
      </c>
      <c r="C78" s="27" t="s">
        <v>119</v>
      </c>
      <c r="D78" s="27" t="s">
        <v>120</v>
      </c>
      <c r="E78" s="27">
        <v>0.0</v>
      </c>
      <c r="F78" s="27">
        <v>0.0</v>
      </c>
      <c r="G78" s="27">
        <v>0.0</v>
      </c>
      <c r="H78" s="27">
        <v>0.0</v>
      </c>
      <c r="I78" s="27">
        <v>0.0</v>
      </c>
      <c r="J78" s="27">
        <v>0.0</v>
      </c>
      <c r="K78" s="27">
        <v>252.0</v>
      </c>
      <c r="L78" s="27">
        <v>252.0</v>
      </c>
      <c r="M78" s="27">
        <v>0.0</v>
      </c>
      <c r="N78" s="27">
        <v>252.0</v>
      </c>
      <c r="O78" s="27">
        <v>0.0</v>
      </c>
      <c r="P78" s="27">
        <v>0.0</v>
      </c>
      <c r="Q78" s="27">
        <v>252.0</v>
      </c>
      <c r="R78" s="27">
        <v>0.0</v>
      </c>
      <c r="S78" s="27">
        <v>0.0</v>
      </c>
      <c r="T78" s="27">
        <v>252.0</v>
      </c>
      <c r="U78" s="27">
        <v>0.0</v>
      </c>
      <c r="V78" s="27">
        <v>252.0</v>
      </c>
      <c r="W78" s="27">
        <v>0.0</v>
      </c>
      <c r="X78" s="27">
        <v>252.0</v>
      </c>
      <c r="Y78" s="27">
        <v>0.0</v>
      </c>
      <c r="Z78" s="27">
        <v>0.0</v>
      </c>
      <c r="AA78" s="27">
        <v>252.0</v>
      </c>
      <c r="AB78" s="27">
        <v>0.0</v>
      </c>
      <c r="AC78" s="27">
        <v>0.0</v>
      </c>
      <c r="AD78" s="27">
        <v>0.0</v>
      </c>
      <c r="AE78" s="27">
        <v>252.0</v>
      </c>
      <c r="AF78" s="27">
        <v>0.0</v>
      </c>
      <c r="AG78" s="27">
        <v>0.0</v>
      </c>
      <c r="AH78" s="27">
        <v>0.0</v>
      </c>
      <c r="AI78" s="27">
        <v>0.0</v>
      </c>
      <c r="AJ78" s="27">
        <v>252.0</v>
      </c>
      <c r="AK78" s="27">
        <v>0.0</v>
      </c>
      <c r="AL78" s="27">
        <v>252.0</v>
      </c>
      <c r="AM78" s="27">
        <v>0.0</v>
      </c>
      <c r="AN78" s="27">
        <v>0.0</v>
      </c>
      <c r="AO78" s="27"/>
      <c r="AP78" s="27"/>
      <c r="AQ78" s="28">
        <f t="shared" si="175"/>
        <v>1008.0</v>
      </c>
      <c r="AR78" s="28">
        <f t="shared" si="176"/>
        <v>504.0</v>
      </c>
      <c r="AS78" s="28">
        <f t="shared" si="177"/>
        <v>554.4</v>
      </c>
      <c r="AU78" s="3">
        <f t="shared" si="178"/>
        <v>0.0</v>
      </c>
      <c r="AV78" s="3">
        <f t="shared" si="179"/>
        <v>277.2</v>
      </c>
      <c r="AW78" s="3">
        <f t="shared" si="180"/>
        <v>0.0</v>
      </c>
      <c r="AX78" s="3">
        <f t="shared" si="181"/>
        <v>0.0</v>
      </c>
      <c r="AY78" s="28"/>
      <c r="AZ78" s="28"/>
      <c r="BA78" s="28">
        <f t="shared" si="182"/>
        <v>277.2</v>
      </c>
      <c r="BB78" s="2" t="e">
        <f t="shared" si="183"/>
        <v>#REF!</v>
      </c>
      <c r="BD78" s="36" t="e">
        <f t="shared" si="206"/>
        <v>#REF!</v>
      </c>
      <c r="BE78" s="3" t="e">
        <f t="shared" si="207"/>
        <v>#REF!</v>
      </c>
      <c r="BF78" s="1">
        <f>VLOOKUP(C78,MOQ,3,FALSE())</f>
        <v>1008.0</v>
      </c>
      <c r="BI78" s="1" t="e">
        <f t="shared" si="187"/>
        <v>#REF!</v>
      </c>
      <c r="BJ78" s="1">
        <f t="shared" si="208"/>
        <v>199.621468926553</v>
      </c>
      <c r="BL78" s="3" t="e">
        <f t="shared" si="189"/>
        <v>#REF!</v>
      </c>
      <c r="BM78" s="1">
        <f t="shared" si="209"/>
        <v>440.934463276836</v>
      </c>
      <c r="BO78" s="3" t="e">
        <f t="shared" si="191"/>
        <v>#REF!</v>
      </c>
      <c r="BP78" s="1">
        <f t="shared" si="210"/>
        <v>127.847457627119</v>
      </c>
      <c r="BR78" s="3" t="e">
        <f t="shared" si="193"/>
        <v>#REF!</v>
      </c>
      <c r="BS78" s="1">
        <f t="shared" si="211"/>
        <v>255.694915254237</v>
      </c>
      <c r="BU78" s="3" t="e">
        <f t="shared" si="195"/>
        <v>#REF!</v>
      </c>
    </row>
    <row hidden="1" r="79" ht="14.0" outlineLevel="1">
      <c r="A79" s="27" t="s">
        <v>28</v>
      </c>
      <c r="B79" s="27" t="s">
        <v>98</v>
      </c>
      <c r="C79" s="27" t="s">
        <v>121</v>
      </c>
      <c r="D79" s="27" t="s">
        <v>122</v>
      </c>
      <c r="E79" s="27">
        <v>0.0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252.0</v>
      </c>
      <c r="L79" s="27">
        <v>252.0</v>
      </c>
      <c r="M79" s="27">
        <v>0.0</v>
      </c>
      <c r="N79" s="27">
        <v>0.0</v>
      </c>
      <c r="O79" s="27">
        <v>0.0</v>
      </c>
      <c r="P79" s="27">
        <v>0.0</v>
      </c>
      <c r="Q79" s="27">
        <v>252.0</v>
      </c>
      <c r="R79" s="27">
        <v>0.0</v>
      </c>
      <c r="S79" s="27">
        <v>252.0</v>
      </c>
      <c r="T79" s="27">
        <v>0.0</v>
      </c>
      <c r="U79" s="27">
        <v>0.0</v>
      </c>
      <c r="V79" s="27">
        <v>252.0</v>
      </c>
      <c r="W79" s="27">
        <v>0.0</v>
      </c>
      <c r="X79" s="27">
        <v>252.0</v>
      </c>
      <c r="Y79" s="27">
        <v>0.0</v>
      </c>
      <c r="Z79" s="27">
        <v>0.0</v>
      </c>
      <c r="AA79" s="27">
        <v>246.0</v>
      </c>
      <c r="AB79" s="27">
        <v>0.0</v>
      </c>
      <c r="AC79" s="27">
        <v>0.0</v>
      </c>
      <c r="AD79" s="27">
        <v>252.0</v>
      </c>
      <c r="AE79" s="27">
        <v>0.0</v>
      </c>
      <c r="AF79" s="27">
        <v>0.0</v>
      </c>
      <c r="AG79" s="27">
        <v>0.0</v>
      </c>
      <c r="AH79" s="27">
        <v>0.0</v>
      </c>
      <c r="AI79" s="27">
        <v>0.0</v>
      </c>
      <c r="AJ79" s="27">
        <v>252.0</v>
      </c>
      <c r="AK79" s="27">
        <v>0.0</v>
      </c>
      <c r="AL79" s="27">
        <v>240.0</v>
      </c>
      <c r="AM79" s="27">
        <v>0.0</v>
      </c>
      <c r="AN79" s="27">
        <v>0.0</v>
      </c>
      <c r="AO79" s="27"/>
      <c r="AP79" s="27"/>
      <c r="AQ79" s="28">
        <f t="shared" si="175"/>
        <v>990.0</v>
      </c>
      <c r="AR79" s="28">
        <f t="shared" si="176"/>
        <v>492.0</v>
      </c>
      <c r="AS79" s="28">
        <f t="shared" si="177"/>
        <v>541.2</v>
      </c>
      <c r="AU79" s="3">
        <f t="shared" si="178"/>
        <v>277.2</v>
      </c>
      <c r="AV79" s="3">
        <f t="shared" si="179"/>
        <v>0.0</v>
      </c>
      <c r="AW79" s="3">
        <f t="shared" si="180"/>
        <v>0.0</v>
      </c>
      <c r="AX79" s="3">
        <f t="shared" si="181"/>
        <v>0.0</v>
      </c>
      <c r="AY79" s="28"/>
      <c r="AZ79" s="28"/>
      <c r="BA79" s="28">
        <f t="shared" si="182"/>
        <v>277.2</v>
      </c>
      <c r="BB79" s="2" t="e">
        <f t="shared" si="183"/>
        <v>#REF!</v>
      </c>
      <c r="BD79" s="36" t="e">
        <f t="shared" si="206"/>
        <v>#REF!</v>
      </c>
      <c r="BE79" s="3" t="e">
        <f t="shared" si="207"/>
        <v>#REF!</v>
      </c>
      <c r="BF79" s="1">
        <f>VLOOKUP(C79,MOQ,3,FALSE())</f>
        <v>1008.0</v>
      </c>
      <c r="BI79" s="1" t="e">
        <f t="shared" si="187"/>
        <v>#REF!</v>
      </c>
      <c r="BJ79" s="1">
        <f t="shared" si="208"/>
        <v>674.1802259887</v>
      </c>
      <c r="BL79" s="3" t="e">
        <f t="shared" si="189"/>
        <v>#REF!</v>
      </c>
      <c r="BM79" s="1">
        <f t="shared" si="209"/>
        <v>325.612994350282</v>
      </c>
      <c r="BO79" s="3" t="e">
        <f t="shared" si="191"/>
        <v>#REF!</v>
      </c>
      <c r="BP79" s="1">
        <f t="shared" si="210"/>
        <v>254.245762711864</v>
      </c>
      <c r="BR79" s="3" t="e">
        <f t="shared" si="193"/>
        <v>#REF!</v>
      </c>
      <c r="BS79" s="1">
        <f t="shared" si="211"/>
        <v>508.491525423729</v>
      </c>
      <c r="BU79" s="3" t="e">
        <f t="shared" si="195"/>
        <v>#REF!</v>
      </c>
    </row>
    <row r="80" ht="14.0" collapsed="1">
      <c r="A80" s="166" t="s">
        <v>28</v>
      </c>
      <c r="B80" s="27" t="s">
        <v>29</v>
      </c>
      <c r="C80" s="166" t="s">
        <v>30</v>
      </c>
      <c r="D80" s="166" t="s">
        <v>31</v>
      </c>
      <c r="E80" s="27">
        <v>239.0</v>
      </c>
      <c r="F80" s="27">
        <v>180.0</v>
      </c>
      <c r="G80" s="27">
        <v>180.0</v>
      </c>
      <c r="H80" s="27">
        <v>239.0</v>
      </c>
      <c r="I80" s="27">
        <v>240.0</v>
      </c>
      <c r="J80" s="27">
        <v>179.0</v>
      </c>
      <c r="K80" s="27">
        <v>180.0</v>
      </c>
      <c r="L80" s="27">
        <v>600.0</v>
      </c>
      <c r="M80" s="27">
        <v>60.0</v>
      </c>
      <c r="N80" s="27">
        <v>300.0</v>
      </c>
      <c r="O80" s="27">
        <v>420.0</v>
      </c>
      <c r="P80" s="27">
        <v>359.0</v>
      </c>
      <c r="Q80" s="27">
        <v>419.0</v>
      </c>
      <c r="R80" s="27">
        <v>180.0</v>
      </c>
      <c r="S80" s="27">
        <v>240.0</v>
      </c>
      <c r="T80" s="27">
        <v>359.0</v>
      </c>
      <c r="U80" s="27">
        <v>360.0</v>
      </c>
      <c r="V80" s="27">
        <v>240.0</v>
      </c>
      <c r="W80" s="27">
        <v>120.0</v>
      </c>
      <c r="X80" s="27">
        <v>420.0</v>
      </c>
      <c r="Y80" s="27">
        <v>600.0</v>
      </c>
      <c r="Z80" s="27">
        <v>240.0</v>
      </c>
      <c r="AA80" s="27">
        <v>240.0</v>
      </c>
      <c r="AB80" s="27">
        <v>240.0</v>
      </c>
      <c r="AC80" s="27">
        <v>240.0</v>
      </c>
      <c r="AD80" s="27">
        <v>240.0</v>
      </c>
      <c r="AE80" s="27">
        <v>179.0</v>
      </c>
      <c r="AF80" s="27">
        <v>238.0</v>
      </c>
      <c r="AG80" s="27">
        <v>180.0</v>
      </c>
      <c r="AH80" s="27">
        <v>120.0</v>
      </c>
      <c r="AI80" s="27">
        <v>180.0</v>
      </c>
      <c r="AJ80" s="27">
        <v>120.0</v>
      </c>
      <c r="AK80" s="27">
        <v>720.0</v>
      </c>
      <c r="AL80" s="27">
        <v>180.0</v>
      </c>
      <c r="AM80" s="27">
        <v>60.0</v>
      </c>
      <c r="AN80" s="27">
        <v>240.0</v>
      </c>
      <c r="AO80" s="27">
        <v>240.0</v>
      </c>
      <c r="AP80" s="27">
        <v>119.0</v>
      </c>
      <c r="AQ80" s="28">
        <f t="shared" si="175"/>
        <v>2937.0</v>
      </c>
      <c r="AR80" s="28">
        <f t="shared" si="176"/>
        <v>1380.0</v>
      </c>
      <c r="AS80" s="28">
        <f t="shared" si="177"/>
        <v>1518.0</v>
      </c>
      <c r="AU80" s="179">
        <f t="shared" si="178"/>
        <v>264.0</v>
      </c>
      <c r="AV80" s="179">
        <f t="shared" si="179"/>
        <v>196.9</v>
      </c>
      <c r="AW80" s="179">
        <f t="shared" si="180"/>
        <v>261.8</v>
      </c>
      <c r="AX80" s="179">
        <f t="shared" si="181"/>
        <v>198.0</v>
      </c>
      <c r="AY80" s="180">
        <f>AS80*$AY$70/$AS$70</f>
        <v>127.460035524</v>
      </c>
      <c r="AZ80" s="180">
        <f>AS80*$AZ$70/$AS$70</f>
        <v>259.822380106571</v>
      </c>
      <c r="BA80" s="28">
        <f t="shared" ref="BA80:BA84" si="214">SUM(AU80:AZ80)</f>
        <v>1307.98241563057</v>
      </c>
      <c r="BB80" s="2" t="e">
        <f t="shared" si="183"/>
        <v>#REF!</v>
      </c>
      <c r="BD80" s="36"/>
      <c r="BE80" s="28" t="e">
        <f t="shared" ref="BE80:BE81" si="215">BB80+BC80+BD80-BA80-BA8</f>
        <v>#REF!</v>
      </c>
      <c r="BF80" s="29">
        <f>VLOOKUP(C80,MOQ,3,FALSE())</f>
        <v>504.0</v>
      </c>
      <c r="BG80" s="30"/>
      <c r="BH80" s="1" t="s">
        <v>7</v>
      </c>
      <c r="BI80" s="1" t="e">
        <f t="shared" si="187"/>
        <v>#REF!</v>
      </c>
      <c r="BJ80" s="1">
        <f t="shared" ref="BJ80:BJ81" si="216">AU80+BJ8</f>
        <v>718.77118644068</v>
      </c>
      <c r="BK80">
        <f t="shared" ref="BK80:BK84" si="217">BC80</f>
      </c>
      <c r="BL80" s="3" t="e">
        <f t="shared" ref="BL80:BL84" si="218">BI80+BK80-BJ80</f>
        <v>#REF!</v>
      </c>
      <c r="BM80" s="1">
        <f t="shared" ref="BM80:BM81" si="219">AV80+BM8</f>
        <v>570.993220338983</v>
      </c>
      <c r="BN80">
        <f t="shared" ref="BN80:BN84" si="220">BD80</f>
      </c>
      <c r="BO80" s="3" t="e">
        <f t="shared" si="191"/>
        <v>#REF!</v>
      </c>
      <c r="BP80" s="1">
        <f t="shared" ref="BP80:BP81" si="221">AW80+BP8</f>
        <v>555.215254237288</v>
      </c>
      <c r="BR80" s="3" t="e">
        <f t="shared" si="193"/>
        <v>#REF!</v>
      </c>
      <c r="BS80" s="1">
        <f t="shared" ref="BS80:BS81" si="222">AX80+BS8</f>
        <v>778.830508474576</v>
      </c>
      <c r="BU80" s="3" t="e">
        <f t="shared" si="195"/>
        <v>#REF!</v>
      </c>
      <c r="BV80" s="1">
        <f t="shared" ref="BV80:BV81" si="223">AY80+BV8</f>
        <v>773.841391456202</v>
      </c>
      <c r="BX80" s="3" t="e">
        <f t="shared" ref="BX80:BX84" si="224">BU80+BW80-BV80</f>
        <v>#REF!</v>
      </c>
      <c r="BY80" s="1">
        <f t="shared" ref="BY80:BY81" si="225">AZ80+BY8</f>
        <v>845.695261462503</v>
      </c>
      <c r="CA80" s="3" t="e">
        <f t="shared" ref="CA80:CA84" si="226">BX80+BZ80-BY80</f>
        <v>#REF!</v>
      </c>
    </row>
    <row r="81" ht="14.0">
      <c r="A81" s="166" t="s">
        <v>28</v>
      </c>
      <c r="B81" s="27" t="s">
        <v>29</v>
      </c>
      <c r="C81" s="166" t="s">
        <v>33</v>
      </c>
      <c r="D81" s="166" t="s">
        <v>34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0.0</v>
      </c>
      <c r="AC81" s="27">
        <v>0.0</v>
      </c>
      <c r="AD81" s="27">
        <v>336.0</v>
      </c>
      <c r="AE81" s="27">
        <v>24.0</v>
      </c>
      <c r="AF81" s="27">
        <v>0.0</v>
      </c>
      <c r="AG81" s="27">
        <v>72.0</v>
      </c>
      <c r="AH81" s="27">
        <v>72.0</v>
      </c>
      <c r="AI81" s="27">
        <v>72.0</v>
      </c>
      <c r="AJ81" s="27">
        <v>0.0</v>
      </c>
      <c r="AK81" s="27">
        <v>216.0</v>
      </c>
      <c r="AL81" s="27">
        <v>78.0</v>
      </c>
      <c r="AM81" s="27">
        <v>0.0</v>
      </c>
      <c r="AN81" s="27">
        <v>72.0</v>
      </c>
      <c r="AO81" s="27">
        <v>144.0</v>
      </c>
      <c r="AP81" s="27">
        <v>72.0</v>
      </c>
      <c r="AQ81" s="28">
        <f t="shared" si="175"/>
        <v>870.0</v>
      </c>
      <c r="AR81" s="28">
        <f t="shared" si="176"/>
        <v>438.0</v>
      </c>
      <c r="AS81" s="28">
        <f t="shared" si="177"/>
        <v>481.8</v>
      </c>
      <c r="AU81" s="3">
        <f>AE81*1.1</f>
        <v>26.4</v>
      </c>
      <c r="AV81" s="3">
        <f>AF81*1.1</f>
        <v>0.0</v>
      </c>
      <c r="AW81" s="179">
        <f>AG81*1.1</f>
        <v>79.2</v>
      </c>
      <c r="AX81" s="179">
        <f>AH81*1.1</f>
        <v>79.2</v>
      </c>
      <c r="AY81" s="179">
        <f>AI81*1.1</f>
        <v>79.2</v>
      </c>
      <c r="AZ81" s="179">
        <f>AJ81*1.1</f>
        <v>0.0</v>
      </c>
      <c r="BA81" s="28">
        <f t="shared" si="214"/>
        <v>264.0</v>
      </c>
      <c r="BB81" s="2" t="e">
        <f t="shared" si="183"/>
        <v>#REF!</v>
      </c>
      <c r="BD81" s="36"/>
      <c r="BE81" s="28" t="e">
        <f t="shared" si="215"/>
        <v>#REF!</v>
      </c>
      <c r="BF81" s="29">
        <f>VLOOKUP(C81,MOQ,3,FALSE())</f>
        <v>504.0</v>
      </c>
      <c r="BG81" s="30"/>
      <c r="BH81" s="1" t="s">
        <v>9</v>
      </c>
      <c r="BI81" s="1" t="e">
        <f t="shared" si="187"/>
        <v>#REF!</v>
      </c>
      <c r="BJ81" s="1">
        <f t="shared" si="216"/>
        <v>399.210734463277</v>
      </c>
      <c r="BK81" s="1">
        <f t="shared" si="217"/>
      </c>
      <c r="BL81" s="3" t="e">
        <f t="shared" si="218"/>
        <v>#REF!</v>
      </c>
      <c r="BM81" s="1">
        <f t="shared" si="219"/>
        <v>306.867231638418</v>
      </c>
      <c r="BN81" s="1">
        <f t="shared" si="220"/>
      </c>
      <c r="BO81" s="3" t="e">
        <f t="shared" si="191"/>
        <v>#REF!</v>
      </c>
      <c r="BP81" s="1">
        <f t="shared" si="221"/>
        <v>320.123728813559</v>
      </c>
      <c r="BR81" s="3" t="e">
        <f t="shared" si="193"/>
        <v>#REF!</v>
      </c>
      <c r="BS81" s="1">
        <f t="shared" si="222"/>
        <v>555.047457627119</v>
      </c>
      <c r="BU81" s="3" t="e">
        <f t="shared" si="195"/>
        <v>#REF!</v>
      </c>
      <c r="BV81" s="1">
        <f t="shared" si="223"/>
        <v>608.626553672316</v>
      </c>
      <c r="BX81" s="3" t="e">
        <f t="shared" si="224"/>
        <v>#REF!</v>
      </c>
      <c r="BY81" s="1">
        <f t="shared" si="225"/>
        <v>479.968926553672</v>
      </c>
      <c r="CA81" s="3" t="e">
        <f t="shared" si="226"/>
        <v>#REF!</v>
      </c>
    </row>
    <row r="82" ht="14.0">
      <c r="A82" s="189" t="s">
        <v>28</v>
      </c>
      <c r="B82" s="189" t="s">
        <v>29</v>
      </c>
      <c r="C82" s="40" t="s">
        <v>60</v>
      </c>
      <c r="D82" s="189" t="s">
        <v>61</v>
      </c>
      <c r="E82" s="34">
        <v>0.0</v>
      </c>
      <c r="F82" s="34">
        <v>0.0</v>
      </c>
      <c r="G82" s="34">
        <v>0.0</v>
      </c>
      <c r="H82" s="34">
        <v>0.0</v>
      </c>
      <c r="I82" s="34">
        <v>0.0</v>
      </c>
      <c r="J82" s="34">
        <v>0.0</v>
      </c>
      <c r="K82" s="34">
        <v>0.0</v>
      </c>
      <c r="L82" s="34">
        <v>0.0</v>
      </c>
      <c r="M82" s="34">
        <v>0.0</v>
      </c>
      <c r="N82" s="34">
        <v>0.0</v>
      </c>
      <c r="O82" s="34">
        <v>0.0</v>
      </c>
      <c r="P82" s="34">
        <v>0.0</v>
      </c>
      <c r="Q82" s="34">
        <v>0.0</v>
      </c>
      <c r="R82" s="34">
        <v>0.0</v>
      </c>
      <c r="S82" s="34">
        <v>0.0</v>
      </c>
      <c r="T82" s="34">
        <v>0.0</v>
      </c>
      <c r="U82" s="34">
        <v>0.0</v>
      </c>
      <c r="V82" s="34">
        <v>0.0</v>
      </c>
      <c r="W82" s="34">
        <v>0.0</v>
      </c>
      <c r="X82" s="34">
        <v>0.0</v>
      </c>
      <c r="Y82" s="34">
        <v>0.0</v>
      </c>
      <c r="Z82" s="34">
        <v>0.0</v>
      </c>
      <c r="AA82" s="34">
        <v>0.0</v>
      </c>
      <c r="AB82" s="34">
        <v>0.0</v>
      </c>
      <c r="AC82" s="34">
        <v>0.0</v>
      </c>
      <c r="AD82" s="34">
        <v>120.0</v>
      </c>
      <c r="AE82" s="34">
        <v>0.0</v>
      </c>
      <c r="AF82" s="34">
        <v>60.0</v>
      </c>
      <c r="AG82" s="34">
        <v>0.0</v>
      </c>
      <c r="AH82" s="34">
        <v>60.0</v>
      </c>
      <c r="AI82" s="34">
        <v>59.0</v>
      </c>
      <c r="AJ82" s="34">
        <v>0.0</v>
      </c>
      <c r="AK82" s="34">
        <v>-2.0</v>
      </c>
      <c r="AL82" s="34">
        <v>11.0</v>
      </c>
      <c r="AM82" s="34">
        <v>0.0</v>
      </c>
      <c r="AN82" s="34">
        <v>0.0</v>
      </c>
      <c r="AO82" s="34">
        <v>0.0</v>
      </c>
      <c r="AP82" s="34">
        <v>120.0</v>
      </c>
      <c r="AQ82" s="35">
        <f t="shared" si="175"/>
        <v>308.0</v>
      </c>
      <c r="AR82" s="35">
        <f t="shared" si="176"/>
        <v>128.0</v>
      </c>
      <c r="AS82" s="35">
        <f t="shared" si="177"/>
        <v>140.8</v>
      </c>
      <c r="AT82" s="36"/>
      <c r="AU82" s="182">
        <f>AE82*1.1+AU80+AU84+720</f>
        <v>1195.2</v>
      </c>
      <c r="AV82" s="182">
        <f>AF82*1.1+AV80*0.5+AV84*0.5</f>
        <v>296.45</v>
      </c>
      <c r="AW82" s="182">
        <f>AG82*1.1+AW80*0.25+AW84*0.25+200</f>
        <v>289.375</v>
      </c>
      <c r="AX82" s="182">
        <f>AH82*1.1+AX80*0.25+AX84*0.25+200</f>
        <v>368.3</v>
      </c>
      <c r="AY82" s="182">
        <f>AI82*1.1+AY80*0.25+AY84*0.25+200</f>
        <v>323.3191829485</v>
      </c>
      <c r="AZ82" s="182">
        <f>AJ82*1.1+AZ80*0.25+AZ84*0.25+200</f>
        <v>319.085257548845</v>
      </c>
      <c r="BA82" s="35">
        <f t="shared" si="214"/>
        <v>2791.72944049734</v>
      </c>
      <c r="BB82" s="36" t="e">
        <f t="shared" si="183"/>
        <v>#REF!</v>
      </c>
      <c r="BC82" s="36" t="e">
        <f t="shared" ref="BC82:BC83" si="239">VLOOKUP(C82,JULY,3,false)</f>
        <v>#REF!</v>
      </c>
      <c r="BD82" s="36" t="e">
        <f t="shared" ref="BD82:BD83" si="240">VLOOKUP(C82,AUGUST,3,false)</f>
        <v>#REF!</v>
      </c>
      <c r="BE82" s="35" t="e">
        <f>BB82+BC82+BD82-BA82-BA22</f>
        <v>#REF!</v>
      </c>
      <c r="BF82" s="36">
        <f>VLOOKUP(C82,MOQ,3,FALSE())</f>
        <v>3000.0</v>
      </c>
      <c r="BG82" s="38">
        <f t="shared" ref="BG82:BG83" si="242">BF82</f>
        <v>3000.0</v>
      </c>
      <c r="BH82" s="36" t="s">
        <v>251</v>
      </c>
      <c r="BI82" s="36" t="e">
        <f t="shared" si="187"/>
        <v>#REF!</v>
      </c>
      <c r="BJ82" s="36" t="e">
        <f>AU82+BJ22</f>
        <v>#REF!</v>
      </c>
      <c r="BK82" s="36" t="e">
        <f t="shared" si="217"/>
        <v>#REF!</v>
      </c>
      <c r="BL82" s="35" t="e">
        <f t="shared" si="218"/>
        <v>#REF!</v>
      </c>
      <c r="BM82" s="36">
        <f>AV82+BM22</f>
        <v>1151.83418079096</v>
      </c>
      <c r="BN82" s="36" t="e">
        <f t="shared" si="220"/>
        <v>#REF!</v>
      </c>
      <c r="BO82" s="35" t="e">
        <f t="shared" si="191"/>
        <v>#REF!</v>
      </c>
      <c r="BP82" s="36">
        <f>AY82+BP22</f>
        <v>854.649691423075</v>
      </c>
      <c r="BQ82" s="36"/>
      <c r="BR82" s="35" t="e">
        <f t="shared" si="193"/>
        <v>#REF!</v>
      </c>
      <c r="BS82" s="36">
        <f>AX82+BS22</f>
        <v>1426.46101694915</v>
      </c>
      <c r="BT82" s="36"/>
      <c r="BU82" s="35" t="e">
        <f t="shared" si="195"/>
        <v>#REF!</v>
      </c>
      <c r="BV82" s="36">
        <f>AY82+BV22</f>
        <v>1478.5818948129</v>
      </c>
      <c r="BW82" s="36"/>
      <c r="BX82" s="35" t="e">
        <f t="shared" si="224"/>
        <v>#REF!</v>
      </c>
      <c r="BY82" s="36">
        <f>AZ82+BY22</f>
        <v>1365.3310202607</v>
      </c>
      <c r="BZ82" s="36"/>
      <c r="CA82" s="199" t="e">
        <f t="shared" si="226"/>
        <v>#REF!</v>
      </c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AMC82" s="39"/>
      <c r="AMD82" s="39"/>
      <c r="AME82" s="39"/>
      <c r="AMF82" s="39"/>
      <c r="AMG82" s="39"/>
      <c r="AMH82" s="39"/>
      <c r="AMI82" s="39"/>
      <c r="AMJ82" s="39"/>
    </row>
    <row r="83" ht="14.0">
      <c r="A83" s="189" t="s">
        <v>28</v>
      </c>
      <c r="B83" s="189" t="s">
        <v>29</v>
      </c>
      <c r="C83" s="40" t="s">
        <v>65</v>
      </c>
      <c r="D83" s="189" t="s">
        <v>66</v>
      </c>
      <c r="E83" s="34">
        <v>0.0</v>
      </c>
      <c r="F83" s="34">
        <v>0.0</v>
      </c>
      <c r="G83" s="34">
        <v>0.0</v>
      </c>
      <c r="H83" s="34">
        <v>0.0</v>
      </c>
      <c r="I83" s="34">
        <v>0.0</v>
      </c>
      <c r="J83" s="34">
        <v>0.0</v>
      </c>
      <c r="K83" s="34">
        <v>0.0</v>
      </c>
      <c r="L83" s="34">
        <v>0.0</v>
      </c>
      <c r="M83" s="34">
        <v>0.0</v>
      </c>
      <c r="N83" s="34">
        <v>0.0</v>
      </c>
      <c r="O83" s="34">
        <v>0.0</v>
      </c>
      <c r="P83" s="34">
        <v>0.0</v>
      </c>
      <c r="Q83" s="34">
        <v>0.0</v>
      </c>
      <c r="R83" s="34">
        <v>0.0</v>
      </c>
      <c r="S83" s="34">
        <v>0.0</v>
      </c>
      <c r="T83" s="34">
        <v>0.0</v>
      </c>
      <c r="U83" s="34">
        <v>0.0</v>
      </c>
      <c r="V83" s="34">
        <v>0.0</v>
      </c>
      <c r="W83" s="34">
        <v>0.0</v>
      </c>
      <c r="X83" s="34">
        <v>0.0</v>
      </c>
      <c r="Y83" s="34">
        <v>0.0</v>
      </c>
      <c r="Z83" s="34">
        <v>0.0</v>
      </c>
      <c r="AA83" s="34">
        <v>0.0</v>
      </c>
      <c r="AB83" s="34">
        <v>0.0</v>
      </c>
      <c r="AC83" s="34">
        <v>0.0</v>
      </c>
      <c r="AD83" s="34">
        <v>120.0</v>
      </c>
      <c r="AE83" s="34">
        <v>0.0</v>
      </c>
      <c r="AF83" s="34">
        <v>0.0</v>
      </c>
      <c r="AG83" s="34">
        <v>0.0</v>
      </c>
      <c r="AH83" s="34">
        <v>0.0</v>
      </c>
      <c r="AI83" s="34">
        <v>0.0</v>
      </c>
      <c r="AJ83" s="34">
        <v>0.0</v>
      </c>
      <c r="AK83" s="34">
        <v>59.0</v>
      </c>
      <c r="AL83" s="34">
        <v>0.0</v>
      </c>
      <c r="AM83" s="34">
        <v>0.0</v>
      </c>
      <c r="AN83" s="34">
        <v>60.0</v>
      </c>
      <c r="AO83" s="34">
        <v>-1.0</v>
      </c>
      <c r="AP83" s="34">
        <v>60.0</v>
      </c>
      <c r="AQ83" s="35">
        <f t="shared" si="175"/>
        <v>179.0</v>
      </c>
      <c r="AR83" s="35">
        <f t="shared" si="176"/>
        <v>59.0</v>
      </c>
      <c r="AS83" s="35">
        <f t="shared" si="177"/>
        <v>64.9</v>
      </c>
      <c r="AT83" s="36"/>
      <c r="AU83" s="182">
        <f>AD83*1.1+600</f>
        <v>732.0</v>
      </c>
      <c r="AV83" s="182">
        <f t="shared" ref="AV83:AV100" si="250">AE83*1.1</f>
        <v>0.0</v>
      </c>
      <c r="AW83" s="182">
        <f>AF83*1.1+240</f>
        <v>240.0</v>
      </c>
      <c r="AX83" s="182">
        <f>AG83*1.1+240</f>
        <v>240.0</v>
      </c>
      <c r="AY83" s="182">
        <f>AH83*1.1+240</f>
        <v>240.0</v>
      </c>
      <c r="AZ83" s="182">
        <f>AI83*1.1+240</f>
        <v>240.0</v>
      </c>
      <c r="BA83" s="35">
        <f t="shared" si="214"/>
        <v>1692.0</v>
      </c>
      <c r="BB83" s="36" t="e">
        <f t="shared" si="183"/>
        <v>#REF!</v>
      </c>
      <c r="BC83" s="36" t="e">
        <f t="shared" si="239"/>
        <v>#REF!</v>
      </c>
      <c r="BD83" s="36" t="e">
        <f t="shared" si="240"/>
        <v>#REF!</v>
      </c>
      <c r="BE83" s="35" t="e">
        <f>BB83+BC83+BD83-BA83-BA24</f>
        <v>#REF!</v>
      </c>
      <c r="BF83" s="36">
        <f>VLOOKUP(C83,MOQ,3,FALSE())</f>
        <v>3000.0</v>
      </c>
      <c r="BG83" s="38">
        <f t="shared" si="242"/>
        <v>3000.0</v>
      </c>
      <c r="BH83" s="36" t="s">
        <v>252</v>
      </c>
      <c r="BI83" s="36" t="e">
        <f t="shared" si="187"/>
        <v>#REF!</v>
      </c>
      <c r="BJ83" s="36">
        <f>AU83+BJ24</f>
        <v>1362.8418079096</v>
      </c>
      <c r="BK83" s="36" t="e">
        <f t="shared" si="217"/>
        <v>#REF!</v>
      </c>
      <c r="BL83" s="35" t="e">
        <f t="shared" si="218"/>
        <v>#REF!</v>
      </c>
      <c r="BM83" s="36">
        <f>AV83+BM24</f>
        <v>462.27966101694</v>
      </c>
      <c r="BN83" s="36" t="e">
        <f t="shared" si="220"/>
        <v>#REF!</v>
      </c>
      <c r="BO83" s="35" t="e">
        <f t="shared" si="191"/>
        <v>#REF!</v>
      </c>
      <c r="BP83" s="36">
        <f>AW83+BP24</f>
        <v>579.385593220338</v>
      </c>
      <c r="BQ83" s="36"/>
      <c r="BR83" s="35" t="e">
        <f t="shared" si="193"/>
        <v>#REF!</v>
      </c>
      <c r="BS83" s="36">
        <f>AX83+BS24</f>
        <v>917.271186440678</v>
      </c>
      <c r="BT83" s="36"/>
      <c r="BU83" s="35" t="e">
        <f t="shared" si="195"/>
        <v>#REF!</v>
      </c>
      <c r="BV83" s="36">
        <f>AY83+BV24</f>
        <v>982.806497175141</v>
      </c>
      <c r="BW83" s="36"/>
      <c r="BX83" s="35" t="e">
        <f t="shared" si="224"/>
        <v>#REF!</v>
      </c>
      <c r="BY83" s="36">
        <f>AZ83+BY24</f>
        <v>912.620056497174</v>
      </c>
      <c r="BZ83" s="36"/>
      <c r="CA83" s="199" t="e">
        <f t="shared" si="226"/>
        <v>#REF!</v>
      </c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AMC83" s="39"/>
      <c r="AMD83" s="39"/>
      <c r="AME83" s="39"/>
      <c r="AMF83" s="39"/>
      <c r="AMG83" s="39"/>
      <c r="AMH83" s="39"/>
      <c r="AMI83" s="39"/>
      <c r="AMJ83" s="39"/>
    </row>
    <row r="84" ht="14.0">
      <c r="A84" s="27" t="s">
        <v>28</v>
      </c>
      <c r="B84" s="27" t="s">
        <v>29</v>
      </c>
      <c r="C84" s="166" t="s">
        <v>69</v>
      </c>
      <c r="D84" s="166" t="s">
        <v>70</v>
      </c>
      <c r="E84" s="27">
        <v>336.0</v>
      </c>
      <c r="F84" s="27">
        <v>92.0</v>
      </c>
      <c r="G84" s="27">
        <v>144.0</v>
      </c>
      <c r="H84" s="27">
        <v>240.0</v>
      </c>
      <c r="I84" s="27">
        <v>240.0</v>
      </c>
      <c r="J84" s="27">
        <v>96.0</v>
      </c>
      <c r="K84" s="27">
        <v>192.0</v>
      </c>
      <c r="L84" s="27">
        <v>768.0</v>
      </c>
      <c r="M84" s="27">
        <v>143.0</v>
      </c>
      <c r="N84" s="27">
        <v>144.0</v>
      </c>
      <c r="O84" s="27">
        <v>144.0</v>
      </c>
      <c r="P84" s="27">
        <v>286.0</v>
      </c>
      <c r="Q84" s="27">
        <v>288.0</v>
      </c>
      <c r="R84" s="27">
        <v>144.0</v>
      </c>
      <c r="S84" s="27">
        <v>192.0</v>
      </c>
      <c r="T84" s="27">
        <v>240.0</v>
      </c>
      <c r="U84" s="27">
        <v>240.0</v>
      </c>
      <c r="V84" s="27">
        <v>192.0</v>
      </c>
      <c r="W84" s="27">
        <v>144.0</v>
      </c>
      <c r="X84" s="27">
        <v>278.0</v>
      </c>
      <c r="Y84" s="27">
        <v>528.0</v>
      </c>
      <c r="Z84" s="27">
        <v>0.0</v>
      </c>
      <c r="AA84" s="27">
        <v>336.0</v>
      </c>
      <c r="AB84" s="27">
        <v>96.0</v>
      </c>
      <c r="AC84" s="27">
        <v>192.0</v>
      </c>
      <c r="AD84" s="27">
        <v>192.0</v>
      </c>
      <c r="AE84" s="27">
        <v>240.0</v>
      </c>
      <c r="AF84" s="27">
        <v>87.0</v>
      </c>
      <c r="AG84" s="27">
        <v>192.0</v>
      </c>
      <c r="AH84" s="27">
        <v>96.0</v>
      </c>
      <c r="AI84" s="27">
        <v>191.0</v>
      </c>
      <c r="AJ84" s="27">
        <v>144.0</v>
      </c>
      <c r="AK84" s="27">
        <v>575.0</v>
      </c>
      <c r="AL84" s="27">
        <v>48.0</v>
      </c>
      <c r="AM84" s="27">
        <v>96.0</v>
      </c>
      <c r="AN84" s="27">
        <v>144.0</v>
      </c>
      <c r="AO84" s="27">
        <v>240.0</v>
      </c>
      <c r="AP84" s="27">
        <v>143.0</v>
      </c>
      <c r="AQ84" s="28">
        <f t="shared" si="175"/>
        <v>2485.0</v>
      </c>
      <c r="AR84" s="28">
        <f t="shared" si="176"/>
        <v>1150.0</v>
      </c>
      <c r="AS84" s="28">
        <f t="shared" si="177"/>
        <v>1265.0</v>
      </c>
      <c r="AU84" s="179">
        <f t="shared" ref="AU84:AU100" si="262">AD84*1.1</f>
        <v>211.2</v>
      </c>
      <c r="AV84" s="179">
        <f t="shared" si="250"/>
        <v>264.0</v>
      </c>
      <c r="AW84" s="179">
        <f t="shared" ref="AW84:AW100" si="263">AF84*1.1</f>
        <v>95.7</v>
      </c>
      <c r="AX84" s="179">
        <f t="shared" ref="AX84:AX100" si="264">AG84*1.1</f>
        <v>211.2</v>
      </c>
      <c r="AY84" s="180">
        <f>AS84*$AY$70/$AS$70</f>
        <v>106.216696269982</v>
      </c>
      <c r="AZ84" s="180">
        <f>AS84*$AZ$70/$AS$70</f>
        <v>216.51865008881</v>
      </c>
      <c r="BA84" s="28">
        <f t="shared" si="214"/>
        <v>1104.83534635879</v>
      </c>
      <c r="BB84" s="2" t="e">
        <f t="shared" si="183"/>
        <v>#REF!</v>
      </c>
      <c r="BD84" s="36"/>
      <c r="BE84" s="28" t="e">
        <f>BB84+BC84+BD84-BA84-BA26</f>
        <v>#REF!</v>
      </c>
      <c r="BF84" s="29">
        <f>VLOOKUP(C84,MOQ,3,FALSE())</f>
        <v>1620.0</v>
      </c>
      <c r="BG84" s="30"/>
      <c r="BH84" s="1" t="s">
        <v>7</v>
      </c>
      <c r="BI84" s="1" t="e">
        <f t="shared" si="187"/>
        <v>#REF!</v>
      </c>
      <c r="BJ84" s="1">
        <f>AU84+BJ26</f>
        <v>610.79039548022</v>
      </c>
      <c r="BK84" s="1">
        <f t="shared" si="217"/>
      </c>
      <c r="BL84" s="3" t="e">
        <f t="shared" si="218"/>
        <v>#REF!</v>
      </c>
      <c r="BM84" s="1">
        <f>AV84+BM26</f>
        <v>592.697740112994</v>
      </c>
      <c r="BN84" s="1">
        <f t="shared" si="220"/>
      </c>
      <c r="BO84" s="3" t="e">
        <f t="shared" si="191"/>
        <v>#REF!</v>
      </c>
      <c r="BP84" s="1">
        <f>AW84+BP26</f>
        <v>353.505084745761</v>
      </c>
      <c r="BR84" s="3" t="e">
        <f t="shared" si="193"/>
        <v>#REF!</v>
      </c>
      <c r="BS84" s="1">
        <f>AX84+BS26</f>
        <v>714.810169491525</v>
      </c>
      <c r="BU84" s="3" t="e">
        <f t="shared" si="195"/>
        <v>#REF!</v>
      </c>
      <c r="BV84" s="1">
        <f>AY84+BV26</f>
        <v>573.677148247383</v>
      </c>
      <c r="BX84" s="3" t="e">
        <f t="shared" si="224"/>
        <v>#REF!</v>
      </c>
      <c r="BY84" s="1">
        <f>AZ84+BY26</f>
        <v>639.809610540787</v>
      </c>
      <c r="CA84" s="3" t="e">
        <f t="shared" si="226"/>
        <v>#REF!</v>
      </c>
    </row>
    <row hidden="1" r="85" ht="14.0" outlineLevel="1">
      <c r="A85" s="27" t="s">
        <v>28</v>
      </c>
      <c r="B85" s="27" t="s">
        <v>29</v>
      </c>
      <c r="C85" s="27" t="s">
        <v>80</v>
      </c>
      <c r="D85" s="27" t="s">
        <v>81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0.0</v>
      </c>
      <c r="AC85" s="27">
        <v>0.0</v>
      </c>
      <c r="AD85" s="27">
        <v>360.0</v>
      </c>
      <c r="AE85" s="27">
        <v>0.0</v>
      </c>
      <c r="AF85" s="27">
        <v>60.0</v>
      </c>
      <c r="AG85" s="27">
        <v>60.0</v>
      </c>
      <c r="AH85" s="27">
        <v>60.0</v>
      </c>
      <c r="AI85" s="27">
        <v>120.0</v>
      </c>
      <c r="AJ85" s="27">
        <v>60.0</v>
      </c>
      <c r="AK85" s="27">
        <v>180.0</v>
      </c>
      <c r="AL85" s="27">
        <v>120.0</v>
      </c>
      <c r="AM85" s="27">
        <v>60.0</v>
      </c>
      <c r="AN85" s="27">
        <v>120.0</v>
      </c>
      <c r="AO85" s="27"/>
      <c r="AP85" s="27"/>
      <c r="AQ85" s="28">
        <f t="shared" si="175"/>
        <v>1080.0</v>
      </c>
      <c r="AR85" s="28">
        <f t="shared" si="176"/>
        <v>600.0</v>
      </c>
      <c r="AS85" s="28">
        <f t="shared" si="177"/>
        <v>660.0</v>
      </c>
      <c r="AU85" s="3">
        <f t="shared" si="262"/>
        <v>396.0</v>
      </c>
      <c r="AV85" s="3">
        <f t="shared" si="250"/>
        <v>0.0</v>
      </c>
      <c r="AW85" s="3">
        <f t="shared" si="263"/>
        <v>66.0</v>
      </c>
      <c r="AX85" s="3">
        <f t="shared" si="264"/>
        <v>66.0</v>
      </c>
      <c r="AY85" s="28"/>
      <c r="AZ85" s="28"/>
      <c r="BA85" s="28">
        <f t="shared" ref="BA85:BA100" si="274">SUM(AU85:AX85)</f>
        <v>528.0</v>
      </c>
      <c r="BB85" s="2" t="e">
        <f t="shared" si="183"/>
        <v>#REF!</v>
      </c>
      <c r="BD85" s="36" t="e">
        <f t="shared" ref="BD85:BD86" si="275">VLOOKUP(C85,AUGUST,3,false)</f>
        <v>#REF!</v>
      </c>
      <c r="BE85" s="3" t="e">
        <f>BB85+BC85+BD85-BA85-BA31</f>
        <v>#REF!</v>
      </c>
      <c r="BF85" s="1">
        <f>VLOOKUP(C85,MOQ,3,FALSE())</f>
        <v>3000.0</v>
      </c>
      <c r="BI85" s="1" t="e">
        <f t="shared" si="187"/>
        <v>#REF!</v>
      </c>
      <c r="BJ85" s="1">
        <f>AU85+BJ31</f>
        <v>993.200564971751</v>
      </c>
      <c r="BL85" s="3" t="e">
        <f t="shared" ref="BL85:BL100" si="278">#REF!+BK85-BJ85</f>
        <v>#REF!</v>
      </c>
      <c r="BM85" s="1">
        <f>AV85+BM31</f>
        <v>490.782485875706</v>
      </c>
      <c r="BO85" s="3" t="e">
        <f t="shared" si="191"/>
        <v>#REF!</v>
      </c>
      <c r="BP85" s="1">
        <f>AW85+BP31</f>
        <v>450.364406779661</v>
      </c>
      <c r="BR85" s="3" t="e">
        <f t="shared" si="193"/>
        <v>#REF!</v>
      </c>
      <c r="BS85" s="1">
        <f>AX85+BS31</f>
        <v>834.728813559322</v>
      </c>
      <c r="BU85" s="3" t="e">
        <f t="shared" si="195"/>
        <v>#REF!</v>
      </c>
    </row>
    <row hidden="1" r="86" ht="14.0" outlineLevel="1">
      <c r="A86" s="27" t="s">
        <v>28</v>
      </c>
      <c r="B86" s="27" t="s">
        <v>29</v>
      </c>
      <c r="C86" s="27" t="s">
        <v>86</v>
      </c>
      <c r="D86" s="27" t="s">
        <v>87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324.0</v>
      </c>
      <c r="AE86" s="27">
        <v>0.0</v>
      </c>
      <c r="AF86" s="27">
        <v>60.0</v>
      </c>
      <c r="AG86" s="27">
        <v>60.0</v>
      </c>
      <c r="AH86" s="27">
        <v>60.0</v>
      </c>
      <c r="AI86" s="27">
        <v>60.0</v>
      </c>
      <c r="AJ86" s="27">
        <v>60.0</v>
      </c>
      <c r="AK86" s="27">
        <v>240.0</v>
      </c>
      <c r="AL86" s="27">
        <v>60.0</v>
      </c>
      <c r="AM86" s="27">
        <v>60.0</v>
      </c>
      <c r="AN86" s="27">
        <v>60.0</v>
      </c>
      <c r="AO86" s="27"/>
      <c r="AP86" s="27"/>
      <c r="AQ86" s="28">
        <f t="shared" si="175"/>
        <v>984.0</v>
      </c>
      <c r="AR86" s="28">
        <f t="shared" si="176"/>
        <v>540.0</v>
      </c>
      <c r="AS86" s="28">
        <f t="shared" si="177"/>
        <v>594.0</v>
      </c>
      <c r="AU86" s="3">
        <f t="shared" si="262"/>
        <v>356.4</v>
      </c>
      <c r="AV86" s="3">
        <f t="shared" si="250"/>
        <v>0.0</v>
      </c>
      <c r="AW86" s="3">
        <f t="shared" si="263"/>
        <v>66.0</v>
      </c>
      <c r="AX86" s="3">
        <f t="shared" si="264"/>
        <v>66.0</v>
      </c>
      <c r="AY86" s="28"/>
      <c r="AZ86" s="28"/>
      <c r="BA86" s="28">
        <f t="shared" si="274"/>
        <v>488.4</v>
      </c>
      <c r="BB86" s="2" t="e">
        <f t="shared" si="183"/>
        <v>#REF!</v>
      </c>
      <c r="BD86" s="36" t="e">
        <f t="shared" si="275"/>
        <v>#REF!</v>
      </c>
      <c r="BE86" s="3" t="e">
        <f t="shared" ref="BE86:BE87" si="282">BB86+BC86+BD86-BA86-BA34</f>
        <v>#REF!</v>
      </c>
      <c r="BF86" s="1">
        <f>VLOOKUP(C86,MOQ,3,FALSE())</f>
        <v>3000.0</v>
      </c>
      <c r="BI86" s="1" t="e">
        <f t="shared" si="187"/>
        <v>#REF!</v>
      </c>
      <c r="BJ86" s="1">
        <f t="shared" ref="BJ86:BJ87" si="283">AU86+BJ34</f>
        <v>809.99604519774</v>
      </c>
      <c r="BL86" s="3" t="e">
        <f t="shared" si="278"/>
        <v>#REF!</v>
      </c>
      <c r="BM86" s="1">
        <f t="shared" ref="BM86:BM87" si="284">AV86+BM34</f>
        <v>372.522598870056</v>
      </c>
      <c r="BO86" s="3" t="e">
        <f t="shared" si="191"/>
        <v>#REF!</v>
      </c>
      <c r="BP86" s="1">
        <f t="shared" ref="BP86:BP87" si="285">AW86+BP34</f>
        <v>357.449152542372</v>
      </c>
      <c r="BR86" s="3" t="e">
        <f t="shared" si="193"/>
        <v>#REF!</v>
      </c>
      <c r="BS86" s="1">
        <f t="shared" ref="BS86:BS87" si="286">AX86+BS34</f>
        <v>648.898305084746</v>
      </c>
      <c r="BU86" s="3" t="e">
        <f t="shared" si="195"/>
        <v>#REF!</v>
      </c>
    </row>
    <row hidden="1" r="87" ht="14.0" outlineLevel="1">
      <c r="A87" s="27" t="s">
        <v>28</v>
      </c>
      <c r="B87" s="27" t="s">
        <v>29</v>
      </c>
      <c r="C87" s="27" t="s">
        <v>88</v>
      </c>
      <c r="D87" s="27" t="s">
        <v>89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324.0</v>
      </c>
      <c r="AE87" s="27">
        <v>0.0</v>
      </c>
      <c r="AF87" s="27">
        <v>0.0</v>
      </c>
      <c r="AG87" s="27">
        <v>0.0</v>
      </c>
      <c r="AH87" s="27">
        <v>60.0</v>
      </c>
      <c r="AI87" s="27">
        <v>120.0</v>
      </c>
      <c r="AJ87" s="27">
        <v>60.0</v>
      </c>
      <c r="AK87" s="27">
        <v>120.0</v>
      </c>
      <c r="AL87" s="27">
        <v>60.0</v>
      </c>
      <c r="AM87" s="27">
        <v>66.0</v>
      </c>
      <c r="AN87" s="27">
        <v>60.0</v>
      </c>
      <c r="AO87" s="27"/>
      <c r="AP87" s="27"/>
      <c r="AQ87" s="28">
        <f t="shared" si="175"/>
        <v>810.0</v>
      </c>
      <c r="AR87" s="28">
        <f t="shared" si="176"/>
        <v>486.0</v>
      </c>
      <c r="AS87" s="28">
        <f t="shared" si="177"/>
        <v>534.6</v>
      </c>
      <c r="AU87" s="3">
        <f t="shared" si="262"/>
        <v>356.4</v>
      </c>
      <c r="AV87" s="3">
        <f t="shared" si="250"/>
        <v>0.0</v>
      </c>
      <c r="AW87" s="3">
        <f t="shared" si="263"/>
        <v>0.0</v>
      </c>
      <c r="AX87" s="3">
        <f t="shared" si="264"/>
        <v>0.0</v>
      </c>
      <c r="AY87" s="28"/>
      <c r="AZ87" s="28"/>
      <c r="BA87" s="28">
        <f t="shared" si="274"/>
        <v>356.4</v>
      </c>
      <c r="BB87" s="2" t="e">
        <f t="shared" si="183"/>
        <v>#REF!</v>
      </c>
      <c r="BD87" s="36"/>
      <c r="BE87" s="3" t="e">
        <f t="shared" si="282"/>
        <v>#REF!</v>
      </c>
      <c r="BF87" s="1">
        <f>VLOOKUP(C87,MOQ,3,FALSE())</f>
        <v>3000.0</v>
      </c>
      <c r="BI87" s="1" t="e">
        <f t="shared" si="187"/>
        <v>#REF!</v>
      </c>
      <c r="BJ87" s="1">
        <f t="shared" si="283"/>
        <v>696.860451977401</v>
      </c>
      <c r="BL87" s="3" t="e">
        <f t="shared" si="278"/>
        <v>#REF!</v>
      </c>
      <c r="BM87" s="1">
        <f t="shared" si="284"/>
        <v>279.725988700564</v>
      </c>
      <c r="BO87" s="3" t="e">
        <f t="shared" si="191"/>
        <v>#REF!</v>
      </c>
      <c r="BP87" s="1">
        <f t="shared" si="285"/>
        <v>218.991525423729</v>
      </c>
      <c r="BR87" s="3" t="e">
        <f t="shared" si="193"/>
        <v>#REF!</v>
      </c>
      <c r="BS87" s="1">
        <f t="shared" si="286"/>
        <v>437.983050847458</v>
      </c>
      <c r="BU87" s="3" t="e">
        <f t="shared" si="195"/>
        <v>#REF!</v>
      </c>
    </row>
    <row hidden="1" r="88" ht="14.0" outlineLevel="1">
      <c r="A88" s="27" t="s">
        <v>28</v>
      </c>
      <c r="B88" s="27" t="s">
        <v>29</v>
      </c>
      <c r="C88" s="27" t="s">
        <v>94</v>
      </c>
      <c r="D88" s="27" t="s">
        <v>95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36.0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0.0</v>
      </c>
      <c r="AK88" s="27">
        <v>120.0</v>
      </c>
      <c r="AL88" s="27">
        <v>0.0</v>
      </c>
      <c r="AM88" s="27">
        <v>0.0</v>
      </c>
      <c r="AN88" s="27">
        <v>0.0</v>
      </c>
      <c r="AO88" s="27"/>
      <c r="AP88" s="27"/>
      <c r="AQ88" s="28">
        <f t="shared" si="175"/>
        <v>156.0</v>
      </c>
      <c r="AR88" s="28">
        <f t="shared" si="176"/>
        <v>120.0</v>
      </c>
      <c r="AS88" s="28">
        <f t="shared" si="177"/>
        <v>132.0</v>
      </c>
      <c r="AU88" s="3">
        <f t="shared" si="262"/>
        <v>39.6</v>
      </c>
      <c r="AV88" s="3">
        <f t="shared" si="250"/>
        <v>0.0</v>
      </c>
      <c r="AW88" s="3">
        <f t="shared" si="263"/>
        <v>0.0</v>
      </c>
      <c r="AX88" s="3">
        <f t="shared" si="264"/>
        <v>0.0</v>
      </c>
      <c r="AY88" s="28"/>
      <c r="AZ88" s="28"/>
      <c r="BA88" s="28">
        <f t="shared" si="274"/>
        <v>39.6</v>
      </c>
      <c r="BB88" s="2" t="e">
        <f t="shared" si="183"/>
        <v>#REF!</v>
      </c>
      <c r="BD88" s="36"/>
      <c r="BE88" s="3" t="e">
        <f>BB88+BC88+BD88-BA88-BA38</f>
        <v>#REF!</v>
      </c>
      <c r="BF88" s="1">
        <f>VLOOKUP(C88,MOQ,3,FALSE())</f>
        <v>480.0</v>
      </c>
      <c r="BI88" s="1" t="e">
        <f t="shared" si="187"/>
        <v>#REF!</v>
      </c>
      <c r="BJ88" s="1">
        <f>AU88+BJ38</f>
        <v>151.478531073446</v>
      </c>
      <c r="BL88" s="3" t="e">
        <f t="shared" si="278"/>
        <v>#REF!</v>
      </c>
      <c r="BM88" s="1">
        <f>AV88+BM38</f>
        <v>91.7655367231638</v>
      </c>
      <c r="BO88" s="3" t="e">
        <f t="shared" si="191"/>
        <v>#REF!</v>
      </c>
      <c r="BP88" s="1">
        <f>AW88+BP38</f>
        <v>71.6525423728813</v>
      </c>
      <c r="BR88" s="3" t="e">
        <f t="shared" si="193"/>
        <v>#REF!</v>
      </c>
      <c r="BS88" s="1">
        <f>AX88+BS38</f>
        <v>143.305084745762</v>
      </c>
      <c r="BU88" s="3" t="e">
        <f t="shared" si="195"/>
        <v>#REF!</v>
      </c>
    </row>
    <row hidden="1" r="89" ht="14.0" outlineLevel="1">
      <c r="A89" s="27" t="s">
        <v>150</v>
      </c>
      <c r="B89" s="27" t="s">
        <v>151</v>
      </c>
      <c r="C89" s="27" t="s">
        <v>152</v>
      </c>
      <c r="D89" s="27" t="s">
        <v>153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400.0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0.0</v>
      </c>
      <c r="AE89" s="27">
        <v>0.0</v>
      </c>
      <c r="AF89" s="27">
        <v>0.0</v>
      </c>
      <c r="AG89" s="27">
        <v>0.0</v>
      </c>
      <c r="AH89" s="27">
        <v>0.0</v>
      </c>
      <c r="AI89" s="27">
        <v>0.0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7"/>
      <c r="AP89" s="27"/>
      <c r="AQ89" s="28">
        <f t="shared" si="175"/>
        <v>0.0</v>
      </c>
      <c r="AR89" s="28">
        <f t="shared" si="176"/>
        <v>0.0</v>
      </c>
      <c r="AS89" s="28">
        <f t="shared" si="177"/>
        <v>0.0</v>
      </c>
      <c r="AU89" s="3">
        <f t="shared" si="262"/>
        <v>0.0</v>
      </c>
      <c r="AV89" s="3">
        <f t="shared" si="250"/>
        <v>0.0</v>
      </c>
      <c r="AW89" s="3">
        <f t="shared" si="263"/>
        <v>0.0</v>
      </c>
      <c r="AX89" s="3">
        <f t="shared" si="264"/>
        <v>0.0</v>
      </c>
      <c r="AY89" s="28"/>
      <c r="AZ89" s="28"/>
      <c r="BA89" s="28">
        <f t="shared" si="274"/>
        <v>0.0</v>
      </c>
      <c r="BB89" s="2" t="e">
        <f t="shared" si="183"/>
        <v>#REF!</v>
      </c>
      <c r="BD89" s="36"/>
      <c r="BE89" s="3" t="e">
        <f t="shared" ref="BE89:BE100" si="292">BB89+BC89+BD89-BA89</f>
        <v>#REF!</v>
      </c>
      <c r="BF89" s="1">
        <f>VLOOKUP(C89,MOQ,3,FALSE())</f>
        <v>1000.0</v>
      </c>
      <c r="BI89" s="1" t="e">
        <f t="shared" si="187"/>
        <v>#REF!</v>
      </c>
      <c r="BJ89" s="1">
        <f t="shared" ref="BJ89:BJ100" si="293">AU89</f>
        <v>0.0</v>
      </c>
      <c r="BL89" s="3" t="e">
        <f t="shared" si="278"/>
        <v>#REF!</v>
      </c>
      <c r="BM89" s="1">
        <f t="shared" ref="BM89:BM100" si="294">AV89</f>
        <v>0.0</v>
      </c>
      <c r="BO89" s="3" t="e">
        <f t="shared" si="191"/>
        <v>#REF!</v>
      </c>
      <c r="BP89" s="1">
        <f t="shared" ref="BP89:BP100" si="295">AW89</f>
        <v>0.0</v>
      </c>
      <c r="BR89" s="3" t="e">
        <f t="shared" si="193"/>
        <v>#REF!</v>
      </c>
      <c r="BS89" s="1">
        <f t="shared" ref="BS89:BS100" si="296">AX89</f>
        <v>0.0</v>
      </c>
      <c r="BU89" s="3" t="e">
        <f t="shared" si="195"/>
        <v>#REF!</v>
      </c>
    </row>
    <row hidden="1" r="90" ht="14.0" outlineLevel="1">
      <c r="A90" s="27" t="s">
        <v>45</v>
      </c>
      <c r="B90" s="27" t="s">
        <v>151</v>
      </c>
      <c r="C90" s="27" t="s">
        <v>154</v>
      </c>
      <c r="D90" s="27" t="s">
        <v>155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192.0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7"/>
      <c r="AP90" s="27"/>
      <c r="AQ90" s="28">
        <f t="shared" si="175"/>
        <v>0.0</v>
      </c>
      <c r="AR90" s="28">
        <f t="shared" si="176"/>
        <v>0.0</v>
      </c>
      <c r="AS90" s="28">
        <f t="shared" si="177"/>
        <v>0.0</v>
      </c>
      <c r="AU90" s="3">
        <f t="shared" si="262"/>
        <v>0.0</v>
      </c>
      <c r="AV90" s="3">
        <f t="shared" si="250"/>
        <v>0.0</v>
      </c>
      <c r="AW90" s="3">
        <f t="shared" si="263"/>
        <v>0.0</v>
      </c>
      <c r="AX90" s="3">
        <f t="shared" si="264"/>
        <v>0.0</v>
      </c>
      <c r="AY90" s="28"/>
      <c r="AZ90" s="28"/>
      <c r="BA90" s="28">
        <f t="shared" si="274"/>
        <v>0.0</v>
      </c>
      <c r="BB90" s="2" t="e">
        <f t="shared" si="183"/>
        <v>#REF!</v>
      </c>
      <c r="BD90" s="36"/>
      <c r="BE90" s="3" t="e">
        <f t="shared" si="292"/>
        <v>#REF!</v>
      </c>
      <c r="BF90" s="1">
        <f>VLOOKUP(C90,MOQ,3,FALSE())</f>
        <v>1008.0</v>
      </c>
      <c r="BG90" s="31"/>
      <c r="BI90" s="1" t="e">
        <f t="shared" si="187"/>
        <v>#REF!</v>
      </c>
      <c r="BJ90" s="1">
        <f t="shared" si="293"/>
        <v>0.0</v>
      </c>
      <c r="BL90" s="3" t="e">
        <f t="shared" si="278"/>
        <v>#REF!</v>
      </c>
      <c r="BM90" s="1">
        <f t="shared" si="294"/>
        <v>0.0</v>
      </c>
      <c r="BO90" s="3" t="e">
        <f t="shared" si="191"/>
        <v>#REF!</v>
      </c>
      <c r="BP90" s="1">
        <f t="shared" si="295"/>
        <v>0.0</v>
      </c>
      <c r="BR90" s="3" t="e">
        <f t="shared" si="193"/>
        <v>#REF!</v>
      </c>
      <c r="BS90" s="1">
        <f t="shared" si="296"/>
        <v>0.0</v>
      </c>
      <c r="BU90" s="3" t="e">
        <f t="shared" si="195"/>
        <v>#REF!</v>
      </c>
    </row>
    <row hidden="1" r="91" ht="14.0" outlineLevel="1">
      <c r="A91" s="27" t="s">
        <v>45</v>
      </c>
      <c r="B91" s="27" t="s">
        <v>151</v>
      </c>
      <c r="C91" s="27" t="s">
        <v>156</v>
      </c>
      <c r="D91" s="27" t="s">
        <v>157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240.0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168.0</v>
      </c>
      <c r="AE91" s="27">
        <v>0.0</v>
      </c>
      <c r="AF91" s="27">
        <v>48.0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7"/>
      <c r="AP91" s="27"/>
      <c r="AQ91" s="28">
        <f t="shared" si="175"/>
        <v>216.0</v>
      </c>
      <c r="AR91" s="28">
        <f t="shared" si="176"/>
        <v>0.0</v>
      </c>
      <c r="AS91" s="28">
        <f t="shared" si="177"/>
        <v>0.0</v>
      </c>
      <c r="AU91" s="3">
        <f t="shared" si="262"/>
        <v>184.8</v>
      </c>
      <c r="AV91" s="3">
        <f t="shared" si="250"/>
        <v>0.0</v>
      </c>
      <c r="AW91" s="3">
        <f t="shared" si="263"/>
        <v>52.8</v>
      </c>
      <c r="AX91" s="3">
        <f t="shared" si="264"/>
        <v>0.0</v>
      </c>
      <c r="AY91" s="28"/>
      <c r="AZ91" s="28"/>
      <c r="BA91" s="28">
        <f t="shared" si="274"/>
        <v>237.6</v>
      </c>
      <c r="BB91" s="2" t="e">
        <f t="shared" si="183"/>
        <v>#REF!</v>
      </c>
      <c r="BD91" s="36"/>
      <c r="BE91" s="3" t="e">
        <f t="shared" si="292"/>
        <v>#REF!</v>
      </c>
      <c r="BF91" s="1">
        <f>VLOOKUP(C91,MOQ,3,FALSE())</f>
        <v>1008.0</v>
      </c>
      <c r="BG91" s="31">
        <f>BF91</f>
        <v>1008.0</v>
      </c>
      <c r="BH91" s="1" t="s">
        <v>7</v>
      </c>
      <c r="BI91" s="1" t="e">
        <f t="shared" si="187"/>
        <v>#REF!</v>
      </c>
      <c r="BJ91" s="1">
        <f t="shared" si="293"/>
        <v>184.8</v>
      </c>
      <c r="BL91" s="3" t="e">
        <f t="shared" si="278"/>
        <v>#REF!</v>
      </c>
      <c r="BM91" s="1">
        <f t="shared" si="294"/>
        <v>0.0</v>
      </c>
      <c r="BO91" s="3" t="e">
        <f t="shared" si="191"/>
        <v>#REF!</v>
      </c>
      <c r="BP91" s="1">
        <f t="shared" si="295"/>
        <v>52.8</v>
      </c>
      <c r="BR91" s="3" t="e">
        <f t="shared" si="193"/>
        <v>#REF!</v>
      </c>
      <c r="BS91" s="1">
        <f t="shared" si="296"/>
        <v>0.0</v>
      </c>
      <c r="BU91" s="3" t="e">
        <f t="shared" si="195"/>
        <v>#REF!</v>
      </c>
    </row>
    <row hidden="1" r="92" ht="14.0" outlineLevel="1">
      <c r="A92" s="27" t="s">
        <v>45</v>
      </c>
      <c r="B92" s="27" t="s">
        <v>151</v>
      </c>
      <c r="C92" s="27" t="s">
        <v>158</v>
      </c>
      <c r="D92" s="27" t="s">
        <v>159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144.0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0.0</v>
      </c>
      <c r="AG92" s="27">
        <v>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7"/>
      <c r="AP92" s="27"/>
      <c r="AQ92" s="28">
        <f t="shared" si="175"/>
        <v>0.0</v>
      </c>
      <c r="AR92" s="28">
        <f t="shared" si="176"/>
        <v>0.0</v>
      </c>
      <c r="AS92" s="28">
        <f t="shared" si="177"/>
        <v>0.0</v>
      </c>
      <c r="AU92" s="3">
        <f t="shared" si="262"/>
        <v>0.0</v>
      </c>
      <c r="AV92" s="3">
        <f t="shared" si="250"/>
        <v>0.0</v>
      </c>
      <c r="AW92" s="3">
        <f t="shared" si="263"/>
        <v>0.0</v>
      </c>
      <c r="AX92" s="3">
        <f t="shared" si="264"/>
        <v>0.0</v>
      </c>
      <c r="AY92" s="28"/>
      <c r="AZ92" s="28"/>
      <c r="BA92" s="28">
        <f t="shared" si="274"/>
        <v>0.0</v>
      </c>
      <c r="BB92" s="2" t="e">
        <f t="shared" si="183"/>
        <v>#REF!</v>
      </c>
      <c r="BD92" s="36"/>
      <c r="BE92" s="3" t="e">
        <f t="shared" si="292"/>
        <v>#REF!</v>
      </c>
      <c r="BF92" s="1">
        <v>1008.0</v>
      </c>
      <c r="BG92" s="31"/>
      <c r="BI92" s="1" t="e">
        <f t="shared" si="187"/>
        <v>#REF!</v>
      </c>
      <c r="BJ92" s="1">
        <f t="shared" si="293"/>
        <v>0.0</v>
      </c>
      <c r="BL92" s="3" t="e">
        <f t="shared" si="278"/>
        <v>#REF!</v>
      </c>
      <c r="BM92" s="1">
        <f t="shared" si="294"/>
        <v>0.0</v>
      </c>
      <c r="BO92" s="3" t="e">
        <f t="shared" si="191"/>
        <v>#REF!</v>
      </c>
      <c r="BP92" s="1">
        <f t="shared" si="295"/>
        <v>0.0</v>
      </c>
      <c r="BR92" s="3" t="e">
        <f t="shared" si="193"/>
        <v>#REF!</v>
      </c>
      <c r="BS92" s="1">
        <f t="shared" si="296"/>
        <v>0.0</v>
      </c>
      <c r="BU92" s="3" t="e">
        <f t="shared" si="195"/>
        <v>#REF!</v>
      </c>
    </row>
    <row hidden="1" r="93" ht="14.0" outlineLevel="1">
      <c r="A93" s="27" t="s">
        <v>45</v>
      </c>
      <c r="B93" s="27" t="s">
        <v>151</v>
      </c>
      <c r="C93" s="27" t="s">
        <v>160</v>
      </c>
      <c r="D93" s="27" t="s">
        <v>161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0.0</v>
      </c>
      <c r="N93" s="27">
        <v>0.0</v>
      </c>
      <c r="O93" s="27">
        <v>0.0</v>
      </c>
      <c r="P93" s="27">
        <v>0.0</v>
      </c>
      <c r="Q93" s="27">
        <v>144.0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47.0</v>
      </c>
      <c r="AF93" s="27">
        <v>-1.0</v>
      </c>
      <c r="AG93" s="27">
        <v>0.0</v>
      </c>
      <c r="AH93" s="27">
        <v>16.0</v>
      </c>
      <c r="AI93" s="27">
        <v>16.0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7"/>
      <c r="AP93" s="27"/>
      <c r="AQ93" s="28">
        <f t="shared" si="175"/>
        <v>78.0</v>
      </c>
      <c r="AR93" s="28">
        <f t="shared" si="176"/>
        <v>32.0</v>
      </c>
      <c r="AS93" s="28">
        <f t="shared" si="177"/>
        <v>35.2</v>
      </c>
      <c r="AU93" s="3">
        <f t="shared" si="262"/>
        <v>0.0</v>
      </c>
      <c r="AV93" s="3">
        <f t="shared" si="250"/>
        <v>51.7</v>
      </c>
      <c r="AW93" s="3">
        <f t="shared" si="263"/>
        <v>-1.1</v>
      </c>
      <c r="AX93" s="3">
        <f t="shared" si="264"/>
        <v>0.0</v>
      </c>
      <c r="AY93" s="28"/>
      <c r="AZ93" s="28"/>
      <c r="BA93" s="28">
        <f t="shared" si="274"/>
        <v>50.6</v>
      </c>
      <c r="BB93" s="2" t="e">
        <f t="shared" si="183"/>
        <v>#REF!</v>
      </c>
      <c r="BD93" s="36"/>
      <c r="BE93" s="3" t="e">
        <f t="shared" si="292"/>
        <v>#REF!</v>
      </c>
      <c r="BF93" s="1">
        <f>VLOOKUP(C93,MOQ,3,FALSE())</f>
        <v>1000.0</v>
      </c>
      <c r="BG93" s="31">
        <f>BF93</f>
        <v>1000.0</v>
      </c>
      <c r="BH93" s="1" t="s">
        <v>8</v>
      </c>
      <c r="BI93" s="1" t="e">
        <f t="shared" si="187"/>
        <v>#REF!</v>
      </c>
      <c r="BJ93" s="1">
        <f t="shared" si="293"/>
        <v>0.0</v>
      </c>
      <c r="BL93" s="3" t="e">
        <f t="shared" si="278"/>
        <v>#REF!</v>
      </c>
      <c r="BM93" s="1">
        <f t="shared" si="294"/>
        <v>51.7</v>
      </c>
      <c r="BO93" s="3" t="e">
        <f t="shared" si="191"/>
        <v>#REF!</v>
      </c>
      <c r="BP93" s="1">
        <f t="shared" si="295"/>
        <v>-1.1</v>
      </c>
      <c r="BR93" s="3" t="e">
        <f t="shared" si="193"/>
        <v>#REF!</v>
      </c>
      <c r="BS93" s="1">
        <f t="shared" si="296"/>
        <v>0.0</v>
      </c>
      <c r="BU93" s="3" t="e">
        <f t="shared" si="195"/>
        <v>#REF!</v>
      </c>
    </row>
    <row hidden="1" r="94" ht="14.0" outlineLevel="1">
      <c r="A94" s="27" t="s">
        <v>150</v>
      </c>
      <c r="B94" s="27" t="s">
        <v>151</v>
      </c>
      <c r="C94" s="27" t="s">
        <v>162</v>
      </c>
      <c r="D94" s="27" t="s">
        <v>163</v>
      </c>
      <c r="E94" s="27">
        <v>0.0</v>
      </c>
      <c r="F94" s="27">
        <v>0.0</v>
      </c>
      <c r="G94" s="27">
        <v>0.0</v>
      </c>
      <c r="H94" s="27">
        <v>0.0</v>
      </c>
      <c r="I94" s="27">
        <v>0.0</v>
      </c>
      <c r="J94" s="27">
        <v>0.0</v>
      </c>
      <c r="K94" s="27">
        <v>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7">
        <v>144.0</v>
      </c>
      <c r="R94" s="27">
        <v>0.0</v>
      </c>
      <c r="S94" s="27">
        <v>0.0</v>
      </c>
      <c r="T94" s="27">
        <v>0.0</v>
      </c>
      <c r="U94" s="27">
        <v>0.0</v>
      </c>
      <c r="V94" s="27">
        <v>0.0</v>
      </c>
      <c r="W94" s="27">
        <v>0.0</v>
      </c>
      <c r="X94" s="27">
        <v>0.0</v>
      </c>
      <c r="Y94" s="27">
        <v>0.0</v>
      </c>
      <c r="Z94" s="27">
        <v>0.0</v>
      </c>
      <c r="AA94" s="27">
        <v>0.0</v>
      </c>
      <c r="AB94" s="27">
        <v>0.0</v>
      </c>
      <c r="AC94" s="27">
        <v>0.0</v>
      </c>
      <c r="AD94" s="27">
        <v>0.0</v>
      </c>
      <c r="AE94" s="27">
        <v>31.0</v>
      </c>
      <c r="AF94" s="27">
        <v>0.0</v>
      </c>
      <c r="AG94" s="27">
        <v>0.0</v>
      </c>
      <c r="AH94" s="27">
        <v>0.0</v>
      </c>
      <c r="AI94" s="27">
        <v>8.0</v>
      </c>
      <c r="AJ94" s="27">
        <v>8.0</v>
      </c>
      <c r="AK94" s="27">
        <v>24.0</v>
      </c>
      <c r="AL94" s="27">
        <v>0.0</v>
      </c>
      <c r="AM94" s="27">
        <v>0.0</v>
      </c>
      <c r="AN94" s="27">
        <v>0.0</v>
      </c>
      <c r="AO94" s="27"/>
      <c r="AP94" s="27"/>
      <c r="AQ94" s="28">
        <f t="shared" si="175"/>
        <v>71.0</v>
      </c>
      <c r="AR94" s="28">
        <f t="shared" si="176"/>
        <v>40.0</v>
      </c>
      <c r="AS94" s="28">
        <f t="shared" si="177"/>
        <v>44.0</v>
      </c>
      <c r="AU94" s="3">
        <f t="shared" si="262"/>
        <v>0.0</v>
      </c>
      <c r="AV94" s="3">
        <f t="shared" si="250"/>
        <v>34.1</v>
      </c>
      <c r="AW94" s="3">
        <f t="shared" si="263"/>
        <v>0.0</v>
      </c>
      <c r="AX94" s="3">
        <f t="shared" si="264"/>
        <v>0.0</v>
      </c>
      <c r="AY94" s="28"/>
      <c r="AZ94" s="28"/>
      <c r="BA94" s="28">
        <f t="shared" si="274"/>
        <v>34.1</v>
      </c>
      <c r="BB94" s="2" t="e">
        <f t="shared" si="183"/>
        <v>#REF!</v>
      </c>
      <c r="BD94" s="36"/>
      <c r="BE94" s="3" t="e">
        <f t="shared" si="292"/>
        <v>#REF!</v>
      </c>
      <c r="BF94" s="1">
        <f>VLOOKUP(C94,MOQ,3,FALSE())</f>
        <v>1008.0</v>
      </c>
      <c r="BI94" s="1" t="e">
        <f t="shared" si="187"/>
        <v>#REF!</v>
      </c>
      <c r="BJ94" s="1">
        <f t="shared" si="293"/>
        <v>0.0</v>
      </c>
      <c r="BL94" s="3" t="e">
        <f t="shared" si="278"/>
        <v>#REF!</v>
      </c>
      <c r="BM94" s="1">
        <f t="shared" si="294"/>
        <v>34.1</v>
      </c>
      <c r="BO94" s="3" t="e">
        <f t="shared" si="191"/>
        <v>#REF!</v>
      </c>
      <c r="BP94" s="1">
        <f t="shared" si="295"/>
        <v>0.0</v>
      </c>
      <c r="BR94" s="3" t="e">
        <f t="shared" si="193"/>
        <v>#REF!</v>
      </c>
      <c r="BS94" s="1">
        <f t="shared" si="296"/>
        <v>0.0</v>
      </c>
      <c r="BU94" s="3" t="e">
        <f t="shared" si="195"/>
        <v>#REF!</v>
      </c>
    </row>
    <row hidden="1" r="95" ht="14.0" outlineLevel="1">
      <c r="A95" s="27" t="s">
        <v>45</v>
      </c>
      <c r="B95" s="27" t="s">
        <v>151</v>
      </c>
      <c r="C95" s="27" t="s">
        <v>164</v>
      </c>
      <c r="D95" s="27" t="s">
        <v>165</v>
      </c>
      <c r="E95" s="27">
        <v>0.0</v>
      </c>
      <c r="F95" s="27">
        <v>0.0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0.0</v>
      </c>
      <c r="M95" s="27">
        <v>0.0</v>
      </c>
      <c r="N95" s="27">
        <v>0.0</v>
      </c>
      <c r="O95" s="27">
        <v>0.0</v>
      </c>
      <c r="P95" s="27">
        <v>0.0</v>
      </c>
      <c r="Q95" s="27">
        <v>0.0</v>
      </c>
      <c r="R95" s="27">
        <v>0.0</v>
      </c>
      <c r="S95" s="27">
        <v>0.0</v>
      </c>
      <c r="T95" s="27">
        <v>0.0</v>
      </c>
      <c r="U95" s="27">
        <v>0.0</v>
      </c>
      <c r="V95" s="27">
        <v>0.0</v>
      </c>
      <c r="W95" s="27">
        <v>0.0</v>
      </c>
      <c r="X95" s="27">
        <v>0.0</v>
      </c>
      <c r="Y95" s="27">
        <v>0.0</v>
      </c>
      <c r="Z95" s="27">
        <v>0.0</v>
      </c>
      <c r="AA95" s="27">
        <v>0.0</v>
      </c>
      <c r="AB95" s="27">
        <v>0.0</v>
      </c>
      <c r="AC95" s="27">
        <v>0.0</v>
      </c>
      <c r="AD95" s="27">
        <v>0.0</v>
      </c>
      <c r="AE95" s="27">
        <v>0.0</v>
      </c>
      <c r="AF95" s="27">
        <v>1.0</v>
      </c>
      <c r="AG95" s="27">
        <v>224.0</v>
      </c>
      <c r="AH95" s="27">
        <v>0.0</v>
      </c>
      <c r="AI95" s="27">
        <v>0.0</v>
      </c>
      <c r="AJ95" s="27">
        <v>0.0</v>
      </c>
      <c r="AK95" s="27">
        <v>0.0</v>
      </c>
      <c r="AL95" s="27">
        <v>0.0</v>
      </c>
      <c r="AM95" s="27">
        <v>0.0</v>
      </c>
      <c r="AN95" s="27">
        <v>0.0</v>
      </c>
      <c r="AO95" s="27"/>
      <c r="AP95" s="27"/>
      <c r="AQ95" s="28">
        <f t="shared" si="175"/>
        <v>225.0</v>
      </c>
      <c r="AR95" s="28">
        <f t="shared" si="176"/>
        <v>0.0</v>
      </c>
      <c r="AS95" s="28">
        <f t="shared" si="177"/>
        <v>0.0</v>
      </c>
      <c r="AU95" s="3">
        <f t="shared" si="262"/>
        <v>0.0</v>
      </c>
      <c r="AV95" s="3">
        <f t="shared" si="250"/>
        <v>0.0</v>
      </c>
      <c r="AW95" s="3">
        <f t="shared" si="263"/>
        <v>1.1</v>
      </c>
      <c r="AX95" s="3">
        <f t="shared" si="264"/>
        <v>246.4</v>
      </c>
      <c r="AY95" s="28"/>
      <c r="AZ95" s="28"/>
      <c r="BA95" s="28">
        <f t="shared" si="274"/>
        <v>247.5</v>
      </c>
      <c r="BB95" s="2" t="e">
        <f t="shared" si="183"/>
        <v>#REF!</v>
      </c>
      <c r="BD95" s="36"/>
      <c r="BE95" s="3" t="e">
        <f t="shared" si="292"/>
        <v>#REF!</v>
      </c>
      <c r="BF95" s="1">
        <f>VLOOKUP(C95,MOQ,3,FALSE())</f>
        <v>1002.0</v>
      </c>
      <c r="BG95" s="31">
        <f>BF95</f>
        <v>1002.0</v>
      </c>
      <c r="BH95" s="1" t="s">
        <v>10</v>
      </c>
      <c r="BI95" s="1" t="e">
        <f t="shared" si="187"/>
        <v>#REF!</v>
      </c>
      <c r="BJ95" s="1">
        <f t="shared" si="293"/>
        <v>0.0</v>
      </c>
      <c r="BL95" s="3" t="e">
        <f t="shared" si="278"/>
        <v>#REF!</v>
      </c>
      <c r="BM95" s="1">
        <f t="shared" si="294"/>
        <v>0.0</v>
      </c>
      <c r="BO95" s="3" t="e">
        <f t="shared" si="191"/>
        <v>#REF!</v>
      </c>
      <c r="BP95" s="1">
        <f t="shared" si="295"/>
        <v>1.1</v>
      </c>
      <c r="BR95" s="3" t="e">
        <f t="shared" si="193"/>
        <v>#REF!</v>
      </c>
      <c r="BS95" s="1">
        <f t="shared" si="296"/>
        <v>246.4</v>
      </c>
      <c r="BU95" s="3" t="e">
        <f t="shared" si="195"/>
        <v>#REF!</v>
      </c>
    </row>
    <row hidden="1" r="96" ht="14.0" outlineLevel="1">
      <c r="A96" s="27" t="s">
        <v>150</v>
      </c>
      <c r="B96" s="27" t="s">
        <v>166</v>
      </c>
      <c r="C96" s="27" t="s">
        <v>167</v>
      </c>
      <c r="D96" s="27" t="s">
        <v>168</v>
      </c>
      <c r="E96" s="27">
        <v>0.0</v>
      </c>
      <c r="F96" s="27">
        <v>0.0</v>
      </c>
      <c r="G96" s="27">
        <v>0.0</v>
      </c>
      <c r="H96" s="27">
        <v>0.0</v>
      </c>
      <c r="I96" s="27">
        <v>0.0</v>
      </c>
      <c r="J96" s="27">
        <v>0.0</v>
      </c>
      <c r="K96" s="27">
        <v>0.0</v>
      </c>
      <c r="L96" s="27">
        <v>0.0</v>
      </c>
      <c r="M96" s="27">
        <v>0.0</v>
      </c>
      <c r="N96" s="27">
        <v>0.0</v>
      </c>
      <c r="O96" s="27">
        <v>0.0</v>
      </c>
      <c r="P96" s="27">
        <v>0.0</v>
      </c>
      <c r="Q96" s="27">
        <v>0.0</v>
      </c>
      <c r="R96" s="27">
        <v>0.0</v>
      </c>
      <c r="S96" s="27">
        <v>0.0</v>
      </c>
      <c r="T96" s="27">
        <v>0.0</v>
      </c>
      <c r="U96" s="27">
        <v>0.0</v>
      </c>
      <c r="V96" s="27">
        <v>0.0</v>
      </c>
      <c r="W96" s="27">
        <v>0.0</v>
      </c>
      <c r="X96" s="27">
        <v>0.0</v>
      </c>
      <c r="Y96" s="27">
        <v>0.0</v>
      </c>
      <c r="Z96" s="27">
        <v>0.0</v>
      </c>
      <c r="AA96" s="27">
        <v>0.0</v>
      </c>
      <c r="AB96" s="27">
        <v>0.0</v>
      </c>
      <c r="AC96" s="27">
        <v>0.0</v>
      </c>
      <c r="AD96" s="27">
        <v>0.0</v>
      </c>
      <c r="AE96" s="27">
        <v>0.0</v>
      </c>
      <c r="AF96" s="27">
        <v>1.0</v>
      </c>
      <c r="AG96" s="27">
        <v>60.0</v>
      </c>
      <c r="AH96" s="27">
        <v>0.0</v>
      </c>
      <c r="AI96" s="27">
        <v>0.0</v>
      </c>
      <c r="AJ96" s="27">
        <v>0.0</v>
      </c>
      <c r="AK96" s="27">
        <v>0.0</v>
      </c>
      <c r="AL96" s="27">
        <v>0.0</v>
      </c>
      <c r="AM96" s="27">
        <v>0.0</v>
      </c>
      <c r="AN96" s="27">
        <v>0.0</v>
      </c>
      <c r="AO96" s="27"/>
      <c r="AP96" s="27"/>
      <c r="AQ96" s="28">
        <f t="shared" si="175"/>
        <v>61.0</v>
      </c>
      <c r="AR96" s="28">
        <f t="shared" si="176"/>
        <v>0.0</v>
      </c>
      <c r="AS96" s="28">
        <f t="shared" si="177"/>
        <v>0.0</v>
      </c>
      <c r="AU96" s="3">
        <f t="shared" si="262"/>
        <v>0.0</v>
      </c>
      <c r="AV96" s="3">
        <f t="shared" si="250"/>
        <v>0.0</v>
      </c>
      <c r="AW96" s="3">
        <f t="shared" si="263"/>
        <v>1.1</v>
      </c>
      <c r="AX96" s="3">
        <f t="shared" si="264"/>
        <v>66.0</v>
      </c>
      <c r="AY96" s="28"/>
      <c r="AZ96" s="28"/>
      <c r="BA96" s="28">
        <f t="shared" si="274"/>
        <v>67.1</v>
      </c>
      <c r="BB96" s="2" t="e">
        <f t="shared" si="183"/>
        <v>#REF!</v>
      </c>
      <c r="BD96" s="36"/>
      <c r="BE96" s="3" t="e">
        <f t="shared" si="292"/>
        <v>#REF!</v>
      </c>
      <c r="BF96" s="1">
        <v>1002.0</v>
      </c>
      <c r="BI96" s="1" t="e">
        <f t="shared" si="187"/>
        <v>#REF!</v>
      </c>
      <c r="BJ96" s="1">
        <f t="shared" si="293"/>
        <v>0.0</v>
      </c>
      <c r="BL96" s="3" t="e">
        <f t="shared" si="278"/>
        <v>#REF!</v>
      </c>
      <c r="BM96" s="1">
        <f t="shared" si="294"/>
        <v>0.0</v>
      </c>
      <c r="BO96" s="3" t="e">
        <f t="shared" si="191"/>
        <v>#REF!</v>
      </c>
      <c r="BP96" s="1">
        <f t="shared" si="295"/>
        <v>1.1</v>
      </c>
      <c r="BR96" s="3" t="e">
        <f t="shared" si="193"/>
        <v>#REF!</v>
      </c>
      <c r="BS96" s="1">
        <f t="shared" si="296"/>
        <v>66.0</v>
      </c>
      <c r="BU96" s="3" t="e">
        <f t="shared" si="195"/>
        <v>#REF!</v>
      </c>
    </row>
    <row hidden="1" r="97" ht="14.0" outlineLevel="1">
      <c r="A97" s="27" t="s">
        <v>169</v>
      </c>
      <c r="B97" s="27" t="s">
        <v>170</v>
      </c>
      <c r="C97" s="27" t="s">
        <v>171</v>
      </c>
      <c r="D97" s="27" t="s">
        <v>172</v>
      </c>
      <c r="E97" s="27">
        <v>24.0</v>
      </c>
      <c r="F97" s="27">
        <v>0.0</v>
      </c>
      <c r="G97" s="27">
        <v>192.0</v>
      </c>
      <c r="H97" s="27">
        <v>21.0</v>
      </c>
      <c r="I97" s="27">
        <v>24.0</v>
      </c>
      <c r="J97" s="27">
        <v>0.0</v>
      </c>
      <c r="K97" s="27">
        <v>24.0</v>
      </c>
      <c r="L97" s="27">
        <v>24.0</v>
      </c>
      <c r="M97" s="27">
        <v>48.0</v>
      </c>
      <c r="N97" s="27">
        <v>24.0</v>
      </c>
      <c r="O97" s="27">
        <v>0.0</v>
      </c>
      <c r="P97" s="27">
        <v>24.0</v>
      </c>
      <c r="Q97" s="27">
        <v>24.0</v>
      </c>
      <c r="R97" s="27">
        <v>24.0</v>
      </c>
      <c r="S97" s="27">
        <v>192.0</v>
      </c>
      <c r="T97" s="27">
        <v>0.0</v>
      </c>
      <c r="U97" s="27">
        <v>48.0</v>
      </c>
      <c r="V97" s="27">
        <v>0.0</v>
      </c>
      <c r="W97" s="27">
        <v>24.0</v>
      </c>
      <c r="X97" s="27">
        <v>24.0</v>
      </c>
      <c r="Y97" s="27">
        <v>24.0</v>
      </c>
      <c r="Z97" s="27">
        <v>24.0</v>
      </c>
      <c r="AA97" s="27">
        <v>0.0</v>
      </c>
      <c r="AB97" s="27">
        <v>24.0</v>
      </c>
      <c r="AC97" s="27">
        <v>24.0</v>
      </c>
      <c r="AD97" s="27">
        <v>0.0</v>
      </c>
      <c r="AE97" s="27">
        <v>24.0</v>
      </c>
      <c r="AF97" s="27">
        <v>168.0</v>
      </c>
      <c r="AG97" s="27">
        <v>120.0</v>
      </c>
      <c r="AH97" s="27">
        <v>24.0</v>
      </c>
      <c r="AI97" s="27">
        <v>48.0</v>
      </c>
      <c r="AJ97" s="27">
        <v>72.0</v>
      </c>
      <c r="AK97" s="27">
        <v>144.0</v>
      </c>
      <c r="AL97" s="27">
        <v>24.0</v>
      </c>
      <c r="AM97" s="27">
        <v>24.0</v>
      </c>
      <c r="AN97" s="27">
        <v>24.0</v>
      </c>
      <c r="AO97" s="27"/>
      <c r="AP97" s="27"/>
      <c r="AQ97" s="28">
        <f t="shared" si="175"/>
        <v>696.0</v>
      </c>
      <c r="AR97" s="28">
        <f t="shared" si="176"/>
        <v>336.0</v>
      </c>
      <c r="AS97" s="28">
        <f t="shared" si="177"/>
        <v>369.6</v>
      </c>
      <c r="AU97" s="3">
        <f t="shared" si="262"/>
        <v>0.0</v>
      </c>
      <c r="AV97" s="3">
        <f t="shared" si="250"/>
        <v>26.4</v>
      </c>
      <c r="AW97" s="3">
        <f t="shared" si="263"/>
        <v>184.8</v>
      </c>
      <c r="AX97" s="3">
        <f t="shared" si="264"/>
        <v>132.0</v>
      </c>
      <c r="AY97" s="28"/>
      <c r="AZ97" s="28"/>
      <c r="BA97" s="28">
        <f t="shared" si="274"/>
        <v>343.2</v>
      </c>
      <c r="BB97" s="2" t="e">
        <f t="shared" si="183"/>
        <v>#REF!</v>
      </c>
      <c r="BC97" s="1" t="e">
        <f t="shared" ref="BC97:BC100" si="301">VLOOKUP(C97,FYTM1,3,false)</f>
        <v>#REF!</v>
      </c>
      <c r="BD97" s="36"/>
      <c r="BE97" s="3" t="e">
        <f t="shared" si="292"/>
        <v>#REF!</v>
      </c>
      <c r="BF97" s="1">
        <f>VLOOKUP(C97,MOQ,3,FALSE())</f>
        <v>200.0</v>
      </c>
      <c r="BI97" s="1" t="e">
        <f t="shared" si="187"/>
        <v>#REF!</v>
      </c>
      <c r="BJ97" s="1">
        <f t="shared" si="293"/>
        <v>0.0</v>
      </c>
      <c r="BL97" s="3" t="e">
        <f t="shared" si="278"/>
        <v>#REF!</v>
      </c>
      <c r="BM97" s="1">
        <f t="shared" si="294"/>
        <v>26.4</v>
      </c>
      <c r="BO97" s="3" t="e">
        <f t="shared" si="191"/>
        <v>#REF!</v>
      </c>
      <c r="BP97" s="1">
        <f t="shared" si="295"/>
        <v>184.8</v>
      </c>
      <c r="BR97" s="3" t="e">
        <f t="shared" si="193"/>
        <v>#REF!</v>
      </c>
      <c r="BS97" s="1">
        <f t="shared" si="296"/>
        <v>132.0</v>
      </c>
      <c r="BU97" s="3" t="e">
        <f t="shared" si="195"/>
        <v>#REF!</v>
      </c>
    </row>
    <row hidden="1" r="98" ht="14.0" outlineLevel="1">
      <c r="A98" s="27" t="s">
        <v>169</v>
      </c>
      <c r="B98" s="27" t="s">
        <v>170</v>
      </c>
      <c r="C98" s="27" t="s">
        <v>173</v>
      </c>
      <c r="D98" s="27" t="s">
        <v>174</v>
      </c>
      <c r="E98" s="27">
        <v>24.0</v>
      </c>
      <c r="F98" s="27">
        <v>24.0</v>
      </c>
      <c r="G98" s="27">
        <v>192.0</v>
      </c>
      <c r="H98" s="27">
        <v>0.0</v>
      </c>
      <c r="I98" s="27">
        <v>24.0</v>
      </c>
      <c r="J98" s="27">
        <v>0.0</v>
      </c>
      <c r="K98" s="27">
        <v>24.0</v>
      </c>
      <c r="L98" s="27">
        <v>72.0</v>
      </c>
      <c r="M98" s="27">
        <v>24.0</v>
      </c>
      <c r="N98" s="27">
        <v>24.0</v>
      </c>
      <c r="O98" s="27">
        <v>24.0</v>
      </c>
      <c r="P98" s="27">
        <v>24.0</v>
      </c>
      <c r="Q98" s="27">
        <v>24.0</v>
      </c>
      <c r="R98" s="27">
        <v>24.0</v>
      </c>
      <c r="S98" s="27">
        <v>192.0</v>
      </c>
      <c r="T98" s="27">
        <v>0.0</v>
      </c>
      <c r="U98" s="27">
        <v>24.0</v>
      </c>
      <c r="V98" s="27">
        <v>0.0</v>
      </c>
      <c r="W98" s="27">
        <v>24.0</v>
      </c>
      <c r="X98" s="27">
        <v>24.0</v>
      </c>
      <c r="Y98" s="27">
        <v>48.0</v>
      </c>
      <c r="Z98" s="27">
        <v>24.0</v>
      </c>
      <c r="AA98" s="27">
        <v>0.0</v>
      </c>
      <c r="AB98" s="27">
        <v>24.0</v>
      </c>
      <c r="AC98" s="27">
        <v>24.0</v>
      </c>
      <c r="AD98" s="27">
        <v>24.0</v>
      </c>
      <c r="AE98" s="27">
        <v>0.0</v>
      </c>
      <c r="AF98" s="27">
        <v>120.0</v>
      </c>
      <c r="AG98" s="27">
        <v>48.0</v>
      </c>
      <c r="AH98" s="27">
        <v>24.0</v>
      </c>
      <c r="AI98" s="27">
        <v>24.0</v>
      </c>
      <c r="AJ98" s="27">
        <v>48.0</v>
      </c>
      <c r="AK98" s="27">
        <v>96.0</v>
      </c>
      <c r="AL98" s="27">
        <v>0.0</v>
      </c>
      <c r="AM98" s="27">
        <v>24.0</v>
      </c>
      <c r="AN98" s="27">
        <v>0.0</v>
      </c>
      <c r="AO98" s="27"/>
      <c r="AP98" s="27"/>
      <c r="AQ98" s="28">
        <f t="shared" si="175"/>
        <v>456.0</v>
      </c>
      <c r="AR98" s="28">
        <f t="shared" si="176"/>
        <v>216.0</v>
      </c>
      <c r="AS98" s="28">
        <f t="shared" si="177"/>
        <v>237.6</v>
      </c>
      <c r="AU98" s="3">
        <f t="shared" si="262"/>
        <v>26.4</v>
      </c>
      <c r="AV98" s="3">
        <f t="shared" si="250"/>
        <v>0.0</v>
      </c>
      <c r="AW98" s="3">
        <f t="shared" si="263"/>
        <v>132.0</v>
      </c>
      <c r="AX98" s="3">
        <f t="shared" si="264"/>
        <v>52.8</v>
      </c>
      <c r="AY98" s="28"/>
      <c r="AZ98" s="28"/>
      <c r="BA98" s="28">
        <f t="shared" si="274"/>
        <v>211.2</v>
      </c>
      <c r="BB98" s="2" t="e">
        <f t="shared" si="183"/>
        <v>#REF!</v>
      </c>
      <c r="BC98" s="1" t="e">
        <f t="shared" si="301"/>
        <v>#REF!</v>
      </c>
      <c r="BD98" s="36"/>
      <c r="BE98" s="3" t="e">
        <f t="shared" si="292"/>
        <v>#REF!</v>
      </c>
      <c r="BF98" s="1">
        <f>VLOOKUP(C98,MOQ,3,FALSE())</f>
        <v>200.0</v>
      </c>
      <c r="BI98" s="1" t="e">
        <f t="shared" si="187"/>
        <v>#REF!</v>
      </c>
      <c r="BJ98" s="1">
        <f t="shared" si="293"/>
        <v>26.4</v>
      </c>
      <c r="BL98" s="3" t="e">
        <f t="shared" si="278"/>
        <v>#REF!</v>
      </c>
      <c r="BM98" s="1">
        <f t="shared" si="294"/>
        <v>0.0</v>
      </c>
      <c r="BO98" s="3" t="e">
        <f t="shared" si="191"/>
        <v>#REF!</v>
      </c>
      <c r="BP98" s="1">
        <f t="shared" si="295"/>
        <v>132.0</v>
      </c>
      <c r="BR98" s="3" t="e">
        <f t="shared" si="193"/>
        <v>#REF!</v>
      </c>
      <c r="BS98" s="1">
        <f t="shared" si="296"/>
        <v>52.8</v>
      </c>
      <c r="BU98" s="3" t="e">
        <f t="shared" si="195"/>
        <v>#REF!</v>
      </c>
    </row>
    <row hidden="1" r="99" ht="14.0" outlineLevel="1">
      <c r="A99" s="27" t="s">
        <v>169</v>
      </c>
      <c r="B99" s="27" t="s">
        <v>170</v>
      </c>
      <c r="C99" s="27" t="s">
        <v>175</v>
      </c>
      <c r="D99" s="27" t="s">
        <v>176</v>
      </c>
      <c r="E99" s="27">
        <v>23.0</v>
      </c>
      <c r="F99" s="27">
        <v>24.0</v>
      </c>
      <c r="G99" s="27">
        <v>24.0</v>
      </c>
      <c r="H99" s="27">
        <v>24.0</v>
      </c>
      <c r="I99" s="27">
        <v>24.0</v>
      </c>
      <c r="J99" s="27">
        <v>24.0</v>
      </c>
      <c r="K99" s="27">
        <v>0.0</v>
      </c>
      <c r="L99" s="27">
        <v>96.0</v>
      </c>
      <c r="M99" s="27">
        <v>24.0</v>
      </c>
      <c r="N99" s="27">
        <v>48.0</v>
      </c>
      <c r="O99" s="27">
        <v>24.0</v>
      </c>
      <c r="P99" s="27">
        <v>216.0</v>
      </c>
      <c r="Q99" s="27">
        <v>24.0</v>
      </c>
      <c r="R99" s="27">
        <v>24.0</v>
      </c>
      <c r="S99" s="27">
        <v>24.0</v>
      </c>
      <c r="T99" s="27">
        <v>24.0</v>
      </c>
      <c r="U99" s="27">
        <v>24.0</v>
      </c>
      <c r="V99" s="27">
        <v>24.0</v>
      </c>
      <c r="W99" s="27">
        <v>24.0</v>
      </c>
      <c r="X99" s="27">
        <v>96.0</v>
      </c>
      <c r="Y99" s="27">
        <v>48.0</v>
      </c>
      <c r="Z99" s="27">
        <v>24.0</v>
      </c>
      <c r="AA99" s="27">
        <v>240.0</v>
      </c>
      <c r="AB99" s="27">
        <v>0.0</v>
      </c>
      <c r="AC99" s="27">
        <v>0.0</v>
      </c>
      <c r="AD99" s="27">
        <v>24.0</v>
      </c>
      <c r="AE99" s="27">
        <v>0.0</v>
      </c>
      <c r="AF99" s="27">
        <v>48.0</v>
      </c>
      <c r="AG99" s="27">
        <v>24.0</v>
      </c>
      <c r="AH99" s="27">
        <v>24.0</v>
      </c>
      <c r="AI99" s="27">
        <v>24.0</v>
      </c>
      <c r="AJ99" s="27">
        <v>72.0</v>
      </c>
      <c r="AK99" s="27">
        <v>144.0</v>
      </c>
      <c r="AL99" s="27">
        <v>12.0</v>
      </c>
      <c r="AM99" s="27">
        <v>24.0</v>
      </c>
      <c r="AN99" s="27">
        <v>216.0</v>
      </c>
      <c r="AO99" s="27"/>
      <c r="AP99" s="27"/>
      <c r="AQ99" s="28">
        <f t="shared" si="175"/>
        <v>636.0</v>
      </c>
      <c r="AR99" s="28">
        <f t="shared" si="176"/>
        <v>300.0</v>
      </c>
      <c r="AS99" s="28">
        <f t="shared" si="177"/>
        <v>330.0</v>
      </c>
      <c r="AU99" s="3">
        <f t="shared" si="262"/>
        <v>26.4</v>
      </c>
      <c r="AV99" s="3">
        <f t="shared" si="250"/>
        <v>0.0</v>
      </c>
      <c r="AW99" s="3">
        <f t="shared" si="263"/>
        <v>52.8</v>
      </c>
      <c r="AX99" s="3">
        <f t="shared" si="264"/>
        <v>26.4</v>
      </c>
      <c r="AY99" s="28"/>
      <c r="AZ99" s="28"/>
      <c r="BA99" s="28">
        <f t="shared" si="274"/>
        <v>105.6</v>
      </c>
      <c r="BB99" s="2" t="e">
        <f t="shared" si="183"/>
        <v>#REF!</v>
      </c>
      <c r="BC99" s="1" t="e">
        <f t="shared" si="301"/>
        <v>#REF!</v>
      </c>
      <c r="BD99" s="36"/>
      <c r="BE99" s="3" t="e">
        <f t="shared" si="292"/>
        <v>#REF!</v>
      </c>
      <c r="BF99" s="1">
        <f>VLOOKUP(C99,MOQ,3,FALSE())</f>
        <v>120.0</v>
      </c>
      <c r="BI99" s="1" t="e">
        <f t="shared" si="187"/>
        <v>#REF!</v>
      </c>
      <c r="BJ99" s="1">
        <f t="shared" si="293"/>
        <v>26.4</v>
      </c>
      <c r="BL99" s="3" t="e">
        <f t="shared" si="278"/>
        <v>#REF!</v>
      </c>
      <c r="BM99" s="1">
        <f t="shared" si="294"/>
        <v>0.0</v>
      </c>
      <c r="BO99" s="3" t="e">
        <f t="shared" si="191"/>
        <v>#REF!</v>
      </c>
      <c r="BP99" s="1">
        <f t="shared" si="295"/>
        <v>52.8</v>
      </c>
      <c r="BR99" s="3" t="e">
        <f t="shared" si="193"/>
        <v>#REF!</v>
      </c>
      <c r="BS99" s="1">
        <f t="shared" si="296"/>
        <v>26.4</v>
      </c>
      <c r="BU99" s="3" t="e">
        <f t="shared" si="195"/>
        <v>#REF!</v>
      </c>
    </row>
    <row hidden="1" r="100" ht="14.0" outlineLevel="1">
      <c r="A100" s="27" t="s">
        <v>169</v>
      </c>
      <c r="B100" s="27" t="s">
        <v>170</v>
      </c>
      <c r="C100" s="27" t="s">
        <v>177</v>
      </c>
      <c r="D100" s="27" t="s">
        <v>178</v>
      </c>
      <c r="E100" s="27">
        <v>24.0</v>
      </c>
      <c r="F100" s="27">
        <v>24.0</v>
      </c>
      <c r="G100" s="27">
        <v>0.0</v>
      </c>
      <c r="H100" s="27">
        <v>24.0</v>
      </c>
      <c r="I100" s="27">
        <v>24.0</v>
      </c>
      <c r="J100" s="27">
        <v>24.0</v>
      </c>
      <c r="K100" s="27">
        <v>24.0</v>
      </c>
      <c r="L100" s="27">
        <v>72.0</v>
      </c>
      <c r="M100" s="27">
        <v>48.0</v>
      </c>
      <c r="N100" s="27">
        <v>48.0</v>
      </c>
      <c r="O100" s="27">
        <v>24.0</v>
      </c>
      <c r="P100" s="27">
        <v>240.0</v>
      </c>
      <c r="Q100" s="27">
        <v>48.0</v>
      </c>
      <c r="R100" s="27">
        <v>24.0</v>
      </c>
      <c r="S100" s="27">
        <v>24.0</v>
      </c>
      <c r="T100" s="27">
        <v>24.0</v>
      </c>
      <c r="U100" s="27">
        <v>48.0</v>
      </c>
      <c r="V100" s="27">
        <v>24.0</v>
      </c>
      <c r="W100" s="27">
        <v>0.0</v>
      </c>
      <c r="X100" s="27">
        <v>72.0</v>
      </c>
      <c r="Y100" s="27">
        <v>48.0</v>
      </c>
      <c r="Z100" s="27">
        <v>72.0</v>
      </c>
      <c r="AA100" s="27">
        <v>240.0</v>
      </c>
      <c r="AB100" s="27">
        <v>0.0</v>
      </c>
      <c r="AC100" s="27">
        <v>24.0</v>
      </c>
      <c r="AD100" s="27">
        <v>0.0</v>
      </c>
      <c r="AE100" s="27">
        <v>48.0</v>
      </c>
      <c r="AF100" s="27">
        <v>24.0</v>
      </c>
      <c r="AG100" s="27">
        <v>72.0</v>
      </c>
      <c r="AH100" s="27">
        <v>24.0</v>
      </c>
      <c r="AI100" s="27">
        <v>48.0</v>
      </c>
      <c r="AJ100" s="27">
        <v>120.0</v>
      </c>
      <c r="AK100" s="27">
        <v>120.0</v>
      </c>
      <c r="AL100" s="27">
        <v>72.0</v>
      </c>
      <c r="AM100" s="27">
        <v>0.0</v>
      </c>
      <c r="AN100" s="27">
        <v>264.0</v>
      </c>
      <c r="AO100" s="27"/>
      <c r="AP100" s="27"/>
      <c r="AQ100" s="28">
        <f t="shared" si="175"/>
        <v>792.0</v>
      </c>
      <c r="AR100" s="28">
        <f t="shared" si="176"/>
        <v>384.0</v>
      </c>
      <c r="AS100" s="28">
        <f t="shared" si="177"/>
        <v>422.4</v>
      </c>
      <c r="AU100" s="3">
        <f t="shared" si="262"/>
        <v>0.0</v>
      </c>
      <c r="AV100" s="3">
        <f t="shared" si="250"/>
        <v>52.8</v>
      </c>
      <c r="AW100" s="3">
        <f t="shared" si="263"/>
        <v>26.4</v>
      </c>
      <c r="AX100" s="3">
        <f t="shared" si="264"/>
        <v>79.2</v>
      </c>
      <c r="AY100" s="28"/>
      <c r="AZ100" s="28"/>
      <c r="BA100" s="28">
        <f t="shared" si="274"/>
        <v>158.4</v>
      </c>
      <c r="BB100" s="2" t="e">
        <f t="shared" si="183"/>
        <v>#REF!</v>
      </c>
      <c r="BC100" s="1" t="e">
        <f t="shared" si="301"/>
        <v>#REF!</v>
      </c>
      <c r="BD100" s="36"/>
      <c r="BE100" s="3" t="e">
        <f t="shared" si="292"/>
        <v>#REF!</v>
      </c>
      <c r="BF100" s="1">
        <f>VLOOKUP(C100,MOQ,3,FALSE())</f>
        <v>120.0</v>
      </c>
      <c r="BI100" s="1" t="e">
        <f t="shared" si="187"/>
        <v>#REF!</v>
      </c>
      <c r="BJ100" s="1">
        <f t="shared" si="293"/>
        <v>0.0</v>
      </c>
      <c r="BL100" s="3" t="e">
        <f t="shared" si="278"/>
        <v>#REF!</v>
      </c>
      <c r="BM100" s="1">
        <f t="shared" si="294"/>
        <v>52.8</v>
      </c>
      <c r="BO100" s="3" t="e">
        <f t="shared" si="191"/>
        <v>#REF!</v>
      </c>
      <c r="BP100" s="1">
        <f t="shared" si="295"/>
        <v>26.4</v>
      </c>
      <c r="BR100" s="3" t="e">
        <f t="shared" si="193"/>
        <v>#REF!</v>
      </c>
      <c r="BS100" s="1">
        <f t="shared" si="296"/>
        <v>79.2</v>
      </c>
      <c r="BU100" s="3" t="e">
        <f t="shared" si="195"/>
        <v>#REF!</v>
      </c>
    </row>
    <row r="101" collapsed="1"/>
    <row r="102" ht="14.0">
      <c r="C102" s="203" t="s">
        <v>254</v>
      </c>
      <c r="BG102" s="15"/>
    </row>
    <row r="103" ht="14.0">
      <c r="C103" s="203" t="s">
        <v>255</v>
      </c>
    </row>
    <row r="104" ht="14.0">
      <c r="C104" s="203" t="s">
        <v>256</v>
      </c>
    </row>
    <row r="105" ht="14.0">
      <c r="C105" s="203" t="s">
        <v>257</v>
      </c>
    </row>
  </sheetData>
  <mergeCells count="12">
    <mergeCell ref="BM6:BO6"/>
    <mergeCell ref="BP71:BR71"/>
    <mergeCell ref="BM71:BO71"/>
    <mergeCell ref="BP6:BR6"/>
    <mergeCell ref="BS71:BU71"/>
    <mergeCell ref="BS6:BU6"/>
    <mergeCell ref="BV6:BX6"/>
    <mergeCell ref="BV71:BX71"/>
    <mergeCell ref="BY6:CA6"/>
    <mergeCell ref="BJ6:BL6"/>
    <mergeCell ref="BY71:CA71"/>
    <mergeCell ref="BJ71:BL71"/>
  </mergeCells>
  <conditionalFormatting sqref="E8:AP67">
    <cfRule dxfId="0" operator="equal" type="cellIs" priority="1">
      <formula>0</formula>
    </cfRule>
  </conditionalFormatting>
  <conditionalFormatting sqref="C73:AP100 E70:AA70">
    <cfRule dxfId="0" operator="equal" type="cellIs" priority="2">
      <formula>0</formula>
    </cfRule>
  </conditionalFormatting>
  <conditionalFormatting sqref="C1:C262136">
    <cfRule dxfId="1" operator="containsText" type="containsText" priority="3" text="set up">
      <formula>NOT(ISERROR(SEARCH("set up",C1)))</formula>
    </cfRule>
  </conditionalFormatting>
  <conditionalFormatting sqref="BE22:BE72 BE1:BE9 BE101:BE262136">
    <cfRule dxfId="2" operator="lessThan" type="cellIs" priority="4">
      <formula>0</formula>
    </cfRule>
  </conditionalFormatting>
  <conditionalFormatting sqref="BI8:BI67 BM9:BM67 BO9:BU67 BK22:BK29 BK64:BK67 BN9:BN9 BN22:BN29 BN64:BN67 BJ8:BU8 BJ9:BJ67 BK9:BL9 BL10:BL67">
    <cfRule dxfId="3" operator="lessThan" type="cellIs" priority="5">
      <formula>0</formula>
    </cfRule>
  </conditionalFormatting>
  <conditionalFormatting sqref="BI73:BU79 BI80:BK100 BL85:BU100 BM80:BU84">
    <cfRule dxfId="3" operator="lessThan" type="cellIs" priority="6">
      <formula>0</formula>
    </cfRule>
  </conditionalFormatting>
  <conditionalFormatting sqref="BE73:BE100">
    <cfRule dxfId="2" operator="lessThan" type="cellIs" priority="7">
      <formula>0</formula>
    </cfRule>
  </conditionalFormatting>
  <conditionalFormatting sqref="BV8:BX9 BV22:BX29">
    <cfRule dxfId="3" operator="lessThan" type="cellIs" priority="8">
      <formula>0</formula>
    </cfRule>
  </conditionalFormatting>
  <conditionalFormatting sqref="BY8:CA9 BY22:CA29">
    <cfRule dxfId="3" operator="lessThan" type="cellIs" priority="9">
      <formula>0</formula>
    </cfRule>
  </conditionalFormatting>
  <conditionalFormatting sqref="BV80:BX84">
    <cfRule dxfId="3" operator="lessThan" type="cellIs" priority="10">
      <formula>0</formula>
    </cfRule>
  </conditionalFormatting>
  <conditionalFormatting sqref="BY80:CA84">
    <cfRule dxfId="3" operator="lessThan" type="cellIs" priority="11">
      <formula>0</formula>
    </cfRule>
  </conditionalFormatting>
  <conditionalFormatting sqref="BV64:BX67">
    <cfRule dxfId="3" operator="lessThan" type="cellIs" priority="12">
      <formula>0</formula>
    </cfRule>
  </conditionalFormatting>
  <conditionalFormatting sqref="BY64:CA65">
    <cfRule dxfId="3" operator="lessThan" type="cellIs" priority="13">
      <formula>0</formula>
    </cfRule>
  </conditionalFormatting>
  <conditionalFormatting sqref="BY66:CA66">
    <cfRule dxfId="3" operator="lessThan" type="cellIs" priority="14">
      <formula>0</formula>
    </cfRule>
  </conditionalFormatting>
  <conditionalFormatting sqref="BY67:CA67">
    <cfRule dxfId="3" operator="lessThan" type="cellIs" priority="15">
      <formula>0</formula>
    </cfRule>
  </conditionalFormatting>
  <conditionalFormatting sqref="BB8:BB67 BB73:BB100">
    <cfRule dxfId="3" operator="lessThanOrEqual" type="cellIs" priority="16">
      <formula>0</formula>
    </cfRule>
  </conditionalFormatting>
  <conditionalFormatting sqref="BL80:BL84">
    <cfRule dxfId="3" operator="lessThan" type="cellIs" priority="17">
      <formula>0</formula>
    </cfRule>
  </conditionalFormatting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G100"/>
  <sheetViews>
    <sheetView workbookViewId="0">
      <pane xSplit="4" ySplit="7" topLeftCell="E8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7" hidden="1" style="1" width="0.0" outlineLevel="2"/>
    <col min="8" max="9" hidden="1" style="1" width="0.0" outlineLevel="2"/>
    <col min="10" max="10" hidden="1" style="1" width="0.0" outlineLevel="2"/>
    <col min="11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2"/>
    <col min="16" max="16" hidden="1" style="1" width="0.0" outlineLevel="1"/>
    <col min="17" max="17" hidden="1" style="1" width="0.0" outlineLevel="1"/>
    <col min="18" max="18" hidden="1" style="1" width="0.0" outlineLevel="1"/>
    <col min="19" max="19" hidden="1" style="1" width="0.0" outlineLevel="1"/>
    <col min="20" max="21" hidden="1" style="1" width="0.0" outlineLevel="1"/>
    <col min="22" max="22" hidden="1" style="1" width="0.0" outlineLevel="1"/>
    <col min="23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style="1" width="8.47" collapsed="1"/>
    <col min="30" max="30" style="1" width="7.28"/>
    <col min="31" max="31" style="1" width="6.49"/>
    <col min="32" max="33" style="1" width="8.21"/>
    <col min="34" max="34" style="1" width="7.94"/>
    <col min="35" max="36" style="1" width="8.21"/>
    <col min="37" max="37" style="1" width="7.28"/>
    <col min="38" max="38" style="1" width="8.08"/>
    <col min="39" max="39" style="1" width="8.21"/>
    <col min="40" max="40" style="1" width="8.21"/>
    <col min="41" max="41" style="2" width="7.68"/>
    <col min="42" max="42" style="2" width="9.8"/>
    <col min="43" max="43" style="2" width="12.45"/>
    <col min="44" max="44" style="1" width="6.49"/>
    <col min="45" max="45" style="1" width="7.81"/>
    <col min="46" max="46" style="1" width="8.47"/>
    <col min="47" max="47" style="1" width="7.28"/>
    <col min="48" max="50" style="1" width="11.12"/>
    <col min="51" max="52" style="2" width="11.12"/>
    <col min="53" max="53" style="2" width="9.67"/>
    <col min="54" max="54" style="2" width="9.67"/>
    <col min="55" max="55" style="1" width="13.24"/>
    <col min="56" max="56" style="1" width="13.24"/>
    <col min="57" max="57" style="3" width="10.06"/>
    <col min="58" max="58" style="1" width="6.62"/>
    <col min="59" max="59" style="4" width="12.05"/>
    <col min="60" max="60" style="1" width="11.52"/>
    <col min="61" max="61" style="1" width="8.87"/>
    <col min="62" max="79" style="1" width="8.87"/>
    <col min="80" max="1022" style="1" width="13.24"/>
    <col min="1023" max="1026" width="13.24"/>
    <col min="1027" max="1027" width="13.24"/>
  </cols>
  <sheetData>
    <row r="1">
      <c r="AO1" s="5"/>
      <c r="AP1" s="5"/>
      <c r="AQ1" s="5"/>
      <c r="AS1" s="170" t="s">
        <v>237</v>
      </c>
      <c r="AT1" s="171"/>
      <c r="BE1" s="3">
        <v>0.0</v>
      </c>
      <c r="BH1" s="6"/>
    </row>
    <row r="2">
      <c r="AO2" s="5"/>
      <c r="AP2" s="5"/>
      <c r="AQ2" s="5"/>
      <c r="AS2" s="172" t="s">
        <v>238</v>
      </c>
      <c r="AT2" s="172" t="s">
        <v>238</v>
      </c>
      <c r="AU2" s="172" t="s">
        <v>238</v>
      </c>
      <c r="AV2" s="173" t="s">
        <v>222</v>
      </c>
      <c r="AW2" s="172" t="s">
        <v>223</v>
      </c>
      <c r="AX2" s="172" t="s">
        <v>223</v>
      </c>
      <c r="AY2" s="172" t="s">
        <v>223</v>
      </c>
      <c r="AZ2" s="172" t="s">
        <v>223</v>
      </c>
      <c r="BH2" s="6"/>
    </row>
    <row r="3">
      <c r="AO3" s="5"/>
      <c r="AP3" s="5"/>
      <c r="AQ3" s="5"/>
      <c r="AV3" s="174" t="s">
        <v>224</v>
      </c>
      <c r="AW3" s="174" t="s">
        <v>225</v>
      </c>
      <c r="AX3" s="174" t="s">
        <v>225</v>
      </c>
      <c r="AY3" s="174" t="s">
        <v>225</v>
      </c>
      <c r="AZ3" s="174" t="s">
        <v>225</v>
      </c>
      <c r="BH3" s="6"/>
    </row>
    <row r="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L4" s="7"/>
      <c r="AM4" s="7"/>
      <c r="AN4" s="7"/>
      <c r="AO4" s="5"/>
      <c r="AP4" s="8"/>
      <c r="AQ4" s="8"/>
      <c r="AS4" s="7"/>
      <c r="AT4" s="7"/>
      <c r="AU4" s="7"/>
      <c r="AV4" s="7"/>
      <c r="AW4" s="7"/>
      <c r="AX4" s="7"/>
      <c r="AY4" s="7"/>
      <c r="AZ4" s="7"/>
      <c r="BH4" s="6"/>
    </row>
    <row r="5">
      <c r="E5" s="7">
        <v>0.097</v>
      </c>
      <c r="F5" s="7">
        <v>0.046</v>
      </c>
      <c r="G5" s="7">
        <v>0.089</v>
      </c>
      <c r="H5" s="7">
        <v>0.073</v>
      </c>
      <c r="I5" s="7">
        <v>0.057</v>
      </c>
      <c r="J5" s="7">
        <v>0.114</v>
      </c>
      <c r="K5" s="7">
        <v>0.127</v>
      </c>
      <c r="L5" s="7">
        <v>0.115</v>
      </c>
      <c r="M5" s="7">
        <v>0.094</v>
      </c>
      <c r="N5" s="7">
        <v>0.052</v>
      </c>
      <c r="O5" s="7">
        <v>0.065</v>
      </c>
      <c r="P5" s="7">
        <v>0.07</v>
      </c>
      <c r="Q5" s="7">
        <v>0.097</v>
      </c>
      <c r="R5" s="7">
        <v>0.046</v>
      </c>
      <c r="S5" s="7">
        <v>0.089</v>
      </c>
      <c r="T5" s="7">
        <v>0.073</v>
      </c>
      <c r="U5" s="7">
        <v>0.057</v>
      </c>
      <c r="V5" s="7">
        <v>0.114</v>
      </c>
      <c r="W5" s="7">
        <v>0.127</v>
      </c>
      <c r="X5" s="7">
        <v>0.115</v>
      </c>
      <c r="Y5" s="7">
        <v>0.094</v>
      </c>
      <c r="Z5" s="7">
        <v>0.052</v>
      </c>
      <c r="AA5" s="7">
        <v>0.065</v>
      </c>
      <c r="AB5" s="7">
        <v>0.07</v>
      </c>
      <c r="AC5" s="7">
        <v>0.097</v>
      </c>
      <c r="AD5" s="7">
        <v>0.046</v>
      </c>
      <c r="AE5" s="7">
        <v>0.089</v>
      </c>
      <c r="AF5" s="7">
        <v>0.073</v>
      </c>
      <c r="AG5" s="7">
        <v>0.057</v>
      </c>
      <c r="AH5" s="7">
        <v>0.114</v>
      </c>
      <c r="AI5" s="7">
        <v>0.127</v>
      </c>
      <c r="AJ5" s="7">
        <v>0.115</v>
      </c>
      <c r="AK5" s="7">
        <v>0.094</v>
      </c>
      <c r="AL5" s="7">
        <v>0.052</v>
      </c>
      <c r="AM5" s="7">
        <v>0.065</v>
      </c>
      <c r="AN5" s="7" t="s">
        <v>0</v>
      </c>
      <c r="AO5" s="5">
        <f>SUM(AC5:AN5)</f>
        <v>0.929</v>
      </c>
      <c r="AP5" s="8">
        <f>SUM(AI5:AN5)</f>
        <v>0.453</v>
      </c>
      <c r="AQ5" s="8">
        <f>AP5*1.1</f>
        <v>0.4983</v>
      </c>
      <c r="AS5" s="7">
        <v>0.097</v>
      </c>
      <c r="AT5" s="7">
        <v>0.046</v>
      </c>
      <c r="AU5" s="7">
        <v>0.089</v>
      </c>
      <c r="AV5" s="7">
        <v>0.073</v>
      </c>
      <c r="AW5" s="7">
        <v>0.057</v>
      </c>
      <c r="AX5" s="7">
        <v>0.114</v>
      </c>
      <c r="AY5" s="7">
        <v>0.127</v>
      </c>
      <c r="AZ5" s="7">
        <v>0.115</v>
      </c>
      <c r="BH5" s="6"/>
    </row>
    <row r="6" ht="14.0">
      <c r="A6" s="6"/>
      <c r="B6" s="6"/>
      <c r="C6" s="6"/>
      <c r="D6" s="6"/>
      <c r="E6" s="9">
        <v>45799</v>
      </c>
      <c r="F6" s="9">
        <v>45830</v>
      </c>
      <c r="G6" s="9">
        <v>45860</v>
      </c>
      <c r="H6" s="9">
        <v>45891</v>
      </c>
      <c r="I6" s="9">
        <v>45922</v>
      </c>
      <c r="J6" s="9">
        <v>45952</v>
      </c>
      <c r="K6" s="9">
        <v>45983</v>
      </c>
      <c r="L6" s="9">
        <v>46013</v>
      </c>
      <c r="M6" s="9">
        <v>45680</v>
      </c>
      <c r="N6" s="9">
        <v>45711</v>
      </c>
      <c r="O6" s="9">
        <v>45739</v>
      </c>
      <c r="P6" s="9">
        <v>45770</v>
      </c>
      <c r="Q6" s="10">
        <v>45800</v>
      </c>
      <c r="R6" s="10">
        <v>45831</v>
      </c>
      <c r="S6" s="10">
        <v>45861</v>
      </c>
      <c r="T6" s="10">
        <v>45892</v>
      </c>
      <c r="U6" s="10">
        <v>45923</v>
      </c>
      <c r="V6" s="10">
        <v>45953</v>
      </c>
      <c r="W6" s="10">
        <v>45984</v>
      </c>
      <c r="X6" s="10">
        <v>46014</v>
      </c>
      <c r="Y6" s="10">
        <v>45681</v>
      </c>
      <c r="Z6" s="10">
        <v>45712</v>
      </c>
      <c r="AA6" s="10">
        <v>45740</v>
      </c>
      <c r="AB6" s="10">
        <v>45771</v>
      </c>
      <c r="AC6" s="11">
        <v>45801</v>
      </c>
      <c r="AD6" s="11">
        <v>45832</v>
      </c>
      <c r="AE6" s="11">
        <v>45862</v>
      </c>
      <c r="AF6" s="11">
        <v>45893</v>
      </c>
      <c r="AG6" s="11">
        <v>45924</v>
      </c>
      <c r="AH6" s="11">
        <v>45954</v>
      </c>
      <c r="AI6" s="11">
        <v>45985</v>
      </c>
      <c r="AJ6" s="11">
        <v>46015</v>
      </c>
      <c r="AK6" s="11">
        <v>45682</v>
      </c>
      <c r="AL6" s="11">
        <v>45713</v>
      </c>
      <c r="AM6" s="11">
        <v>45741</v>
      </c>
      <c r="AN6" s="11">
        <v>45772</v>
      </c>
      <c r="AO6" s="12" t="s">
        <v>1</v>
      </c>
      <c r="AP6" s="12" t="s">
        <v>2</v>
      </c>
      <c r="AQ6" s="12" t="s">
        <v>2</v>
      </c>
      <c r="AR6" s="13"/>
      <c r="AS6" s="11">
        <v>45801</v>
      </c>
      <c r="AT6" s="11">
        <v>45832</v>
      </c>
      <c r="AU6" s="11">
        <v>45862</v>
      </c>
      <c r="AV6" s="11">
        <v>45893</v>
      </c>
      <c r="AW6" s="11">
        <v>45924</v>
      </c>
      <c r="AX6" s="11">
        <v>45955</v>
      </c>
      <c r="AY6" s="11">
        <v>45986</v>
      </c>
      <c r="AZ6" s="11">
        <v>46016</v>
      </c>
      <c r="BA6" s="13" t="s">
        <v>3</v>
      </c>
      <c r="BB6" s="13" t="s">
        <v>3</v>
      </c>
      <c r="BC6" s="13" t="s">
        <v>3</v>
      </c>
      <c r="BD6" s="13" t="s">
        <v>3</v>
      </c>
      <c r="BE6" s="14" t="s">
        <v>3</v>
      </c>
      <c r="BF6" s="13" t="s">
        <v>3</v>
      </c>
      <c r="BG6" s="15" t="s">
        <v>3</v>
      </c>
      <c r="BH6" s="13"/>
      <c r="BI6" s="13" t="s">
        <v>4</v>
      </c>
      <c r="BJ6" s="13" t="s">
        <v>5</v>
      </c>
      <c r="BK6" s="13"/>
      <c r="BL6" s="13"/>
      <c r="BM6" s="13" t="s">
        <v>6</v>
      </c>
      <c r="BN6" s="13"/>
      <c r="BO6" s="13"/>
      <c r="BP6" s="13" t="s">
        <v>7</v>
      </c>
      <c r="BQ6" s="13"/>
      <c r="BR6" s="13"/>
      <c r="BS6" s="13" t="s">
        <v>8</v>
      </c>
      <c r="BT6" s="13"/>
      <c r="BU6" s="13"/>
      <c r="BV6" s="13" t="s">
        <v>9</v>
      </c>
      <c r="BW6" s="13"/>
      <c r="BX6" s="13"/>
      <c r="BY6" s="13" t="s">
        <v>10</v>
      </c>
      <c r="BZ6" s="13"/>
      <c r="CA6" s="13"/>
      <c r="CB6" s="13" t="s">
        <v>227</v>
      </c>
      <c r="CC6" s="13"/>
      <c r="CD6" s="13"/>
      <c r="CE6" s="13" t="s">
        <v>212</v>
      </c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</row>
    <row r="7" ht="29.0">
      <c r="A7" s="16" t="s">
        <v>11</v>
      </c>
      <c r="B7" s="16" t="s">
        <v>12</v>
      </c>
      <c r="C7" s="16" t="s">
        <v>13</v>
      </c>
      <c r="D7" s="17" t="s">
        <v>14</v>
      </c>
      <c r="E7" s="18" t="s">
        <v>15</v>
      </c>
      <c r="F7" s="18" t="s">
        <v>15</v>
      </c>
      <c r="G7" s="18" t="s">
        <v>15</v>
      </c>
      <c r="H7" s="18" t="s">
        <v>15</v>
      </c>
      <c r="I7" s="18" t="s">
        <v>15</v>
      </c>
      <c r="J7" s="18" t="s">
        <v>15</v>
      </c>
      <c r="K7" s="18" t="s">
        <v>15</v>
      </c>
      <c r="L7" s="18" t="s">
        <v>15</v>
      </c>
      <c r="M7" s="18" t="s">
        <v>15</v>
      </c>
      <c r="N7" s="18" t="s">
        <v>15</v>
      </c>
      <c r="O7" s="18" t="s">
        <v>15</v>
      </c>
      <c r="P7" s="18" t="s">
        <v>15</v>
      </c>
      <c r="Q7" s="18" t="s">
        <v>15</v>
      </c>
      <c r="R7" s="18" t="s">
        <v>15</v>
      </c>
      <c r="S7" s="18" t="s">
        <v>15</v>
      </c>
      <c r="T7" s="18" t="s">
        <v>15</v>
      </c>
      <c r="U7" s="18" t="s">
        <v>15</v>
      </c>
      <c r="V7" s="18" t="s">
        <v>15</v>
      </c>
      <c r="W7" s="18" t="s">
        <v>15</v>
      </c>
      <c r="X7" s="18" t="s">
        <v>15</v>
      </c>
      <c r="Y7" s="18" t="s">
        <v>15</v>
      </c>
      <c r="Z7" s="18" t="s">
        <v>15</v>
      </c>
      <c r="AA7" s="18" t="s">
        <v>15</v>
      </c>
      <c r="AB7" s="18" t="s">
        <v>15</v>
      </c>
      <c r="AC7" s="18" t="s">
        <v>15</v>
      </c>
      <c r="AD7" s="18" t="s">
        <v>15</v>
      </c>
      <c r="AE7" s="18" t="s">
        <v>15</v>
      </c>
      <c r="AF7" s="18" t="s">
        <v>15</v>
      </c>
      <c r="AG7" s="18" t="s">
        <v>15</v>
      </c>
      <c r="AH7" s="18" t="s">
        <v>15</v>
      </c>
      <c r="AI7" s="18" t="s">
        <v>15</v>
      </c>
      <c r="AJ7" s="18" t="s">
        <v>15</v>
      </c>
      <c r="AK7" s="18" t="s">
        <v>15</v>
      </c>
      <c r="AL7" s="18" t="s">
        <v>15</v>
      </c>
      <c r="AM7" s="18" t="s">
        <v>15</v>
      </c>
      <c r="AN7" s="18" t="s">
        <v>15</v>
      </c>
      <c r="AO7" s="19" t="s">
        <v>3</v>
      </c>
      <c r="AP7" s="19" t="s">
        <v>3</v>
      </c>
      <c r="AQ7" s="19" t="s">
        <v>16</v>
      </c>
      <c r="AR7" s="20"/>
      <c r="AS7" s="21" t="s">
        <v>17</v>
      </c>
      <c r="AT7" s="21" t="s">
        <v>17</v>
      </c>
      <c r="AU7" s="21" t="s">
        <v>17</v>
      </c>
      <c r="AV7" s="21" t="s">
        <v>17</v>
      </c>
      <c r="AW7" s="21" t="s">
        <v>17</v>
      </c>
      <c r="AX7" s="21" t="s">
        <v>17</v>
      </c>
      <c r="AY7" s="21" t="s">
        <v>17</v>
      </c>
      <c r="AZ7" s="21" t="s">
        <v>17</v>
      </c>
      <c r="BA7" s="21" t="s">
        <v>17</v>
      </c>
      <c r="BB7" s="18" t="s">
        <v>260</v>
      </c>
      <c r="BC7" s="22" t="s">
        <v>19</v>
      </c>
      <c r="BD7" s="22" t="s">
        <v>20</v>
      </c>
      <c r="BE7" s="23" t="s">
        <v>21</v>
      </c>
      <c r="BF7" s="18" t="s">
        <v>22</v>
      </c>
      <c r="BG7" s="24" t="s">
        <v>23</v>
      </c>
      <c r="BH7" s="25" t="s">
        <v>24</v>
      </c>
      <c r="BI7" s="18" t="s">
        <v>25</v>
      </c>
      <c r="BJ7" s="18" t="s">
        <v>17</v>
      </c>
      <c r="BK7" s="18" t="s">
        <v>26</v>
      </c>
      <c r="BL7" s="18" t="s">
        <v>27</v>
      </c>
      <c r="BM7" s="18" t="s">
        <v>17</v>
      </c>
      <c r="BN7" s="18" t="s">
        <v>26</v>
      </c>
      <c r="BO7" s="18" t="s">
        <v>27</v>
      </c>
      <c r="BP7" s="18" t="s">
        <v>17</v>
      </c>
      <c r="BQ7" s="18" t="s">
        <v>26</v>
      </c>
      <c r="BR7" s="18" t="s">
        <v>27</v>
      </c>
      <c r="BS7" s="18" t="s">
        <v>17</v>
      </c>
      <c r="BT7" s="18" t="s">
        <v>26</v>
      </c>
      <c r="BU7" s="18" t="s">
        <v>27</v>
      </c>
      <c r="BV7" s="18" t="s">
        <v>17</v>
      </c>
      <c r="BW7" s="18" t="s">
        <v>26</v>
      </c>
      <c r="BX7" s="18" t="s">
        <v>27</v>
      </c>
      <c r="BY7" s="18" t="s">
        <v>17</v>
      </c>
      <c r="BZ7" s="18" t="s">
        <v>26</v>
      </c>
      <c r="CA7" s="18" t="s">
        <v>27</v>
      </c>
      <c r="CB7" s="18" t="s">
        <v>17</v>
      </c>
      <c r="CC7" s="18" t="s">
        <v>26</v>
      </c>
      <c r="CD7" s="18" t="s">
        <v>27</v>
      </c>
      <c r="CE7" s="18" t="s">
        <v>17</v>
      </c>
      <c r="CF7" s="18" t="s">
        <v>26</v>
      </c>
      <c r="CG7" s="18" t="s">
        <v>27</v>
      </c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</row>
    <row r="8" ht="14.0">
      <c r="A8" s="27" t="s">
        <v>28</v>
      </c>
      <c r="B8" s="27" t="s">
        <v>29</v>
      </c>
      <c r="C8" s="27" t="s">
        <v>30</v>
      </c>
      <c r="D8" s="27" t="s">
        <v>31</v>
      </c>
      <c r="E8" s="27"/>
      <c r="F8" s="27">
        <v>571.0</v>
      </c>
      <c r="G8" s="27">
        <v>495.0</v>
      </c>
      <c r="H8" s="27">
        <v>826.0</v>
      </c>
      <c r="I8" s="27">
        <v>491.0</v>
      </c>
      <c r="J8" s="27">
        <v>372.0</v>
      </c>
      <c r="K8" s="27">
        <v>638.0</v>
      </c>
      <c r="L8" s="27">
        <v>765.0</v>
      </c>
      <c r="M8" s="27">
        <v>626.0</v>
      </c>
      <c r="N8" s="27">
        <v>646.0</v>
      </c>
      <c r="O8" s="27">
        <v>490.0</v>
      </c>
      <c r="P8" s="27">
        <v>880.0</v>
      </c>
      <c r="Q8" s="27">
        <v>456.0</v>
      </c>
      <c r="R8" s="27">
        <v>439.0</v>
      </c>
      <c r="S8" s="27">
        <v>396.0</v>
      </c>
      <c r="T8" s="27">
        <v>330.0</v>
      </c>
      <c r="U8" s="27">
        <v>377.0</v>
      </c>
      <c r="V8" s="27">
        <v>535.0</v>
      </c>
      <c r="W8" s="27">
        <v>489.0</v>
      </c>
      <c r="X8" s="27">
        <v>512.0</v>
      </c>
      <c r="Y8" s="27">
        <v>468.0</v>
      </c>
      <c r="Z8" s="27">
        <v>520.0</v>
      </c>
      <c r="AA8" s="27">
        <v>414.0</v>
      </c>
      <c r="AB8" s="27">
        <v>433.0</v>
      </c>
      <c r="AC8" s="27">
        <v>324.0</v>
      </c>
      <c r="AD8" s="27">
        <v>315.0</v>
      </c>
      <c r="AE8" s="27">
        <v>331.0</v>
      </c>
      <c r="AF8" s="27">
        <v>335.0</v>
      </c>
      <c r="AG8" s="27">
        <v>240.0</v>
      </c>
      <c r="AH8" s="27">
        <v>518.0</v>
      </c>
      <c r="AI8" s="27">
        <v>622.0</v>
      </c>
      <c r="AJ8" s="27">
        <v>496.0</v>
      </c>
      <c r="AK8" s="27">
        <v>325.0</v>
      </c>
      <c r="AL8" s="27">
        <v>355.0</v>
      </c>
      <c r="AM8" s="27">
        <v>415.0</v>
      </c>
      <c r="AN8" s="27">
        <v>240.0</v>
      </c>
      <c r="AO8" s="28">
        <f t="shared" ref="AO8:AO63" si="3">SUM(AA8:AM8)</f>
        <v>5123.0</v>
      </c>
      <c r="AP8" s="28">
        <f t="shared" ref="AP8:AP63" si="4">SUM(AH8:AM8)</f>
        <v>2731.0</v>
      </c>
      <c r="AQ8" s="28">
        <f t="shared" ref="AQ8:AQ63" si="5">AP8*1.1</f>
        <v>3004.1</v>
      </c>
      <c r="AS8" s="1">
        <f t="shared" ref="AS8:AS14" si="6">AQ8*$AS$5/$AQ$5+6*$AS$16</f>
        <v>590.783664459161</v>
      </c>
      <c r="AT8" s="171">
        <f t="shared" ref="AT8:AT14" si="7">AQ8*$AT$5/$AQ$5+6*$AT$16</f>
        <v>283.32008830022</v>
      </c>
      <c r="AU8" s="171">
        <f t="shared" ref="AU8:AU14" si="8">AQ8*$AU$5/$AQ$5+6*$AU$16</f>
        <v>542.55408388521</v>
      </c>
      <c r="AV8" s="171">
        <f t="shared" ref="AV8:AV14" si="9">AQ8*$AV$5/$AQ$5+6*$AV$16</f>
        <v>446.094922737307</v>
      </c>
      <c r="AW8" s="171">
        <f t="shared" ref="AW8:AW14" si="10">AQ8*$AW$5/$AQ$5+6*$AW$16</f>
        <v>349.635761589403</v>
      </c>
      <c r="AX8" s="171">
        <f t="shared" ref="AX8:AX14" si="11">AQ8*$AX$5/$AQ$5+6*$AX$16</f>
        <v>693.271523178808</v>
      </c>
      <c r="AY8" s="175">
        <f t="shared" ref="AY8:AY9" si="12">AQ8*$AY$5/$AQ$5+6*$AY$16</f>
        <v>771.644591611479</v>
      </c>
      <c r="AZ8" s="175">
        <f t="shared" ref="AZ8:AZ9" si="13">AQ8*$AZ$5/$AQ$5+6*$AZ$16</f>
        <v>699.300220750551</v>
      </c>
      <c r="BA8" s="2">
        <f t="shared" ref="BA8:BA9" si="14">SUM(AS8:AZ8)</f>
        <v>4376.60485651213</v>
      </c>
      <c r="BB8" s="2" t="e">
        <f t="shared" ref="BB8:BB9" si="15">VLOOKUP(D8,MAY13SOH,3,false)</f>
        <v>#REF!</v>
      </c>
      <c r="BC8" s="1" t="e">
        <f>VLOOKUP(C8,CHINAMAY5,3,false)</f>
        <v>#REF!</v>
      </c>
      <c r="BE8" s="28" t="e">
        <f t="shared" ref="BE8:BE15" si="17">BB8+BC8+BD8-BA8</f>
        <v>#REF!</v>
      </c>
      <c r="BF8" s="29">
        <f>VLOOKUP(C8,MOQ,3,FALSE())</f>
        <v>504.0</v>
      </c>
      <c r="BG8" s="30" t="s">
        <v>32</v>
      </c>
      <c r="BH8" s="1" t="s">
        <v>6</v>
      </c>
      <c r="BI8" s="1" t="e">
        <f t="shared" ref="BI8:BI20" si="19">BB8</f>
        <v>#REF!</v>
      </c>
      <c r="BJ8" s="1">
        <f t="shared" ref="BJ8:BJ20" si="20">AS8</f>
        <v>590.783664459161</v>
      </c>
      <c r="BK8" s="1" t="e">
        <f t="shared" ref="BK8:BK61" si="21">BC8</f>
        <v>#REF!</v>
      </c>
      <c r="BL8" s="3" t="e">
        <f t="shared" ref="BL8:BL20" si="22">BI8+BK8-BJ8</f>
        <v>#REF!</v>
      </c>
      <c r="BM8" s="1">
        <f t="shared" ref="BM8:BM20" si="23">AT8</f>
        <v>283.32008830022</v>
      </c>
      <c r="BN8">
        <f t="shared" ref="BN8:BN61" si="24">BD8</f>
      </c>
      <c r="BO8" s="3" t="e">
        <f t="shared" ref="BO8:BO20" si="25">BL8+BN8-BM8</f>
        <v>#REF!</v>
      </c>
      <c r="BP8" s="1">
        <f t="shared" ref="BP8:BP20" si="26">AU8</f>
        <v>542.55408388521</v>
      </c>
      <c r="BR8" s="3" t="e">
        <f t="shared" ref="BR8:BR20" si="27">BO8+BQ8-BP8</f>
        <v>#REF!</v>
      </c>
      <c r="BS8" s="1">
        <f t="shared" ref="BS8:BS20" si="28">AV8</f>
        <v>446.094922737307</v>
      </c>
      <c r="BU8" s="3" t="e">
        <f t="shared" ref="BU8:BU20" si="29">BR8+BT8-BS8</f>
        <v>#REF!</v>
      </c>
      <c r="BV8" s="1">
        <f t="shared" ref="BV8:BV20" si="30">AW8</f>
        <v>349.635761589403</v>
      </c>
      <c r="BX8" s="3" t="e">
        <f t="shared" ref="BX8:BX20" si="31">BU8+BW8-BV8</f>
        <v>#REF!</v>
      </c>
      <c r="BY8" s="1">
        <f t="shared" ref="BY8:BY20" si="32">AX8</f>
        <v>693.271523178808</v>
      </c>
      <c r="CA8" s="3" t="e">
        <f t="shared" ref="CA8:CA20" si="33">BX8+BZ8-BY8</f>
        <v>#REF!</v>
      </c>
      <c r="CB8" s="1">
        <f t="shared" ref="CB8:CB9" si="34">AY8</f>
        <v>771.644591611479</v>
      </c>
      <c r="CD8" s="3" t="e">
        <f t="shared" ref="CD8:CD9" si="35">CA8+CC8-CB8</f>
        <v>#REF!</v>
      </c>
      <c r="CE8" s="1">
        <f t="shared" ref="CE8:CE9" si="36">AZ8</f>
        <v>699.300220750551</v>
      </c>
      <c r="CG8" s="3" t="e">
        <f t="shared" ref="CG8:CG9" si="37">CD8+CF8-CE8</f>
        <v>#REF!</v>
      </c>
    </row>
    <row r="9" ht="14.0">
      <c r="A9" s="27" t="s">
        <v>28</v>
      </c>
      <c r="B9" s="27" t="s">
        <v>29</v>
      </c>
      <c r="C9" s="27" t="s">
        <v>33</v>
      </c>
      <c r="D9" s="27" t="s">
        <v>34</v>
      </c>
      <c r="E9" s="27"/>
      <c r="F9" s="27">
        <v>143.0</v>
      </c>
      <c r="G9" s="27">
        <v>257.0</v>
      </c>
      <c r="H9" s="27">
        <v>282.0</v>
      </c>
      <c r="I9" s="27">
        <v>353.0</v>
      </c>
      <c r="J9" s="27">
        <v>293.0</v>
      </c>
      <c r="K9" s="27">
        <v>447.0</v>
      </c>
      <c r="L9" s="27">
        <v>473.0</v>
      </c>
      <c r="M9" s="27">
        <v>257.0</v>
      </c>
      <c r="N9" s="27">
        <v>248.0</v>
      </c>
      <c r="O9" s="27">
        <v>237.0</v>
      </c>
      <c r="P9" s="27">
        <v>295.0</v>
      </c>
      <c r="Q9" s="27">
        <v>223.0</v>
      </c>
      <c r="R9" s="27">
        <v>180.0</v>
      </c>
      <c r="S9" s="27">
        <v>247.0</v>
      </c>
      <c r="T9" s="27">
        <v>250.0</v>
      </c>
      <c r="U9" s="27">
        <v>156.0</v>
      </c>
      <c r="V9" s="27">
        <v>155.0</v>
      </c>
      <c r="W9" s="27">
        <v>286.0</v>
      </c>
      <c r="X9" s="27">
        <v>305.0</v>
      </c>
      <c r="Y9" s="27">
        <v>297.0</v>
      </c>
      <c r="Z9" s="27">
        <v>264.0</v>
      </c>
      <c r="AA9" s="27">
        <v>196.0</v>
      </c>
      <c r="AB9" s="27">
        <v>262.0</v>
      </c>
      <c r="AC9" s="27">
        <v>180.0</v>
      </c>
      <c r="AD9" s="27">
        <v>126.0</v>
      </c>
      <c r="AE9" s="27">
        <v>185.0</v>
      </c>
      <c r="AF9" s="27">
        <v>156.0</v>
      </c>
      <c r="AG9" s="27">
        <v>186.0</v>
      </c>
      <c r="AH9" s="27">
        <v>344.0</v>
      </c>
      <c r="AI9" s="27">
        <v>397.0</v>
      </c>
      <c r="AJ9" s="27">
        <v>252.0</v>
      </c>
      <c r="AK9" s="27">
        <v>198.0</v>
      </c>
      <c r="AL9" s="27">
        <v>212.0</v>
      </c>
      <c r="AM9" s="27">
        <v>145.0</v>
      </c>
      <c r="AN9" s="27">
        <v>130.0</v>
      </c>
      <c r="AO9" s="28">
        <f t="shared" si="3"/>
        <v>2839.0</v>
      </c>
      <c r="AP9" s="28">
        <f t="shared" si="4"/>
        <v>1548.0</v>
      </c>
      <c r="AQ9" s="28">
        <f t="shared" si="5"/>
        <v>1702.8</v>
      </c>
      <c r="AS9" s="1">
        <f t="shared" si="6"/>
        <v>337.4701986755</v>
      </c>
      <c r="AT9" s="1">
        <f t="shared" si="7"/>
        <v>163.192052980132</v>
      </c>
      <c r="AU9" s="1">
        <f t="shared" si="8"/>
        <v>310.13245033112</v>
      </c>
      <c r="AV9" s="1">
        <f t="shared" si="9"/>
        <v>255.456953642384</v>
      </c>
      <c r="AW9" s="1">
        <f t="shared" si="10"/>
        <v>200.781456953642</v>
      </c>
      <c r="AX9" s="1">
        <f t="shared" si="11"/>
        <v>395.562913907284</v>
      </c>
      <c r="AY9" s="175">
        <f t="shared" si="12"/>
        <v>439.986754966887</v>
      </c>
      <c r="AZ9" s="175">
        <f t="shared" si="13"/>
        <v>398.980132450331</v>
      </c>
      <c r="BA9" s="2">
        <f t="shared" si="14"/>
        <v>2501.56291390728</v>
      </c>
      <c r="BB9" s="2" t="e">
        <f t="shared" si="15"/>
        <v>#REF!</v>
      </c>
      <c r="BE9" s="28" t="e">
        <f t="shared" si="17"/>
        <v>#REF!</v>
      </c>
      <c r="BF9" s="29">
        <f>VLOOKUP(C9,MOQ,3,FALSE())</f>
        <v>504.0</v>
      </c>
      <c r="BG9" s="30" t="s">
        <v>32</v>
      </c>
      <c r="BI9" s="1" t="e">
        <f t="shared" si="19"/>
        <v>#REF!</v>
      </c>
      <c r="BJ9" s="1">
        <f t="shared" si="20"/>
        <v>337.4701986755</v>
      </c>
      <c r="BK9" s="1">
        <f t="shared" si="21"/>
      </c>
      <c r="BL9" s="3" t="e">
        <f t="shared" si="22"/>
        <v>#REF!</v>
      </c>
      <c r="BM9" s="1">
        <f t="shared" si="23"/>
        <v>163.192052980132</v>
      </c>
      <c r="BN9" s="1">
        <f t="shared" si="24"/>
      </c>
      <c r="BO9" s="3" t="e">
        <f t="shared" si="25"/>
        <v>#REF!</v>
      </c>
      <c r="BP9" s="1">
        <f t="shared" si="26"/>
        <v>310.13245033112</v>
      </c>
      <c r="BR9" s="3" t="e">
        <f t="shared" si="27"/>
        <v>#REF!</v>
      </c>
      <c r="BS9" s="1">
        <f t="shared" si="28"/>
        <v>255.456953642384</v>
      </c>
      <c r="BU9" s="3" t="e">
        <f t="shared" si="29"/>
        <v>#REF!</v>
      </c>
      <c r="BV9" s="1">
        <f t="shared" si="30"/>
        <v>200.781456953642</v>
      </c>
      <c r="BX9" s="3" t="e">
        <f t="shared" si="31"/>
        <v>#REF!</v>
      </c>
      <c r="BY9" s="1">
        <f t="shared" si="32"/>
        <v>395.562913907284</v>
      </c>
      <c r="CA9" s="3" t="e">
        <f t="shared" si="33"/>
        <v>#REF!</v>
      </c>
      <c r="CB9" s="1">
        <f t="shared" si="34"/>
        <v>439.986754966887</v>
      </c>
      <c r="CD9" s="3" t="e">
        <f t="shared" si="35"/>
        <v>#REF!</v>
      </c>
      <c r="CE9" s="1">
        <f t="shared" si="36"/>
        <v>398.980132450331</v>
      </c>
      <c r="CG9" s="3" t="e">
        <f t="shared" si="37"/>
        <v>#REF!</v>
      </c>
    </row>
    <row r="10" ht="14.0">
      <c r="A10" s="27" t="s">
        <v>28</v>
      </c>
      <c r="B10" s="27" t="s">
        <v>29</v>
      </c>
      <c r="C10" s="27" t="s">
        <v>35</v>
      </c>
      <c r="D10" s="27" t="s">
        <v>36</v>
      </c>
      <c r="E10" s="27"/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168.0</v>
      </c>
      <c r="AB10" s="27">
        <v>78.0</v>
      </c>
      <c r="AC10" s="27">
        <v>58.0</v>
      </c>
      <c r="AD10" s="27">
        <v>53.0</v>
      </c>
      <c r="AE10" s="27">
        <v>38.0</v>
      </c>
      <c r="AF10" s="27">
        <v>35.0</v>
      </c>
      <c r="AG10" s="27">
        <v>27.0</v>
      </c>
      <c r="AH10" s="27">
        <v>28.0</v>
      </c>
      <c r="AI10" s="27">
        <v>42.0</v>
      </c>
      <c r="AJ10" s="27">
        <v>95.0</v>
      </c>
      <c r="AK10" s="27">
        <v>65.0</v>
      </c>
      <c r="AL10" s="27">
        <v>31.0</v>
      </c>
      <c r="AM10" s="27">
        <v>34.0</v>
      </c>
      <c r="AN10" s="27">
        <v>47.0</v>
      </c>
      <c r="AO10" s="28">
        <f t="shared" si="3"/>
        <v>752.0</v>
      </c>
      <c r="AP10" s="28">
        <f t="shared" si="4"/>
        <v>295.0</v>
      </c>
      <c r="AQ10" s="28">
        <f t="shared" si="5"/>
        <v>324.5</v>
      </c>
      <c r="AS10" s="1">
        <f t="shared" si="6"/>
        <v>69.167770419426</v>
      </c>
      <c r="AT10" s="1">
        <f t="shared" si="7"/>
        <v>35.9558498896247</v>
      </c>
      <c r="AU10" s="1">
        <f t="shared" si="8"/>
        <v>63.9580573951434</v>
      </c>
      <c r="AV10" s="1">
        <f t="shared" si="9"/>
        <v>53.5386313465783</v>
      </c>
      <c r="AW10" s="1">
        <f t="shared" si="10"/>
        <v>43.1192052980132</v>
      </c>
      <c r="AX10" s="1">
        <f t="shared" si="11"/>
        <v>80.2384105960265</v>
      </c>
      <c r="BA10" s="2">
        <f t="shared" ref="BA10:BA21" si="38">SUM(AS10:AX10)</f>
        <v>345.977924944812</v>
      </c>
      <c r="BB10" s="2" t="e">
        <f t="shared" ref="BB10:BB21" si="39">VLOOKUP(D10,MAY1,3,false)</f>
        <v>#REF!</v>
      </c>
      <c r="BE10" s="3" t="e">
        <f t="shared" si="17"/>
        <v>#REF!</v>
      </c>
      <c r="BF10" s="1">
        <f>VLOOKUP(C10,MOQ,3,FALSE())</f>
        <v>1000.0</v>
      </c>
      <c r="BI10" s="1" t="e">
        <f t="shared" si="19"/>
        <v>#REF!</v>
      </c>
      <c r="BJ10" s="1">
        <f t="shared" si="20"/>
        <v>69.167770419426</v>
      </c>
      <c r="BK10" s="1">
        <f t="shared" si="21"/>
      </c>
      <c r="BL10" s="3" t="e">
        <f t="shared" si="22"/>
        <v>#REF!</v>
      </c>
      <c r="BM10" s="1">
        <f t="shared" si="23"/>
        <v>35.9558498896247</v>
      </c>
      <c r="BN10" s="1">
        <f t="shared" si="24"/>
      </c>
      <c r="BO10" s="3" t="e">
        <f t="shared" si="25"/>
        <v>#REF!</v>
      </c>
      <c r="BP10" s="1">
        <f t="shared" si="26"/>
        <v>63.9580573951434</v>
      </c>
      <c r="BR10" s="3" t="e">
        <f t="shared" si="27"/>
        <v>#REF!</v>
      </c>
      <c r="BS10" s="1">
        <f t="shared" si="28"/>
        <v>53.5386313465783</v>
      </c>
      <c r="BU10" s="3" t="e">
        <f t="shared" si="29"/>
        <v>#REF!</v>
      </c>
      <c r="BV10" s="1">
        <f t="shared" si="30"/>
        <v>43.1192052980132</v>
      </c>
      <c r="BX10" s="3" t="e">
        <f t="shared" si="31"/>
        <v>#REF!</v>
      </c>
      <c r="BY10" s="1">
        <f t="shared" si="32"/>
        <v>80.2384105960265</v>
      </c>
      <c r="CA10" s="3" t="e">
        <f t="shared" si="33"/>
        <v>#REF!</v>
      </c>
    </row>
    <row r="11" ht="14.0">
      <c r="A11" s="27" t="s">
        <v>28</v>
      </c>
      <c r="B11" s="27" t="s">
        <v>29</v>
      </c>
      <c r="C11" s="27" t="s">
        <v>37</v>
      </c>
      <c r="D11" s="27" t="s">
        <v>38</v>
      </c>
      <c r="E11" s="27"/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288.0</v>
      </c>
      <c r="AB11" s="27">
        <v>150.0</v>
      </c>
      <c r="AC11" s="27">
        <v>104.0</v>
      </c>
      <c r="AD11" s="27">
        <v>130.0</v>
      </c>
      <c r="AE11" s="27">
        <v>90.0</v>
      </c>
      <c r="AF11" s="27">
        <v>23.0</v>
      </c>
      <c r="AG11" s="27">
        <v>51.0</v>
      </c>
      <c r="AH11" s="27">
        <v>91.0</v>
      </c>
      <c r="AI11" s="27">
        <v>130.0</v>
      </c>
      <c r="AJ11" s="27">
        <v>74.0</v>
      </c>
      <c r="AK11" s="27">
        <v>53.0</v>
      </c>
      <c r="AL11" s="27">
        <v>36.0</v>
      </c>
      <c r="AM11" s="27">
        <v>53.0</v>
      </c>
      <c r="AN11" s="27">
        <v>69.0</v>
      </c>
      <c r="AO11" s="28">
        <f t="shared" si="3"/>
        <v>1273.0</v>
      </c>
      <c r="AP11" s="28">
        <f t="shared" si="4"/>
        <v>437.0</v>
      </c>
      <c r="AQ11" s="28">
        <f t="shared" si="5"/>
        <v>480.7</v>
      </c>
      <c r="AS11" s="1">
        <f t="shared" si="6"/>
        <v>99.5739514348786</v>
      </c>
      <c r="AT11" s="1">
        <f t="shared" si="7"/>
        <v>50.3752759381898</v>
      </c>
      <c r="AU11" s="1">
        <f t="shared" si="8"/>
        <v>91.8565121412803</v>
      </c>
      <c r="AV11" s="1">
        <f t="shared" si="9"/>
        <v>76.4216335540839</v>
      </c>
      <c r="AW11" s="1">
        <f t="shared" si="10"/>
        <v>60.9867549668874</v>
      </c>
      <c r="AX11" s="1">
        <f t="shared" si="11"/>
        <v>115.973509933774</v>
      </c>
      <c r="BA11" s="2">
        <f t="shared" si="38"/>
        <v>495.187637969094</v>
      </c>
      <c r="BB11" s="2" t="e">
        <f t="shared" si="39"/>
        <v>#REF!</v>
      </c>
      <c r="BE11" s="3" t="e">
        <f t="shared" si="17"/>
        <v>#REF!</v>
      </c>
      <c r="BF11" s="1">
        <f>VLOOKUP(C11,MOQ,3,FALSE())</f>
        <v>1000.0</v>
      </c>
      <c r="BI11" s="1" t="e">
        <f t="shared" si="19"/>
        <v>#REF!</v>
      </c>
      <c r="BJ11" s="1">
        <f t="shared" si="20"/>
        <v>99.5739514348786</v>
      </c>
      <c r="BK11" s="1">
        <f t="shared" si="21"/>
      </c>
      <c r="BL11" s="3" t="e">
        <f t="shared" si="22"/>
        <v>#REF!</v>
      </c>
      <c r="BM11" s="1">
        <f t="shared" si="23"/>
        <v>50.3752759381898</v>
      </c>
      <c r="BN11" s="1">
        <f t="shared" si="24"/>
      </c>
      <c r="BO11" s="3" t="e">
        <f t="shared" si="25"/>
        <v>#REF!</v>
      </c>
      <c r="BP11" s="1">
        <f t="shared" si="26"/>
        <v>91.8565121412803</v>
      </c>
      <c r="BR11" s="3" t="e">
        <f t="shared" si="27"/>
        <v>#REF!</v>
      </c>
      <c r="BS11" s="1">
        <f t="shared" si="28"/>
        <v>76.4216335540839</v>
      </c>
      <c r="BU11" s="3" t="e">
        <f t="shared" si="29"/>
        <v>#REF!</v>
      </c>
      <c r="BV11" s="1">
        <f t="shared" si="30"/>
        <v>60.9867549668874</v>
      </c>
      <c r="BX11" s="3" t="e">
        <f t="shared" si="31"/>
        <v>#REF!</v>
      </c>
      <c r="BY11" s="1">
        <f t="shared" si="32"/>
        <v>115.973509933774</v>
      </c>
      <c r="CA11" s="3" t="e">
        <f t="shared" si="33"/>
        <v>#REF!</v>
      </c>
    </row>
    <row r="12" ht="14.0">
      <c r="A12" s="27" t="s">
        <v>28</v>
      </c>
      <c r="B12" s="27" t="s">
        <v>29</v>
      </c>
      <c r="C12" s="27" t="s">
        <v>39</v>
      </c>
      <c r="D12" s="27" t="s">
        <v>40</v>
      </c>
      <c r="E12" s="27"/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175.0</v>
      </c>
      <c r="AB12" s="27">
        <v>102.0</v>
      </c>
      <c r="AC12" s="27">
        <v>58.0</v>
      </c>
      <c r="AD12" s="27">
        <v>63.0</v>
      </c>
      <c r="AE12" s="27">
        <v>30.0</v>
      </c>
      <c r="AF12" s="27">
        <v>50.0</v>
      </c>
      <c r="AG12" s="27">
        <v>42.0</v>
      </c>
      <c r="AH12" s="27">
        <v>73.0</v>
      </c>
      <c r="AI12" s="27">
        <v>101.0</v>
      </c>
      <c r="AJ12" s="27">
        <v>94.0</v>
      </c>
      <c r="AK12" s="27">
        <v>34.0</v>
      </c>
      <c r="AL12" s="27">
        <v>48.0</v>
      </c>
      <c r="AM12" s="27">
        <v>66.0</v>
      </c>
      <c r="AN12" s="27">
        <v>42.0</v>
      </c>
      <c r="AO12" s="28">
        <f t="shared" si="3"/>
        <v>936.0</v>
      </c>
      <c r="AP12" s="28">
        <f t="shared" si="4"/>
        <v>416.0</v>
      </c>
      <c r="AQ12" s="28">
        <f t="shared" si="5"/>
        <v>457.6</v>
      </c>
      <c r="AS12" s="1">
        <f t="shared" si="6"/>
        <v>95.0772626931567</v>
      </c>
      <c r="AT12" s="1">
        <f t="shared" si="7"/>
        <v>48.242825607064</v>
      </c>
      <c r="AU12" s="1">
        <f t="shared" si="8"/>
        <v>87.7306843267108</v>
      </c>
      <c r="AV12" s="1">
        <f t="shared" si="9"/>
        <v>73.037527593819</v>
      </c>
      <c r="AW12" s="1">
        <f t="shared" si="10"/>
        <v>58.3443708609271</v>
      </c>
      <c r="AX12" s="1">
        <f t="shared" si="11"/>
        <v>110.688741721854</v>
      </c>
      <c r="BA12" s="2">
        <f t="shared" si="38"/>
        <v>473.121412803531</v>
      </c>
      <c r="BB12" s="2" t="e">
        <f t="shared" si="39"/>
        <v>#REF!</v>
      </c>
      <c r="BE12" s="3" t="e">
        <f t="shared" si="17"/>
        <v>#REF!</v>
      </c>
      <c r="BF12" s="1">
        <f>VLOOKUP(C12,MOQ,3,FALSE())</f>
        <v>1000.0</v>
      </c>
      <c r="BG12" s="4">
        <f>BF12</f>
        <v>1000.0</v>
      </c>
      <c r="BH12" s="1" t="s">
        <v>10</v>
      </c>
      <c r="BI12" s="1" t="e">
        <f t="shared" si="19"/>
        <v>#REF!</v>
      </c>
      <c r="BJ12" s="1">
        <f t="shared" si="20"/>
        <v>95.0772626931567</v>
      </c>
      <c r="BK12" s="1">
        <f t="shared" si="21"/>
      </c>
      <c r="BL12" s="3" t="e">
        <f t="shared" si="22"/>
        <v>#REF!</v>
      </c>
      <c r="BM12" s="1">
        <f t="shared" si="23"/>
        <v>48.242825607064</v>
      </c>
      <c r="BN12" s="1">
        <f t="shared" si="24"/>
      </c>
      <c r="BO12" s="3" t="e">
        <f t="shared" si="25"/>
        <v>#REF!</v>
      </c>
      <c r="BP12" s="1">
        <f t="shared" si="26"/>
        <v>87.7306843267108</v>
      </c>
      <c r="BR12" s="3" t="e">
        <f t="shared" si="27"/>
        <v>#REF!</v>
      </c>
      <c r="BS12" s="1">
        <f t="shared" si="28"/>
        <v>73.037527593819</v>
      </c>
      <c r="BU12" s="3" t="e">
        <f t="shared" si="29"/>
        <v>#REF!</v>
      </c>
      <c r="BV12" s="1">
        <f t="shared" si="30"/>
        <v>58.3443708609271</v>
      </c>
      <c r="BX12" s="3" t="e">
        <f t="shared" si="31"/>
        <v>#REF!</v>
      </c>
      <c r="BY12" s="1">
        <f t="shared" si="32"/>
        <v>110.688741721854</v>
      </c>
      <c r="CA12" s="3" t="e">
        <f t="shared" si="33"/>
        <v>#REF!</v>
      </c>
    </row>
    <row r="13" ht="14.0">
      <c r="A13" s="27" t="s">
        <v>28</v>
      </c>
      <c r="B13" s="27" t="s">
        <v>29</v>
      </c>
      <c r="C13" s="27" t="s">
        <v>41</v>
      </c>
      <c r="D13" s="27" t="s">
        <v>42</v>
      </c>
      <c r="E13" s="27"/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168.0</v>
      </c>
      <c r="AB13" s="27">
        <v>69.0</v>
      </c>
      <c r="AC13" s="27">
        <v>43.0</v>
      </c>
      <c r="AD13" s="27">
        <v>30.0</v>
      </c>
      <c r="AE13" s="27">
        <v>19.0</v>
      </c>
      <c r="AF13" s="27">
        <v>19.0</v>
      </c>
      <c r="AG13" s="27">
        <v>12.0</v>
      </c>
      <c r="AH13" s="27">
        <v>27.0</v>
      </c>
      <c r="AI13" s="27">
        <v>30.0</v>
      </c>
      <c r="AJ13" s="27">
        <v>33.0</v>
      </c>
      <c r="AK13" s="27">
        <v>34.0</v>
      </c>
      <c r="AL13" s="27">
        <v>38.0</v>
      </c>
      <c r="AM13" s="27">
        <v>47.0</v>
      </c>
      <c r="AN13" s="27">
        <v>35.0</v>
      </c>
      <c r="AO13" s="28">
        <f t="shared" si="3"/>
        <v>569.0</v>
      </c>
      <c r="AP13" s="28">
        <f t="shared" si="4"/>
        <v>209.0</v>
      </c>
      <c r="AQ13" s="28">
        <f t="shared" si="5"/>
        <v>229.9</v>
      </c>
      <c r="AS13" s="1">
        <f t="shared" si="6"/>
        <v>50.7527593818984</v>
      </c>
      <c r="AT13" s="1">
        <f t="shared" si="7"/>
        <v>27.2229580573951</v>
      </c>
      <c r="AU13" s="1">
        <f t="shared" si="8"/>
        <v>47.0618101545253</v>
      </c>
      <c r="AV13" s="1">
        <f t="shared" si="9"/>
        <v>39.6799116997792</v>
      </c>
      <c r="AW13" s="1">
        <f t="shared" si="10"/>
        <v>32.2980132450331</v>
      </c>
      <c r="AX13" s="1">
        <f t="shared" si="11"/>
        <v>58.5960264900662</v>
      </c>
      <c r="BA13" s="2">
        <f t="shared" si="38"/>
        <v>255.611479028697</v>
      </c>
      <c r="BB13" s="2" t="e">
        <f t="shared" si="39"/>
        <v>#REF!</v>
      </c>
      <c r="BE13" s="3" t="e">
        <f t="shared" si="17"/>
        <v>#REF!</v>
      </c>
      <c r="BF13" s="1">
        <f>VLOOKUP(C13,MOQ,3,FALSE())</f>
        <v>1000.0</v>
      </c>
      <c r="BI13" s="1" t="e">
        <f t="shared" si="19"/>
        <v>#REF!</v>
      </c>
      <c r="BJ13" s="1">
        <f t="shared" si="20"/>
        <v>50.7527593818984</v>
      </c>
      <c r="BK13" s="1">
        <f t="shared" si="21"/>
      </c>
      <c r="BL13" s="3" t="e">
        <f t="shared" si="22"/>
        <v>#REF!</v>
      </c>
      <c r="BM13" s="1">
        <f t="shared" si="23"/>
        <v>27.2229580573951</v>
      </c>
      <c r="BN13" s="1">
        <f t="shared" si="24"/>
      </c>
      <c r="BO13" s="3" t="e">
        <f t="shared" si="25"/>
        <v>#REF!</v>
      </c>
      <c r="BP13" s="1">
        <f t="shared" si="26"/>
        <v>47.0618101545253</v>
      </c>
      <c r="BR13" s="3" t="e">
        <f t="shared" si="27"/>
        <v>#REF!</v>
      </c>
      <c r="BS13" s="1">
        <f t="shared" si="28"/>
        <v>39.6799116997792</v>
      </c>
      <c r="BU13" s="3" t="e">
        <f t="shared" si="29"/>
        <v>#REF!</v>
      </c>
      <c r="BV13" s="1">
        <f t="shared" si="30"/>
        <v>32.2980132450331</v>
      </c>
      <c r="BX13" s="3" t="e">
        <f t="shared" si="31"/>
        <v>#REF!</v>
      </c>
      <c r="BY13" s="1">
        <f t="shared" si="32"/>
        <v>58.5960264900662</v>
      </c>
      <c r="CA13" s="3" t="e">
        <f t="shared" si="33"/>
        <v>#REF!</v>
      </c>
    </row>
    <row r="14" ht="14.0">
      <c r="A14" s="27" t="s">
        <v>28</v>
      </c>
      <c r="B14" s="27" t="s">
        <v>29</v>
      </c>
      <c r="C14" s="27" t="s">
        <v>43</v>
      </c>
      <c r="D14" s="27" t="s">
        <v>44</v>
      </c>
      <c r="E14" s="27"/>
      <c r="F14" s="27">
        <v>0.0</v>
      </c>
      <c r="G14" s="27">
        <v>0.0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234.0</v>
      </c>
      <c r="AB14" s="27">
        <v>144.0</v>
      </c>
      <c r="AC14" s="27">
        <v>112.0</v>
      </c>
      <c r="AD14" s="27">
        <v>89.0</v>
      </c>
      <c r="AE14" s="27">
        <v>72.0</v>
      </c>
      <c r="AF14" s="27">
        <v>39.0</v>
      </c>
      <c r="AG14" s="27">
        <v>61.0</v>
      </c>
      <c r="AH14" s="27">
        <v>103.0</v>
      </c>
      <c r="AI14" s="27">
        <v>114.0</v>
      </c>
      <c r="AJ14" s="27">
        <v>146.0</v>
      </c>
      <c r="AK14" s="27">
        <v>74.0</v>
      </c>
      <c r="AL14" s="27">
        <v>45.0</v>
      </c>
      <c r="AM14" s="27">
        <v>82.0</v>
      </c>
      <c r="AN14" s="27">
        <v>59.0</v>
      </c>
      <c r="AO14" s="28">
        <f t="shared" si="3"/>
        <v>1315.0</v>
      </c>
      <c r="AP14" s="28">
        <f t="shared" si="4"/>
        <v>564.0</v>
      </c>
      <c r="AQ14" s="28">
        <f t="shared" si="5"/>
        <v>620.4</v>
      </c>
      <c r="AS14" s="1">
        <f t="shared" si="6"/>
        <v>126.76821192052</v>
      </c>
      <c r="AT14" s="1">
        <f t="shared" si="7"/>
        <v>63.2715231788079</v>
      </c>
      <c r="AU14" s="1">
        <f t="shared" si="8"/>
        <v>116.807947019868</v>
      </c>
      <c r="AV14" s="1">
        <f t="shared" si="9"/>
        <v>96.887417218543</v>
      </c>
      <c r="AW14" s="1">
        <f t="shared" si="10"/>
        <v>76.9668874172185</v>
      </c>
      <c r="AX14" s="1">
        <f t="shared" si="11"/>
        <v>147.933774834437</v>
      </c>
      <c r="BA14" s="2">
        <f t="shared" si="38"/>
        <v>628.635761589394</v>
      </c>
      <c r="BB14" s="2" t="e">
        <f t="shared" si="39"/>
        <v>#REF!</v>
      </c>
      <c r="BE14" s="3" t="e">
        <f t="shared" si="17"/>
        <v>#REF!</v>
      </c>
      <c r="BF14" s="1">
        <f>VLOOKUP(C14,MOQ,3,FALSE())</f>
        <v>1000.0</v>
      </c>
      <c r="BI14" s="1" t="e">
        <f t="shared" si="19"/>
        <v>#REF!</v>
      </c>
      <c r="BJ14" s="1">
        <f t="shared" si="20"/>
        <v>126.76821192052</v>
      </c>
      <c r="BK14" s="1">
        <f t="shared" si="21"/>
      </c>
      <c r="BL14" s="3" t="e">
        <f t="shared" si="22"/>
        <v>#REF!</v>
      </c>
      <c r="BM14" s="1">
        <f t="shared" si="23"/>
        <v>63.2715231788079</v>
      </c>
      <c r="BN14" s="1">
        <f t="shared" si="24"/>
      </c>
      <c r="BO14" s="3" t="e">
        <f t="shared" si="25"/>
        <v>#REF!</v>
      </c>
      <c r="BP14" s="1">
        <f t="shared" si="26"/>
        <v>116.807947019868</v>
      </c>
      <c r="BR14" s="3" t="e">
        <f t="shared" si="27"/>
        <v>#REF!</v>
      </c>
      <c r="BS14" s="1">
        <f t="shared" si="28"/>
        <v>96.887417218543</v>
      </c>
      <c r="BU14" s="3" t="e">
        <f t="shared" si="29"/>
        <v>#REF!</v>
      </c>
      <c r="BV14" s="1">
        <f t="shared" si="30"/>
        <v>76.9668874172185</v>
      </c>
      <c r="BX14" s="3" t="e">
        <f t="shared" si="31"/>
        <v>#REF!</v>
      </c>
      <c r="BY14" s="1">
        <f t="shared" si="32"/>
        <v>147.933774834437</v>
      </c>
      <c r="CA14" s="3" t="e">
        <f t="shared" si="33"/>
        <v>#REF!</v>
      </c>
    </row>
    <row r="15" ht="14.0">
      <c r="A15" s="27" t="s">
        <v>45</v>
      </c>
      <c r="B15" s="27" t="s">
        <v>29</v>
      </c>
      <c r="C15" s="27" t="s">
        <v>46</v>
      </c>
      <c r="D15" s="27" t="s">
        <v>47</v>
      </c>
      <c r="E15" s="27"/>
      <c r="F15" s="27">
        <v>0.0</v>
      </c>
      <c r="G15" s="27">
        <v>1.0</v>
      </c>
      <c r="H15" s="27">
        <v>0.0</v>
      </c>
      <c r="I15" s="27">
        <v>2.0</v>
      </c>
      <c r="J15" s="27">
        <v>0.0</v>
      </c>
      <c r="K15" s="27">
        <v>2.0</v>
      </c>
      <c r="L15" s="27">
        <v>1.0</v>
      </c>
      <c r="M15" s="27">
        <v>0.0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7">
        <v>0.0</v>
      </c>
      <c r="W15" s="27">
        <v>0.0</v>
      </c>
      <c r="X15" s="27">
        <v>0.0</v>
      </c>
      <c r="Y15" s="27">
        <v>0.0</v>
      </c>
      <c r="Z15" s="27">
        <v>0.0</v>
      </c>
      <c r="AA15" s="27">
        <v>1.0</v>
      </c>
      <c r="AB15" s="27">
        <v>0.0</v>
      </c>
      <c r="AC15" s="27">
        <v>0.0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0.0</v>
      </c>
      <c r="AK15" s="27">
        <v>0.0</v>
      </c>
      <c r="AL15" s="27">
        <v>0.0</v>
      </c>
      <c r="AM15" s="27">
        <v>0.0</v>
      </c>
      <c r="AN15" s="27"/>
      <c r="AO15" s="28">
        <f t="shared" si="3"/>
        <v>1.0</v>
      </c>
      <c r="AP15" s="28">
        <f t="shared" si="4"/>
        <v>0.0</v>
      </c>
      <c r="AQ15" s="28">
        <f t="shared" si="5"/>
        <v>0.0</v>
      </c>
      <c r="AS15" s="1">
        <f>AS16</f>
        <v>1.0</v>
      </c>
      <c r="AT15" s="1">
        <f>AT16</f>
        <v>1.0</v>
      </c>
      <c r="AU15" s="1">
        <f>AU16</f>
        <v>1.0</v>
      </c>
      <c r="AV15" s="1">
        <f>AV16</f>
        <v>1.0</v>
      </c>
      <c r="AW15" s="1">
        <f>AW16</f>
        <v>1.0</v>
      </c>
      <c r="AX15" s="1">
        <f>AX16</f>
        <v>1.0</v>
      </c>
      <c r="BA15" s="2">
        <f t="shared" si="38"/>
        <v>6.0</v>
      </c>
      <c r="BB15" s="2" t="e">
        <f t="shared" si="39"/>
        <v>#REF!</v>
      </c>
      <c r="BE15" s="3" t="e">
        <f t="shared" si="17"/>
        <v>#REF!</v>
      </c>
      <c r="BF15" s="1">
        <f>VLOOKUP(C15,MOQ,3,FALSE())</f>
        <v>300.0</v>
      </c>
      <c r="BG15" s="31"/>
      <c r="BH15" s="1" t="s">
        <v>5</v>
      </c>
      <c r="BI15" s="1" t="e">
        <f t="shared" si="19"/>
        <v>#REF!</v>
      </c>
      <c r="BJ15" s="1">
        <f t="shared" si="20"/>
        <v>1.0</v>
      </c>
      <c r="BK15" s="1">
        <f t="shared" si="21"/>
      </c>
      <c r="BL15" s="3" t="e">
        <f t="shared" si="22"/>
        <v>#REF!</v>
      </c>
      <c r="BM15" s="1">
        <f t="shared" si="23"/>
        <v>1.0</v>
      </c>
      <c r="BN15" s="1">
        <f t="shared" si="24"/>
      </c>
      <c r="BO15" s="3" t="e">
        <f t="shared" si="25"/>
        <v>#REF!</v>
      </c>
      <c r="BP15" s="1">
        <f t="shared" si="26"/>
        <v>1.0</v>
      </c>
      <c r="BR15" s="3" t="e">
        <f t="shared" si="27"/>
        <v>#REF!</v>
      </c>
      <c r="BS15" s="1">
        <f t="shared" si="28"/>
        <v>1.0</v>
      </c>
      <c r="BU15" s="3" t="e">
        <f t="shared" si="29"/>
        <v>#REF!</v>
      </c>
      <c r="BV15" s="1">
        <f t="shared" si="30"/>
        <v>1.0</v>
      </c>
      <c r="BX15" s="3" t="e">
        <f t="shared" si="31"/>
        <v>#REF!</v>
      </c>
      <c r="BY15" s="1">
        <f t="shared" si="32"/>
        <v>1.0</v>
      </c>
      <c r="CA15" s="3" t="e">
        <f t="shared" si="33"/>
        <v>#REF!</v>
      </c>
    </row>
    <row r="16" ht="14.0">
      <c r="A16" s="27" t="s">
        <v>28</v>
      </c>
      <c r="B16" s="27" t="s">
        <v>29</v>
      </c>
      <c r="C16" s="27" t="s">
        <v>48</v>
      </c>
      <c r="D16" s="27" t="s">
        <v>49</v>
      </c>
      <c r="E16" s="27"/>
      <c r="F16" s="27">
        <v>0.0</v>
      </c>
      <c r="G16" s="27">
        <v>0.0</v>
      </c>
      <c r="H16" s="27">
        <v>1.0</v>
      </c>
      <c r="I16" s="27">
        <v>1.0</v>
      </c>
      <c r="J16" s="27">
        <v>3.0</v>
      </c>
      <c r="K16" s="27">
        <v>5.0</v>
      </c>
      <c r="L16" s="27">
        <v>0.0</v>
      </c>
      <c r="M16" s="27">
        <v>1.0</v>
      </c>
      <c r="N16" s="27">
        <v>2.0</v>
      </c>
      <c r="O16" s="27">
        <v>4.0</v>
      </c>
      <c r="P16" s="27">
        <v>1.0</v>
      </c>
      <c r="Q16" s="27">
        <v>3.0</v>
      </c>
      <c r="R16" s="27">
        <v>0.0</v>
      </c>
      <c r="S16" s="27">
        <v>1.0</v>
      </c>
      <c r="T16" s="27">
        <v>2.0</v>
      </c>
      <c r="U16" s="27">
        <v>0.0</v>
      </c>
      <c r="V16" s="27">
        <v>1.0</v>
      </c>
      <c r="W16" s="27">
        <v>1.0</v>
      </c>
      <c r="X16" s="27">
        <v>0.0</v>
      </c>
      <c r="Y16" s="27">
        <v>0.0</v>
      </c>
      <c r="Z16" s="27">
        <v>0.0</v>
      </c>
      <c r="AA16" s="27">
        <v>0.0</v>
      </c>
      <c r="AB16" s="27">
        <v>1.0</v>
      </c>
      <c r="AC16" s="27">
        <v>0.0</v>
      </c>
      <c r="AD16" s="27">
        <v>0.0</v>
      </c>
      <c r="AE16" s="27">
        <v>2.0</v>
      </c>
      <c r="AF16" s="27">
        <v>0.0</v>
      </c>
      <c r="AG16" s="27">
        <v>0.0</v>
      </c>
      <c r="AH16" s="27">
        <v>2.0</v>
      </c>
      <c r="AI16" s="27">
        <v>4.0</v>
      </c>
      <c r="AJ16" s="27">
        <v>0.0</v>
      </c>
      <c r="AK16" s="27">
        <v>0.0</v>
      </c>
      <c r="AL16" s="27">
        <v>-1.0</v>
      </c>
      <c r="AM16" s="27">
        <v>0.0</v>
      </c>
      <c r="AN16" s="27">
        <v>0.0</v>
      </c>
      <c r="AO16" s="32">
        <f t="shared" si="3"/>
        <v>8.0</v>
      </c>
      <c r="AP16" s="32">
        <f t="shared" si="4"/>
        <v>5.0</v>
      </c>
      <c r="AQ16" s="32">
        <f t="shared" si="5"/>
        <v>5.5</v>
      </c>
      <c r="AR16" s="33"/>
      <c r="AS16" s="33">
        <v>1.0</v>
      </c>
      <c r="AT16" s="33">
        <v>1.0</v>
      </c>
      <c r="AU16" s="33">
        <v>1.0</v>
      </c>
      <c r="AV16" s="33">
        <v>1.0</v>
      </c>
      <c r="AW16" s="33">
        <v>1.0</v>
      </c>
      <c r="AX16" s="33">
        <v>1.0</v>
      </c>
      <c r="AY16" s="33">
        <v>1.0</v>
      </c>
      <c r="AZ16" s="33">
        <v>1.0</v>
      </c>
      <c r="BA16" s="2">
        <f t="shared" si="38"/>
        <v>6.0</v>
      </c>
      <c r="BB16" s="2" t="e">
        <f t="shared" si="39"/>
        <v>#REF!</v>
      </c>
      <c r="BF16">
        <f>VLOOKUP(C16,MOQ,3,FALSE())</f>
      </c>
      <c r="BI16" s="1" t="e">
        <f t="shared" si="19"/>
        <v>#REF!</v>
      </c>
      <c r="BJ16" s="1">
        <f t="shared" si="20"/>
        <v>1.0</v>
      </c>
      <c r="BK16" s="1">
        <f t="shared" si="21"/>
      </c>
      <c r="BL16" s="3" t="e">
        <f t="shared" si="22"/>
        <v>#REF!</v>
      </c>
      <c r="BM16" s="1">
        <f t="shared" si="23"/>
        <v>1.0</v>
      </c>
      <c r="BN16" s="1">
        <f t="shared" si="24"/>
      </c>
      <c r="BO16" s="3" t="e">
        <f t="shared" si="25"/>
        <v>#REF!</v>
      </c>
      <c r="BP16" s="1">
        <f t="shared" si="26"/>
        <v>1.0</v>
      </c>
      <c r="BR16" s="3" t="e">
        <f t="shared" si="27"/>
        <v>#REF!</v>
      </c>
      <c r="BS16" s="1">
        <f t="shared" si="28"/>
        <v>1.0</v>
      </c>
      <c r="BU16" s="3" t="e">
        <f t="shared" si="29"/>
        <v>#REF!</v>
      </c>
      <c r="BV16" s="1">
        <f t="shared" si="30"/>
        <v>1.0</v>
      </c>
      <c r="BX16" s="3" t="e">
        <f t="shared" si="31"/>
        <v>#REF!</v>
      </c>
      <c r="BY16" s="1">
        <f t="shared" si="32"/>
        <v>1.0</v>
      </c>
      <c r="CA16" s="3" t="e">
        <f t="shared" si="33"/>
        <v>#REF!</v>
      </c>
    </row>
    <row r="17" ht="14.0">
      <c r="A17" s="27" t="s">
        <v>28</v>
      </c>
      <c r="B17" s="27" t="s">
        <v>29</v>
      </c>
      <c r="C17" s="27" t="s">
        <v>50</v>
      </c>
      <c r="D17" s="27" t="s">
        <v>51</v>
      </c>
      <c r="E17" s="27"/>
      <c r="F17" s="27">
        <v>90.0</v>
      </c>
      <c r="G17" s="27">
        <v>108.0</v>
      </c>
      <c r="H17" s="27">
        <v>84.0</v>
      </c>
      <c r="I17" s="27">
        <v>155.0</v>
      </c>
      <c r="J17" s="27">
        <v>120.0</v>
      </c>
      <c r="K17" s="27">
        <v>143.0</v>
      </c>
      <c r="L17" s="27">
        <v>144.0</v>
      </c>
      <c r="M17" s="27">
        <v>155.0</v>
      </c>
      <c r="N17" s="27">
        <v>60.0</v>
      </c>
      <c r="O17" s="27">
        <v>108.0</v>
      </c>
      <c r="P17" s="27">
        <v>131.0</v>
      </c>
      <c r="Q17" s="27">
        <v>91.0</v>
      </c>
      <c r="R17" s="27">
        <v>83.0</v>
      </c>
      <c r="S17" s="27">
        <v>60.0</v>
      </c>
      <c r="T17" s="27">
        <v>76.0</v>
      </c>
      <c r="U17" s="27">
        <v>101.0</v>
      </c>
      <c r="V17" s="27">
        <v>54.0</v>
      </c>
      <c r="W17" s="27">
        <v>70.0</v>
      </c>
      <c r="X17" s="27">
        <v>156.0</v>
      </c>
      <c r="Y17" s="27">
        <v>107.0</v>
      </c>
      <c r="Z17" s="27">
        <v>76.0</v>
      </c>
      <c r="AA17" s="27">
        <v>138.0</v>
      </c>
      <c r="AB17" s="27">
        <v>48.0</v>
      </c>
      <c r="AC17" s="27">
        <v>35.0</v>
      </c>
      <c r="AD17" s="27">
        <v>30.0</v>
      </c>
      <c r="AE17" s="27">
        <v>97.0</v>
      </c>
      <c r="AF17" s="27">
        <v>82.0</v>
      </c>
      <c r="AG17" s="27">
        <v>60.0</v>
      </c>
      <c r="AH17" s="27">
        <v>42.0</v>
      </c>
      <c r="AI17" s="27">
        <v>60.0</v>
      </c>
      <c r="AJ17" s="27">
        <v>77.0</v>
      </c>
      <c r="AK17" s="27">
        <v>67.0</v>
      </c>
      <c r="AL17" s="27">
        <v>23.0</v>
      </c>
      <c r="AM17" s="27">
        <v>47.0</v>
      </c>
      <c r="AN17" s="27">
        <v>24.0</v>
      </c>
      <c r="AO17" s="28">
        <f t="shared" si="3"/>
        <v>806.0</v>
      </c>
      <c r="AP17" s="28">
        <f t="shared" si="4"/>
        <v>316.0</v>
      </c>
      <c r="AQ17" s="28">
        <f t="shared" si="5"/>
        <v>347.6</v>
      </c>
      <c r="AS17" s="1">
        <f t="shared" ref="AS17:AS20" si="47">AQ17*$AS$5/$AQ$5+6*$AS$21</f>
        <v>73.6644591611479</v>
      </c>
      <c r="AT17" s="1">
        <f t="shared" ref="AT17:AT20" si="48">AQ17*$AT$5/$AQ$5+6*$AT$21</f>
        <v>32.0883002207506</v>
      </c>
      <c r="AU17" s="1">
        <f t="shared" ref="AU17:AU20" si="49">AQ17*$AU$5/$AQ$5+6*$AU$21</f>
        <v>68.083885209713</v>
      </c>
      <c r="AV17" s="1">
        <f t="shared" ref="AV17:AV20" si="50">AQ17*$AV$5/$AQ$5+6*$AV$21</f>
        <v>56.9227373068432</v>
      </c>
      <c r="AW17" s="1">
        <f t="shared" ref="AW17:AW20" si="51">AQ17*$AW$5/$AQ$5+6*$AW$21</f>
        <v>45.7615894039735</v>
      </c>
      <c r="AX17" s="1">
        <f t="shared" ref="AX17:AX20" si="52">AQ17*$AX$5/$AQ$5+6*$AX$21</f>
        <v>85.523178807947</v>
      </c>
      <c r="BA17" s="2">
        <f t="shared" si="38"/>
        <v>362.044150110375</v>
      </c>
      <c r="BB17" s="2" t="e">
        <f t="shared" si="39"/>
        <v>#REF!</v>
      </c>
      <c r="BE17" s="3" t="e">
        <f t="shared" ref="BE17:BE20" si="53">BB17+BC17+BD17-BA17</f>
        <v>#REF!</v>
      </c>
      <c r="BF17" s="1">
        <f>VLOOKUP(C17,MOQ,3,FALSE())</f>
        <v>480.0</v>
      </c>
      <c r="BI17" s="1" t="e">
        <f t="shared" si="19"/>
        <v>#REF!</v>
      </c>
      <c r="BJ17" s="1">
        <f t="shared" si="20"/>
        <v>73.6644591611479</v>
      </c>
      <c r="BK17" s="1">
        <f t="shared" si="21"/>
      </c>
      <c r="BL17" s="3" t="e">
        <f t="shared" si="22"/>
        <v>#REF!</v>
      </c>
      <c r="BM17" s="1">
        <f t="shared" si="23"/>
        <v>32.0883002207506</v>
      </c>
      <c r="BN17" s="1">
        <f t="shared" si="24"/>
      </c>
      <c r="BO17" s="3" t="e">
        <f t="shared" si="25"/>
        <v>#REF!</v>
      </c>
      <c r="BP17" s="1">
        <f t="shared" si="26"/>
        <v>68.083885209713</v>
      </c>
      <c r="BR17" s="3" t="e">
        <f t="shared" si="27"/>
        <v>#REF!</v>
      </c>
      <c r="BS17" s="1">
        <f t="shared" si="28"/>
        <v>56.9227373068432</v>
      </c>
      <c r="BU17" s="3" t="e">
        <f t="shared" si="29"/>
        <v>#REF!</v>
      </c>
      <c r="BV17" s="1">
        <f t="shared" si="30"/>
        <v>45.7615894039735</v>
      </c>
      <c r="BX17" s="3" t="e">
        <f t="shared" si="31"/>
        <v>#REF!</v>
      </c>
      <c r="BY17" s="1">
        <f t="shared" si="32"/>
        <v>85.523178807947</v>
      </c>
      <c r="CA17" s="3" t="e">
        <f t="shared" si="33"/>
        <v>#REF!</v>
      </c>
    </row>
    <row r="18" ht="14.0">
      <c r="A18" s="27" t="s">
        <v>28</v>
      </c>
      <c r="B18" s="27" t="s">
        <v>29</v>
      </c>
      <c r="C18" s="27" t="s">
        <v>52</v>
      </c>
      <c r="D18" s="27" t="s">
        <v>53</v>
      </c>
      <c r="E18" s="27"/>
      <c r="F18" s="27">
        <v>58.0</v>
      </c>
      <c r="G18" s="27">
        <v>65.0</v>
      </c>
      <c r="H18" s="27">
        <v>66.0</v>
      </c>
      <c r="I18" s="27">
        <v>132.0</v>
      </c>
      <c r="J18" s="27">
        <v>78.0</v>
      </c>
      <c r="K18" s="27">
        <v>114.0</v>
      </c>
      <c r="L18" s="27">
        <v>114.0</v>
      </c>
      <c r="M18" s="27">
        <v>135.0</v>
      </c>
      <c r="N18" s="27">
        <v>42.0</v>
      </c>
      <c r="O18" s="27">
        <v>55.0</v>
      </c>
      <c r="P18" s="27">
        <v>95.0</v>
      </c>
      <c r="Q18" s="27">
        <v>66.0</v>
      </c>
      <c r="R18" s="27">
        <v>53.0</v>
      </c>
      <c r="S18" s="27">
        <v>72.0</v>
      </c>
      <c r="T18" s="27">
        <v>42.0</v>
      </c>
      <c r="U18" s="27">
        <v>41.0</v>
      </c>
      <c r="V18" s="27">
        <v>60.0</v>
      </c>
      <c r="W18" s="27">
        <v>65.0</v>
      </c>
      <c r="X18" s="27">
        <v>108.0</v>
      </c>
      <c r="Y18" s="27">
        <v>84.0</v>
      </c>
      <c r="Z18" s="27">
        <v>29.0</v>
      </c>
      <c r="AA18" s="27">
        <v>59.0</v>
      </c>
      <c r="AB18" s="27">
        <v>36.0</v>
      </c>
      <c r="AC18" s="27">
        <v>42.0</v>
      </c>
      <c r="AD18" s="27">
        <v>48.0</v>
      </c>
      <c r="AE18" s="27">
        <v>48.0</v>
      </c>
      <c r="AF18" s="27">
        <v>66.0</v>
      </c>
      <c r="AG18" s="27">
        <v>48.0</v>
      </c>
      <c r="AH18" s="27">
        <v>30.0</v>
      </c>
      <c r="AI18" s="27">
        <v>42.0</v>
      </c>
      <c r="AJ18" s="27">
        <v>52.0</v>
      </c>
      <c r="AK18" s="27">
        <v>48.0</v>
      </c>
      <c r="AL18" s="27">
        <v>18.0</v>
      </c>
      <c r="AM18" s="27">
        <v>65.0</v>
      </c>
      <c r="AN18" s="27">
        <v>24.0</v>
      </c>
      <c r="AO18" s="28">
        <f t="shared" si="3"/>
        <v>602.0</v>
      </c>
      <c r="AP18" s="28">
        <f t="shared" si="4"/>
        <v>255.0</v>
      </c>
      <c r="AQ18" s="28">
        <f t="shared" si="5"/>
        <v>280.5</v>
      </c>
      <c r="AS18" s="1">
        <f t="shared" si="47"/>
        <v>60.6026490066225</v>
      </c>
      <c r="AT18" s="1">
        <f t="shared" si="48"/>
        <v>25.8940397350993</v>
      </c>
      <c r="AU18" s="1">
        <f t="shared" si="49"/>
        <v>56.0993377483443</v>
      </c>
      <c r="AV18" s="1">
        <f t="shared" si="50"/>
        <v>47.092715231788</v>
      </c>
      <c r="AW18" s="1">
        <f t="shared" si="51"/>
        <v>38.0860927152318</v>
      </c>
      <c r="AX18" s="1">
        <f t="shared" si="52"/>
        <v>70.1721854304636</v>
      </c>
      <c r="BA18" s="2">
        <f t="shared" si="38"/>
        <v>297.947019867549</v>
      </c>
      <c r="BB18" s="2" t="e">
        <f t="shared" si="39"/>
        <v>#REF!</v>
      </c>
      <c r="BE18" s="3" t="e">
        <f t="shared" si="53"/>
        <v>#REF!</v>
      </c>
      <c r="BF18" s="1">
        <f>VLOOKUP(C18,MOQ,3,FALSE())</f>
        <v>480.0</v>
      </c>
      <c r="BI18" s="1" t="e">
        <f t="shared" si="19"/>
        <v>#REF!</v>
      </c>
      <c r="BJ18" s="1">
        <f t="shared" si="20"/>
        <v>60.6026490066225</v>
      </c>
      <c r="BK18" s="1">
        <f t="shared" si="21"/>
      </c>
      <c r="BL18" s="3" t="e">
        <f t="shared" si="22"/>
        <v>#REF!</v>
      </c>
      <c r="BM18" s="1">
        <f t="shared" si="23"/>
        <v>25.8940397350993</v>
      </c>
      <c r="BN18" s="1">
        <f t="shared" si="24"/>
      </c>
      <c r="BO18" s="3" t="e">
        <f t="shared" si="25"/>
        <v>#REF!</v>
      </c>
      <c r="BP18" s="1">
        <f t="shared" si="26"/>
        <v>56.0993377483443</v>
      </c>
      <c r="BR18" s="3" t="e">
        <f t="shared" si="27"/>
        <v>#REF!</v>
      </c>
      <c r="BS18" s="1">
        <f t="shared" si="28"/>
        <v>47.092715231788</v>
      </c>
      <c r="BU18" s="3" t="e">
        <f t="shared" si="29"/>
        <v>#REF!</v>
      </c>
      <c r="BV18" s="1">
        <f t="shared" si="30"/>
        <v>38.0860927152318</v>
      </c>
      <c r="BX18" s="3" t="e">
        <f t="shared" si="31"/>
        <v>#REF!</v>
      </c>
      <c r="BY18" s="1">
        <f t="shared" si="32"/>
        <v>70.1721854304636</v>
      </c>
      <c r="CA18" s="3" t="e">
        <f t="shared" si="33"/>
        <v>#REF!</v>
      </c>
    </row>
    <row r="19" ht="14.0">
      <c r="A19" s="27" t="s">
        <v>28</v>
      </c>
      <c r="B19" s="27" t="s">
        <v>29</v>
      </c>
      <c r="C19" s="27" t="s">
        <v>54</v>
      </c>
      <c r="D19" s="27" t="s">
        <v>55</v>
      </c>
      <c r="E19" s="27"/>
      <c r="F19" s="27">
        <v>30.0</v>
      </c>
      <c r="G19" s="27">
        <v>65.0</v>
      </c>
      <c r="H19" s="27">
        <v>30.0</v>
      </c>
      <c r="I19" s="27">
        <v>65.0</v>
      </c>
      <c r="J19" s="27">
        <v>48.0</v>
      </c>
      <c r="K19" s="27">
        <v>77.0</v>
      </c>
      <c r="L19" s="27">
        <v>84.0</v>
      </c>
      <c r="M19" s="27">
        <v>36.0</v>
      </c>
      <c r="N19" s="27">
        <v>24.0</v>
      </c>
      <c r="O19" s="27">
        <v>30.0</v>
      </c>
      <c r="P19" s="27">
        <v>72.0</v>
      </c>
      <c r="Q19" s="27">
        <v>18.0</v>
      </c>
      <c r="R19" s="27">
        <v>42.0</v>
      </c>
      <c r="S19" s="27">
        <v>18.0</v>
      </c>
      <c r="T19" s="27">
        <v>48.0</v>
      </c>
      <c r="U19" s="27">
        <v>18.0</v>
      </c>
      <c r="V19" s="27">
        <v>48.0</v>
      </c>
      <c r="W19" s="27">
        <v>23.0</v>
      </c>
      <c r="X19" s="27">
        <v>48.0</v>
      </c>
      <c r="Y19" s="27">
        <v>35.0</v>
      </c>
      <c r="Z19" s="27">
        <v>18.0</v>
      </c>
      <c r="AA19" s="27">
        <v>60.0</v>
      </c>
      <c r="AB19" s="27">
        <v>36.0</v>
      </c>
      <c r="AC19" s="27">
        <v>5.0</v>
      </c>
      <c r="AD19" s="27">
        <v>18.0</v>
      </c>
      <c r="AE19" s="27">
        <v>25.0</v>
      </c>
      <c r="AF19" s="27">
        <v>36.0</v>
      </c>
      <c r="AG19" s="27">
        <v>54.0</v>
      </c>
      <c r="AH19" s="27">
        <v>0.0</v>
      </c>
      <c r="AI19" s="27">
        <v>18.0</v>
      </c>
      <c r="AJ19" s="27">
        <v>46.0</v>
      </c>
      <c r="AK19" s="27">
        <v>22.0</v>
      </c>
      <c r="AL19" s="27">
        <v>12.0</v>
      </c>
      <c r="AM19" s="27">
        <v>6.0</v>
      </c>
      <c r="AN19" s="27">
        <v>18.0</v>
      </c>
      <c r="AO19" s="28">
        <f t="shared" si="3"/>
        <v>338.0</v>
      </c>
      <c r="AP19" s="28">
        <f t="shared" si="4"/>
        <v>104.0</v>
      </c>
      <c r="AQ19" s="28">
        <f t="shared" si="5"/>
        <v>114.4</v>
      </c>
      <c r="AS19" s="1">
        <f t="shared" si="47"/>
        <v>28.2693156732891</v>
      </c>
      <c r="AT19" s="1">
        <f t="shared" si="48"/>
        <v>10.560706401766</v>
      </c>
      <c r="AU19" s="1">
        <f t="shared" si="49"/>
        <v>26.4326710816777</v>
      </c>
      <c r="AV19" s="1">
        <f t="shared" si="50"/>
        <v>22.7593818984547</v>
      </c>
      <c r="AW19" s="1">
        <f t="shared" si="51"/>
        <v>19.0860927152318</v>
      </c>
      <c r="AX19" s="1">
        <f t="shared" si="52"/>
        <v>32.1721854304636</v>
      </c>
      <c r="BA19" s="2">
        <f t="shared" si="38"/>
        <v>139.280353200882</v>
      </c>
      <c r="BB19" s="2" t="e">
        <f t="shared" si="39"/>
        <v>#REF!</v>
      </c>
      <c r="BE19" s="3" t="e">
        <f t="shared" si="53"/>
        <v>#REF!</v>
      </c>
      <c r="BF19" s="1">
        <f>VLOOKUP(C19,MOQ,3,FALSE())</f>
        <v>480.0</v>
      </c>
      <c r="BI19" s="1" t="e">
        <f t="shared" si="19"/>
        <v>#REF!</v>
      </c>
      <c r="BJ19" s="1">
        <f t="shared" si="20"/>
        <v>28.2693156732891</v>
      </c>
      <c r="BK19" s="1">
        <f t="shared" si="21"/>
      </c>
      <c r="BL19" s="3" t="e">
        <f t="shared" si="22"/>
        <v>#REF!</v>
      </c>
      <c r="BM19" s="1">
        <f t="shared" si="23"/>
        <v>10.560706401766</v>
      </c>
      <c r="BN19" s="1">
        <f t="shared" si="24"/>
      </c>
      <c r="BO19" s="3" t="e">
        <f t="shared" si="25"/>
        <v>#REF!</v>
      </c>
      <c r="BP19" s="1">
        <f t="shared" si="26"/>
        <v>26.4326710816777</v>
      </c>
      <c r="BR19" s="3" t="e">
        <f t="shared" si="27"/>
        <v>#REF!</v>
      </c>
      <c r="BS19" s="1">
        <f t="shared" si="28"/>
        <v>22.7593818984547</v>
      </c>
      <c r="BU19" s="3" t="e">
        <f t="shared" si="29"/>
        <v>#REF!</v>
      </c>
      <c r="BV19" s="1">
        <f t="shared" si="30"/>
        <v>19.0860927152318</v>
      </c>
      <c r="BX19" s="3" t="e">
        <f t="shared" si="31"/>
        <v>#REF!</v>
      </c>
      <c r="BY19" s="1">
        <f t="shared" si="32"/>
        <v>32.1721854304636</v>
      </c>
      <c r="CA19" s="3" t="e">
        <f t="shared" si="33"/>
        <v>#REF!</v>
      </c>
    </row>
    <row r="20" ht="14.0">
      <c r="A20" s="27" t="s">
        <v>28</v>
      </c>
      <c r="B20" s="27" t="s">
        <v>29</v>
      </c>
      <c r="C20" s="27" t="s">
        <v>56</v>
      </c>
      <c r="D20" s="27" t="s">
        <v>57</v>
      </c>
      <c r="E20" s="27"/>
      <c r="F20" s="27">
        <v>30.0</v>
      </c>
      <c r="G20" s="27">
        <v>78.0</v>
      </c>
      <c r="H20" s="27">
        <v>42.0</v>
      </c>
      <c r="I20" s="27">
        <v>72.0</v>
      </c>
      <c r="J20" s="27">
        <v>40.0</v>
      </c>
      <c r="K20" s="27">
        <v>71.0</v>
      </c>
      <c r="L20" s="27">
        <v>113.0</v>
      </c>
      <c r="M20" s="27">
        <v>36.0</v>
      </c>
      <c r="N20" s="27">
        <v>24.0</v>
      </c>
      <c r="O20" s="27">
        <v>30.0</v>
      </c>
      <c r="P20" s="27">
        <v>66.0</v>
      </c>
      <c r="Q20" s="27">
        <v>42.0</v>
      </c>
      <c r="R20" s="27">
        <v>24.0</v>
      </c>
      <c r="S20" s="27">
        <v>54.0</v>
      </c>
      <c r="T20" s="27">
        <v>54.0</v>
      </c>
      <c r="U20" s="27">
        <v>36.0</v>
      </c>
      <c r="V20" s="27">
        <v>48.0</v>
      </c>
      <c r="W20" s="27">
        <v>30.0</v>
      </c>
      <c r="X20" s="27">
        <v>66.0</v>
      </c>
      <c r="Y20" s="27">
        <v>54.0</v>
      </c>
      <c r="Z20" s="27">
        <v>30.0</v>
      </c>
      <c r="AA20" s="27">
        <v>66.0</v>
      </c>
      <c r="AB20" s="27">
        <v>30.0</v>
      </c>
      <c r="AC20" s="27">
        <v>23.0</v>
      </c>
      <c r="AD20" s="27">
        <v>30.0</v>
      </c>
      <c r="AE20" s="27">
        <v>24.0</v>
      </c>
      <c r="AF20" s="27">
        <v>48.0</v>
      </c>
      <c r="AG20" s="27">
        <v>36.0</v>
      </c>
      <c r="AH20" s="27">
        <v>30.0</v>
      </c>
      <c r="AI20" s="27">
        <v>36.0</v>
      </c>
      <c r="AJ20" s="27">
        <v>36.0</v>
      </c>
      <c r="AK20" s="27">
        <v>18.0</v>
      </c>
      <c r="AL20" s="27">
        <v>24.0</v>
      </c>
      <c r="AM20" s="27">
        <v>48.0</v>
      </c>
      <c r="AN20" s="27">
        <v>18.0</v>
      </c>
      <c r="AO20" s="28">
        <f t="shared" si="3"/>
        <v>449.0</v>
      </c>
      <c r="AP20" s="28">
        <f t="shared" si="4"/>
        <v>192.0</v>
      </c>
      <c r="AQ20" s="28">
        <f t="shared" si="5"/>
        <v>211.2</v>
      </c>
      <c r="AS20" s="1">
        <f t="shared" si="47"/>
        <v>47.112582781457</v>
      </c>
      <c r="AT20" s="1">
        <f t="shared" si="48"/>
        <v>19.4966887417219</v>
      </c>
      <c r="AU20" s="1">
        <f t="shared" si="49"/>
        <v>43.7218543046358</v>
      </c>
      <c r="AV20" s="1">
        <f t="shared" si="50"/>
        <v>36.9403973509933</v>
      </c>
      <c r="AW20" s="1">
        <f t="shared" si="51"/>
        <v>30.158940397351</v>
      </c>
      <c r="AX20" s="1">
        <f t="shared" si="52"/>
        <v>54.317880794702</v>
      </c>
      <c r="BA20" s="2">
        <f t="shared" si="38"/>
        <v>231.748344370861</v>
      </c>
      <c r="BB20" s="2" t="e">
        <f t="shared" si="39"/>
        <v>#REF!</v>
      </c>
      <c r="BE20" s="3" t="e">
        <f t="shared" si="53"/>
        <v>#REF!</v>
      </c>
      <c r="BF20" s="1">
        <f>VLOOKUP(C20,MOQ,3,FALSE())</f>
        <v>480.0</v>
      </c>
      <c r="BI20" s="1" t="e">
        <f t="shared" si="19"/>
        <v>#REF!</v>
      </c>
      <c r="BJ20" s="1">
        <f t="shared" si="20"/>
        <v>47.112582781457</v>
      </c>
      <c r="BK20" s="1">
        <f t="shared" si="21"/>
      </c>
      <c r="BL20" s="3" t="e">
        <f t="shared" si="22"/>
        <v>#REF!</v>
      </c>
      <c r="BM20" s="1">
        <f t="shared" si="23"/>
        <v>19.4966887417219</v>
      </c>
      <c r="BN20" s="1">
        <f t="shared" si="24"/>
      </c>
      <c r="BO20" s="3" t="e">
        <f t="shared" si="25"/>
        <v>#REF!</v>
      </c>
      <c r="BP20" s="1">
        <f t="shared" si="26"/>
        <v>43.7218543046358</v>
      </c>
      <c r="BR20" s="3" t="e">
        <f t="shared" si="27"/>
        <v>#REF!</v>
      </c>
      <c r="BS20" s="1">
        <f t="shared" si="28"/>
        <v>36.9403973509933</v>
      </c>
      <c r="BU20" s="3" t="e">
        <f t="shared" si="29"/>
        <v>#REF!</v>
      </c>
      <c r="BV20" s="1">
        <f t="shared" si="30"/>
        <v>30.158940397351</v>
      </c>
      <c r="BX20" s="3" t="e">
        <f t="shared" si="31"/>
        <v>#REF!</v>
      </c>
      <c r="BY20" s="1">
        <f t="shared" si="32"/>
        <v>54.317880794702</v>
      </c>
      <c r="CA20" s="3" t="e">
        <f t="shared" si="33"/>
        <v>#REF!</v>
      </c>
    </row>
    <row r="21" ht="14.0">
      <c r="A21" s="27" t="s">
        <v>28</v>
      </c>
      <c r="B21" s="27" t="s">
        <v>29</v>
      </c>
      <c r="C21" s="27" t="s">
        <v>58</v>
      </c>
      <c r="D21" s="27" t="s">
        <v>59</v>
      </c>
      <c r="E21" s="27"/>
      <c r="F21" s="27">
        <v>1.0</v>
      </c>
      <c r="G21" s="27">
        <v>3.0</v>
      </c>
      <c r="H21" s="27">
        <v>1.0</v>
      </c>
      <c r="I21" s="27">
        <v>4.0</v>
      </c>
      <c r="J21" s="27">
        <v>0.0</v>
      </c>
      <c r="K21" s="27">
        <v>3.0</v>
      </c>
      <c r="L21" s="27">
        <v>1.0</v>
      </c>
      <c r="M21" s="27">
        <v>2.0</v>
      </c>
      <c r="N21" s="27">
        <v>1.0</v>
      </c>
      <c r="O21" s="27">
        <v>3.0</v>
      </c>
      <c r="P21" s="27">
        <v>1.0</v>
      </c>
      <c r="Q21" s="27">
        <v>1.0</v>
      </c>
      <c r="R21" s="27">
        <v>5.0</v>
      </c>
      <c r="S21" s="27">
        <v>2.0</v>
      </c>
      <c r="T21" s="27">
        <v>2.0</v>
      </c>
      <c r="U21" s="27">
        <v>1.0</v>
      </c>
      <c r="V21" s="27">
        <v>0.0</v>
      </c>
      <c r="W21" s="27">
        <v>2.0</v>
      </c>
      <c r="X21" s="27">
        <v>0.0</v>
      </c>
      <c r="Y21" s="27">
        <v>0.0</v>
      </c>
      <c r="Z21" s="27">
        <v>1.0</v>
      </c>
      <c r="AA21" s="27">
        <v>4.0</v>
      </c>
      <c r="AB21" s="27">
        <v>4.0</v>
      </c>
      <c r="AC21" s="27">
        <v>0.0</v>
      </c>
      <c r="AD21" s="27">
        <v>0.0</v>
      </c>
      <c r="AE21" s="27">
        <v>0.0</v>
      </c>
      <c r="AF21" s="27">
        <v>2.0</v>
      </c>
      <c r="AG21" s="27">
        <v>1.0</v>
      </c>
      <c r="AH21" s="27">
        <v>1.0</v>
      </c>
      <c r="AI21" s="27">
        <v>0.0</v>
      </c>
      <c r="AJ21" s="27">
        <v>1.0</v>
      </c>
      <c r="AK21" s="27">
        <v>0.0</v>
      </c>
      <c r="AL21" s="27">
        <v>1.0</v>
      </c>
      <c r="AM21" s="27">
        <v>1.0</v>
      </c>
      <c r="AN21" s="27">
        <v>2.0</v>
      </c>
      <c r="AO21" s="32">
        <f t="shared" si="3"/>
        <v>15.0</v>
      </c>
      <c r="AP21" s="32">
        <f t="shared" si="4"/>
        <v>4.0</v>
      </c>
      <c r="AQ21" s="32">
        <f t="shared" si="5"/>
        <v>4.4</v>
      </c>
      <c r="AR21" s="33"/>
      <c r="AS21" s="33">
        <v>1.0</v>
      </c>
      <c r="AT21" s="33">
        <v>0.0</v>
      </c>
      <c r="AU21" s="33">
        <v>1.0</v>
      </c>
      <c r="AV21" s="33">
        <v>1.0</v>
      </c>
      <c r="AW21" s="33">
        <v>1.0</v>
      </c>
      <c r="AX21" s="33">
        <v>1.0</v>
      </c>
      <c r="AY21" s="2">
        <v>1.0</v>
      </c>
      <c r="AZ21" s="2">
        <v>1.0</v>
      </c>
      <c r="BA21" s="2">
        <f t="shared" si="38"/>
        <v>5.0</v>
      </c>
      <c r="BB21" s="2" t="e">
        <f t="shared" si="39"/>
        <v>#REF!</v>
      </c>
      <c r="BF21">
        <f>VLOOKUP(C21,MOQ,3,FALSE())</f>
      </c>
      <c r="BK21" s="1">
        <f t="shared" si="21"/>
      </c>
      <c r="BL21" s="3"/>
      <c r="BN21" s="1">
        <f t="shared" si="24"/>
      </c>
      <c r="BO21" s="3"/>
      <c r="BR21" s="3"/>
      <c r="BU21" s="3"/>
      <c r="BX21" s="3"/>
      <c r="CA21" s="3"/>
    </row>
    <row r="22" ht="14.0">
      <c r="A22" s="34" t="s">
        <v>28</v>
      </c>
      <c r="B22" s="34" t="s">
        <v>29</v>
      </c>
      <c r="C22" s="34" t="s">
        <v>60</v>
      </c>
      <c r="D22" s="34" t="s">
        <v>61</v>
      </c>
      <c r="E22" s="34"/>
      <c r="F22" s="34">
        <v>0.0</v>
      </c>
      <c r="G22" s="34">
        <v>0.0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0.0</v>
      </c>
      <c r="P22" s="34">
        <v>0.0</v>
      </c>
      <c r="Q22" s="34">
        <v>0.0</v>
      </c>
      <c r="R22" s="34">
        <v>0.0</v>
      </c>
      <c r="S22" s="34">
        <v>0.0</v>
      </c>
      <c r="T22" s="34">
        <v>182.0</v>
      </c>
      <c r="U22" s="34">
        <v>96.0</v>
      </c>
      <c r="V22" s="34">
        <v>630.0</v>
      </c>
      <c r="W22" s="34">
        <v>714.0</v>
      </c>
      <c r="X22" s="34">
        <v>1034.0</v>
      </c>
      <c r="Y22" s="34">
        <v>266.0</v>
      </c>
      <c r="Z22" s="34">
        <v>66.0</v>
      </c>
      <c r="AA22" s="34">
        <v>12.0</v>
      </c>
      <c r="AB22" s="34">
        <v>18.0</v>
      </c>
      <c r="AC22" s="34">
        <v>1088.0</v>
      </c>
      <c r="AD22" s="34">
        <v>0.0</v>
      </c>
      <c r="AE22" s="34">
        <v>936.0</v>
      </c>
      <c r="AF22" s="34">
        <v>84.0</v>
      </c>
      <c r="AG22" s="34">
        <v>60.0</v>
      </c>
      <c r="AH22" s="34">
        <v>564.0</v>
      </c>
      <c r="AI22" s="34">
        <v>901.0</v>
      </c>
      <c r="AJ22" s="34">
        <v>660.0</v>
      </c>
      <c r="AK22" s="34">
        <v>811.0</v>
      </c>
      <c r="AL22" s="34">
        <v>234.0</v>
      </c>
      <c r="AM22" s="34">
        <v>54.0</v>
      </c>
      <c r="AN22" s="34">
        <v>348.0</v>
      </c>
      <c r="AO22" s="35">
        <f t="shared" si="3"/>
        <v>5422.0</v>
      </c>
      <c r="AP22" s="35">
        <f t="shared" si="4"/>
        <v>3224.0</v>
      </c>
      <c r="AQ22" s="35">
        <f t="shared" si="5"/>
        <v>3546.4</v>
      </c>
      <c r="AR22" s="36"/>
      <c r="AS22" s="36">
        <f>AQ22*$AS$5/$AQ$5</f>
        <v>690.348785871964</v>
      </c>
      <c r="AT22" s="176">
        <f>AQ22*$AT$5/$AQ$5+AT8</f>
        <v>610.701986754966</v>
      </c>
      <c r="AU22" s="176">
        <f>AQ22*$AU$5/$AQ$5+AU8</f>
        <v>1175.96688741721</v>
      </c>
      <c r="AV22" s="176">
        <f>AQ22*$AV$5/$AQ$5+AV26*0.5+AV8*0.5</f>
        <v>922.69757174393</v>
      </c>
      <c r="AW22" s="176">
        <f>AQ22*$AW$5/$AQ$5+AW26*0.25+AW8*0.25</f>
        <v>563.682119205297</v>
      </c>
      <c r="AX22" s="176">
        <f>AQ22*$AX$5/$AQ$5+AX26*0.25+AX8*0.25</f>
        <v>1122.86423841059</v>
      </c>
      <c r="AY22" s="176">
        <f>AQ22*$AY$5/$AQ$5+AY26*0.25+AY8*0.25</f>
        <v>1227.34437086093</v>
      </c>
      <c r="AZ22" s="176">
        <f>AQ22*$AZ$5/$AQ$5+AZ26*0.25+AZ8*0.25</f>
        <v>1111.51655629139</v>
      </c>
      <c r="BA22" s="2">
        <f t="shared" ref="BA22:BA29" si="62">SUM(AS22:AZ22)</f>
        <v>7425.12251655628</v>
      </c>
      <c r="BB22" s="2" t="e">
        <f t="shared" ref="BB22:BB29" si="63">VLOOKUP(D22,MAY13SOH,3,false)</f>
        <v>#REF!</v>
      </c>
      <c r="BC22" s="36"/>
      <c r="BD22" s="36" t="e">
        <f t="shared" ref="BD22:BD25" si="64">VLOOKUP(C22,CHINAJUNE,3,false)</f>
        <v>#REF!</v>
      </c>
      <c r="BE22" s="35" t="e">
        <f t="shared" ref="BE22:BE29" si="65">BB22+BC22+BD22-BA22</f>
        <v>#REF!</v>
      </c>
      <c r="BF22" s="37">
        <f>VLOOKUP(C22,MOQ,3,FALSE())</f>
        <v>3000.0</v>
      </c>
      <c r="BG22" s="38" t="s">
        <v>32</v>
      </c>
      <c r="BH22" s="29" t="s">
        <v>7</v>
      </c>
      <c r="BI22" s="36" t="e">
        <f t="shared" ref="BI22:BI29" si="66">BB22</f>
        <v>#REF!</v>
      </c>
      <c r="BJ22" s="36">
        <f t="shared" ref="BJ22:BJ29" si="67">AS22</f>
        <v>690.348785871964</v>
      </c>
      <c r="BK22" s="36">
        <f t="shared" si="21"/>
      </c>
      <c r="BL22" s="35" t="e">
        <f t="shared" ref="BL22:BL29" si="68">BI22+BK22-BJ22</f>
        <v>#REF!</v>
      </c>
      <c r="BM22" s="36">
        <f t="shared" ref="BM22:BM29" si="69">AT22</f>
        <v>610.701986754966</v>
      </c>
      <c r="BN22" s="36" t="e">
        <f t="shared" si="24"/>
        <v>#REF!</v>
      </c>
      <c r="BO22" s="35" t="e">
        <f t="shared" ref="BO22:BO29" si="70">BL22+BN22-BM22</f>
        <v>#REF!</v>
      </c>
      <c r="BP22" s="36">
        <f t="shared" ref="BP22:BP29" si="71">AU22</f>
        <v>1175.96688741721</v>
      </c>
      <c r="BQ22" s="36"/>
      <c r="BR22" s="35" t="e">
        <f t="shared" ref="BR22:BR29" si="72">BO22+BQ22-BP22</f>
        <v>#REF!</v>
      </c>
      <c r="BS22" s="36">
        <f t="shared" ref="BS22:BS29" si="73">AV22</f>
        <v>922.69757174393</v>
      </c>
      <c r="BT22" s="36"/>
      <c r="BU22" s="35" t="e">
        <f t="shared" ref="BU22:BU29" si="74">BR22+BT22-BS22</f>
        <v>#REF!</v>
      </c>
      <c r="BV22" s="36">
        <f t="shared" ref="BV22:BV29" si="75">AW22</f>
        <v>563.682119205297</v>
      </c>
      <c r="BW22" s="36"/>
      <c r="BX22" s="35" t="e">
        <f t="shared" ref="BX22:BX29" si="76">BU22+BW22-BV22</f>
        <v>#REF!</v>
      </c>
      <c r="BY22" s="36">
        <f t="shared" ref="BY22:BY29" si="77">AX22</f>
        <v>1122.86423841059</v>
      </c>
      <c r="BZ22" s="36"/>
      <c r="CA22" s="35" t="e">
        <f t="shared" ref="CA22:CA29" si="78">BX22+BZ22-BY22</f>
        <v>#REF!</v>
      </c>
      <c r="CB22" s="1">
        <f t="shared" ref="CB22:CB29" si="79">AY22</f>
        <v>1227.34437086093</v>
      </c>
      <c r="CD22" s="3" t="e">
        <f t="shared" ref="CD22:CD29" si="80">CA22+CC22-CB22</f>
        <v>#REF!</v>
      </c>
      <c r="CE22" s="1">
        <f t="shared" ref="CE22:CE29" si="81">AZ22</f>
        <v>1111.51655629139</v>
      </c>
      <c r="CG22" s="3" t="e">
        <f t="shared" ref="CG22:CG29" si="82">CD22+CF22-CE22</f>
        <v>#REF!</v>
      </c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AMI22" s="39"/>
      <c r="AMJ22" s="39"/>
      <c r="AMK22" s="39"/>
    </row>
    <row r="23" ht="14.0">
      <c r="A23" s="40" t="s">
        <v>28</v>
      </c>
      <c r="B23" s="40" t="s">
        <v>29</v>
      </c>
      <c r="C23" s="40" t="s">
        <v>62</v>
      </c>
      <c r="D23" s="40" t="s">
        <v>63</v>
      </c>
      <c r="E23" s="34"/>
      <c r="F23" s="34">
        <v>0.0</v>
      </c>
      <c r="G23" s="34">
        <v>0.0</v>
      </c>
      <c r="H23" s="34">
        <v>0.0</v>
      </c>
      <c r="I23" s="34">
        <v>0.0</v>
      </c>
      <c r="J23" s="34">
        <v>0.0</v>
      </c>
      <c r="K23" s="34">
        <v>0.0</v>
      </c>
      <c r="L23" s="34">
        <v>0.0</v>
      </c>
      <c r="M23" s="34">
        <v>0.0</v>
      </c>
      <c r="N23" s="34">
        <v>0.0</v>
      </c>
      <c r="O23" s="34">
        <v>0.0</v>
      </c>
      <c r="P23" s="34">
        <v>0.0</v>
      </c>
      <c r="Q23" s="34">
        <v>0.0</v>
      </c>
      <c r="R23" s="34">
        <v>0.0</v>
      </c>
      <c r="S23" s="34">
        <v>0.0</v>
      </c>
      <c r="T23" s="34">
        <v>181.0</v>
      </c>
      <c r="U23" s="34">
        <v>96.0</v>
      </c>
      <c r="V23" s="34">
        <v>630.0</v>
      </c>
      <c r="W23" s="34">
        <v>618.0</v>
      </c>
      <c r="X23" s="34">
        <v>950.0</v>
      </c>
      <c r="Y23" s="34">
        <v>306.0</v>
      </c>
      <c r="Z23" s="34">
        <v>54.0</v>
      </c>
      <c r="AA23" s="34">
        <v>18.0</v>
      </c>
      <c r="AB23" s="34">
        <v>48.0</v>
      </c>
      <c r="AC23" s="34">
        <v>1135.0</v>
      </c>
      <c r="AD23" s="34">
        <v>0.0</v>
      </c>
      <c r="AE23" s="34">
        <v>828.0</v>
      </c>
      <c r="AF23" s="34">
        <v>24.0</v>
      </c>
      <c r="AG23" s="34">
        <v>60.0</v>
      </c>
      <c r="AH23" s="34">
        <v>666.0</v>
      </c>
      <c r="AI23" s="34">
        <v>733.0</v>
      </c>
      <c r="AJ23" s="34">
        <v>246.0</v>
      </c>
      <c r="AK23" s="34">
        <v>882.0</v>
      </c>
      <c r="AL23" s="34">
        <v>162.0</v>
      </c>
      <c r="AM23" s="34">
        <v>31.0</v>
      </c>
      <c r="AN23" s="34">
        <v>241.0</v>
      </c>
      <c r="AO23" s="35">
        <f t="shared" si="3"/>
        <v>4833.0</v>
      </c>
      <c r="AP23" s="35">
        <f t="shared" si="4"/>
        <v>2720.0</v>
      </c>
      <c r="AQ23" s="35">
        <f t="shared" si="5"/>
        <v>2992.0</v>
      </c>
      <c r="AR23" s="36"/>
      <c r="AS23" s="176">
        <f>AQ23*$AS$5/$AQ$5+AS29</f>
        <v>937.693156732891</v>
      </c>
      <c r="AT23" s="176">
        <f>AQ23*$AT$5/$AQ$5+AT29</f>
        <v>445.607064017659</v>
      </c>
      <c r="AU23" s="176">
        <f>AQ23*$AU$5/$AQ$5+AU29</f>
        <v>863.326710816777</v>
      </c>
      <c r="AV23" s="176">
        <f>AQ23*$AV$5/$AQ$5+AV29*0.5</f>
        <v>573.458057395144</v>
      </c>
      <c r="AW23" s="176">
        <f>AQ23*$AW$5/$AQ$5+AW29*0.25</f>
        <v>395.153973509933</v>
      </c>
      <c r="AX23" s="176">
        <f>AQ23*$AX$5/$AQ$5+AX29*0.25+AX81*0.25</f>
        <v>808.607947019868</v>
      </c>
      <c r="AY23" s="176">
        <f>AQ23*$AY$5/$AQ$5+AY29*0.25+AY9*0.25+AY81*0.25</f>
        <v>988.356669820245</v>
      </c>
      <c r="AZ23" s="176">
        <f>AQ23*$AZ$5/$AQ$5+AZ29*0.25+AZ9*0.25+AZ81*0.25</f>
        <v>907.910004730362</v>
      </c>
      <c r="BA23" s="2">
        <f t="shared" si="62"/>
        <v>5920.11358404288</v>
      </c>
      <c r="BB23" s="2" t="e">
        <f t="shared" si="63"/>
        <v>#REF!</v>
      </c>
      <c r="BC23" s="36"/>
      <c r="BD23" s="36" t="e">
        <f t="shared" si="64"/>
        <v>#REF!</v>
      </c>
      <c r="BE23" s="35" t="e">
        <f t="shared" si="65"/>
        <v>#REF!</v>
      </c>
      <c r="BF23" s="37">
        <f>VLOOKUP(C23,MOQ,3,FALSE())</f>
        <v>3000.0</v>
      </c>
      <c r="BG23" s="177">
        <v>3000.0</v>
      </c>
      <c r="BH23" s="29" t="s">
        <v>227</v>
      </c>
      <c r="BI23" s="36" t="e">
        <f t="shared" si="66"/>
        <v>#REF!</v>
      </c>
      <c r="BJ23" s="36">
        <f t="shared" si="67"/>
        <v>937.693156732891</v>
      </c>
      <c r="BK23" s="36">
        <f t="shared" si="21"/>
      </c>
      <c r="BL23" s="35" t="e">
        <f t="shared" si="68"/>
        <v>#REF!</v>
      </c>
      <c r="BM23" s="36">
        <f t="shared" si="69"/>
        <v>445.607064017659</v>
      </c>
      <c r="BN23" s="36" t="e">
        <f t="shared" si="24"/>
        <v>#REF!</v>
      </c>
      <c r="BO23" s="35" t="e">
        <f t="shared" si="70"/>
        <v>#REF!</v>
      </c>
      <c r="BP23" s="36">
        <f t="shared" si="71"/>
        <v>863.326710816777</v>
      </c>
      <c r="BQ23" s="36"/>
      <c r="BR23" s="35" t="e">
        <f t="shared" si="72"/>
        <v>#REF!</v>
      </c>
      <c r="BS23" s="36">
        <f t="shared" si="73"/>
        <v>573.458057395144</v>
      </c>
      <c r="BT23" s="36"/>
      <c r="BU23" s="35" t="e">
        <f t="shared" si="74"/>
        <v>#REF!</v>
      </c>
      <c r="BV23" s="36">
        <f t="shared" si="75"/>
        <v>395.153973509933</v>
      </c>
      <c r="BW23" s="36"/>
      <c r="BX23" s="35" t="e">
        <f t="shared" si="76"/>
        <v>#REF!</v>
      </c>
      <c r="BY23" s="36">
        <f t="shared" si="77"/>
        <v>808.607947019868</v>
      </c>
      <c r="BZ23" s="36"/>
      <c r="CA23" s="35" t="e">
        <f t="shared" si="78"/>
        <v>#REF!</v>
      </c>
      <c r="CB23" s="1">
        <f t="shared" si="79"/>
        <v>988.356669820245</v>
      </c>
      <c r="CD23" s="3" t="e">
        <f t="shared" si="80"/>
        <v>#REF!</v>
      </c>
      <c r="CE23" s="1">
        <f t="shared" si="81"/>
        <v>907.910004730362</v>
      </c>
      <c r="CG23" s="3" t="e">
        <f t="shared" si="82"/>
        <v>#REF!</v>
      </c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AMI23" s="39"/>
      <c r="AMJ23" s="39"/>
      <c r="AMK23" s="39"/>
    </row>
    <row r="24" ht="14.0">
      <c r="A24" s="34" t="s">
        <v>28</v>
      </c>
      <c r="B24" s="34" t="s">
        <v>29</v>
      </c>
      <c r="C24" s="34" t="s">
        <v>65</v>
      </c>
      <c r="D24" s="34" t="s">
        <v>66</v>
      </c>
      <c r="E24" s="34"/>
      <c r="F24" s="34">
        <v>0.0</v>
      </c>
      <c r="G24" s="34">
        <v>0.0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0.0</v>
      </c>
      <c r="P24" s="34">
        <v>0.0</v>
      </c>
      <c r="Q24" s="34">
        <v>0.0</v>
      </c>
      <c r="R24" s="34">
        <v>0.0</v>
      </c>
      <c r="S24" s="34">
        <v>0.0</v>
      </c>
      <c r="T24" s="34">
        <v>1.0</v>
      </c>
      <c r="U24" s="34">
        <v>96.0</v>
      </c>
      <c r="V24" s="34">
        <v>36.0</v>
      </c>
      <c r="W24" s="34">
        <v>126.0</v>
      </c>
      <c r="X24" s="34">
        <v>44.0</v>
      </c>
      <c r="Y24" s="34">
        <v>408.0</v>
      </c>
      <c r="Z24" s="34">
        <v>31.0</v>
      </c>
      <c r="AA24" s="34">
        <v>36.0</v>
      </c>
      <c r="AB24" s="34">
        <v>30.0</v>
      </c>
      <c r="AC24" s="34">
        <v>594.0</v>
      </c>
      <c r="AD24" s="34">
        <v>6.0</v>
      </c>
      <c r="AE24" s="34">
        <v>486.0</v>
      </c>
      <c r="AF24" s="34">
        <v>60.0</v>
      </c>
      <c r="AG24" s="34">
        <v>12.0</v>
      </c>
      <c r="AH24" s="34">
        <v>498.0</v>
      </c>
      <c r="AI24" s="34">
        <v>572.0</v>
      </c>
      <c r="AJ24" s="34">
        <v>470.0</v>
      </c>
      <c r="AK24" s="34">
        <v>715.0</v>
      </c>
      <c r="AL24" s="34">
        <v>139.0</v>
      </c>
      <c r="AM24" s="34">
        <v>43.0</v>
      </c>
      <c r="AN24" s="34">
        <v>288.0</v>
      </c>
      <c r="AO24" s="35">
        <f t="shared" si="3"/>
        <v>3661.0</v>
      </c>
      <c r="AP24" s="35">
        <f t="shared" si="4"/>
        <v>2437.0</v>
      </c>
      <c r="AQ24" s="35">
        <f t="shared" si="5"/>
        <v>2680.7</v>
      </c>
      <c r="AR24" s="36"/>
      <c r="AS24" s="176">
        <f>AQ24*$AS$5/$AQ$5+AS28</f>
        <v>719.710816777045</v>
      </c>
      <c r="AT24" s="176">
        <f>AQ24*$AT$5/$AQ$5+AT28</f>
        <v>342.23399558499</v>
      </c>
      <c r="AU24" s="176">
        <f>AQ24*$AU$5/$AQ$5+AU28</f>
        <v>663.322295805739</v>
      </c>
      <c r="AV24" s="176">
        <f>AQ24*$AV$5/$AQ$5+AV28*0.5</f>
        <v>468.631346578366</v>
      </c>
      <c r="AW24" s="176">
        <f>AQ24*$AW$5/$AQ$5+AW28*0.25</f>
        <v>336.423841059602</v>
      </c>
      <c r="AX24" s="176">
        <f>AQ24*$AX$5/$AQ$5+AX28*0.25</f>
        <v>671.347682119204</v>
      </c>
      <c r="AY24" s="176">
        <f>AQ24*$AY$5/$AQ$5+AY28*0.25</f>
        <v>736.207505518761</v>
      </c>
      <c r="AZ24" s="176">
        <f>AQ24*$AZ$5/$AQ$5+AZ28*0.25</f>
        <v>666.644591611479</v>
      </c>
      <c r="BA24" s="2">
        <f t="shared" si="62"/>
        <v>4604.52207505519</v>
      </c>
      <c r="BB24" s="2" t="e">
        <f t="shared" si="63"/>
        <v>#REF!</v>
      </c>
      <c r="BC24" s="36"/>
      <c r="BD24" s="36" t="e">
        <f t="shared" si="64"/>
        <v>#REF!</v>
      </c>
      <c r="BE24" s="35" t="e">
        <f t="shared" si="65"/>
        <v>#REF!</v>
      </c>
      <c r="BF24" s="37">
        <f>VLOOKUP(C24,MOQ,3,FALSE())</f>
        <v>3000.0</v>
      </c>
      <c r="BG24" s="38" t="s">
        <v>32</v>
      </c>
      <c r="BH24" s="29" t="s">
        <v>8</v>
      </c>
      <c r="BI24" s="36" t="e">
        <f t="shared" si="66"/>
        <v>#REF!</v>
      </c>
      <c r="BJ24" s="36">
        <f t="shared" si="67"/>
        <v>719.710816777045</v>
      </c>
      <c r="BK24" s="36">
        <f t="shared" si="21"/>
      </c>
      <c r="BL24" s="35" t="e">
        <f t="shared" si="68"/>
        <v>#REF!</v>
      </c>
      <c r="BM24" s="36">
        <f t="shared" si="69"/>
        <v>342.23399558499</v>
      </c>
      <c r="BN24" s="36" t="e">
        <f t="shared" si="24"/>
        <v>#REF!</v>
      </c>
      <c r="BO24" s="35" t="e">
        <f t="shared" si="70"/>
        <v>#REF!</v>
      </c>
      <c r="BP24" s="36">
        <f t="shared" si="71"/>
        <v>663.322295805739</v>
      </c>
      <c r="BQ24" s="36"/>
      <c r="BR24" s="35" t="e">
        <f t="shared" si="72"/>
        <v>#REF!</v>
      </c>
      <c r="BS24" s="36">
        <f t="shared" si="73"/>
        <v>468.631346578366</v>
      </c>
      <c r="BT24" s="36"/>
      <c r="BU24" s="35" t="e">
        <f t="shared" si="74"/>
        <v>#REF!</v>
      </c>
      <c r="BV24" s="36">
        <f t="shared" si="75"/>
        <v>336.423841059602</v>
      </c>
      <c r="BW24" s="36"/>
      <c r="BX24" s="35" t="e">
        <f t="shared" si="76"/>
        <v>#REF!</v>
      </c>
      <c r="BY24" s="36">
        <f t="shared" si="77"/>
        <v>671.347682119204</v>
      </c>
      <c r="BZ24" s="36"/>
      <c r="CA24" s="35" t="e">
        <f t="shared" si="78"/>
        <v>#REF!</v>
      </c>
      <c r="CB24" s="1">
        <f t="shared" si="79"/>
        <v>736.207505518761</v>
      </c>
      <c r="CD24" s="3" t="e">
        <f t="shared" si="80"/>
        <v>#REF!</v>
      </c>
      <c r="CE24" s="1">
        <f t="shared" si="81"/>
        <v>666.644591611479</v>
      </c>
      <c r="CG24" s="3" t="e">
        <f t="shared" si="82"/>
        <v>#REF!</v>
      </c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AMI24" s="39"/>
      <c r="AMJ24" s="39"/>
      <c r="AMK24" s="39"/>
      <c r="AML24" s="39"/>
    </row>
    <row r="25" ht="14.0">
      <c r="A25" s="40" t="s">
        <v>28</v>
      </c>
      <c r="B25" s="40" t="s">
        <v>29</v>
      </c>
      <c r="C25" s="40" t="s">
        <v>67</v>
      </c>
      <c r="D25" s="40" t="s">
        <v>68</v>
      </c>
      <c r="E25" s="34"/>
      <c r="F25" s="34">
        <v>0.0</v>
      </c>
      <c r="G25" s="34">
        <v>0.0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34">
        <v>0.0</v>
      </c>
      <c r="S25" s="34">
        <v>0.0</v>
      </c>
      <c r="T25" s="34">
        <v>1.0</v>
      </c>
      <c r="U25" s="34">
        <v>132.0</v>
      </c>
      <c r="V25" s="34">
        <v>36.0</v>
      </c>
      <c r="W25" s="34">
        <v>90.0</v>
      </c>
      <c r="X25" s="34">
        <v>37.0</v>
      </c>
      <c r="Y25" s="34">
        <v>383.0</v>
      </c>
      <c r="Z25" s="34">
        <v>36.0</v>
      </c>
      <c r="AA25" s="34">
        <v>30.0</v>
      </c>
      <c r="AB25" s="34">
        <v>66.0</v>
      </c>
      <c r="AC25" s="34">
        <v>606.0</v>
      </c>
      <c r="AD25" s="34">
        <v>6.0</v>
      </c>
      <c r="AE25" s="34">
        <v>492.0</v>
      </c>
      <c r="AF25" s="34">
        <v>60.0</v>
      </c>
      <c r="AG25" s="34">
        <v>24.0</v>
      </c>
      <c r="AH25" s="34">
        <v>464.0</v>
      </c>
      <c r="AI25" s="34">
        <v>595.0</v>
      </c>
      <c r="AJ25" s="34">
        <v>560.0</v>
      </c>
      <c r="AK25" s="34">
        <v>770.0</v>
      </c>
      <c r="AL25" s="34">
        <v>282.0</v>
      </c>
      <c r="AM25" s="34">
        <v>19.0</v>
      </c>
      <c r="AN25" s="34">
        <v>264.0</v>
      </c>
      <c r="AO25" s="35">
        <f t="shared" si="3"/>
        <v>3974.0</v>
      </c>
      <c r="AP25" s="35">
        <f t="shared" si="4"/>
        <v>2690.0</v>
      </c>
      <c r="AQ25" s="35">
        <f t="shared" si="5"/>
        <v>2959.0</v>
      </c>
      <c r="AR25" s="36"/>
      <c r="AS25" s="176">
        <f>AQ25*$AS$5/$AQ$5+AS27</f>
        <v>879.66445916114</v>
      </c>
      <c r="AT25" s="176">
        <f>AQ25*$AT$5/$AQ$5+AU27</f>
        <v>554.741721854303</v>
      </c>
      <c r="AU25" s="176">
        <f>AQ25*$AU$5/$AQ$5+AU27</f>
        <v>810.083885209712</v>
      </c>
      <c r="AV25" s="176">
        <f>AQ25*$AV$5/$AQ$5+AV27*0.5</f>
        <v>549.205298013245</v>
      </c>
      <c r="AW25" s="176">
        <f>AQ25*$AW$5/$AQ$5+AW27*0.25</f>
        <v>383.798013245032</v>
      </c>
      <c r="AX25" s="176">
        <f>AQ25*$AX$5/$AQ$5+AX27*0.25</f>
        <v>766.096026490066</v>
      </c>
      <c r="AY25" s="176">
        <f>AQ25*$AY$5/$AQ$5+AY27*0.25</f>
        <v>841.760485651213</v>
      </c>
      <c r="AZ25" s="176">
        <f>AQ25*$AZ$5/$AQ$5+AZ27*0.25</f>
        <v>762.224061810155</v>
      </c>
      <c r="BA25" s="2">
        <f t="shared" si="62"/>
        <v>5547.57395143487</v>
      </c>
      <c r="BB25" s="2" t="e">
        <f t="shared" si="63"/>
        <v>#REF!</v>
      </c>
      <c r="BC25" s="36"/>
      <c r="BD25" s="36" t="e">
        <f t="shared" si="64"/>
        <v>#REF!</v>
      </c>
      <c r="BE25" s="35" t="e">
        <f t="shared" si="65"/>
        <v>#REF!</v>
      </c>
      <c r="BF25" s="37">
        <f>VLOOKUP(C25,MOQ,3,FALSE())</f>
        <v>3000.0</v>
      </c>
      <c r="BG25" s="177">
        <f>BF25</f>
        <v>3000.0</v>
      </c>
      <c r="BH25" s="29" t="s">
        <v>227</v>
      </c>
      <c r="BI25" s="36" t="e">
        <f t="shared" si="66"/>
        <v>#REF!</v>
      </c>
      <c r="BJ25" s="36">
        <f t="shared" si="67"/>
        <v>879.66445916114</v>
      </c>
      <c r="BK25" s="36">
        <f t="shared" si="21"/>
      </c>
      <c r="BL25" s="35" t="e">
        <f t="shared" si="68"/>
        <v>#REF!</v>
      </c>
      <c r="BM25" s="36">
        <f t="shared" si="69"/>
        <v>554.741721854303</v>
      </c>
      <c r="BN25" s="36" t="e">
        <f t="shared" si="24"/>
        <v>#REF!</v>
      </c>
      <c r="BO25" s="35" t="e">
        <f t="shared" si="70"/>
        <v>#REF!</v>
      </c>
      <c r="BP25" s="36">
        <f t="shared" si="71"/>
        <v>810.083885209712</v>
      </c>
      <c r="BQ25" s="36"/>
      <c r="BR25" s="35" t="e">
        <f t="shared" si="72"/>
        <v>#REF!</v>
      </c>
      <c r="BS25" s="36">
        <f t="shared" si="73"/>
        <v>549.205298013245</v>
      </c>
      <c r="BT25" s="36"/>
      <c r="BU25" s="35" t="e">
        <f t="shared" si="74"/>
        <v>#REF!</v>
      </c>
      <c r="BV25" s="36">
        <f t="shared" si="75"/>
        <v>383.798013245032</v>
      </c>
      <c r="BW25" s="36"/>
      <c r="BX25" s="35" t="e">
        <f t="shared" si="76"/>
        <v>#REF!</v>
      </c>
      <c r="BY25" s="36">
        <f t="shared" si="77"/>
        <v>766.096026490066</v>
      </c>
      <c r="BZ25" s="36"/>
      <c r="CA25" s="35" t="e">
        <f t="shared" si="78"/>
        <v>#REF!</v>
      </c>
      <c r="CB25" s="1">
        <f t="shared" si="79"/>
        <v>841.760485651213</v>
      </c>
      <c r="CD25" s="3" t="e">
        <f t="shared" si="80"/>
        <v>#REF!</v>
      </c>
      <c r="CE25" s="1">
        <f t="shared" si="81"/>
        <v>762.224061810155</v>
      </c>
      <c r="CG25" s="3" t="e">
        <f t="shared" si="82"/>
        <v>#REF!</v>
      </c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AMI25" s="39"/>
      <c r="AMJ25" s="39"/>
      <c r="AMK25" s="39"/>
    </row>
    <row r="26" customHeight="1" ht="12.0">
      <c r="A26" s="27" t="s">
        <v>28</v>
      </c>
      <c r="B26" s="27" t="s">
        <v>29</v>
      </c>
      <c r="C26" s="27" t="s">
        <v>69</v>
      </c>
      <c r="D26" s="27" t="s">
        <v>70</v>
      </c>
      <c r="E26" s="27"/>
      <c r="F26" s="27">
        <v>332.0</v>
      </c>
      <c r="G26" s="27">
        <v>484.0</v>
      </c>
      <c r="H26" s="27">
        <v>408.0</v>
      </c>
      <c r="I26" s="27">
        <v>455.0</v>
      </c>
      <c r="J26" s="27">
        <v>567.0</v>
      </c>
      <c r="K26" s="27">
        <v>558.0</v>
      </c>
      <c r="L26" s="27">
        <v>495.0</v>
      </c>
      <c r="M26" s="27">
        <v>424.0</v>
      </c>
      <c r="N26" s="27">
        <v>304.0</v>
      </c>
      <c r="O26" s="27">
        <v>295.0</v>
      </c>
      <c r="P26" s="27">
        <v>322.0</v>
      </c>
      <c r="Q26" s="27">
        <v>300.0</v>
      </c>
      <c r="R26" s="27">
        <v>173.0</v>
      </c>
      <c r="S26" s="27">
        <v>276.0</v>
      </c>
      <c r="T26" s="27">
        <v>312.0</v>
      </c>
      <c r="U26" s="27">
        <v>254.0</v>
      </c>
      <c r="V26" s="27">
        <v>385.0</v>
      </c>
      <c r="W26" s="27">
        <v>508.0</v>
      </c>
      <c r="X26" s="27">
        <v>550.0</v>
      </c>
      <c r="Y26" s="27">
        <v>332.0</v>
      </c>
      <c r="Z26" s="27">
        <v>132.0</v>
      </c>
      <c r="AA26" s="27">
        <v>443.0</v>
      </c>
      <c r="AB26" s="27">
        <v>242.0</v>
      </c>
      <c r="AC26" s="27">
        <v>274.0</v>
      </c>
      <c r="AD26" s="27">
        <v>273.0</v>
      </c>
      <c r="AE26" s="27">
        <v>219.0</v>
      </c>
      <c r="AF26" s="27">
        <v>346.0</v>
      </c>
      <c r="AG26" s="27">
        <v>163.0</v>
      </c>
      <c r="AH26" s="27">
        <v>421.0</v>
      </c>
      <c r="AI26" s="27">
        <v>306.0</v>
      </c>
      <c r="AJ26" s="27">
        <v>466.0</v>
      </c>
      <c r="AK26" s="27">
        <v>193.0</v>
      </c>
      <c r="AL26" s="27">
        <v>239.0</v>
      </c>
      <c r="AM26" s="27">
        <v>238.0</v>
      </c>
      <c r="AN26" s="27">
        <v>147.0</v>
      </c>
      <c r="AO26" s="28">
        <f t="shared" si="3"/>
        <v>3823.0</v>
      </c>
      <c r="AP26" s="28">
        <f t="shared" si="4"/>
        <v>1863.0</v>
      </c>
      <c r="AQ26" s="28">
        <f t="shared" si="5"/>
        <v>2049.3</v>
      </c>
      <c r="AS26" s="1">
        <f>AQ26*$AS$5/$AQ$5+12*$AS$30</f>
        <v>470.920529801324</v>
      </c>
      <c r="AT26" s="1">
        <f>AQ26*$AT$5/$AQ$5+12*$AT$30</f>
        <v>225.17880794702</v>
      </c>
      <c r="AU26" s="1">
        <f>AQ26*$AU$5/$AQ$5+12*$AU$30</f>
        <v>438.019867549669</v>
      </c>
      <c r="AV26" s="171">
        <f>AQ26*$AV$5/$AQ$5+12*$AV$30</f>
        <v>360.21854304636</v>
      </c>
      <c r="AW26" s="171">
        <f>AQ26*$AW$5/$AQ$5+12*$AW$30</f>
        <v>282.417218543046</v>
      </c>
      <c r="AX26" s="171">
        <f>AQ26*$AX$5/$AQ$5+12*$AX$30</f>
        <v>552.834437086092</v>
      </c>
      <c r="AY26" s="175">
        <f t="shared" ref="AY26:AY29" si="114">AQ26*$AY$5/$AQ$5</f>
        <v>522.298013245033</v>
      </c>
      <c r="AZ26" s="175">
        <f t="shared" ref="AZ26:AZ29" si="115">AQ26*$AZ$5/$AQ$5</f>
        <v>472.94701986755</v>
      </c>
      <c r="BA26" s="2">
        <f t="shared" si="62"/>
        <v>3324.83443708609</v>
      </c>
      <c r="BB26" s="2" t="e">
        <f t="shared" si="63"/>
        <v>#REF!</v>
      </c>
      <c r="BE26" s="28" t="e">
        <f t="shared" si="65"/>
        <v>#REF!</v>
      </c>
      <c r="BF26" s="29">
        <f>VLOOKUP(C26,MOQ,3,FALSE())</f>
        <v>1620.0</v>
      </c>
      <c r="BG26" s="177" t="e">
        <f>BE26*-1</f>
        <v>#REF!</v>
      </c>
      <c r="BH26" s="1" t="s">
        <v>8</v>
      </c>
      <c r="BI26" s="1" t="e">
        <f t="shared" si="66"/>
        <v>#REF!</v>
      </c>
      <c r="BJ26" s="1">
        <f t="shared" si="67"/>
        <v>470.920529801324</v>
      </c>
      <c r="BK26" s="1">
        <f t="shared" si="21"/>
      </c>
      <c r="BL26" s="3" t="e">
        <f t="shared" si="68"/>
        <v>#REF!</v>
      </c>
      <c r="BM26" s="1">
        <f t="shared" si="69"/>
        <v>225.17880794702</v>
      </c>
      <c r="BN26" s="1">
        <f t="shared" si="24"/>
      </c>
      <c r="BO26" s="3" t="e">
        <f t="shared" si="70"/>
        <v>#REF!</v>
      </c>
      <c r="BP26" s="1">
        <f t="shared" si="71"/>
        <v>438.019867549669</v>
      </c>
      <c r="BR26" s="3" t="e">
        <f t="shared" si="72"/>
        <v>#REF!</v>
      </c>
      <c r="BS26" s="1">
        <f t="shared" si="73"/>
        <v>360.21854304636</v>
      </c>
      <c r="BU26" s="3" t="e">
        <f t="shared" si="74"/>
        <v>#REF!</v>
      </c>
      <c r="BV26" s="1">
        <f t="shared" si="75"/>
        <v>282.417218543046</v>
      </c>
      <c r="BX26" s="3" t="e">
        <f t="shared" si="76"/>
        <v>#REF!</v>
      </c>
      <c r="BY26" s="1">
        <f t="shared" si="77"/>
        <v>552.834437086092</v>
      </c>
      <c r="CA26" s="3" t="e">
        <f t="shared" si="78"/>
        <v>#REF!</v>
      </c>
      <c r="CB26" s="1">
        <f t="shared" si="79"/>
        <v>522.298013245033</v>
      </c>
      <c r="CD26" s="3" t="e">
        <f t="shared" si="80"/>
        <v>#REF!</v>
      </c>
      <c r="CE26" s="1">
        <f t="shared" si="81"/>
        <v>472.94701986755</v>
      </c>
      <c r="CG26" s="3" t="e">
        <f t="shared" si="82"/>
        <v>#REF!</v>
      </c>
    </row>
    <row r="27" ht="14.0">
      <c r="A27" s="27" t="s">
        <v>45</v>
      </c>
      <c r="B27" s="27" t="s">
        <v>29</v>
      </c>
      <c r="C27" s="27" t="s">
        <v>71</v>
      </c>
      <c r="D27" s="27" t="s">
        <v>72</v>
      </c>
      <c r="E27" s="27"/>
      <c r="F27" s="27">
        <v>187.0</v>
      </c>
      <c r="G27" s="27">
        <v>234.0</v>
      </c>
      <c r="H27" s="27">
        <v>244.0</v>
      </c>
      <c r="I27" s="27">
        <v>248.0</v>
      </c>
      <c r="J27" s="27">
        <v>263.0</v>
      </c>
      <c r="K27" s="27">
        <v>354.0</v>
      </c>
      <c r="L27" s="27">
        <v>309.0</v>
      </c>
      <c r="M27" s="27">
        <v>307.0</v>
      </c>
      <c r="N27" s="27">
        <v>199.0</v>
      </c>
      <c r="O27" s="27">
        <v>153.0</v>
      </c>
      <c r="P27" s="27">
        <v>251.0</v>
      </c>
      <c r="Q27" s="27">
        <v>171.0</v>
      </c>
      <c r="R27" s="27">
        <v>111.0</v>
      </c>
      <c r="S27" s="27">
        <v>166.0</v>
      </c>
      <c r="T27" s="27">
        <v>179.0</v>
      </c>
      <c r="U27" s="27">
        <v>149.0</v>
      </c>
      <c r="V27" s="27">
        <v>245.0</v>
      </c>
      <c r="W27" s="27">
        <v>257.0</v>
      </c>
      <c r="X27" s="27">
        <v>312.0</v>
      </c>
      <c r="Y27" s="27">
        <v>255.0</v>
      </c>
      <c r="Z27" s="27">
        <v>286.0</v>
      </c>
      <c r="AA27" s="27">
        <v>65.0</v>
      </c>
      <c r="AB27" s="27">
        <v>130.0</v>
      </c>
      <c r="AC27" s="27">
        <v>292.0</v>
      </c>
      <c r="AD27" s="27">
        <v>143.0</v>
      </c>
      <c r="AE27" s="27">
        <v>184.0</v>
      </c>
      <c r="AF27" s="27">
        <v>191.0</v>
      </c>
      <c r="AG27" s="27">
        <v>137.0</v>
      </c>
      <c r="AH27" s="27">
        <v>259.0</v>
      </c>
      <c r="AI27" s="27">
        <v>131.0</v>
      </c>
      <c r="AJ27" s="27">
        <v>282.0</v>
      </c>
      <c r="AK27" s="27">
        <v>190.0</v>
      </c>
      <c r="AL27" s="27">
        <v>171.0</v>
      </c>
      <c r="AM27" s="27">
        <v>217.0</v>
      </c>
      <c r="AN27" s="27">
        <v>5.0</v>
      </c>
      <c r="AO27" s="28">
        <f t="shared" si="3"/>
        <v>2392.0</v>
      </c>
      <c r="AP27" s="28">
        <f t="shared" si="4"/>
        <v>1250.0</v>
      </c>
      <c r="AQ27" s="28">
        <f t="shared" si="5"/>
        <v>1375.0</v>
      </c>
      <c r="AS27" s="171">
        <f t="shared" ref="AS27:AS29" si="117">AQ27*$AS$5/$AQ$5+6*$AS$30</f>
        <v>303.66004415011</v>
      </c>
      <c r="AT27" s="171">
        <f t="shared" ref="AT27:AT29" si="118">AQ27*$AT$5/$AQ$5+6*$AT$30</f>
        <v>144.931567328918</v>
      </c>
      <c r="AU27" s="171">
        <f t="shared" ref="AU27:AU29" si="119">AQ27*$AU$5/$AQ$5+6*$AU$30</f>
        <v>281.584988962472</v>
      </c>
      <c r="AV27" s="171">
        <f t="shared" ref="AV27:AV29" si="120">AQ27*$AV$5/$AQ$5+6*$AV$30</f>
        <v>231.434878587196</v>
      </c>
      <c r="AW27" s="171">
        <f t="shared" ref="AW27:AW29" si="121">AQ27*$AW$5/$AQ$5+6*$AW$30</f>
        <v>181.28476821192</v>
      </c>
      <c r="AX27" s="171">
        <f t="shared" ref="AX27:AX29" si="122">AQ27*$AX$5/$AQ$5+6*$AX$30</f>
        <v>356.569536423841</v>
      </c>
      <c r="AY27" s="175">
        <f t="shared" si="114"/>
        <v>350.441501103752</v>
      </c>
      <c r="AZ27" s="175">
        <f t="shared" si="115"/>
        <v>317.3289183223</v>
      </c>
      <c r="BA27" s="2">
        <f t="shared" si="62"/>
        <v>2167.2362030905</v>
      </c>
      <c r="BB27" s="2" t="e">
        <f t="shared" si="63"/>
        <v>#REF!</v>
      </c>
      <c r="BE27" s="28" t="e">
        <f t="shared" si="65"/>
        <v>#REF!</v>
      </c>
      <c r="BF27" s="29">
        <f>VLOOKUP(C27,MOQ,3,FALSE())</f>
        <v>1080.0</v>
      </c>
      <c r="BG27" s="30"/>
      <c r="BH27" s="204" t="s">
        <v>77</v>
      </c>
      <c r="BI27" s="1" t="e">
        <f t="shared" si="66"/>
        <v>#REF!</v>
      </c>
      <c r="BJ27" s="1">
        <f t="shared" si="67"/>
        <v>303.66004415011</v>
      </c>
      <c r="BK27" s="1">
        <f t="shared" si="21"/>
      </c>
      <c r="BL27" s="3" t="e">
        <f t="shared" si="68"/>
        <v>#REF!</v>
      </c>
      <c r="BM27" s="1">
        <f t="shared" si="69"/>
        <v>144.931567328918</v>
      </c>
      <c r="BN27" s="1">
        <f t="shared" si="24"/>
      </c>
      <c r="BO27" s="3" t="e">
        <f t="shared" si="70"/>
        <v>#REF!</v>
      </c>
      <c r="BP27" s="1">
        <f t="shared" si="71"/>
        <v>281.584988962472</v>
      </c>
      <c r="BR27" s="3" t="e">
        <f t="shared" si="72"/>
        <v>#REF!</v>
      </c>
      <c r="BS27" s="1">
        <f t="shared" si="73"/>
        <v>231.434878587196</v>
      </c>
      <c r="BU27" s="3" t="e">
        <f t="shared" si="74"/>
        <v>#REF!</v>
      </c>
      <c r="BV27" s="1">
        <f t="shared" si="75"/>
        <v>181.28476821192</v>
      </c>
      <c r="BX27" s="3" t="e">
        <f t="shared" si="76"/>
        <v>#REF!</v>
      </c>
      <c r="BY27" s="1">
        <f t="shared" si="77"/>
        <v>356.569536423841</v>
      </c>
      <c r="CA27" s="3" t="e">
        <f t="shared" si="78"/>
        <v>#REF!</v>
      </c>
      <c r="CB27" s="1">
        <f t="shared" si="79"/>
        <v>350.441501103752</v>
      </c>
      <c r="CD27" s="3" t="e">
        <f t="shared" si="80"/>
        <v>#REF!</v>
      </c>
      <c r="CE27" s="1">
        <f t="shared" si="81"/>
        <v>317.3289183223</v>
      </c>
      <c r="CG27" s="3" t="e">
        <f t="shared" si="82"/>
        <v>#REF!</v>
      </c>
    </row>
    <row r="28" ht="14.0">
      <c r="A28" s="27" t="s">
        <v>45</v>
      </c>
      <c r="B28" s="27" t="s">
        <v>29</v>
      </c>
      <c r="C28" s="27" t="s">
        <v>73</v>
      </c>
      <c r="D28" s="27" t="s">
        <v>74</v>
      </c>
      <c r="E28" s="27"/>
      <c r="F28" s="27">
        <v>105.0</v>
      </c>
      <c r="G28" s="27">
        <v>264.0</v>
      </c>
      <c r="H28" s="27">
        <v>181.0</v>
      </c>
      <c r="I28" s="27">
        <v>261.0</v>
      </c>
      <c r="J28" s="27">
        <v>159.0</v>
      </c>
      <c r="K28" s="27">
        <v>297.0</v>
      </c>
      <c r="L28" s="27">
        <v>282.0</v>
      </c>
      <c r="M28" s="27">
        <v>186.0</v>
      </c>
      <c r="N28" s="27">
        <v>147.0</v>
      </c>
      <c r="O28" s="27">
        <v>141.0</v>
      </c>
      <c r="P28" s="27">
        <v>137.0</v>
      </c>
      <c r="Q28" s="27">
        <v>147.0</v>
      </c>
      <c r="R28" s="27">
        <v>65.0</v>
      </c>
      <c r="S28" s="27">
        <v>106.0</v>
      </c>
      <c r="T28" s="27">
        <v>108.0</v>
      </c>
      <c r="U28" s="27">
        <v>111.0</v>
      </c>
      <c r="V28" s="27">
        <v>160.0</v>
      </c>
      <c r="W28" s="27">
        <v>164.0</v>
      </c>
      <c r="X28" s="27">
        <v>281.0</v>
      </c>
      <c r="Y28" s="27">
        <v>221.0</v>
      </c>
      <c r="Z28" s="27">
        <v>174.0</v>
      </c>
      <c r="AA28" s="27">
        <v>122.0</v>
      </c>
      <c r="AB28" s="27">
        <v>96.0</v>
      </c>
      <c r="AC28" s="27">
        <v>121.0</v>
      </c>
      <c r="AD28" s="27">
        <v>111.0</v>
      </c>
      <c r="AE28" s="27">
        <v>96.0</v>
      </c>
      <c r="AF28" s="27">
        <v>124.0</v>
      </c>
      <c r="AG28" s="27">
        <v>77.0</v>
      </c>
      <c r="AH28" s="27">
        <v>151.0</v>
      </c>
      <c r="AI28" s="27">
        <v>143.0</v>
      </c>
      <c r="AJ28" s="27">
        <v>151.0</v>
      </c>
      <c r="AK28" s="27">
        <v>114.0</v>
      </c>
      <c r="AL28" s="27">
        <v>126.0</v>
      </c>
      <c r="AM28" s="27">
        <v>71.0</v>
      </c>
      <c r="AN28" s="27">
        <v>82.0</v>
      </c>
      <c r="AO28" s="28">
        <f t="shared" si="3"/>
        <v>1503.0</v>
      </c>
      <c r="AP28" s="28">
        <f t="shared" si="4"/>
        <v>756.0</v>
      </c>
      <c r="AQ28" s="28">
        <f t="shared" si="5"/>
        <v>831.6</v>
      </c>
      <c r="AS28" s="171">
        <f t="shared" si="117"/>
        <v>197.88079470199</v>
      </c>
      <c r="AT28" s="171">
        <f t="shared" si="118"/>
        <v>94.7682119205298</v>
      </c>
      <c r="AU28" s="171">
        <f t="shared" si="119"/>
        <v>184.529801324503</v>
      </c>
      <c r="AV28" s="171">
        <f t="shared" si="120"/>
        <v>151.827814569536</v>
      </c>
      <c r="AW28" s="171">
        <f t="shared" si="121"/>
        <v>119.12582781457</v>
      </c>
      <c r="AX28" s="171">
        <f t="shared" si="122"/>
        <v>232.251655629139</v>
      </c>
      <c r="AY28" s="175">
        <f t="shared" si="114"/>
        <v>211.94701986754</v>
      </c>
      <c r="AZ28" s="175">
        <f t="shared" si="115"/>
        <v>191.920529801324</v>
      </c>
      <c r="BA28" s="2">
        <f t="shared" si="62"/>
        <v>1384.25165562913</v>
      </c>
      <c r="BB28" s="2" t="e">
        <f t="shared" si="63"/>
        <v>#REF!</v>
      </c>
      <c r="BE28" s="28" t="e">
        <f t="shared" si="65"/>
        <v>#REF!</v>
      </c>
      <c r="BF28" s="29">
        <f>VLOOKUP(C28,MOQ,3,FALSE())</f>
        <v>660.0</v>
      </c>
      <c r="BG28" s="30"/>
      <c r="BH28" s="204" t="s">
        <v>77</v>
      </c>
      <c r="BI28" s="1" t="e">
        <f t="shared" si="66"/>
        <v>#REF!</v>
      </c>
      <c r="BJ28" s="1">
        <f t="shared" si="67"/>
        <v>197.88079470199</v>
      </c>
      <c r="BK28" s="1">
        <f t="shared" si="21"/>
      </c>
      <c r="BL28" s="3" t="e">
        <f t="shared" si="68"/>
        <v>#REF!</v>
      </c>
      <c r="BM28" s="1">
        <f t="shared" si="69"/>
        <v>94.7682119205298</v>
      </c>
      <c r="BN28" s="1">
        <f t="shared" si="24"/>
      </c>
      <c r="BO28" s="3" t="e">
        <f t="shared" si="70"/>
        <v>#REF!</v>
      </c>
      <c r="BP28" s="1">
        <f t="shared" si="71"/>
        <v>184.529801324503</v>
      </c>
      <c r="BR28" s="3" t="e">
        <f t="shared" si="72"/>
        <v>#REF!</v>
      </c>
      <c r="BS28" s="1">
        <f t="shared" si="73"/>
        <v>151.827814569536</v>
      </c>
      <c r="BU28" s="3" t="e">
        <f t="shared" si="74"/>
        <v>#REF!</v>
      </c>
      <c r="BV28" s="1">
        <f t="shared" si="75"/>
        <v>119.12582781457</v>
      </c>
      <c r="BX28" s="3" t="e">
        <f t="shared" si="76"/>
        <v>#REF!</v>
      </c>
      <c r="BY28" s="1">
        <f t="shared" si="77"/>
        <v>232.251655629139</v>
      </c>
      <c r="CA28" s="3" t="e">
        <f t="shared" si="78"/>
        <v>#REF!</v>
      </c>
      <c r="CB28" s="1">
        <f t="shared" si="79"/>
        <v>211.94701986754</v>
      </c>
      <c r="CD28" s="3" t="e">
        <f t="shared" si="80"/>
        <v>#REF!</v>
      </c>
      <c r="CE28" s="1">
        <f t="shared" si="81"/>
        <v>191.920529801324</v>
      </c>
      <c r="CG28" s="3" t="e">
        <f t="shared" si="82"/>
        <v>#REF!</v>
      </c>
    </row>
    <row r="29" ht="14.0">
      <c r="A29" s="27" t="s">
        <v>45</v>
      </c>
      <c r="B29" s="27" t="s">
        <v>29</v>
      </c>
      <c r="C29" s="27" t="s">
        <v>75</v>
      </c>
      <c r="D29" s="27" t="s">
        <v>76</v>
      </c>
      <c r="E29" s="27"/>
      <c r="F29" s="27">
        <v>310.0</v>
      </c>
      <c r="G29" s="27">
        <v>397.0</v>
      </c>
      <c r="H29" s="27">
        <v>272.0</v>
      </c>
      <c r="I29" s="27">
        <v>366.0</v>
      </c>
      <c r="J29" s="27">
        <v>379.0</v>
      </c>
      <c r="K29" s="27">
        <v>383.0</v>
      </c>
      <c r="L29" s="27">
        <v>420.0</v>
      </c>
      <c r="M29" s="27">
        <v>425.0</v>
      </c>
      <c r="N29" s="27">
        <v>338.0</v>
      </c>
      <c r="O29" s="27">
        <v>201.0</v>
      </c>
      <c r="P29" s="27">
        <v>336.0</v>
      </c>
      <c r="Q29" s="27">
        <v>218.0</v>
      </c>
      <c r="R29" s="27">
        <v>181.0</v>
      </c>
      <c r="S29" s="27">
        <v>199.0</v>
      </c>
      <c r="T29" s="27">
        <v>272.0</v>
      </c>
      <c r="U29" s="27">
        <v>184.0</v>
      </c>
      <c r="V29" s="27">
        <v>311.0</v>
      </c>
      <c r="W29" s="27">
        <v>325.0</v>
      </c>
      <c r="X29" s="27">
        <v>432.0</v>
      </c>
      <c r="Y29" s="27">
        <v>331.0</v>
      </c>
      <c r="Z29" s="27">
        <v>335.0</v>
      </c>
      <c r="AA29" s="27">
        <v>264.0</v>
      </c>
      <c r="AB29" s="27">
        <v>127.0</v>
      </c>
      <c r="AC29" s="27">
        <v>246.0</v>
      </c>
      <c r="AD29" s="27">
        <v>180.0</v>
      </c>
      <c r="AE29" s="27">
        <v>248.0</v>
      </c>
      <c r="AF29" s="27">
        <v>243.0</v>
      </c>
      <c r="AG29" s="27">
        <v>192.0</v>
      </c>
      <c r="AH29" s="27">
        <v>286.0</v>
      </c>
      <c r="AI29" s="27">
        <v>262.0</v>
      </c>
      <c r="AJ29" s="27">
        <v>329.0</v>
      </c>
      <c r="AK29" s="27">
        <v>193.0</v>
      </c>
      <c r="AL29" s="27">
        <v>214.0</v>
      </c>
      <c r="AM29" s="27">
        <v>207.0</v>
      </c>
      <c r="AN29" s="27">
        <v>144.0</v>
      </c>
      <c r="AO29" s="28">
        <f t="shared" si="3"/>
        <v>2991.0</v>
      </c>
      <c r="AP29" s="28">
        <f t="shared" si="4"/>
        <v>1491.0</v>
      </c>
      <c r="AQ29" s="28">
        <f t="shared" si="5"/>
        <v>1640.1</v>
      </c>
      <c r="AS29" s="171">
        <f t="shared" si="117"/>
        <v>355.264900662251</v>
      </c>
      <c r="AT29" s="171">
        <f t="shared" si="118"/>
        <v>169.403973509933</v>
      </c>
      <c r="AU29" s="171">
        <f t="shared" si="119"/>
        <v>328.933774834437</v>
      </c>
      <c r="AV29" s="171">
        <f t="shared" si="120"/>
        <v>270.271523178808</v>
      </c>
      <c r="AW29" s="171">
        <f t="shared" si="121"/>
        <v>211.609271523179</v>
      </c>
      <c r="AX29" s="171">
        <f t="shared" si="122"/>
        <v>417.21854304636</v>
      </c>
      <c r="AY29" s="175">
        <f t="shared" si="114"/>
        <v>418.006622516556</v>
      </c>
      <c r="AZ29" s="175">
        <f t="shared" si="115"/>
        <v>378.509933774834</v>
      </c>
      <c r="BA29" s="2">
        <f t="shared" si="62"/>
        <v>2549.21854304636</v>
      </c>
      <c r="BB29" s="2" t="e">
        <f t="shared" si="63"/>
        <v>#REF!</v>
      </c>
      <c r="BE29" s="28" t="e">
        <f t="shared" si="65"/>
        <v>#REF!</v>
      </c>
      <c r="BF29" s="29">
        <f>VLOOKUP(C29,MOQ,3,FALSE())</f>
        <v>480.0</v>
      </c>
      <c r="BG29" s="30"/>
      <c r="BH29" s="204" t="s">
        <v>77</v>
      </c>
      <c r="BI29" s="1" t="e">
        <f t="shared" si="66"/>
        <v>#REF!</v>
      </c>
      <c r="BJ29" s="1">
        <f t="shared" si="67"/>
        <v>355.264900662251</v>
      </c>
      <c r="BK29" s="1">
        <f t="shared" si="21"/>
      </c>
      <c r="BL29" s="3" t="e">
        <f t="shared" si="68"/>
        <v>#REF!</v>
      </c>
      <c r="BM29" s="1">
        <f t="shared" si="69"/>
        <v>169.403973509933</v>
      </c>
      <c r="BN29" s="1">
        <f t="shared" si="24"/>
      </c>
      <c r="BO29" s="3" t="e">
        <f t="shared" si="70"/>
        <v>#REF!</v>
      </c>
      <c r="BP29" s="1">
        <f t="shared" si="71"/>
        <v>328.933774834437</v>
      </c>
      <c r="BR29" s="3" t="e">
        <f t="shared" si="72"/>
        <v>#REF!</v>
      </c>
      <c r="BS29" s="1">
        <f t="shared" si="73"/>
        <v>270.271523178808</v>
      </c>
      <c r="BU29" s="3" t="e">
        <f t="shared" si="74"/>
        <v>#REF!</v>
      </c>
      <c r="BV29" s="1">
        <f t="shared" si="75"/>
        <v>211.609271523179</v>
      </c>
      <c r="BX29" s="3" t="e">
        <f t="shared" si="76"/>
        <v>#REF!</v>
      </c>
      <c r="BY29" s="1">
        <f t="shared" si="77"/>
        <v>417.21854304636</v>
      </c>
      <c r="CA29" s="3" t="e">
        <f t="shared" si="78"/>
        <v>#REF!</v>
      </c>
      <c r="CB29" s="1">
        <f t="shared" si="79"/>
        <v>418.006622516556</v>
      </c>
      <c r="CD29" s="3" t="e">
        <f t="shared" si="80"/>
        <v>#REF!</v>
      </c>
      <c r="CE29" s="1">
        <f t="shared" si="81"/>
        <v>378.509933774834</v>
      </c>
      <c r="CG29" s="3" t="e">
        <f t="shared" si="82"/>
        <v>#REF!</v>
      </c>
    </row>
    <row r="30" ht="14.0">
      <c r="A30" s="27" t="s">
        <v>28</v>
      </c>
      <c r="B30" s="27" t="s">
        <v>29</v>
      </c>
      <c r="C30" s="27" t="s">
        <v>78</v>
      </c>
      <c r="D30" s="27" t="s">
        <v>79</v>
      </c>
      <c r="E30" s="27"/>
      <c r="F30" s="27">
        <v>3.0</v>
      </c>
      <c r="G30" s="27">
        <v>8.0</v>
      </c>
      <c r="H30" s="27">
        <v>9.0</v>
      </c>
      <c r="I30" s="27">
        <v>9.0</v>
      </c>
      <c r="J30" s="27">
        <v>12.0</v>
      </c>
      <c r="K30" s="27">
        <v>14.0</v>
      </c>
      <c r="L30" s="27">
        <v>4.0</v>
      </c>
      <c r="M30" s="27">
        <v>9.0</v>
      </c>
      <c r="N30" s="27">
        <v>9.0</v>
      </c>
      <c r="O30" s="27">
        <v>13.0</v>
      </c>
      <c r="P30" s="27">
        <v>7.0</v>
      </c>
      <c r="Q30" s="27">
        <v>6.0</v>
      </c>
      <c r="R30" s="27">
        <v>9.0</v>
      </c>
      <c r="S30" s="27">
        <v>9.0</v>
      </c>
      <c r="T30" s="27">
        <v>10.0</v>
      </c>
      <c r="U30" s="27">
        <v>8.0</v>
      </c>
      <c r="V30" s="27">
        <v>9.0</v>
      </c>
      <c r="W30" s="27">
        <v>4.0</v>
      </c>
      <c r="X30" s="27">
        <v>7.0</v>
      </c>
      <c r="Y30" s="27">
        <v>5.0</v>
      </c>
      <c r="Z30" s="27">
        <v>1.0</v>
      </c>
      <c r="AA30" s="27">
        <v>1.0</v>
      </c>
      <c r="AB30" s="27">
        <v>0.0</v>
      </c>
      <c r="AC30" s="27">
        <v>8.0</v>
      </c>
      <c r="AD30" s="27">
        <v>3.0</v>
      </c>
      <c r="AE30" s="27">
        <v>4.0</v>
      </c>
      <c r="AF30" s="27">
        <v>4.0</v>
      </c>
      <c r="AG30" s="27">
        <v>11.0</v>
      </c>
      <c r="AH30" s="27">
        <v>7.0</v>
      </c>
      <c r="AI30" s="27">
        <v>9.0</v>
      </c>
      <c r="AJ30" s="27">
        <v>5.0</v>
      </c>
      <c r="AK30" s="27">
        <v>3.0</v>
      </c>
      <c r="AL30" s="27">
        <v>1.0</v>
      </c>
      <c r="AM30" s="27">
        <v>3.0</v>
      </c>
      <c r="AN30" s="27">
        <v>2.0</v>
      </c>
      <c r="AO30" s="32">
        <f t="shared" si="3"/>
        <v>59.0</v>
      </c>
      <c r="AP30" s="32">
        <f t="shared" si="4"/>
        <v>28.0</v>
      </c>
      <c r="AQ30" s="32">
        <f t="shared" si="5"/>
        <v>30.8</v>
      </c>
      <c r="AR30" s="33"/>
      <c r="AS30" s="33">
        <v>6.0</v>
      </c>
      <c r="AT30" s="33">
        <v>3.0</v>
      </c>
      <c r="AU30" s="33">
        <v>6.0</v>
      </c>
      <c r="AV30" s="33">
        <v>5.0</v>
      </c>
      <c r="AW30" s="33">
        <v>4.0</v>
      </c>
      <c r="AX30" s="33">
        <v>7.0</v>
      </c>
      <c r="AY30" s="36">
        <v>8.0</v>
      </c>
      <c r="AZ30" s="36">
        <v>7.0</v>
      </c>
      <c r="BA30" s="2">
        <f t="shared" ref="BA30:BA63" si="123">SUM(AS30:AX30)</f>
        <v>31.0</v>
      </c>
      <c r="BB30" s="2" t="e">
        <f t="shared" ref="BB30:BB63" si="124">VLOOKUP(D30,MAY1,3,false)</f>
        <v>#REF!</v>
      </c>
      <c r="BF30">
        <f>VLOOKUP(C30,MOQ,3,FALSE())</f>
      </c>
      <c r="BK30" s="1">
        <f t="shared" si="21"/>
      </c>
      <c r="BL30" s="3"/>
      <c r="BN30" s="1">
        <f t="shared" si="24"/>
      </c>
      <c r="BO30" s="3"/>
      <c r="BR30" s="3"/>
      <c r="BU30" s="3"/>
      <c r="BX30" s="3"/>
      <c r="CA30" s="3"/>
    </row>
    <row r="31" ht="14.0">
      <c r="A31" s="27" t="s">
        <v>28</v>
      </c>
      <c r="B31" s="27" t="s">
        <v>29</v>
      </c>
      <c r="C31" s="27" t="s">
        <v>80</v>
      </c>
      <c r="D31" s="27" t="s">
        <v>81</v>
      </c>
      <c r="E31" s="27"/>
      <c r="F31" s="27">
        <v>0.0</v>
      </c>
      <c r="G31" s="27">
        <v>48.0</v>
      </c>
      <c r="H31" s="27">
        <v>1409.0</v>
      </c>
      <c r="I31" s="27">
        <v>1121.0</v>
      </c>
      <c r="J31" s="27">
        <v>210.0</v>
      </c>
      <c r="K31" s="27">
        <v>177.0</v>
      </c>
      <c r="L31" s="27">
        <v>1956.0</v>
      </c>
      <c r="M31" s="27">
        <v>195.0</v>
      </c>
      <c r="N31" s="27">
        <v>643.0</v>
      </c>
      <c r="O31" s="27">
        <v>4.0</v>
      </c>
      <c r="P31" s="27">
        <v>1219.0</v>
      </c>
      <c r="Q31" s="27">
        <v>222.0</v>
      </c>
      <c r="R31" s="27">
        <v>162.0</v>
      </c>
      <c r="S31" s="27">
        <v>678.0</v>
      </c>
      <c r="T31" s="27">
        <v>936.0</v>
      </c>
      <c r="U31" s="27">
        <v>26.0</v>
      </c>
      <c r="V31" s="27">
        <v>960.0</v>
      </c>
      <c r="W31" s="27">
        <v>876.0</v>
      </c>
      <c r="X31" s="27">
        <v>534.0</v>
      </c>
      <c r="Y31" s="27">
        <v>464.0</v>
      </c>
      <c r="Z31" s="27">
        <v>223.0</v>
      </c>
      <c r="AA31" s="27">
        <v>760.0</v>
      </c>
      <c r="AB31" s="27">
        <v>229.0</v>
      </c>
      <c r="AC31" s="27">
        <v>985.0</v>
      </c>
      <c r="AD31" s="27">
        <v>96.0</v>
      </c>
      <c r="AE31" s="27">
        <v>809.0</v>
      </c>
      <c r="AF31" s="27">
        <v>144.0</v>
      </c>
      <c r="AG31" s="27">
        <v>162.0</v>
      </c>
      <c r="AH31" s="27">
        <v>611.0</v>
      </c>
      <c r="AI31" s="27">
        <v>679.0</v>
      </c>
      <c r="AJ31" s="27">
        <v>600.0</v>
      </c>
      <c r="AK31" s="27">
        <v>642.0</v>
      </c>
      <c r="AL31" s="27">
        <v>285.0</v>
      </c>
      <c r="AM31" s="27">
        <v>168.0</v>
      </c>
      <c r="AN31" s="27">
        <v>384.0</v>
      </c>
      <c r="AO31" s="28">
        <f t="shared" si="3"/>
        <v>6170.0</v>
      </c>
      <c r="AP31" s="28">
        <f t="shared" si="4"/>
        <v>2985.0</v>
      </c>
      <c r="AQ31" s="28">
        <f t="shared" si="5"/>
        <v>3283.5</v>
      </c>
      <c r="AS31" s="1">
        <f>AQ31*$AS$5/$AQ$5+12*$AS$36</f>
        <v>723.172185430463</v>
      </c>
      <c r="AT31" s="1">
        <f>AQ31*$AT$5/$AQ$5+12*$AT$36</f>
        <v>339.11258278146</v>
      </c>
      <c r="AU31" s="1">
        <f>AQ31*$AU$5/$AQ$5+12*$AU$36</f>
        <v>658.456953642384</v>
      </c>
      <c r="AV31" s="1">
        <f>AQ31*$AV$5/$AQ$5+12*$AV$36</f>
        <v>541.026490066225</v>
      </c>
      <c r="AW31" s="1">
        <f>AQ31*$AW$5/$AQ$5+12*$AW$36</f>
        <v>423.596026490066</v>
      </c>
      <c r="AX31" s="1">
        <f>AQ31*$AX$5/$AQ$5+12*$AX$36</f>
        <v>847.192052980132</v>
      </c>
      <c r="BA31" s="2">
        <f t="shared" si="123"/>
        <v>3532.55629139072</v>
      </c>
      <c r="BB31" s="2" t="e">
        <f t="shared" si="124"/>
        <v>#REF!</v>
      </c>
      <c r="BE31" s="3" t="e">
        <f t="shared" ref="BE31:BE35" si="131">BB31+BC31+BD31-BA31</f>
        <v>#REF!</v>
      </c>
      <c r="BF31" s="1">
        <f>VLOOKUP(C31,MOQ,3,FALSE())</f>
        <v>3000.0</v>
      </c>
      <c r="BG31" s="43" t="s">
        <v>32</v>
      </c>
      <c r="BI31" s="1" t="e">
        <f t="shared" ref="BI31:BI35" si="132">BB31</f>
        <v>#REF!</v>
      </c>
      <c r="BJ31" s="1">
        <f t="shared" ref="BJ31:BJ35" si="133">AS31</f>
        <v>723.172185430463</v>
      </c>
      <c r="BK31" s="1">
        <f t="shared" si="21"/>
      </c>
      <c r="BL31" s="3" t="e">
        <f t="shared" ref="BL31:BL35" si="134">BI31+BK31-BJ31</f>
        <v>#REF!</v>
      </c>
      <c r="BM31" s="1">
        <f t="shared" ref="BM31:BM35" si="135">AT31</f>
        <v>339.11258278146</v>
      </c>
      <c r="BN31" s="1">
        <f t="shared" si="24"/>
      </c>
      <c r="BO31" s="3" t="e">
        <f t="shared" ref="BO31:BO35" si="136">BL31+BN31-BM31</f>
        <v>#REF!</v>
      </c>
      <c r="BP31" s="1">
        <f t="shared" ref="BP31:BP35" si="137">AU31</f>
        <v>658.456953642384</v>
      </c>
      <c r="BR31" s="3" t="e">
        <f t="shared" ref="BR31:BR35" si="138">BO31+BQ31-BP31</f>
        <v>#REF!</v>
      </c>
      <c r="BS31" s="1">
        <f t="shared" ref="BS31:BS35" si="139">AV31</f>
        <v>541.026490066225</v>
      </c>
      <c r="BU31" s="3" t="e">
        <f t="shared" ref="BU31:BU35" si="140">BR31+BT31-BS31</f>
        <v>#REF!</v>
      </c>
      <c r="BV31" s="1">
        <f t="shared" ref="BV31:BV35" si="141">AW31</f>
        <v>423.596026490066</v>
      </c>
      <c r="BX31" s="3" t="e">
        <f t="shared" ref="BX31:BX35" si="142">BU31+BW31-BV31</f>
        <v>#REF!</v>
      </c>
      <c r="BY31" s="1">
        <f t="shared" ref="BY31:BY35" si="143">AX31</f>
        <v>847.192052980132</v>
      </c>
      <c r="CA31" s="3" t="e">
        <f t="shared" ref="CA31:CA35" si="144">BX31+BZ31-BY31</f>
        <v>#REF!</v>
      </c>
    </row>
    <row r="32" ht="14.0">
      <c r="A32" s="27" t="s">
        <v>28</v>
      </c>
      <c r="B32" s="27" t="s">
        <v>29</v>
      </c>
      <c r="C32" s="27" t="s">
        <v>82</v>
      </c>
      <c r="D32" s="27" t="s">
        <v>83</v>
      </c>
      <c r="E32" s="27"/>
      <c r="F32" s="27">
        <v>0.0</v>
      </c>
      <c r="G32" s="27">
        <v>36.0</v>
      </c>
      <c r="H32" s="27">
        <v>1290.0</v>
      </c>
      <c r="I32" s="27">
        <v>899.0</v>
      </c>
      <c r="J32" s="27">
        <v>228.0</v>
      </c>
      <c r="K32" s="27">
        <v>280.0</v>
      </c>
      <c r="L32" s="27">
        <v>1686.0</v>
      </c>
      <c r="M32" s="27">
        <v>157.0</v>
      </c>
      <c r="N32" s="27">
        <v>882.0</v>
      </c>
      <c r="O32" s="27">
        <v>222.0</v>
      </c>
      <c r="P32" s="27">
        <v>1068.0</v>
      </c>
      <c r="Q32" s="27">
        <v>175.0</v>
      </c>
      <c r="R32" s="27">
        <v>142.0</v>
      </c>
      <c r="S32" s="27">
        <v>690.0</v>
      </c>
      <c r="T32" s="27">
        <v>682.0</v>
      </c>
      <c r="U32" s="27">
        <v>-14.0</v>
      </c>
      <c r="V32" s="27">
        <v>669.0</v>
      </c>
      <c r="W32" s="27">
        <v>637.0</v>
      </c>
      <c r="X32" s="27">
        <v>556.0</v>
      </c>
      <c r="Y32" s="27">
        <v>502.0</v>
      </c>
      <c r="Z32" s="27">
        <v>172.0</v>
      </c>
      <c r="AA32" s="27">
        <v>642.0</v>
      </c>
      <c r="AB32" s="27">
        <v>131.0</v>
      </c>
      <c r="AC32" s="27">
        <v>1033.0</v>
      </c>
      <c r="AD32" s="27">
        <v>90.0</v>
      </c>
      <c r="AE32" s="27">
        <v>652.0</v>
      </c>
      <c r="AF32" s="27">
        <v>132.0</v>
      </c>
      <c r="AG32" s="27">
        <v>108.0</v>
      </c>
      <c r="AH32" s="27">
        <v>548.0</v>
      </c>
      <c r="AI32" s="27">
        <v>642.0</v>
      </c>
      <c r="AJ32" s="27">
        <v>446.0</v>
      </c>
      <c r="AK32" s="27">
        <v>657.0</v>
      </c>
      <c r="AL32" s="27">
        <v>312.0</v>
      </c>
      <c r="AM32" s="27">
        <v>144.0</v>
      </c>
      <c r="AN32" s="27">
        <v>309.0</v>
      </c>
      <c r="AO32" s="28">
        <f t="shared" si="3"/>
        <v>5537.0</v>
      </c>
      <c r="AP32" s="28">
        <f t="shared" si="4"/>
        <v>2749.0</v>
      </c>
      <c r="AQ32" s="28">
        <f t="shared" si="5"/>
        <v>3023.9</v>
      </c>
      <c r="AS32" s="1">
        <f t="shared" ref="AS32:AS35" si="145">AQ32*$AS$5/$AQ$5+6*$AS$36</f>
        <v>630.637969094922</v>
      </c>
      <c r="AT32" s="1">
        <f t="shared" ref="AT32:AT35" si="146">AQ32*$AT$5/$AQ$5+6*$AT$36</f>
        <v>297.147902869757</v>
      </c>
      <c r="AU32" s="1">
        <f t="shared" ref="AU32:AU35" si="147">AQ32*$AU$5/$AQ$5+6*$AU$36</f>
        <v>576.090507726269</v>
      </c>
      <c r="AV32" s="1">
        <f t="shared" ref="AV32:AV35" si="148">AQ32*$AV$5/$AQ$5+6*$AV$36</f>
        <v>472.995584988962</v>
      </c>
      <c r="AW32" s="1">
        <f t="shared" ref="AW32:AW35" si="149">AQ32*$AW$5/$AQ$5+6*$AW$36</f>
        <v>369.900662251656</v>
      </c>
      <c r="AX32" s="1">
        <f t="shared" ref="AX32:AX35" si="150">AQ32*$AX$5/$AQ$5+6*$AX$36</f>
        <v>739.801324503311</v>
      </c>
      <c r="BA32" s="2">
        <f t="shared" si="123"/>
        <v>3086.57395143488</v>
      </c>
      <c r="BB32" s="2" t="e">
        <f t="shared" si="124"/>
        <v>#REF!</v>
      </c>
      <c r="BE32" s="3" t="e">
        <f t="shared" si="131"/>
        <v>#REF!</v>
      </c>
      <c r="BF32" s="1">
        <f>VLOOKUP(C32,MOQ,3,FALSE())</f>
        <v>3000.0</v>
      </c>
      <c r="BG32" s="4">
        <f>BF32</f>
        <v>3000.0</v>
      </c>
      <c r="BH32" s="1" t="s">
        <v>8</v>
      </c>
      <c r="BI32" s="1" t="e">
        <f t="shared" si="132"/>
        <v>#REF!</v>
      </c>
      <c r="BJ32" s="1">
        <f t="shared" si="133"/>
        <v>630.637969094922</v>
      </c>
      <c r="BK32" s="1">
        <f t="shared" si="21"/>
      </c>
      <c r="BL32" s="3" t="e">
        <f t="shared" si="134"/>
        <v>#REF!</v>
      </c>
      <c r="BM32" s="1">
        <f t="shared" si="135"/>
        <v>297.147902869757</v>
      </c>
      <c r="BN32" s="1">
        <f t="shared" si="24"/>
      </c>
      <c r="BO32" s="3" t="e">
        <f t="shared" si="136"/>
        <v>#REF!</v>
      </c>
      <c r="BP32" s="1">
        <f t="shared" si="137"/>
        <v>576.090507726269</v>
      </c>
      <c r="BR32" s="3" t="e">
        <f t="shared" si="138"/>
        <v>#REF!</v>
      </c>
      <c r="BS32" s="1">
        <f t="shared" si="139"/>
        <v>472.995584988962</v>
      </c>
      <c r="BU32" s="3" t="e">
        <f t="shared" si="140"/>
        <v>#REF!</v>
      </c>
      <c r="BV32" s="1">
        <f t="shared" si="141"/>
        <v>369.900662251656</v>
      </c>
      <c r="BX32" s="3" t="e">
        <f t="shared" si="142"/>
        <v>#REF!</v>
      </c>
      <c r="BY32" s="1">
        <f t="shared" si="143"/>
        <v>739.801324503311</v>
      </c>
      <c r="CA32" s="3" t="e">
        <f t="shared" si="144"/>
        <v>#REF!</v>
      </c>
    </row>
    <row r="33" ht="14.0">
      <c r="A33" s="27" t="s">
        <v>28</v>
      </c>
      <c r="B33" s="27" t="s">
        <v>29</v>
      </c>
      <c r="C33" s="27" t="s">
        <v>84</v>
      </c>
      <c r="D33" s="27" t="s">
        <v>85</v>
      </c>
      <c r="E33" s="27"/>
      <c r="F33" s="27">
        <v>0.0</v>
      </c>
      <c r="G33" s="27">
        <v>30.0</v>
      </c>
      <c r="H33" s="27">
        <v>48.0</v>
      </c>
      <c r="I33" s="27">
        <v>107.0</v>
      </c>
      <c r="J33" s="27">
        <v>102.0</v>
      </c>
      <c r="K33" s="27">
        <v>179.0</v>
      </c>
      <c r="L33" s="27">
        <v>454.0</v>
      </c>
      <c r="M33" s="27">
        <v>140.0</v>
      </c>
      <c r="N33" s="27">
        <v>258.0</v>
      </c>
      <c r="O33" s="27">
        <v>232.0</v>
      </c>
      <c r="P33" s="27">
        <v>524.0</v>
      </c>
      <c r="Q33" s="27">
        <v>86.0</v>
      </c>
      <c r="R33" s="27">
        <v>71.0</v>
      </c>
      <c r="S33" s="27">
        <v>293.0</v>
      </c>
      <c r="T33" s="27">
        <v>130.0</v>
      </c>
      <c r="U33" s="27">
        <v>71.0</v>
      </c>
      <c r="V33" s="27">
        <v>142.0</v>
      </c>
      <c r="W33" s="27">
        <v>137.0</v>
      </c>
      <c r="X33" s="27">
        <v>150.0</v>
      </c>
      <c r="Y33" s="27">
        <v>160.0</v>
      </c>
      <c r="Z33" s="27">
        <v>135.0</v>
      </c>
      <c r="AA33" s="27">
        <v>144.0</v>
      </c>
      <c r="AB33" s="27">
        <v>110.0</v>
      </c>
      <c r="AC33" s="27">
        <v>108.0</v>
      </c>
      <c r="AD33" s="27">
        <v>60.0</v>
      </c>
      <c r="AE33" s="27">
        <v>114.0</v>
      </c>
      <c r="AF33" s="27">
        <v>88.0</v>
      </c>
      <c r="AG33" s="27">
        <v>66.0</v>
      </c>
      <c r="AH33" s="27">
        <v>173.0</v>
      </c>
      <c r="AI33" s="27">
        <v>134.0</v>
      </c>
      <c r="AJ33" s="27">
        <v>127.0</v>
      </c>
      <c r="AK33" s="27">
        <v>150.0</v>
      </c>
      <c r="AL33" s="27">
        <v>125.0</v>
      </c>
      <c r="AM33" s="27">
        <v>123.0</v>
      </c>
      <c r="AN33" s="27">
        <v>78.0</v>
      </c>
      <c r="AO33" s="28">
        <f t="shared" si="3"/>
        <v>1522.0</v>
      </c>
      <c r="AP33" s="28">
        <f t="shared" si="4"/>
        <v>832.0</v>
      </c>
      <c r="AQ33" s="28">
        <f t="shared" si="5"/>
        <v>915.2</v>
      </c>
      <c r="AS33" s="1">
        <f t="shared" si="145"/>
        <v>220.154525386313</v>
      </c>
      <c r="AT33" s="1">
        <f t="shared" si="146"/>
        <v>102.485651214128</v>
      </c>
      <c r="AU33" s="1">
        <f t="shared" si="147"/>
        <v>199.461368653421</v>
      </c>
      <c r="AV33" s="1">
        <f t="shared" si="148"/>
        <v>164.075055187638</v>
      </c>
      <c r="AW33" s="1">
        <f t="shared" si="149"/>
        <v>128.688741721854</v>
      </c>
      <c r="AX33" s="1">
        <f t="shared" si="150"/>
        <v>257.377483443709</v>
      </c>
      <c r="BA33" s="2">
        <f t="shared" si="123"/>
        <v>1072.24282560706</v>
      </c>
      <c r="BB33" s="2" t="e">
        <f t="shared" si="124"/>
        <v>#REF!</v>
      </c>
      <c r="BE33" s="3" t="e">
        <f t="shared" si="131"/>
        <v>#REF!</v>
      </c>
      <c r="BF33" s="1">
        <f>VLOOKUP(C33,MOQ,3,FALSE())</f>
        <v>3000.0</v>
      </c>
      <c r="BI33" s="1" t="e">
        <f t="shared" si="132"/>
        <v>#REF!</v>
      </c>
      <c r="BJ33" s="1">
        <f t="shared" si="133"/>
        <v>220.154525386313</v>
      </c>
      <c r="BK33" s="1">
        <f t="shared" si="21"/>
      </c>
      <c r="BL33" s="3" t="e">
        <f t="shared" si="134"/>
        <v>#REF!</v>
      </c>
      <c r="BM33" s="1">
        <f t="shared" si="135"/>
        <v>102.485651214128</v>
      </c>
      <c r="BN33" s="1">
        <f t="shared" si="24"/>
      </c>
      <c r="BO33" s="3" t="e">
        <f t="shared" si="136"/>
        <v>#REF!</v>
      </c>
      <c r="BP33" s="1">
        <f t="shared" si="137"/>
        <v>199.461368653421</v>
      </c>
      <c r="BR33" s="3" t="e">
        <f t="shared" si="138"/>
        <v>#REF!</v>
      </c>
      <c r="BS33" s="1">
        <f t="shared" si="139"/>
        <v>164.075055187638</v>
      </c>
      <c r="BU33" s="3" t="e">
        <f t="shared" si="140"/>
        <v>#REF!</v>
      </c>
      <c r="BV33" s="1">
        <f t="shared" si="141"/>
        <v>128.688741721854</v>
      </c>
      <c r="BX33" s="3" t="e">
        <f t="shared" si="142"/>
        <v>#REF!</v>
      </c>
      <c r="BY33" s="1">
        <f t="shared" si="143"/>
        <v>257.377483443709</v>
      </c>
      <c r="CA33" s="3" t="e">
        <f t="shared" si="144"/>
        <v>#REF!</v>
      </c>
    </row>
    <row r="34" ht="14.0">
      <c r="A34" s="27" t="s">
        <v>28</v>
      </c>
      <c r="B34" s="27" t="s">
        <v>29</v>
      </c>
      <c r="C34" s="27" t="s">
        <v>86</v>
      </c>
      <c r="D34" s="27" t="s">
        <v>87</v>
      </c>
      <c r="E34" s="27"/>
      <c r="F34" s="27">
        <v>0.0</v>
      </c>
      <c r="G34" s="27">
        <v>36.0</v>
      </c>
      <c r="H34" s="27">
        <v>90.0</v>
      </c>
      <c r="I34" s="27">
        <v>84.0</v>
      </c>
      <c r="J34" s="27">
        <v>142.0</v>
      </c>
      <c r="K34" s="27">
        <v>112.0</v>
      </c>
      <c r="L34" s="27">
        <v>462.0</v>
      </c>
      <c r="M34" s="27">
        <v>101.0</v>
      </c>
      <c r="N34" s="27">
        <v>306.0</v>
      </c>
      <c r="O34" s="27">
        <v>155.0</v>
      </c>
      <c r="P34" s="27">
        <v>576.0</v>
      </c>
      <c r="Q34" s="27">
        <v>147.0</v>
      </c>
      <c r="R34" s="27">
        <v>116.0</v>
      </c>
      <c r="S34" s="27">
        <v>429.0</v>
      </c>
      <c r="T34" s="27">
        <v>451.0</v>
      </c>
      <c r="U34" s="27">
        <v>-44.0</v>
      </c>
      <c r="V34" s="27">
        <v>773.0</v>
      </c>
      <c r="W34" s="27">
        <v>663.0</v>
      </c>
      <c r="X34" s="27">
        <v>714.0</v>
      </c>
      <c r="Y34" s="27">
        <v>532.0</v>
      </c>
      <c r="Z34" s="27">
        <v>157.0</v>
      </c>
      <c r="AA34" s="27">
        <v>576.0</v>
      </c>
      <c r="AB34" s="27">
        <v>107.0</v>
      </c>
      <c r="AC34" s="27">
        <v>983.0</v>
      </c>
      <c r="AD34" s="27">
        <v>78.0</v>
      </c>
      <c r="AE34" s="27">
        <v>642.0</v>
      </c>
      <c r="AF34" s="27">
        <v>119.0</v>
      </c>
      <c r="AG34" s="27">
        <v>108.0</v>
      </c>
      <c r="AH34" s="27">
        <v>487.0</v>
      </c>
      <c r="AI34" s="27">
        <v>563.0</v>
      </c>
      <c r="AJ34" s="27">
        <v>618.0</v>
      </c>
      <c r="AK34" s="27">
        <v>516.0</v>
      </c>
      <c r="AL34" s="27">
        <v>249.0</v>
      </c>
      <c r="AM34" s="27">
        <v>100.0</v>
      </c>
      <c r="AN34" s="27">
        <v>268.0</v>
      </c>
      <c r="AO34" s="28">
        <f t="shared" si="3"/>
        <v>5146.0</v>
      </c>
      <c r="AP34" s="28">
        <f t="shared" si="4"/>
        <v>2533.0</v>
      </c>
      <c r="AQ34" s="28">
        <f t="shared" si="5"/>
        <v>2786.3</v>
      </c>
      <c r="AS34" s="1">
        <f t="shared" si="145"/>
        <v>584.386313465783</v>
      </c>
      <c r="AT34" s="1">
        <f t="shared" si="146"/>
        <v>275.21412803532</v>
      </c>
      <c r="AU34" s="1">
        <f t="shared" si="147"/>
        <v>533.653421633554</v>
      </c>
      <c r="AV34" s="1">
        <f t="shared" si="148"/>
        <v>438.187637969094</v>
      </c>
      <c r="AW34" s="1">
        <f t="shared" si="149"/>
        <v>342.721854304636</v>
      </c>
      <c r="AX34" s="1">
        <f t="shared" si="150"/>
        <v>685.443708609271</v>
      </c>
      <c r="BA34" s="2">
        <f t="shared" si="123"/>
        <v>2859.60706401766</v>
      </c>
      <c r="BB34" s="2" t="e">
        <f t="shared" si="124"/>
        <v>#REF!</v>
      </c>
      <c r="BE34" s="3" t="e">
        <f t="shared" si="131"/>
        <v>#REF!</v>
      </c>
      <c r="BF34" s="1">
        <f>VLOOKUP(C34,MOQ,3,FALSE())</f>
        <v>3000.0</v>
      </c>
      <c r="BG34" s="43" t="s">
        <v>32</v>
      </c>
      <c r="BH34" s="1" t="s">
        <v>10</v>
      </c>
      <c r="BI34" s="1" t="e">
        <f t="shared" si="132"/>
        <v>#REF!</v>
      </c>
      <c r="BJ34" s="1">
        <f t="shared" si="133"/>
        <v>584.386313465783</v>
      </c>
      <c r="BK34" s="1">
        <f t="shared" si="21"/>
      </c>
      <c r="BL34" s="3" t="e">
        <f t="shared" si="134"/>
        <v>#REF!</v>
      </c>
      <c r="BM34" s="1">
        <f t="shared" si="135"/>
        <v>275.21412803532</v>
      </c>
      <c r="BN34" s="1">
        <f t="shared" si="24"/>
      </c>
      <c r="BO34" s="3" t="e">
        <f t="shared" si="136"/>
        <v>#REF!</v>
      </c>
      <c r="BP34" s="1">
        <f t="shared" si="137"/>
        <v>533.653421633554</v>
      </c>
      <c r="BR34" s="3" t="e">
        <f t="shared" si="138"/>
        <v>#REF!</v>
      </c>
      <c r="BS34" s="1">
        <f t="shared" si="139"/>
        <v>438.187637969094</v>
      </c>
      <c r="BU34" s="3" t="e">
        <f t="shared" si="140"/>
        <v>#REF!</v>
      </c>
      <c r="BV34" s="1">
        <f t="shared" si="141"/>
        <v>342.721854304636</v>
      </c>
      <c r="BX34" s="3" t="e">
        <f t="shared" si="142"/>
        <v>#REF!</v>
      </c>
      <c r="BY34" s="1">
        <f t="shared" si="143"/>
        <v>685.443708609271</v>
      </c>
      <c r="CA34" s="3" t="e">
        <f t="shared" si="144"/>
        <v>#REF!</v>
      </c>
    </row>
    <row r="35" ht="14.0">
      <c r="A35" s="27" t="s">
        <v>28</v>
      </c>
      <c r="B35" s="27" t="s">
        <v>29</v>
      </c>
      <c r="C35" s="27" t="s">
        <v>88</v>
      </c>
      <c r="D35" s="27" t="s">
        <v>89</v>
      </c>
      <c r="E35" s="27"/>
      <c r="F35" s="27">
        <v>0.0</v>
      </c>
      <c r="G35" s="27">
        <v>42.0</v>
      </c>
      <c r="H35" s="27">
        <v>1067.0</v>
      </c>
      <c r="I35" s="27">
        <v>713.0</v>
      </c>
      <c r="J35" s="27">
        <v>186.0</v>
      </c>
      <c r="K35" s="27">
        <v>184.0</v>
      </c>
      <c r="L35" s="27">
        <v>1600.0</v>
      </c>
      <c r="M35" s="27">
        <v>115.0</v>
      </c>
      <c r="N35" s="27">
        <v>618.0</v>
      </c>
      <c r="O35" s="27">
        <v>143.0</v>
      </c>
      <c r="P35" s="27">
        <v>882.0</v>
      </c>
      <c r="Q35" s="27">
        <v>132.0</v>
      </c>
      <c r="R35" s="27">
        <v>95.0</v>
      </c>
      <c r="S35" s="27">
        <v>350.0</v>
      </c>
      <c r="T35" s="27">
        <v>506.0</v>
      </c>
      <c r="U35" s="27">
        <v>48.0</v>
      </c>
      <c r="V35" s="27">
        <v>522.0</v>
      </c>
      <c r="W35" s="27">
        <v>523.0</v>
      </c>
      <c r="X35" s="27">
        <v>434.0</v>
      </c>
      <c r="Y35" s="27">
        <v>314.0</v>
      </c>
      <c r="Z35" s="27">
        <v>98.0</v>
      </c>
      <c r="AA35" s="27">
        <v>438.0</v>
      </c>
      <c r="AB35" s="27">
        <v>129.0</v>
      </c>
      <c r="AC35" s="27">
        <v>825.0</v>
      </c>
      <c r="AD35" s="27">
        <v>60.0</v>
      </c>
      <c r="AE35" s="27">
        <v>468.0</v>
      </c>
      <c r="AF35" s="27">
        <v>84.0</v>
      </c>
      <c r="AG35" s="27">
        <v>77.0</v>
      </c>
      <c r="AH35" s="27">
        <v>332.0</v>
      </c>
      <c r="AI35" s="27">
        <v>498.0</v>
      </c>
      <c r="AJ35" s="27">
        <v>390.0</v>
      </c>
      <c r="AK35" s="27">
        <v>467.0</v>
      </c>
      <c r="AL35" s="27">
        <v>210.0</v>
      </c>
      <c r="AM35" s="27">
        <v>96.0</v>
      </c>
      <c r="AN35" s="27">
        <v>162.0</v>
      </c>
      <c r="AO35" s="28">
        <f t="shared" si="3"/>
        <v>4074.0</v>
      </c>
      <c r="AP35" s="28">
        <f t="shared" si="4"/>
        <v>1993.0</v>
      </c>
      <c r="AQ35" s="28">
        <f t="shared" si="5"/>
        <v>2192.3</v>
      </c>
      <c r="AS35" s="1">
        <f t="shared" si="145"/>
        <v>468.757174392936</v>
      </c>
      <c r="AT35" s="1">
        <f t="shared" si="146"/>
        <v>220.379690949227</v>
      </c>
      <c r="AU35" s="1">
        <f t="shared" si="147"/>
        <v>427.560706401766</v>
      </c>
      <c r="AV35" s="1">
        <f t="shared" si="148"/>
        <v>351.167770419426</v>
      </c>
      <c r="AW35" s="1">
        <f t="shared" si="149"/>
        <v>274.774834437086</v>
      </c>
      <c r="AX35" s="1">
        <f t="shared" si="150"/>
        <v>549.549668874172</v>
      </c>
      <c r="BA35" s="2">
        <f t="shared" si="123"/>
        <v>2292.18984547461</v>
      </c>
      <c r="BB35" s="2" t="e">
        <f t="shared" si="124"/>
        <v>#REF!</v>
      </c>
      <c r="BE35" s="3" t="e">
        <f t="shared" si="131"/>
        <v>#REF!</v>
      </c>
      <c r="BF35" s="1">
        <f>VLOOKUP(C35,MOQ,3,FALSE())</f>
        <v>3000.0</v>
      </c>
      <c r="BG35" s="43" t="s">
        <v>32</v>
      </c>
      <c r="BI35" s="1" t="e">
        <f t="shared" si="132"/>
        <v>#REF!</v>
      </c>
      <c r="BJ35" s="1">
        <f t="shared" si="133"/>
        <v>468.757174392936</v>
      </c>
      <c r="BK35" s="1">
        <f t="shared" si="21"/>
      </c>
      <c r="BL35" s="3" t="e">
        <f t="shared" si="134"/>
        <v>#REF!</v>
      </c>
      <c r="BM35" s="1">
        <f t="shared" si="135"/>
        <v>220.379690949227</v>
      </c>
      <c r="BN35" s="1">
        <f t="shared" si="24"/>
      </c>
      <c r="BO35" s="3" t="e">
        <f t="shared" si="136"/>
        <v>#REF!</v>
      </c>
      <c r="BP35" s="1">
        <f t="shared" si="137"/>
        <v>427.560706401766</v>
      </c>
      <c r="BR35" s="3" t="e">
        <f t="shared" si="138"/>
        <v>#REF!</v>
      </c>
      <c r="BS35" s="1">
        <f t="shared" si="139"/>
        <v>351.167770419426</v>
      </c>
      <c r="BU35" s="3" t="e">
        <f t="shared" si="140"/>
        <v>#REF!</v>
      </c>
      <c r="BV35" s="1">
        <f t="shared" si="141"/>
        <v>274.774834437086</v>
      </c>
      <c r="BX35" s="3" t="e">
        <f t="shared" si="142"/>
        <v>#REF!</v>
      </c>
      <c r="BY35" s="1">
        <f t="shared" si="143"/>
        <v>549.549668874172</v>
      </c>
      <c r="CA35" s="3" t="e">
        <f t="shared" si="144"/>
        <v>#REF!</v>
      </c>
    </row>
    <row r="36" ht="14.0">
      <c r="A36" s="27" t="s">
        <v>28</v>
      </c>
      <c r="B36" s="27" t="s">
        <v>29</v>
      </c>
      <c r="C36" s="27" t="s">
        <v>90</v>
      </c>
      <c r="D36" s="27" t="s">
        <v>91</v>
      </c>
      <c r="E36" s="27"/>
      <c r="F36" s="27">
        <v>0.0</v>
      </c>
      <c r="G36" s="27">
        <v>11.0</v>
      </c>
      <c r="H36" s="27">
        <v>19.0</v>
      </c>
      <c r="I36" s="27">
        <v>6.0</v>
      </c>
      <c r="J36" s="27">
        <v>0.0</v>
      </c>
      <c r="K36" s="27">
        <v>2.0</v>
      </c>
      <c r="L36" s="27">
        <v>2.0</v>
      </c>
      <c r="M36" s="27">
        <v>3.0</v>
      </c>
      <c r="N36" s="27">
        <v>2.0</v>
      </c>
      <c r="O36" s="27">
        <v>0.0</v>
      </c>
      <c r="P36" s="27">
        <v>1.0</v>
      </c>
      <c r="Q36" s="27">
        <v>4.0</v>
      </c>
      <c r="R36" s="27">
        <v>14.0</v>
      </c>
      <c r="S36" s="27">
        <v>8.0</v>
      </c>
      <c r="T36" s="27">
        <v>4.0</v>
      </c>
      <c r="U36" s="27">
        <v>11.0</v>
      </c>
      <c r="V36" s="27">
        <v>9.0</v>
      </c>
      <c r="W36" s="27">
        <v>6.0</v>
      </c>
      <c r="X36" s="27">
        <v>1.0</v>
      </c>
      <c r="Y36" s="27">
        <v>5.0</v>
      </c>
      <c r="Z36" s="27">
        <v>1.0</v>
      </c>
      <c r="AA36" s="27">
        <v>8.0</v>
      </c>
      <c r="AB36" s="27">
        <v>5.0</v>
      </c>
      <c r="AC36" s="27">
        <v>3.0</v>
      </c>
      <c r="AD36" s="27">
        <v>3.0</v>
      </c>
      <c r="AE36" s="27">
        <v>4.0</v>
      </c>
      <c r="AF36" s="27">
        <v>2.0</v>
      </c>
      <c r="AG36" s="27">
        <v>6.0</v>
      </c>
      <c r="AH36" s="27">
        <v>9.0</v>
      </c>
      <c r="AI36" s="27">
        <v>8.0</v>
      </c>
      <c r="AJ36" s="27">
        <v>0.0</v>
      </c>
      <c r="AK36" s="27">
        <v>4.0</v>
      </c>
      <c r="AL36" s="27">
        <v>7.0</v>
      </c>
      <c r="AM36" s="27">
        <v>4.0</v>
      </c>
      <c r="AN36" s="27">
        <v>2.0</v>
      </c>
      <c r="AO36" s="32">
        <f t="shared" si="3"/>
        <v>63.0</v>
      </c>
      <c r="AP36" s="32">
        <f t="shared" si="4"/>
        <v>32.0</v>
      </c>
      <c r="AQ36" s="32">
        <f t="shared" si="5"/>
        <v>35.2</v>
      </c>
      <c r="AR36" s="33"/>
      <c r="AS36" s="33">
        <v>7.0</v>
      </c>
      <c r="AT36" s="33">
        <v>3.0</v>
      </c>
      <c r="AU36" s="33">
        <v>6.0</v>
      </c>
      <c r="AV36" s="33">
        <v>5.0</v>
      </c>
      <c r="AW36" s="33">
        <v>4.0</v>
      </c>
      <c r="AX36" s="33">
        <v>8.0</v>
      </c>
      <c r="BA36" s="2">
        <f t="shared" si="123"/>
        <v>33.0</v>
      </c>
      <c r="BB36" s="2" t="e">
        <f t="shared" si="124"/>
        <v>#REF!</v>
      </c>
      <c r="BF36">
        <f>VLOOKUP(C36,MOQ,3,FALSE())</f>
      </c>
      <c r="BK36" s="1">
        <f t="shared" si="21"/>
      </c>
      <c r="BL36" s="3"/>
      <c r="BN36" s="1">
        <f t="shared" si="24"/>
      </c>
      <c r="BO36" s="3"/>
      <c r="BR36" s="3"/>
      <c r="BU36" s="3"/>
      <c r="BX36" s="3"/>
      <c r="CA36" s="3"/>
    </row>
    <row r="37" ht="14.0">
      <c r="A37" s="27" t="s">
        <v>28</v>
      </c>
      <c r="B37" s="27" t="s">
        <v>29</v>
      </c>
      <c r="C37" s="27" t="s">
        <v>92</v>
      </c>
      <c r="D37" s="27" t="s">
        <v>93</v>
      </c>
      <c r="E37" s="27"/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180.0</v>
      </c>
      <c r="R37" s="27">
        <v>204.0</v>
      </c>
      <c r="S37" s="27">
        <v>162.0</v>
      </c>
      <c r="T37" s="27">
        <v>165.0</v>
      </c>
      <c r="U37" s="27">
        <v>187.0</v>
      </c>
      <c r="V37" s="27">
        <v>168.0</v>
      </c>
      <c r="W37" s="27">
        <v>192.0</v>
      </c>
      <c r="X37" s="27">
        <v>282.0</v>
      </c>
      <c r="Y37" s="27">
        <v>219.0</v>
      </c>
      <c r="Z37" s="27">
        <v>191.0</v>
      </c>
      <c r="AA37" s="27">
        <v>255.0</v>
      </c>
      <c r="AB37" s="27">
        <v>150.0</v>
      </c>
      <c r="AC37" s="27">
        <v>222.0</v>
      </c>
      <c r="AD37" s="27">
        <v>159.0</v>
      </c>
      <c r="AE37" s="27">
        <v>176.0</v>
      </c>
      <c r="AF37" s="27">
        <v>185.0</v>
      </c>
      <c r="AG37" s="27">
        <v>168.0</v>
      </c>
      <c r="AH37" s="27">
        <v>240.0</v>
      </c>
      <c r="AI37" s="27">
        <v>347.0</v>
      </c>
      <c r="AJ37" s="27">
        <v>209.0</v>
      </c>
      <c r="AK37" s="27">
        <v>173.0</v>
      </c>
      <c r="AL37" s="27">
        <v>172.0</v>
      </c>
      <c r="AM37" s="27">
        <v>162.0</v>
      </c>
      <c r="AN37" s="27">
        <v>160.0</v>
      </c>
      <c r="AO37" s="28">
        <f t="shared" si="3"/>
        <v>2618.0</v>
      </c>
      <c r="AP37" s="28">
        <f t="shared" si="4"/>
        <v>1303.0</v>
      </c>
      <c r="AQ37" s="28">
        <f t="shared" si="5"/>
        <v>1433.3</v>
      </c>
      <c r="AS37" s="1">
        <f t="shared" ref="AS37:AS61" si="152">AQ37*$AS$5/$AQ$5</f>
        <v>279.008830022075</v>
      </c>
      <c r="AT37" s="1">
        <f t="shared" ref="AT37:AT61" si="153">AQ37*$AT$5/$AQ$5</f>
        <v>132.313465783664</v>
      </c>
      <c r="AU37" s="1">
        <f t="shared" ref="AU37:AU61" si="154">AQ37*$AU$5/$AQ$5</f>
        <v>255.997792494481</v>
      </c>
      <c r="AV37" s="1">
        <f t="shared" ref="AV37:AV61" si="155">AQ37*$AV$5/$AQ$5</f>
        <v>209.975717439293</v>
      </c>
      <c r="AW37" s="1">
        <f t="shared" ref="AW37:AW61" si="156">AQ37*$AW$5/$AQ$5</f>
        <v>163.953642384106</v>
      </c>
      <c r="AX37" s="1">
        <f t="shared" ref="AX37:AX61" si="157">AQ37*$AX$5/$AQ$5</f>
        <v>327.907284768211</v>
      </c>
      <c r="BA37" s="2">
        <f t="shared" si="123"/>
        <v>1369.15673289183</v>
      </c>
      <c r="BB37" s="2" t="e">
        <f t="shared" si="124"/>
        <v>#REF!</v>
      </c>
      <c r="BD37" s="1" t="e">
        <f t="shared" ref="BD37:BD38" si="158">VLOOKUP(C37,CHINAJUNE,3,false)</f>
        <v>#REF!</v>
      </c>
      <c r="BE37" s="3" t="e">
        <f t="shared" ref="BE37:BE61" si="159">BB37+BC37+BD37-BA37</f>
        <v>#REF!</v>
      </c>
      <c r="BF37" s="1">
        <f>VLOOKUP(C37,MOQ,3,FALSE())</f>
        <v>504.0</v>
      </c>
      <c r="BG37" s="4">
        <f>BF37</f>
        <v>504.0</v>
      </c>
      <c r="BH37" s="1" t="s">
        <v>9</v>
      </c>
      <c r="BI37" s="1" t="e">
        <f t="shared" ref="BI37:BI61" si="161">BB37</f>
        <v>#REF!</v>
      </c>
      <c r="BJ37" s="1">
        <f t="shared" ref="BJ37:BJ61" si="162">AS37</f>
        <v>279.008830022075</v>
      </c>
      <c r="BK37" s="1">
        <f t="shared" si="21"/>
      </c>
      <c r="BL37" s="3" t="e">
        <f t="shared" ref="BL37:BL61" si="163">BI37+BK37-BJ37</f>
        <v>#REF!</v>
      </c>
      <c r="BM37" s="1">
        <f t="shared" ref="BM37:BM61" si="164">AT37</f>
        <v>132.313465783664</v>
      </c>
      <c r="BN37" s="1" t="e">
        <f t="shared" si="24"/>
        <v>#REF!</v>
      </c>
      <c r="BO37" s="3" t="e">
        <f t="shared" ref="BO37:BO61" si="165">BL37+BN37-BM37</f>
        <v>#REF!</v>
      </c>
      <c r="BP37" s="1">
        <f t="shared" ref="BP37:BP61" si="166">AU37</f>
        <v>255.997792494481</v>
      </c>
      <c r="BR37" s="3" t="e">
        <f t="shared" ref="BR37:BR61" si="167">BO37+BQ37-BP37</f>
        <v>#REF!</v>
      </c>
      <c r="BS37" s="1">
        <f t="shared" ref="BS37:BS61" si="168">AV37</f>
        <v>209.975717439293</v>
      </c>
      <c r="BU37" s="3" t="e">
        <f t="shared" ref="BU37:BU61" si="169">BR37+BT37-BS37</f>
        <v>#REF!</v>
      </c>
      <c r="BV37" s="1">
        <f t="shared" ref="BV37:BV61" si="170">AW37</f>
        <v>163.953642384106</v>
      </c>
      <c r="BX37" s="3" t="e">
        <f t="shared" ref="BX37:BX61" si="171">BU37+BW37-BV37</f>
        <v>#REF!</v>
      </c>
      <c r="BY37" s="1">
        <f t="shared" ref="BY37:BY61" si="172">AX37</f>
        <v>327.907284768211</v>
      </c>
      <c r="CA37" s="3" t="e">
        <f t="shared" ref="CA37:CA61" si="173">BX37+BZ37-BY37</f>
        <v>#REF!</v>
      </c>
    </row>
    <row r="38" ht="14.0">
      <c r="A38" s="27" t="s">
        <v>28</v>
      </c>
      <c r="B38" s="27" t="s">
        <v>29</v>
      </c>
      <c r="C38" s="27" t="s">
        <v>94</v>
      </c>
      <c r="D38" s="27" t="s">
        <v>95</v>
      </c>
      <c r="E38" s="27"/>
      <c r="F38" s="27">
        <v>74.0</v>
      </c>
      <c r="G38" s="27">
        <v>99.0</v>
      </c>
      <c r="H38" s="27">
        <v>99.0</v>
      </c>
      <c r="I38" s="27">
        <v>163.0</v>
      </c>
      <c r="J38" s="27">
        <v>111.0</v>
      </c>
      <c r="K38" s="27">
        <v>139.0</v>
      </c>
      <c r="L38" s="27">
        <v>141.0</v>
      </c>
      <c r="M38" s="27">
        <v>147.0</v>
      </c>
      <c r="N38" s="27">
        <v>64.0</v>
      </c>
      <c r="O38" s="27">
        <v>86.0</v>
      </c>
      <c r="P38" s="27">
        <v>150.0</v>
      </c>
      <c r="Q38" s="27">
        <v>75.0</v>
      </c>
      <c r="R38" s="27">
        <v>86.0</v>
      </c>
      <c r="S38" s="27">
        <v>187.0</v>
      </c>
      <c r="T38" s="27">
        <v>151.0</v>
      </c>
      <c r="U38" s="27">
        <v>191.0</v>
      </c>
      <c r="V38" s="27">
        <v>146.0</v>
      </c>
      <c r="W38" s="27">
        <v>178.0</v>
      </c>
      <c r="X38" s="27">
        <v>258.0</v>
      </c>
      <c r="Y38" s="27">
        <v>106.0</v>
      </c>
      <c r="Z38" s="27">
        <v>1.0</v>
      </c>
      <c r="AA38" s="27">
        <v>245.0</v>
      </c>
      <c r="AB38" s="27">
        <v>137.0</v>
      </c>
      <c r="AC38" s="27">
        <v>177.0</v>
      </c>
      <c r="AD38" s="27">
        <v>162.0</v>
      </c>
      <c r="AE38" s="27">
        <v>151.0</v>
      </c>
      <c r="AF38" s="27">
        <v>144.0</v>
      </c>
      <c r="AG38" s="27">
        <v>141.0</v>
      </c>
      <c r="AH38" s="27">
        <v>176.0</v>
      </c>
      <c r="AI38" s="27">
        <v>209.0</v>
      </c>
      <c r="AJ38" s="27">
        <v>186.0</v>
      </c>
      <c r="AK38" s="27">
        <v>126.0</v>
      </c>
      <c r="AL38" s="27">
        <v>141.0</v>
      </c>
      <c r="AM38" s="27">
        <v>137.0</v>
      </c>
      <c r="AN38" s="27">
        <v>42.0</v>
      </c>
      <c r="AO38" s="28">
        <f t="shared" si="3"/>
        <v>2132.0</v>
      </c>
      <c r="AP38" s="28">
        <f t="shared" si="4"/>
        <v>975.0</v>
      </c>
      <c r="AQ38" s="28">
        <f t="shared" si="5"/>
        <v>1072.5</v>
      </c>
      <c r="AS38" s="1">
        <f t="shared" si="152"/>
        <v>208.774834437086</v>
      </c>
      <c r="AT38" s="1">
        <f t="shared" si="153"/>
        <v>99.0066225165562</v>
      </c>
      <c r="AU38" s="1">
        <f t="shared" si="154"/>
        <v>191.556291390728</v>
      </c>
      <c r="AV38" s="1">
        <f t="shared" si="155"/>
        <v>157.119205298013</v>
      </c>
      <c r="AW38" s="1">
        <f t="shared" si="156"/>
        <v>122.682119205298</v>
      </c>
      <c r="AX38" s="1">
        <f t="shared" si="157"/>
        <v>245.364238410596</v>
      </c>
      <c r="BA38" s="2">
        <f t="shared" si="123"/>
        <v>1024.50331125828</v>
      </c>
      <c r="BB38" s="2" t="e">
        <f t="shared" si="124"/>
        <v>#REF!</v>
      </c>
      <c r="BD38" s="1" t="e">
        <f t="shared" si="158"/>
        <v>#REF!</v>
      </c>
      <c r="BE38" s="3" t="e">
        <f t="shared" si="159"/>
        <v>#REF!</v>
      </c>
      <c r="BF38" s="1">
        <f>VLOOKUP(C38,MOQ,3,FALSE())</f>
        <v>480.0</v>
      </c>
      <c r="BG38" s="43" t="s">
        <v>32</v>
      </c>
      <c r="BH38" s="1" t="s">
        <v>10</v>
      </c>
      <c r="BI38" s="1" t="e">
        <f t="shared" si="161"/>
        <v>#REF!</v>
      </c>
      <c r="BJ38" s="1">
        <f t="shared" si="162"/>
        <v>208.774834437086</v>
      </c>
      <c r="BK38" s="1">
        <f t="shared" si="21"/>
      </c>
      <c r="BL38" s="3" t="e">
        <f t="shared" si="163"/>
        <v>#REF!</v>
      </c>
      <c r="BM38" s="1">
        <f t="shared" si="164"/>
        <v>99.0066225165562</v>
      </c>
      <c r="BN38" s="1" t="e">
        <f t="shared" si="24"/>
        <v>#REF!</v>
      </c>
      <c r="BO38" s="3" t="e">
        <f t="shared" si="165"/>
        <v>#REF!</v>
      </c>
      <c r="BP38" s="1">
        <f t="shared" si="166"/>
        <v>191.556291390728</v>
      </c>
      <c r="BR38" s="3" t="e">
        <f t="shared" si="167"/>
        <v>#REF!</v>
      </c>
      <c r="BS38" s="1">
        <f t="shared" si="168"/>
        <v>157.119205298013</v>
      </c>
      <c r="BU38" s="3" t="e">
        <f t="shared" si="169"/>
        <v>#REF!</v>
      </c>
      <c r="BV38" s="1">
        <f t="shared" si="170"/>
        <v>122.682119205298</v>
      </c>
      <c r="BX38" s="3" t="e">
        <f t="shared" si="171"/>
        <v>#REF!</v>
      </c>
      <c r="BY38" s="1">
        <f t="shared" si="172"/>
        <v>245.364238410596</v>
      </c>
      <c r="CA38" s="3" t="e">
        <f t="shared" si="173"/>
        <v>#REF!</v>
      </c>
    </row>
    <row r="39" ht="14.0">
      <c r="A39" s="27" t="s">
        <v>28</v>
      </c>
      <c r="B39" s="27" t="s">
        <v>29</v>
      </c>
      <c r="C39" s="27" t="s">
        <v>96</v>
      </c>
      <c r="D39" s="27" t="s">
        <v>97</v>
      </c>
      <c r="E39" s="27"/>
      <c r="F39" s="27">
        <v>65.0</v>
      </c>
      <c r="G39" s="27">
        <v>33.0</v>
      </c>
      <c r="H39" s="27">
        <v>77.0</v>
      </c>
      <c r="I39" s="27">
        <v>125.0</v>
      </c>
      <c r="J39" s="27">
        <v>110.0</v>
      </c>
      <c r="K39" s="27">
        <v>86.0</v>
      </c>
      <c r="L39" s="27">
        <v>108.0</v>
      </c>
      <c r="M39" s="27">
        <v>116.0</v>
      </c>
      <c r="N39" s="27">
        <v>35.0</v>
      </c>
      <c r="O39" s="27">
        <v>57.0</v>
      </c>
      <c r="P39" s="27">
        <v>104.0</v>
      </c>
      <c r="Q39" s="27">
        <v>81.0</v>
      </c>
      <c r="R39" s="27">
        <v>92.0</v>
      </c>
      <c r="S39" s="27">
        <v>120.0</v>
      </c>
      <c r="T39" s="27">
        <v>116.0</v>
      </c>
      <c r="U39" s="27">
        <v>126.0</v>
      </c>
      <c r="V39" s="27">
        <v>92.0</v>
      </c>
      <c r="W39" s="27">
        <v>221.0</v>
      </c>
      <c r="X39" s="27">
        <v>156.0</v>
      </c>
      <c r="Y39" s="27">
        <v>68.0</v>
      </c>
      <c r="Z39" s="27">
        <v>0.0</v>
      </c>
      <c r="AA39" s="27">
        <v>157.0</v>
      </c>
      <c r="AB39" s="27">
        <v>62.0</v>
      </c>
      <c r="AC39" s="27">
        <v>70.0</v>
      </c>
      <c r="AD39" s="27">
        <v>96.0</v>
      </c>
      <c r="AE39" s="27">
        <v>50.0</v>
      </c>
      <c r="AF39" s="27">
        <v>73.0</v>
      </c>
      <c r="AG39" s="27">
        <v>77.0</v>
      </c>
      <c r="AH39" s="27">
        <v>122.0</v>
      </c>
      <c r="AI39" s="27">
        <v>100.0</v>
      </c>
      <c r="AJ39" s="27">
        <v>95.0</v>
      </c>
      <c r="AK39" s="27">
        <v>95.0</v>
      </c>
      <c r="AL39" s="27">
        <v>53.0</v>
      </c>
      <c r="AM39" s="27">
        <v>75.0</v>
      </c>
      <c r="AN39" s="27">
        <v>44.0</v>
      </c>
      <c r="AO39" s="28">
        <f t="shared" si="3"/>
        <v>1125.0</v>
      </c>
      <c r="AP39" s="28">
        <f t="shared" si="4"/>
        <v>540.0</v>
      </c>
      <c r="AQ39" s="28">
        <f t="shared" si="5"/>
        <v>594.0</v>
      </c>
      <c r="AS39" s="1">
        <f t="shared" si="152"/>
        <v>115.62913907284</v>
      </c>
      <c r="AT39" s="1">
        <f t="shared" si="153"/>
        <v>54.8344370860927</v>
      </c>
      <c r="AU39" s="1">
        <f t="shared" si="154"/>
        <v>106.092715231788</v>
      </c>
      <c r="AV39" s="1">
        <f t="shared" si="155"/>
        <v>87.0198675496689</v>
      </c>
      <c r="AW39" s="1">
        <f t="shared" si="156"/>
        <v>67.9470198675497</v>
      </c>
      <c r="AX39" s="1">
        <f t="shared" si="157"/>
        <v>135.894039735099</v>
      </c>
      <c r="BA39" s="2">
        <f t="shared" si="123"/>
        <v>567.417218543038</v>
      </c>
      <c r="BB39" s="2" t="e">
        <f t="shared" si="124"/>
        <v>#REF!</v>
      </c>
      <c r="BE39" s="3" t="e">
        <f t="shared" si="159"/>
        <v>#REF!</v>
      </c>
      <c r="BF39" s="1">
        <f>VLOOKUP(C39,MOQ,3,FALSE())</f>
        <v>480.0</v>
      </c>
      <c r="BI39" s="1" t="e">
        <f t="shared" si="161"/>
        <v>#REF!</v>
      </c>
      <c r="BJ39" s="1">
        <f t="shared" si="162"/>
        <v>115.62913907284</v>
      </c>
      <c r="BK39" s="1">
        <f t="shared" si="21"/>
      </c>
      <c r="BL39" s="3" t="e">
        <f t="shared" si="163"/>
        <v>#REF!</v>
      </c>
      <c r="BM39" s="1">
        <f t="shared" si="164"/>
        <v>54.8344370860927</v>
      </c>
      <c r="BN39" s="1">
        <f t="shared" si="24"/>
      </c>
      <c r="BO39" s="3" t="e">
        <f t="shared" si="165"/>
        <v>#REF!</v>
      </c>
      <c r="BP39" s="1">
        <f t="shared" si="166"/>
        <v>106.092715231788</v>
      </c>
      <c r="BR39" s="3" t="e">
        <f t="shared" si="167"/>
        <v>#REF!</v>
      </c>
      <c r="BS39" s="1">
        <f t="shared" si="168"/>
        <v>87.0198675496689</v>
      </c>
      <c r="BU39" s="3" t="e">
        <f t="shared" si="169"/>
        <v>#REF!</v>
      </c>
      <c r="BV39" s="1">
        <f t="shared" si="170"/>
        <v>67.9470198675497</v>
      </c>
      <c r="BX39" s="3" t="e">
        <f t="shared" si="171"/>
        <v>#REF!</v>
      </c>
      <c r="BY39" s="1">
        <f t="shared" si="172"/>
        <v>135.894039735099</v>
      </c>
      <c r="CA39" s="3" t="e">
        <f t="shared" si="173"/>
        <v>#REF!</v>
      </c>
    </row>
    <row r="40" ht="14.0">
      <c r="A40" s="27" t="s">
        <v>28</v>
      </c>
      <c r="B40" s="27" t="s">
        <v>98</v>
      </c>
      <c r="C40" s="27" t="s">
        <v>99</v>
      </c>
      <c r="D40" s="27" t="s">
        <v>100</v>
      </c>
      <c r="E40" s="27"/>
      <c r="F40" s="27">
        <v>276.0</v>
      </c>
      <c r="G40" s="27">
        <v>360.0</v>
      </c>
      <c r="H40" s="27">
        <v>371.0</v>
      </c>
      <c r="I40" s="27">
        <v>762.0</v>
      </c>
      <c r="J40" s="27">
        <v>492.0</v>
      </c>
      <c r="K40" s="27">
        <v>922.0</v>
      </c>
      <c r="L40" s="27">
        <v>793.0</v>
      </c>
      <c r="M40" s="27">
        <v>480.0</v>
      </c>
      <c r="N40" s="27">
        <v>504.0</v>
      </c>
      <c r="O40" s="27">
        <v>368.0</v>
      </c>
      <c r="P40" s="27">
        <v>841.0</v>
      </c>
      <c r="Q40" s="27">
        <v>505.0</v>
      </c>
      <c r="R40" s="27">
        <v>458.0</v>
      </c>
      <c r="S40" s="27">
        <v>594.0</v>
      </c>
      <c r="T40" s="27">
        <v>865.0</v>
      </c>
      <c r="U40" s="27">
        <v>603.0</v>
      </c>
      <c r="V40" s="27">
        <v>890.0</v>
      </c>
      <c r="W40" s="27">
        <v>788.0</v>
      </c>
      <c r="X40" s="27">
        <v>792.0</v>
      </c>
      <c r="Y40" s="27">
        <v>492.0</v>
      </c>
      <c r="Z40" s="27">
        <v>440.0</v>
      </c>
      <c r="AA40" s="27">
        <v>324.0</v>
      </c>
      <c r="AB40" s="27">
        <v>0.0</v>
      </c>
      <c r="AC40" s="27">
        <v>948.0</v>
      </c>
      <c r="AD40" s="27">
        <v>402.0</v>
      </c>
      <c r="AE40" s="27">
        <v>601.0</v>
      </c>
      <c r="AF40" s="27">
        <v>414.0</v>
      </c>
      <c r="AG40" s="27">
        <v>432.0</v>
      </c>
      <c r="AH40" s="27">
        <v>739.0</v>
      </c>
      <c r="AI40" s="27">
        <v>882.0</v>
      </c>
      <c r="AJ40" s="27">
        <v>600.0</v>
      </c>
      <c r="AK40" s="27">
        <v>436.0</v>
      </c>
      <c r="AL40" s="27">
        <v>450.0</v>
      </c>
      <c r="AM40" s="27">
        <v>303.0</v>
      </c>
      <c r="AN40" s="27">
        <v>372.0</v>
      </c>
      <c r="AO40" s="28">
        <f t="shared" si="3"/>
        <v>6531.0</v>
      </c>
      <c r="AP40" s="28">
        <f t="shared" si="4"/>
        <v>3410.0</v>
      </c>
      <c r="AQ40" s="28">
        <f t="shared" si="5"/>
        <v>3751.0</v>
      </c>
      <c r="AS40" s="1">
        <f t="shared" si="152"/>
        <v>730.176600441501</v>
      </c>
      <c r="AT40" s="1">
        <f t="shared" si="153"/>
        <v>346.269315673289</v>
      </c>
      <c r="AU40" s="1">
        <f t="shared" si="154"/>
        <v>669.955849889624</v>
      </c>
      <c r="AV40" s="1">
        <f t="shared" si="155"/>
        <v>549.514348785871</v>
      </c>
      <c r="AW40" s="1">
        <f t="shared" si="156"/>
        <v>429.072847682119</v>
      </c>
      <c r="AX40" s="1">
        <f t="shared" si="157"/>
        <v>858.145695364238</v>
      </c>
      <c r="BA40" s="2">
        <f t="shared" si="123"/>
        <v>3583.13465783664</v>
      </c>
      <c r="BB40" s="2" t="e">
        <f t="shared" si="124"/>
        <v>#REF!</v>
      </c>
      <c r="BD40" s="1" t="e">
        <f>VLOOKUP(C40,CHINAJUNE,3,false)</f>
        <v>#REF!</v>
      </c>
      <c r="BE40" s="3" t="e">
        <f t="shared" si="159"/>
        <v>#REF!</v>
      </c>
      <c r="BF40" s="1">
        <f>VLOOKUP(C40,MOQ,3,FALSE())</f>
        <v>1008.0</v>
      </c>
      <c r="BG40" s="43" t="s">
        <v>32</v>
      </c>
      <c r="BH40" s="1" t="s">
        <v>10</v>
      </c>
      <c r="BI40" s="1" t="e">
        <f t="shared" si="161"/>
        <v>#REF!</v>
      </c>
      <c r="BJ40" s="1">
        <f t="shared" si="162"/>
        <v>730.176600441501</v>
      </c>
      <c r="BK40" s="1">
        <f t="shared" si="21"/>
      </c>
      <c r="BL40" s="3" t="e">
        <f t="shared" si="163"/>
        <v>#REF!</v>
      </c>
      <c r="BM40" s="1">
        <f t="shared" si="164"/>
        <v>346.269315673289</v>
      </c>
      <c r="BN40" s="1" t="e">
        <f t="shared" si="24"/>
        <v>#REF!</v>
      </c>
      <c r="BO40" s="3" t="e">
        <f t="shared" si="165"/>
        <v>#REF!</v>
      </c>
      <c r="BP40" s="1">
        <f t="shared" si="166"/>
        <v>669.955849889624</v>
      </c>
      <c r="BR40" s="3" t="e">
        <f t="shared" si="167"/>
        <v>#REF!</v>
      </c>
      <c r="BS40" s="1">
        <f t="shared" si="168"/>
        <v>549.514348785871</v>
      </c>
      <c r="BU40" s="3" t="e">
        <f t="shared" si="169"/>
        <v>#REF!</v>
      </c>
      <c r="BV40" s="1">
        <f t="shared" si="170"/>
        <v>429.072847682119</v>
      </c>
      <c r="BX40" s="3" t="e">
        <f t="shared" si="171"/>
        <v>#REF!</v>
      </c>
      <c r="BY40" s="1">
        <f t="shared" si="172"/>
        <v>858.145695364238</v>
      </c>
      <c r="CA40" s="3" t="e">
        <f t="shared" si="173"/>
        <v>#REF!</v>
      </c>
    </row>
    <row r="41" ht="14.0">
      <c r="A41" s="27" t="s">
        <v>28</v>
      </c>
      <c r="B41" s="27" t="s">
        <v>98</v>
      </c>
      <c r="C41" s="27" t="s">
        <v>101</v>
      </c>
      <c r="D41" s="27" t="s">
        <v>102</v>
      </c>
      <c r="E41" s="27"/>
      <c r="F41" s="27">
        <v>204.0</v>
      </c>
      <c r="G41" s="27">
        <v>186.0</v>
      </c>
      <c r="H41" s="27">
        <v>204.0</v>
      </c>
      <c r="I41" s="27">
        <v>276.0</v>
      </c>
      <c r="J41" s="27">
        <v>264.0</v>
      </c>
      <c r="K41" s="27">
        <v>474.0</v>
      </c>
      <c r="L41" s="27">
        <v>264.0</v>
      </c>
      <c r="M41" s="27">
        <v>186.0</v>
      </c>
      <c r="N41" s="27">
        <v>144.0</v>
      </c>
      <c r="O41" s="27">
        <v>192.0</v>
      </c>
      <c r="P41" s="27">
        <v>156.0</v>
      </c>
      <c r="Q41" s="27">
        <v>162.0</v>
      </c>
      <c r="R41" s="27">
        <v>111.0</v>
      </c>
      <c r="S41" s="27">
        <v>78.0</v>
      </c>
      <c r="T41" s="27">
        <v>138.0</v>
      </c>
      <c r="U41" s="27">
        <v>133.0</v>
      </c>
      <c r="V41" s="27">
        <v>157.0</v>
      </c>
      <c r="W41" s="27">
        <v>132.0</v>
      </c>
      <c r="X41" s="27">
        <v>162.0</v>
      </c>
      <c r="Y41" s="27">
        <v>120.0</v>
      </c>
      <c r="Z41" s="27">
        <v>91.0</v>
      </c>
      <c r="AA41" s="27">
        <v>126.0</v>
      </c>
      <c r="AB41" s="27">
        <v>121.0</v>
      </c>
      <c r="AC41" s="27">
        <v>102.0</v>
      </c>
      <c r="AD41" s="27">
        <v>84.0</v>
      </c>
      <c r="AE41" s="27">
        <v>78.0</v>
      </c>
      <c r="AF41" s="27">
        <v>90.0</v>
      </c>
      <c r="AG41" s="27">
        <v>90.0</v>
      </c>
      <c r="AH41" s="27">
        <v>150.0</v>
      </c>
      <c r="AI41" s="27">
        <v>144.0</v>
      </c>
      <c r="AJ41" s="27">
        <v>90.0</v>
      </c>
      <c r="AK41" s="27">
        <v>61.0</v>
      </c>
      <c r="AL41" s="27">
        <v>60.0</v>
      </c>
      <c r="AM41" s="27">
        <v>96.0</v>
      </c>
      <c r="AN41" s="27">
        <v>24.0</v>
      </c>
      <c r="AO41" s="28">
        <f t="shared" si="3"/>
        <v>1292.0</v>
      </c>
      <c r="AP41" s="28">
        <f t="shared" si="4"/>
        <v>601.0</v>
      </c>
      <c r="AQ41" s="28">
        <f t="shared" si="5"/>
        <v>661.1</v>
      </c>
      <c r="AS41" s="1">
        <f t="shared" si="152"/>
        <v>128.690949227373</v>
      </c>
      <c r="AT41" s="1">
        <f t="shared" si="153"/>
        <v>61.0286975717439</v>
      </c>
      <c r="AU41" s="1">
        <f t="shared" si="154"/>
        <v>118.077262693157</v>
      </c>
      <c r="AV41" s="1">
        <f t="shared" si="155"/>
        <v>96.849889624724</v>
      </c>
      <c r="AW41" s="1">
        <f t="shared" si="156"/>
        <v>75.6225165562913</v>
      </c>
      <c r="AX41" s="1">
        <f t="shared" si="157"/>
        <v>151.245033112582</v>
      </c>
      <c r="BA41" s="2">
        <f t="shared" si="123"/>
        <v>631.514348785871</v>
      </c>
      <c r="BB41" s="2" t="e">
        <f t="shared" si="124"/>
        <v>#REF!</v>
      </c>
      <c r="BE41" s="3" t="e">
        <f t="shared" si="159"/>
        <v>#REF!</v>
      </c>
      <c r="BF41" s="1">
        <f>VLOOKUP(C41,MOQ,3,FALSE())</f>
        <v>1008.0</v>
      </c>
      <c r="BI41" s="1" t="e">
        <f t="shared" si="161"/>
        <v>#REF!</v>
      </c>
      <c r="BJ41" s="1">
        <f t="shared" si="162"/>
        <v>128.690949227373</v>
      </c>
      <c r="BK41" s="1">
        <f t="shared" si="21"/>
      </c>
      <c r="BL41" s="3" t="e">
        <f t="shared" si="163"/>
        <v>#REF!</v>
      </c>
      <c r="BM41" s="1">
        <f t="shared" si="164"/>
        <v>61.0286975717439</v>
      </c>
      <c r="BN41" s="1">
        <f t="shared" si="24"/>
      </c>
      <c r="BO41" s="3" t="e">
        <f t="shared" si="165"/>
        <v>#REF!</v>
      </c>
      <c r="BP41" s="1">
        <f t="shared" si="166"/>
        <v>118.077262693157</v>
      </c>
      <c r="BR41" s="3" t="e">
        <f t="shared" si="167"/>
        <v>#REF!</v>
      </c>
      <c r="BS41" s="1">
        <f t="shared" si="168"/>
        <v>96.849889624724</v>
      </c>
      <c r="BU41" s="3" t="e">
        <f t="shared" si="169"/>
        <v>#REF!</v>
      </c>
      <c r="BV41" s="1">
        <f t="shared" si="170"/>
        <v>75.6225165562913</v>
      </c>
      <c r="BX41" s="3" t="e">
        <f t="shared" si="171"/>
        <v>#REF!</v>
      </c>
      <c r="BY41" s="1">
        <f t="shared" si="172"/>
        <v>151.245033112582</v>
      </c>
      <c r="CA41" s="3" t="e">
        <f t="shared" si="173"/>
        <v>#REF!</v>
      </c>
    </row>
    <row r="42" ht="14.0">
      <c r="A42" s="27" t="s">
        <v>28</v>
      </c>
      <c r="B42" s="27" t="s">
        <v>98</v>
      </c>
      <c r="C42" s="27" t="s">
        <v>103</v>
      </c>
      <c r="D42" s="27" t="s">
        <v>104</v>
      </c>
      <c r="E42" s="27"/>
      <c r="F42" s="27">
        <v>247.0</v>
      </c>
      <c r="G42" s="27">
        <v>342.0</v>
      </c>
      <c r="H42" s="27">
        <v>318.0</v>
      </c>
      <c r="I42" s="27">
        <v>594.0</v>
      </c>
      <c r="J42" s="27">
        <v>378.0</v>
      </c>
      <c r="K42" s="27">
        <v>649.0</v>
      </c>
      <c r="L42" s="27">
        <v>648.0</v>
      </c>
      <c r="M42" s="27">
        <v>85.0</v>
      </c>
      <c r="N42" s="27">
        <v>270.0</v>
      </c>
      <c r="O42" s="27">
        <v>278.0</v>
      </c>
      <c r="P42" s="27">
        <v>559.0</v>
      </c>
      <c r="Q42" s="27">
        <v>271.0</v>
      </c>
      <c r="R42" s="27">
        <v>235.0</v>
      </c>
      <c r="S42" s="27">
        <v>408.0</v>
      </c>
      <c r="T42" s="27">
        <v>390.0</v>
      </c>
      <c r="U42" s="27">
        <v>372.0</v>
      </c>
      <c r="V42" s="27">
        <v>648.0</v>
      </c>
      <c r="W42" s="27">
        <v>692.0</v>
      </c>
      <c r="X42" s="27">
        <v>853.0</v>
      </c>
      <c r="Y42" s="27">
        <v>499.0</v>
      </c>
      <c r="Z42" s="27">
        <v>427.0</v>
      </c>
      <c r="AA42" s="27">
        <v>501.0</v>
      </c>
      <c r="AB42" s="27">
        <v>0.0</v>
      </c>
      <c r="AC42" s="27">
        <v>672.0</v>
      </c>
      <c r="AD42" s="27">
        <v>0.0</v>
      </c>
      <c r="AE42" s="27">
        <v>492.0</v>
      </c>
      <c r="AF42" s="27">
        <v>324.0</v>
      </c>
      <c r="AG42" s="27">
        <v>288.0</v>
      </c>
      <c r="AH42" s="27">
        <v>732.0</v>
      </c>
      <c r="AI42" s="27">
        <v>978.0</v>
      </c>
      <c r="AJ42" s="27">
        <v>546.0</v>
      </c>
      <c r="AK42" s="27">
        <v>480.0</v>
      </c>
      <c r="AL42" s="27">
        <v>390.0</v>
      </c>
      <c r="AM42" s="27">
        <v>288.0</v>
      </c>
      <c r="AN42" s="27">
        <v>390.0</v>
      </c>
      <c r="AO42" s="28">
        <f t="shared" si="3"/>
        <v>5691.0</v>
      </c>
      <c r="AP42" s="28">
        <f t="shared" si="4"/>
        <v>3414.0</v>
      </c>
      <c r="AQ42" s="28">
        <f t="shared" si="5"/>
        <v>3755.4</v>
      </c>
      <c r="AS42" s="1">
        <f t="shared" si="152"/>
        <v>731.033112582781</v>
      </c>
      <c r="AT42" s="1">
        <f t="shared" si="153"/>
        <v>346.675496688741</v>
      </c>
      <c r="AU42" s="1">
        <f t="shared" si="154"/>
        <v>670.741721854304</v>
      </c>
      <c r="AV42" s="1">
        <f t="shared" si="155"/>
        <v>550.158940397351</v>
      </c>
      <c r="AW42" s="1">
        <f t="shared" si="156"/>
        <v>429.576158940397</v>
      </c>
      <c r="AX42" s="1">
        <f t="shared" si="157"/>
        <v>859.152317880794</v>
      </c>
      <c r="BA42" s="2">
        <f t="shared" si="123"/>
        <v>3587.33774834437</v>
      </c>
      <c r="BB42" s="2" t="e">
        <f t="shared" si="124"/>
        <v>#REF!</v>
      </c>
      <c r="BD42" s="1" t="e">
        <f t="shared" ref="BD42:BD45" si="175">VLOOKUP(C42,CHINAJUNE,3,false)</f>
        <v>#REF!</v>
      </c>
      <c r="BE42" s="3" t="e">
        <f t="shared" si="159"/>
        <v>#REF!</v>
      </c>
      <c r="BF42" s="1">
        <f>VLOOKUP(C42,MOQ,3,FALSE())</f>
        <v>1008.0</v>
      </c>
      <c r="BG42" s="43" t="s">
        <v>32</v>
      </c>
      <c r="BH42" s="1" t="s">
        <v>10</v>
      </c>
      <c r="BI42" s="1" t="e">
        <f t="shared" si="161"/>
        <v>#REF!</v>
      </c>
      <c r="BJ42" s="1">
        <f t="shared" si="162"/>
        <v>731.033112582781</v>
      </c>
      <c r="BK42" s="1">
        <f t="shared" si="21"/>
      </c>
      <c r="BL42" s="3" t="e">
        <f t="shared" si="163"/>
        <v>#REF!</v>
      </c>
      <c r="BM42" s="1">
        <f t="shared" si="164"/>
        <v>346.675496688741</v>
      </c>
      <c r="BN42" s="1" t="e">
        <f t="shared" si="24"/>
        <v>#REF!</v>
      </c>
      <c r="BO42" s="3" t="e">
        <f t="shared" si="165"/>
        <v>#REF!</v>
      </c>
      <c r="BP42" s="1">
        <f t="shared" si="166"/>
        <v>670.741721854304</v>
      </c>
      <c r="BR42" s="3" t="e">
        <f t="shared" si="167"/>
        <v>#REF!</v>
      </c>
      <c r="BS42" s="1">
        <f t="shared" si="168"/>
        <v>550.158940397351</v>
      </c>
      <c r="BU42" s="3" t="e">
        <f t="shared" si="169"/>
        <v>#REF!</v>
      </c>
      <c r="BV42" s="1">
        <f t="shared" si="170"/>
        <v>429.576158940397</v>
      </c>
      <c r="BX42" s="3" t="e">
        <f t="shared" si="171"/>
        <v>#REF!</v>
      </c>
      <c r="BY42" s="1">
        <f t="shared" si="172"/>
        <v>859.152317880794</v>
      </c>
      <c r="CA42" s="3" t="e">
        <f t="shared" si="173"/>
        <v>#REF!</v>
      </c>
    </row>
    <row r="43" ht="14.0">
      <c r="A43" s="27" t="s">
        <v>28</v>
      </c>
      <c r="B43" s="27" t="s">
        <v>98</v>
      </c>
      <c r="C43" s="27" t="s">
        <v>105</v>
      </c>
      <c r="D43" s="27" t="s">
        <v>106</v>
      </c>
      <c r="E43" s="27"/>
      <c r="F43" s="27">
        <v>201.0</v>
      </c>
      <c r="G43" s="27">
        <v>294.0</v>
      </c>
      <c r="H43" s="27">
        <v>306.0</v>
      </c>
      <c r="I43" s="27">
        <v>173.0</v>
      </c>
      <c r="J43" s="27">
        <v>0.0</v>
      </c>
      <c r="K43" s="27">
        <v>847.0</v>
      </c>
      <c r="L43" s="27">
        <v>558.0</v>
      </c>
      <c r="M43" s="27">
        <v>252.0</v>
      </c>
      <c r="N43" s="27">
        <v>294.0</v>
      </c>
      <c r="O43" s="27">
        <v>6.0</v>
      </c>
      <c r="P43" s="27">
        <v>0.0</v>
      </c>
      <c r="Q43" s="27">
        <v>187.0</v>
      </c>
      <c r="R43" s="27">
        <v>277.0</v>
      </c>
      <c r="S43" s="27">
        <v>432.0</v>
      </c>
      <c r="T43" s="27">
        <v>312.0</v>
      </c>
      <c r="U43" s="27">
        <v>315.0</v>
      </c>
      <c r="V43" s="27">
        <v>519.0</v>
      </c>
      <c r="W43" s="27">
        <v>525.0</v>
      </c>
      <c r="X43" s="27">
        <v>839.0</v>
      </c>
      <c r="Y43" s="27">
        <v>565.0</v>
      </c>
      <c r="Z43" s="27">
        <v>313.0</v>
      </c>
      <c r="AA43" s="27">
        <v>58.0</v>
      </c>
      <c r="AB43" s="27">
        <v>0.0</v>
      </c>
      <c r="AC43" s="27">
        <v>844.0</v>
      </c>
      <c r="AD43" s="27">
        <v>162.0</v>
      </c>
      <c r="AE43" s="27">
        <v>402.0</v>
      </c>
      <c r="AF43" s="27">
        <v>282.0</v>
      </c>
      <c r="AG43" s="27">
        <v>222.0</v>
      </c>
      <c r="AH43" s="27">
        <v>528.0</v>
      </c>
      <c r="AI43" s="27">
        <v>528.0</v>
      </c>
      <c r="AJ43" s="27">
        <v>414.0</v>
      </c>
      <c r="AK43" s="27">
        <v>330.0</v>
      </c>
      <c r="AL43" s="27">
        <v>318.0</v>
      </c>
      <c r="AM43" s="27">
        <v>222.0</v>
      </c>
      <c r="AN43" s="27">
        <v>204.0</v>
      </c>
      <c r="AO43" s="28">
        <f t="shared" si="3"/>
        <v>4310.0</v>
      </c>
      <c r="AP43" s="28">
        <f t="shared" si="4"/>
        <v>2340.0</v>
      </c>
      <c r="AQ43" s="28">
        <f t="shared" si="5"/>
        <v>2574.0</v>
      </c>
      <c r="AS43" s="1">
        <f t="shared" si="152"/>
        <v>501.059602649</v>
      </c>
      <c r="AT43" s="1">
        <f t="shared" si="153"/>
        <v>237.615894039735</v>
      </c>
      <c r="AU43" s="1">
        <f t="shared" si="154"/>
        <v>459.735099337748</v>
      </c>
      <c r="AV43" s="1">
        <f t="shared" si="155"/>
        <v>377.086092715231</v>
      </c>
      <c r="AW43" s="1">
        <f t="shared" si="156"/>
        <v>294.437086092715</v>
      </c>
      <c r="AX43" s="1">
        <f t="shared" si="157"/>
        <v>588.87417218543</v>
      </c>
      <c r="BA43" s="2">
        <f t="shared" si="123"/>
        <v>2458.80794701986</v>
      </c>
      <c r="BB43" s="2" t="e">
        <f t="shared" si="124"/>
        <v>#REF!</v>
      </c>
      <c r="BD43" s="1" t="e">
        <f t="shared" si="175"/>
        <v>#REF!</v>
      </c>
      <c r="BE43" s="3" t="e">
        <f t="shared" si="159"/>
        <v>#REF!</v>
      </c>
      <c r="BF43" s="1">
        <f>VLOOKUP(C43,MOQ,3,FALSE())</f>
        <v>1008.0</v>
      </c>
      <c r="BG43" s="4">
        <f t="shared" ref="BG43:BG44" si="176">BF43</f>
        <v>1008.0</v>
      </c>
      <c r="BH43" s="1" t="s">
        <v>10</v>
      </c>
      <c r="BI43" s="1" t="e">
        <f t="shared" si="161"/>
        <v>#REF!</v>
      </c>
      <c r="BJ43" s="1">
        <f t="shared" si="162"/>
        <v>501.059602649</v>
      </c>
      <c r="BK43" s="1">
        <f t="shared" si="21"/>
      </c>
      <c r="BL43" s="3" t="e">
        <f t="shared" si="163"/>
        <v>#REF!</v>
      </c>
      <c r="BM43" s="1">
        <f t="shared" si="164"/>
        <v>237.615894039735</v>
      </c>
      <c r="BN43" s="1" t="e">
        <f t="shared" si="24"/>
        <v>#REF!</v>
      </c>
      <c r="BO43" s="3" t="e">
        <f t="shared" si="165"/>
        <v>#REF!</v>
      </c>
      <c r="BP43" s="1">
        <f t="shared" si="166"/>
        <v>459.735099337748</v>
      </c>
      <c r="BR43" s="3" t="e">
        <f t="shared" si="167"/>
        <v>#REF!</v>
      </c>
      <c r="BS43" s="1">
        <f t="shared" si="168"/>
        <v>377.086092715231</v>
      </c>
      <c r="BU43" s="3" t="e">
        <f t="shared" si="169"/>
        <v>#REF!</v>
      </c>
      <c r="BV43" s="1">
        <f t="shared" si="170"/>
        <v>294.437086092715</v>
      </c>
      <c r="BX43" s="3" t="e">
        <f t="shared" si="171"/>
        <v>#REF!</v>
      </c>
      <c r="BY43" s="1">
        <f t="shared" si="172"/>
        <v>588.87417218543</v>
      </c>
      <c r="CA43" s="3" t="e">
        <f t="shared" si="173"/>
        <v>#REF!</v>
      </c>
    </row>
    <row r="44" ht="14.0">
      <c r="A44" s="27" t="s">
        <v>28</v>
      </c>
      <c r="B44" s="27" t="s">
        <v>98</v>
      </c>
      <c r="C44" s="27" t="s">
        <v>107</v>
      </c>
      <c r="D44" s="27" t="s">
        <v>108</v>
      </c>
      <c r="E44" s="27"/>
      <c r="F44" s="27">
        <v>192.0</v>
      </c>
      <c r="G44" s="27">
        <v>222.0</v>
      </c>
      <c r="H44" s="27">
        <v>829.0</v>
      </c>
      <c r="I44" s="27">
        <v>846.0</v>
      </c>
      <c r="J44" s="27">
        <v>306.0</v>
      </c>
      <c r="K44" s="27">
        <v>201.0</v>
      </c>
      <c r="L44" s="27">
        <v>1114.0</v>
      </c>
      <c r="M44" s="27">
        <v>250.0</v>
      </c>
      <c r="N44" s="27">
        <v>479.0</v>
      </c>
      <c r="O44" s="27">
        <v>242.0</v>
      </c>
      <c r="P44" s="27">
        <v>798.0</v>
      </c>
      <c r="Q44" s="27">
        <v>374.0</v>
      </c>
      <c r="R44" s="27">
        <v>252.0</v>
      </c>
      <c r="S44" s="27">
        <v>480.0</v>
      </c>
      <c r="T44" s="27">
        <v>537.0</v>
      </c>
      <c r="U44" s="27">
        <v>401.0</v>
      </c>
      <c r="V44" s="27">
        <v>591.0</v>
      </c>
      <c r="W44" s="27">
        <v>605.0</v>
      </c>
      <c r="X44" s="27">
        <v>595.0</v>
      </c>
      <c r="Y44" s="27">
        <v>388.0</v>
      </c>
      <c r="Z44" s="27">
        <v>312.0</v>
      </c>
      <c r="AA44" s="27">
        <v>552.0</v>
      </c>
      <c r="AB44" s="27">
        <v>254.0</v>
      </c>
      <c r="AC44" s="27">
        <v>630.0</v>
      </c>
      <c r="AD44" s="27">
        <v>209.0</v>
      </c>
      <c r="AE44" s="27">
        <v>348.0</v>
      </c>
      <c r="AF44" s="27">
        <v>288.0</v>
      </c>
      <c r="AG44" s="27">
        <v>336.0</v>
      </c>
      <c r="AH44" s="27">
        <v>498.0</v>
      </c>
      <c r="AI44" s="27">
        <v>624.0</v>
      </c>
      <c r="AJ44" s="27">
        <v>414.0</v>
      </c>
      <c r="AK44" s="27">
        <v>384.0</v>
      </c>
      <c r="AL44" s="27">
        <v>306.0</v>
      </c>
      <c r="AM44" s="27">
        <v>284.0</v>
      </c>
      <c r="AN44" s="27">
        <v>252.0</v>
      </c>
      <c r="AO44" s="28">
        <f t="shared" si="3"/>
        <v>5127.0</v>
      </c>
      <c r="AP44" s="28">
        <f t="shared" si="4"/>
        <v>2510.0</v>
      </c>
      <c r="AQ44" s="28">
        <f t="shared" si="5"/>
        <v>2761.0</v>
      </c>
      <c r="AS44" s="1">
        <f t="shared" si="152"/>
        <v>537.461368653421</v>
      </c>
      <c r="AT44" s="1">
        <f t="shared" si="153"/>
        <v>254.878587196468</v>
      </c>
      <c r="AU44" s="1">
        <f t="shared" si="154"/>
        <v>493.134657836644</v>
      </c>
      <c r="AV44" s="1">
        <f t="shared" si="155"/>
        <v>404.48123620309</v>
      </c>
      <c r="AW44" s="1">
        <f t="shared" si="156"/>
        <v>315.827814569536</v>
      </c>
      <c r="AX44" s="1">
        <f t="shared" si="157"/>
        <v>631.655629139072</v>
      </c>
      <c r="BA44" s="2">
        <f t="shared" si="123"/>
        <v>2637.43929359823</v>
      </c>
      <c r="BB44" s="2" t="e">
        <f t="shared" si="124"/>
        <v>#REF!</v>
      </c>
      <c r="BD44" s="1" t="e">
        <f t="shared" si="175"/>
        <v>#REF!</v>
      </c>
      <c r="BE44" s="3" t="e">
        <f t="shared" si="159"/>
        <v>#REF!</v>
      </c>
      <c r="BF44" s="1">
        <f>VLOOKUP(C44,MOQ,3,FALSE())</f>
        <v>1008.0</v>
      </c>
      <c r="BG44" s="4">
        <f t="shared" si="176"/>
        <v>1008.0</v>
      </c>
      <c r="BH44" s="1" t="s">
        <v>10</v>
      </c>
      <c r="BI44" s="1" t="e">
        <f t="shared" si="161"/>
        <v>#REF!</v>
      </c>
      <c r="BJ44" s="1">
        <f t="shared" si="162"/>
        <v>537.461368653421</v>
      </c>
      <c r="BK44" s="1">
        <f t="shared" si="21"/>
      </c>
      <c r="BL44" s="3" t="e">
        <f t="shared" si="163"/>
        <v>#REF!</v>
      </c>
      <c r="BM44" s="1">
        <f t="shared" si="164"/>
        <v>254.878587196468</v>
      </c>
      <c r="BN44" s="1" t="e">
        <f t="shared" si="24"/>
        <v>#REF!</v>
      </c>
      <c r="BO44" s="3" t="e">
        <f t="shared" si="165"/>
        <v>#REF!</v>
      </c>
      <c r="BP44" s="1">
        <f t="shared" si="166"/>
        <v>493.134657836644</v>
      </c>
      <c r="BR44" s="3" t="e">
        <f t="shared" si="167"/>
        <v>#REF!</v>
      </c>
      <c r="BS44" s="1">
        <f t="shared" si="168"/>
        <v>404.48123620309</v>
      </c>
      <c r="BU44" s="3" t="e">
        <f t="shared" si="169"/>
        <v>#REF!</v>
      </c>
      <c r="BV44" s="1">
        <f t="shared" si="170"/>
        <v>315.827814569536</v>
      </c>
      <c r="BX44" s="3" t="e">
        <f t="shared" si="171"/>
        <v>#REF!</v>
      </c>
      <c r="BY44" s="1">
        <f t="shared" si="172"/>
        <v>631.655629139072</v>
      </c>
      <c r="CA44" s="3" t="e">
        <f t="shared" si="173"/>
        <v>#REF!</v>
      </c>
    </row>
    <row r="45" ht="14.0">
      <c r="A45" s="27" t="s">
        <v>28</v>
      </c>
      <c r="B45" s="27" t="s">
        <v>98</v>
      </c>
      <c r="C45" s="27" t="s">
        <v>109</v>
      </c>
      <c r="D45" s="27" t="s">
        <v>110</v>
      </c>
      <c r="E45" s="27"/>
      <c r="F45" s="27">
        <v>0.0</v>
      </c>
      <c r="G45" s="27">
        <v>90.0</v>
      </c>
      <c r="H45" s="27">
        <v>834.0</v>
      </c>
      <c r="I45" s="27">
        <v>456.0</v>
      </c>
      <c r="J45" s="27">
        <v>0.0</v>
      </c>
      <c r="K45" s="27">
        <v>222.0</v>
      </c>
      <c r="L45" s="27">
        <v>1014.0</v>
      </c>
      <c r="M45" s="27">
        <v>229.0</v>
      </c>
      <c r="N45" s="27">
        <v>444.0</v>
      </c>
      <c r="O45" s="27">
        <v>180.0</v>
      </c>
      <c r="P45" s="27">
        <v>690.0</v>
      </c>
      <c r="Q45" s="27">
        <v>300.0</v>
      </c>
      <c r="R45" s="27">
        <v>362.0</v>
      </c>
      <c r="S45" s="27">
        <v>450.0</v>
      </c>
      <c r="T45" s="27">
        <v>613.0</v>
      </c>
      <c r="U45" s="27">
        <v>303.0</v>
      </c>
      <c r="V45" s="27">
        <v>554.0</v>
      </c>
      <c r="W45" s="27">
        <v>594.0</v>
      </c>
      <c r="X45" s="27">
        <v>516.0</v>
      </c>
      <c r="Y45" s="27">
        <v>318.0</v>
      </c>
      <c r="Z45" s="27">
        <v>360.0</v>
      </c>
      <c r="AA45" s="27">
        <v>286.0</v>
      </c>
      <c r="AB45" s="27">
        <v>0.0</v>
      </c>
      <c r="AC45" s="27">
        <v>658.0</v>
      </c>
      <c r="AD45" s="27">
        <v>222.0</v>
      </c>
      <c r="AE45" s="27">
        <v>258.0</v>
      </c>
      <c r="AF45" s="27">
        <v>234.0</v>
      </c>
      <c r="AG45" s="27">
        <v>270.0</v>
      </c>
      <c r="AH45" s="27">
        <v>528.0</v>
      </c>
      <c r="AI45" s="27">
        <v>618.0</v>
      </c>
      <c r="AJ45" s="27">
        <v>366.0</v>
      </c>
      <c r="AK45" s="27">
        <v>359.0</v>
      </c>
      <c r="AL45" s="27">
        <v>288.0</v>
      </c>
      <c r="AM45" s="27">
        <v>284.0</v>
      </c>
      <c r="AN45" s="27">
        <v>246.0</v>
      </c>
      <c r="AO45" s="28">
        <f t="shared" si="3"/>
        <v>4371.0</v>
      </c>
      <c r="AP45" s="28">
        <f t="shared" si="4"/>
        <v>2443.0</v>
      </c>
      <c r="AQ45" s="28">
        <f t="shared" si="5"/>
        <v>2687.3</v>
      </c>
      <c r="AS45" s="1">
        <f t="shared" si="152"/>
        <v>523.114790286976</v>
      </c>
      <c r="AT45" s="1">
        <f t="shared" si="153"/>
        <v>248.075055187638</v>
      </c>
      <c r="AU45" s="1">
        <f t="shared" si="154"/>
        <v>479.971302428256</v>
      </c>
      <c r="AV45" s="1">
        <f t="shared" si="155"/>
        <v>393.684326710817</v>
      </c>
      <c r="AW45" s="1">
        <f t="shared" si="156"/>
        <v>307.3973509933</v>
      </c>
      <c r="AX45" s="1">
        <f t="shared" si="157"/>
        <v>614.794701986755</v>
      </c>
      <c r="BA45" s="2">
        <f t="shared" si="123"/>
        <v>2567.03752759374</v>
      </c>
      <c r="BB45" s="2" t="e">
        <f t="shared" si="124"/>
        <v>#REF!</v>
      </c>
      <c r="BD45" s="1" t="e">
        <f t="shared" si="175"/>
        <v>#REF!</v>
      </c>
      <c r="BE45" s="3" t="e">
        <f t="shared" si="159"/>
        <v>#REF!</v>
      </c>
      <c r="BF45" s="1">
        <f>VLOOKUP(C45,MOQ,3,FALSE())</f>
        <v>1008.0</v>
      </c>
      <c r="BG45" s="4">
        <v>1008.0</v>
      </c>
      <c r="BH45" s="1" t="s">
        <v>10</v>
      </c>
      <c r="BI45" s="1" t="e">
        <f t="shared" si="161"/>
        <v>#REF!</v>
      </c>
      <c r="BJ45" s="1">
        <f t="shared" si="162"/>
        <v>523.114790286976</v>
      </c>
      <c r="BK45" s="1">
        <f t="shared" si="21"/>
      </c>
      <c r="BL45" s="3" t="e">
        <f t="shared" si="163"/>
        <v>#REF!</v>
      </c>
      <c r="BM45" s="1">
        <f t="shared" si="164"/>
        <v>248.075055187638</v>
      </c>
      <c r="BN45" s="1" t="e">
        <f t="shared" si="24"/>
        <v>#REF!</v>
      </c>
      <c r="BO45" s="3" t="e">
        <f t="shared" si="165"/>
        <v>#REF!</v>
      </c>
      <c r="BP45" s="1">
        <f t="shared" si="166"/>
        <v>479.971302428256</v>
      </c>
      <c r="BR45" s="3" t="e">
        <f t="shared" si="167"/>
        <v>#REF!</v>
      </c>
      <c r="BS45" s="1">
        <f t="shared" si="168"/>
        <v>393.684326710817</v>
      </c>
      <c r="BU45" s="3" t="e">
        <f t="shared" si="169"/>
        <v>#REF!</v>
      </c>
      <c r="BV45" s="1">
        <f t="shared" si="170"/>
        <v>307.3973509933</v>
      </c>
      <c r="BX45" s="3" t="e">
        <f t="shared" si="171"/>
        <v>#REF!</v>
      </c>
      <c r="BY45" s="1">
        <f t="shared" si="172"/>
        <v>614.794701986755</v>
      </c>
      <c r="CA45" s="3" t="e">
        <f t="shared" si="173"/>
        <v>#REF!</v>
      </c>
    </row>
    <row r="46" ht="14.0">
      <c r="A46" s="27" t="s">
        <v>28</v>
      </c>
      <c r="B46" s="27" t="s">
        <v>98</v>
      </c>
      <c r="C46" s="27" t="s">
        <v>111</v>
      </c>
      <c r="D46" s="27" t="s">
        <v>112</v>
      </c>
      <c r="E46" s="27"/>
      <c r="F46" s="27">
        <v>144.0</v>
      </c>
      <c r="G46" s="27">
        <v>120.0</v>
      </c>
      <c r="H46" s="27">
        <v>188.0</v>
      </c>
      <c r="I46" s="27">
        <v>354.0</v>
      </c>
      <c r="J46" s="27">
        <v>223.0</v>
      </c>
      <c r="K46" s="27">
        <v>324.0</v>
      </c>
      <c r="L46" s="27">
        <v>181.0</v>
      </c>
      <c r="M46" s="27">
        <v>295.0</v>
      </c>
      <c r="N46" s="27">
        <v>137.0</v>
      </c>
      <c r="O46" s="27">
        <v>151.0</v>
      </c>
      <c r="P46" s="27">
        <v>150.0</v>
      </c>
      <c r="Q46" s="27">
        <v>144.0</v>
      </c>
      <c r="R46" s="27">
        <v>152.0</v>
      </c>
      <c r="S46" s="27">
        <v>114.0</v>
      </c>
      <c r="T46" s="27">
        <v>105.0</v>
      </c>
      <c r="U46" s="27">
        <v>187.0</v>
      </c>
      <c r="V46" s="27">
        <v>182.0</v>
      </c>
      <c r="W46" s="27">
        <v>124.0</v>
      </c>
      <c r="X46" s="27">
        <v>170.0</v>
      </c>
      <c r="Y46" s="27">
        <v>108.0</v>
      </c>
      <c r="Z46" s="27">
        <v>102.0</v>
      </c>
      <c r="AA46" s="27">
        <v>168.0</v>
      </c>
      <c r="AB46" s="27">
        <v>142.0</v>
      </c>
      <c r="AC46" s="27">
        <v>138.0</v>
      </c>
      <c r="AD46" s="27">
        <v>78.0</v>
      </c>
      <c r="AE46" s="27">
        <v>48.0</v>
      </c>
      <c r="AF46" s="27">
        <v>132.0</v>
      </c>
      <c r="AG46" s="27">
        <v>102.0</v>
      </c>
      <c r="AH46" s="27">
        <v>132.0</v>
      </c>
      <c r="AI46" s="27">
        <v>193.0</v>
      </c>
      <c r="AJ46" s="27">
        <v>84.0</v>
      </c>
      <c r="AK46" s="27">
        <v>96.0</v>
      </c>
      <c r="AL46" s="27">
        <v>78.0</v>
      </c>
      <c r="AM46" s="27">
        <v>66.0</v>
      </c>
      <c r="AN46" s="27">
        <v>6.0</v>
      </c>
      <c r="AO46" s="28">
        <f t="shared" si="3"/>
        <v>1457.0</v>
      </c>
      <c r="AP46" s="28">
        <f t="shared" si="4"/>
        <v>649.0</v>
      </c>
      <c r="AQ46" s="28">
        <f t="shared" si="5"/>
        <v>713.9</v>
      </c>
      <c r="AS46" s="1">
        <f t="shared" si="152"/>
        <v>138.969094922737</v>
      </c>
      <c r="AT46" s="1">
        <f t="shared" si="153"/>
        <v>65.9028697571743</v>
      </c>
      <c r="AU46" s="1">
        <f t="shared" si="154"/>
        <v>127.507726269316</v>
      </c>
      <c r="AV46" s="1">
        <f t="shared" si="155"/>
        <v>104.584988962472</v>
      </c>
      <c r="AW46" s="1">
        <f t="shared" si="156"/>
        <v>81.6622516556291</v>
      </c>
      <c r="AX46" s="1">
        <f t="shared" si="157"/>
        <v>163.324503311258</v>
      </c>
      <c r="BA46" s="2">
        <f t="shared" si="123"/>
        <v>681.951434878586</v>
      </c>
      <c r="BB46" s="2" t="e">
        <f t="shared" si="124"/>
        <v>#REF!</v>
      </c>
      <c r="BE46" s="3" t="e">
        <f t="shared" si="159"/>
        <v>#REF!</v>
      </c>
      <c r="BF46" s="1">
        <f>VLOOKUP(C46,MOQ,3,FALSE())</f>
        <v>1008.0</v>
      </c>
      <c r="BG46" s="43" t="s">
        <v>32</v>
      </c>
      <c r="BI46" s="1" t="e">
        <f t="shared" si="161"/>
        <v>#REF!</v>
      </c>
      <c r="BJ46" s="1">
        <f t="shared" si="162"/>
        <v>138.969094922737</v>
      </c>
      <c r="BK46" s="1">
        <f t="shared" si="21"/>
      </c>
      <c r="BL46" s="3" t="e">
        <f t="shared" si="163"/>
        <v>#REF!</v>
      </c>
      <c r="BM46" s="1">
        <f t="shared" si="164"/>
        <v>65.9028697571743</v>
      </c>
      <c r="BN46" s="1">
        <f t="shared" si="24"/>
      </c>
      <c r="BO46" s="3" t="e">
        <f t="shared" si="165"/>
        <v>#REF!</v>
      </c>
      <c r="BP46" s="1">
        <f t="shared" si="166"/>
        <v>127.507726269316</v>
      </c>
      <c r="BR46" s="3" t="e">
        <f t="shared" si="167"/>
        <v>#REF!</v>
      </c>
      <c r="BS46" s="1">
        <f t="shared" si="168"/>
        <v>104.584988962472</v>
      </c>
      <c r="BU46" s="3" t="e">
        <f t="shared" si="169"/>
        <v>#REF!</v>
      </c>
      <c r="BV46" s="1">
        <f t="shared" si="170"/>
        <v>81.6622516556291</v>
      </c>
      <c r="BX46" s="3" t="e">
        <f t="shared" si="171"/>
        <v>#REF!</v>
      </c>
      <c r="BY46" s="1">
        <f t="shared" si="172"/>
        <v>163.324503311258</v>
      </c>
      <c r="CA46" s="3" t="e">
        <f t="shared" si="173"/>
        <v>#REF!</v>
      </c>
    </row>
    <row r="47" ht="14.0">
      <c r="A47" s="27" t="s">
        <v>28</v>
      </c>
      <c r="B47" s="27" t="s">
        <v>98</v>
      </c>
      <c r="C47" s="27" t="s">
        <v>113</v>
      </c>
      <c r="D47" s="27" t="s">
        <v>114</v>
      </c>
      <c r="E47" s="27"/>
      <c r="F47" s="27">
        <v>24.0</v>
      </c>
      <c r="G47" s="27">
        <v>18.0</v>
      </c>
      <c r="H47" s="27">
        <v>53.0</v>
      </c>
      <c r="I47" s="27">
        <v>54.0</v>
      </c>
      <c r="J47" s="27">
        <v>30.0</v>
      </c>
      <c r="K47" s="27">
        <v>54.0</v>
      </c>
      <c r="L47" s="27">
        <v>18.0</v>
      </c>
      <c r="M47" s="27">
        <v>24.0</v>
      </c>
      <c r="N47" s="27">
        <v>12.0</v>
      </c>
      <c r="O47" s="27">
        <v>30.0</v>
      </c>
      <c r="P47" s="27">
        <v>36.0</v>
      </c>
      <c r="Q47" s="27">
        <v>54.0</v>
      </c>
      <c r="R47" s="27">
        <v>24.0</v>
      </c>
      <c r="S47" s="27">
        <v>12.0</v>
      </c>
      <c r="T47" s="27">
        <v>25.0</v>
      </c>
      <c r="U47" s="27">
        <v>39.0</v>
      </c>
      <c r="V47" s="27">
        <v>30.0</v>
      </c>
      <c r="W47" s="27">
        <v>25.0</v>
      </c>
      <c r="X47" s="27">
        <v>31.0</v>
      </c>
      <c r="Y47" s="27">
        <v>39.0</v>
      </c>
      <c r="Z47" s="27">
        <v>44.0</v>
      </c>
      <c r="AA47" s="27">
        <v>24.0</v>
      </c>
      <c r="AB47" s="27">
        <v>12.0</v>
      </c>
      <c r="AC47" s="27">
        <v>30.0</v>
      </c>
      <c r="AD47" s="27">
        <v>30.0</v>
      </c>
      <c r="AE47" s="27">
        <v>6.0</v>
      </c>
      <c r="AF47" s="27">
        <v>60.0</v>
      </c>
      <c r="AG47" s="27">
        <v>18.0</v>
      </c>
      <c r="AH47" s="27">
        <v>18.0</v>
      </c>
      <c r="AI47" s="27">
        <v>36.0</v>
      </c>
      <c r="AJ47" s="27">
        <v>18.0</v>
      </c>
      <c r="AK47" s="27">
        <v>18.0</v>
      </c>
      <c r="AL47" s="27">
        <v>48.0</v>
      </c>
      <c r="AM47" s="27">
        <v>42.0</v>
      </c>
      <c r="AN47" s="27">
        <v>18.0</v>
      </c>
      <c r="AO47" s="28">
        <f t="shared" si="3"/>
        <v>360.0</v>
      </c>
      <c r="AP47" s="28">
        <f t="shared" si="4"/>
        <v>180.0</v>
      </c>
      <c r="AQ47" s="28">
        <f t="shared" si="5"/>
        <v>198.0</v>
      </c>
      <c r="AS47" s="1">
        <f t="shared" si="152"/>
        <v>38.5430463576159</v>
      </c>
      <c r="AT47" s="1">
        <f t="shared" si="153"/>
        <v>18.2781456953642</v>
      </c>
      <c r="AU47" s="1">
        <f t="shared" si="154"/>
        <v>35.364238410596</v>
      </c>
      <c r="AV47" s="1">
        <f t="shared" si="155"/>
        <v>29.0066225165562</v>
      </c>
      <c r="AW47" s="1">
        <f t="shared" si="156"/>
        <v>22.6490066225166</v>
      </c>
      <c r="AX47" s="1">
        <f t="shared" si="157"/>
        <v>45.2980132450331</v>
      </c>
      <c r="BA47" s="2">
        <f t="shared" si="123"/>
        <v>189.139072847682</v>
      </c>
      <c r="BB47" s="2" t="e">
        <f t="shared" si="124"/>
        <v>#REF!</v>
      </c>
      <c r="BE47" s="3" t="e">
        <f t="shared" si="159"/>
        <v>#REF!</v>
      </c>
      <c r="BF47" s="1">
        <f>VLOOKUP(C47,MOQ,3,FALSE())</f>
        <v>1008.0</v>
      </c>
      <c r="BG47" s="43" t="s">
        <v>32</v>
      </c>
      <c r="BI47" s="1" t="e">
        <f t="shared" si="161"/>
        <v>#REF!</v>
      </c>
      <c r="BJ47" s="1">
        <f t="shared" si="162"/>
        <v>38.5430463576159</v>
      </c>
      <c r="BK47" s="1">
        <f t="shared" si="21"/>
      </c>
      <c r="BL47" s="3" t="e">
        <f t="shared" si="163"/>
        <v>#REF!</v>
      </c>
      <c r="BM47" s="1">
        <f t="shared" si="164"/>
        <v>18.2781456953642</v>
      </c>
      <c r="BN47" s="1">
        <f t="shared" si="24"/>
      </c>
      <c r="BO47" s="3" t="e">
        <f t="shared" si="165"/>
        <v>#REF!</v>
      </c>
      <c r="BP47" s="1">
        <f t="shared" si="166"/>
        <v>35.364238410596</v>
      </c>
      <c r="BR47" s="3" t="e">
        <f t="shared" si="167"/>
        <v>#REF!</v>
      </c>
      <c r="BS47" s="1">
        <f t="shared" si="168"/>
        <v>29.0066225165562</v>
      </c>
      <c r="BU47" s="3" t="e">
        <f t="shared" si="169"/>
        <v>#REF!</v>
      </c>
      <c r="BV47" s="1">
        <f t="shared" si="170"/>
        <v>22.6490066225166</v>
      </c>
      <c r="BX47" s="3" t="e">
        <f t="shared" si="171"/>
        <v>#REF!</v>
      </c>
      <c r="BY47" s="1">
        <f t="shared" si="172"/>
        <v>45.2980132450331</v>
      </c>
      <c r="CA47" s="3" t="e">
        <f t="shared" si="173"/>
        <v>#REF!</v>
      </c>
    </row>
    <row r="48" ht="14.0">
      <c r="A48" s="27" t="s">
        <v>28</v>
      </c>
      <c r="B48" s="27" t="s">
        <v>98</v>
      </c>
      <c r="C48" s="27" t="s">
        <v>115</v>
      </c>
      <c r="D48" s="27" t="s">
        <v>116</v>
      </c>
      <c r="E48" s="27"/>
      <c r="F48" s="27">
        <v>228.0</v>
      </c>
      <c r="G48" s="27">
        <v>210.0</v>
      </c>
      <c r="H48" s="27">
        <v>204.0</v>
      </c>
      <c r="I48" s="27">
        <v>450.0</v>
      </c>
      <c r="J48" s="27">
        <v>288.0</v>
      </c>
      <c r="K48" s="27">
        <v>444.0</v>
      </c>
      <c r="L48" s="27">
        <v>197.0</v>
      </c>
      <c r="M48" s="27">
        <v>258.0</v>
      </c>
      <c r="N48" s="27">
        <v>186.0</v>
      </c>
      <c r="O48" s="27">
        <v>210.0</v>
      </c>
      <c r="P48" s="27">
        <v>198.0</v>
      </c>
      <c r="Q48" s="27">
        <v>187.0</v>
      </c>
      <c r="R48" s="27">
        <v>120.0</v>
      </c>
      <c r="S48" s="27">
        <v>162.0</v>
      </c>
      <c r="T48" s="27">
        <v>163.0</v>
      </c>
      <c r="U48" s="27">
        <v>150.0</v>
      </c>
      <c r="V48" s="27">
        <v>177.0</v>
      </c>
      <c r="W48" s="27">
        <v>178.0</v>
      </c>
      <c r="X48" s="27">
        <v>274.0</v>
      </c>
      <c r="Y48" s="27">
        <v>120.0</v>
      </c>
      <c r="Z48" s="27">
        <v>126.0</v>
      </c>
      <c r="AA48" s="27">
        <v>228.0</v>
      </c>
      <c r="AB48" s="27">
        <v>102.0</v>
      </c>
      <c r="AC48" s="27">
        <v>222.0</v>
      </c>
      <c r="AD48" s="27">
        <v>168.0</v>
      </c>
      <c r="AE48" s="27">
        <v>108.0</v>
      </c>
      <c r="AF48" s="27">
        <v>120.0</v>
      </c>
      <c r="AG48" s="27">
        <v>180.0</v>
      </c>
      <c r="AH48" s="27">
        <v>216.0</v>
      </c>
      <c r="AI48" s="27">
        <v>258.0</v>
      </c>
      <c r="AJ48" s="27">
        <v>180.0</v>
      </c>
      <c r="AK48" s="27">
        <v>120.0</v>
      </c>
      <c r="AL48" s="27">
        <v>66.0</v>
      </c>
      <c r="AM48" s="27">
        <v>108.0</v>
      </c>
      <c r="AN48" s="27">
        <v>114.0</v>
      </c>
      <c r="AO48" s="28">
        <f t="shared" si="3"/>
        <v>2076.0</v>
      </c>
      <c r="AP48" s="28">
        <f t="shared" si="4"/>
        <v>948.0</v>
      </c>
      <c r="AQ48" s="28">
        <f t="shared" si="5"/>
        <v>1042.8</v>
      </c>
      <c r="AS48" s="1">
        <f t="shared" si="152"/>
        <v>202.993377483443</v>
      </c>
      <c r="AT48" s="1">
        <f t="shared" si="153"/>
        <v>96.2649006622517</v>
      </c>
      <c r="AU48" s="1">
        <f t="shared" si="154"/>
        <v>186.251655629139</v>
      </c>
      <c r="AV48" s="1">
        <f t="shared" si="155"/>
        <v>152.76821192053</v>
      </c>
      <c r="AW48" s="1">
        <f t="shared" si="156"/>
        <v>119.28476821192</v>
      </c>
      <c r="AX48" s="1">
        <f t="shared" si="157"/>
        <v>238.569536423841</v>
      </c>
      <c r="BA48" s="2">
        <f t="shared" si="123"/>
        <v>996.132450331124</v>
      </c>
      <c r="BB48" s="2" t="e">
        <f t="shared" si="124"/>
        <v>#REF!</v>
      </c>
      <c r="BE48" s="3" t="e">
        <f t="shared" si="159"/>
        <v>#REF!</v>
      </c>
      <c r="BF48" s="1">
        <f>VLOOKUP(C48,MOQ,3,FALSE())</f>
        <v>1008.0</v>
      </c>
      <c r="BI48" s="1" t="e">
        <f t="shared" si="161"/>
        <v>#REF!</v>
      </c>
      <c r="BJ48" s="1">
        <f t="shared" si="162"/>
        <v>202.993377483443</v>
      </c>
      <c r="BK48" s="1">
        <f t="shared" si="21"/>
      </c>
      <c r="BL48" s="3" t="e">
        <f t="shared" si="163"/>
        <v>#REF!</v>
      </c>
      <c r="BM48" s="1">
        <f t="shared" si="164"/>
        <v>96.2649006622517</v>
      </c>
      <c r="BN48" s="1">
        <f t="shared" si="24"/>
      </c>
      <c r="BO48" s="3" t="e">
        <f t="shared" si="165"/>
        <v>#REF!</v>
      </c>
      <c r="BP48" s="1">
        <f t="shared" si="166"/>
        <v>186.251655629139</v>
      </c>
      <c r="BR48" s="3" t="e">
        <f t="shared" si="167"/>
        <v>#REF!</v>
      </c>
      <c r="BS48" s="1">
        <f t="shared" si="168"/>
        <v>152.76821192053</v>
      </c>
      <c r="BU48" s="3" t="e">
        <f t="shared" si="169"/>
        <v>#REF!</v>
      </c>
      <c r="BV48" s="1">
        <f t="shared" si="170"/>
        <v>119.28476821192</v>
      </c>
      <c r="BX48" s="3" t="e">
        <f t="shared" si="171"/>
        <v>#REF!</v>
      </c>
      <c r="BY48" s="1">
        <f t="shared" si="172"/>
        <v>238.569536423841</v>
      </c>
      <c r="CA48" s="3" t="e">
        <f t="shared" si="173"/>
        <v>#REF!</v>
      </c>
    </row>
    <row r="49" ht="14.0">
      <c r="A49" s="27" t="s">
        <v>28</v>
      </c>
      <c r="B49" s="27" t="s">
        <v>98</v>
      </c>
      <c r="C49" s="27" t="s">
        <v>117</v>
      </c>
      <c r="D49" s="27" t="s">
        <v>118</v>
      </c>
      <c r="E49" s="27"/>
      <c r="F49" s="27">
        <v>228.0</v>
      </c>
      <c r="G49" s="27">
        <v>288.0</v>
      </c>
      <c r="H49" s="27">
        <v>1043.0</v>
      </c>
      <c r="I49" s="27">
        <v>1044.0</v>
      </c>
      <c r="J49" s="27">
        <v>402.0</v>
      </c>
      <c r="K49" s="27">
        <v>438.0</v>
      </c>
      <c r="L49" s="27">
        <v>1121.0</v>
      </c>
      <c r="M49" s="27">
        <v>0.0</v>
      </c>
      <c r="N49" s="27">
        <v>540.0</v>
      </c>
      <c r="O49" s="27">
        <v>396.0</v>
      </c>
      <c r="P49" s="27">
        <v>822.0</v>
      </c>
      <c r="Q49" s="27">
        <v>372.0</v>
      </c>
      <c r="R49" s="27">
        <v>272.0</v>
      </c>
      <c r="S49" s="27">
        <v>504.0</v>
      </c>
      <c r="T49" s="27">
        <v>649.0</v>
      </c>
      <c r="U49" s="27">
        <v>380.0</v>
      </c>
      <c r="V49" s="27">
        <v>836.0</v>
      </c>
      <c r="W49" s="27">
        <v>742.0</v>
      </c>
      <c r="X49" s="27">
        <v>919.0</v>
      </c>
      <c r="Y49" s="27">
        <v>433.0</v>
      </c>
      <c r="Z49" s="27">
        <v>313.0</v>
      </c>
      <c r="AA49" s="27">
        <v>276.0</v>
      </c>
      <c r="AB49" s="27">
        <v>0.0</v>
      </c>
      <c r="AC49" s="27">
        <v>937.0</v>
      </c>
      <c r="AD49" s="27">
        <v>259.0</v>
      </c>
      <c r="AE49" s="27">
        <v>552.0</v>
      </c>
      <c r="AF49" s="27">
        <v>354.0</v>
      </c>
      <c r="AG49" s="27">
        <v>408.0</v>
      </c>
      <c r="AH49" s="27">
        <v>732.0</v>
      </c>
      <c r="AI49" s="27">
        <v>804.0</v>
      </c>
      <c r="AJ49" s="27">
        <v>564.0</v>
      </c>
      <c r="AK49" s="27">
        <v>459.0</v>
      </c>
      <c r="AL49" s="27">
        <v>408.0</v>
      </c>
      <c r="AM49" s="27">
        <v>266.0</v>
      </c>
      <c r="AN49" s="27">
        <v>300.0</v>
      </c>
      <c r="AO49" s="28">
        <f t="shared" si="3"/>
        <v>6019.0</v>
      </c>
      <c r="AP49" s="28">
        <f t="shared" si="4"/>
        <v>3233.0</v>
      </c>
      <c r="AQ49" s="28">
        <f t="shared" si="5"/>
        <v>3556.3</v>
      </c>
      <c r="AS49" s="1">
        <f t="shared" si="152"/>
        <v>692.275938189845</v>
      </c>
      <c r="AT49" s="1">
        <f t="shared" si="153"/>
        <v>328.295805739514</v>
      </c>
      <c r="AU49" s="1">
        <f t="shared" si="154"/>
        <v>635.181015452539</v>
      </c>
      <c r="AV49" s="1">
        <f t="shared" si="155"/>
        <v>520.991169977924</v>
      </c>
      <c r="AW49" s="1">
        <f t="shared" si="156"/>
        <v>406.801324503311</v>
      </c>
      <c r="AX49" s="1">
        <f t="shared" si="157"/>
        <v>813.602649006622</v>
      </c>
      <c r="BA49" s="2">
        <f t="shared" si="123"/>
        <v>3397.14790286975</v>
      </c>
      <c r="BB49" s="2" t="e">
        <f t="shared" si="124"/>
        <v>#REF!</v>
      </c>
      <c r="BD49" s="1" t="e">
        <f t="shared" ref="BD49:BD51" si="177">VLOOKUP(C49,CHINAJUNE,3,false)</f>
        <v>#REF!</v>
      </c>
      <c r="BE49" s="3" t="e">
        <f t="shared" si="159"/>
        <v>#REF!</v>
      </c>
      <c r="BF49" s="1">
        <f>VLOOKUP(C49,MOQ,3,FALSE())</f>
        <v>1008.0</v>
      </c>
      <c r="BG49" s="43" t="s">
        <v>32</v>
      </c>
      <c r="BH49" s="1" t="s">
        <v>10</v>
      </c>
      <c r="BI49" s="1" t="e">
        <f t="shared" si="161"/>
        <v>#REF!</v>
      </c>
      <c r="BJ49" s="1">
        <f t="shared" si="162"/>
        <v>692.275938189845</v>
      </c>
      <c r="BK49" s="1">
        <f t="shared" si="21"/>
      </c>
      <c r="BL49" s="3" t="e">
        <f t="shared" si="163"/>
        <v>#REF!</v>
      </c>
      <c r="BM49" s="1">
        <f t="shared" si="164"/>
        <v>328.295805739514</v>
      </c>
      <c r="BN49" s="1" t="e">
        <f t="shared" si="24"/>
        <v>#REF!</v>
      </c>
      <c r="BO49" s="3" t="e">
        <f t="shared" si="165"/>
        <v>#REF!</v>
      </c>
      <c r="BP49" s="1">
        <f t="shared" si="166"/>
        <v>635.181015452539</v>
      </c>
      <c r="BR49" s="3" t="e">
        <f t="shared" si="167"/>
        <v>#REF!</v>
      </c>
      <c r="BS49" s="1">
        <f t="shared" si="168"/>
        <v>520.991169977924</v>
      </c>
      <c r="BU49" s="3" t="e">
        <f t="shared" si="169"/>
        <v>#REF!</v>
      </c>
      <c r="BV49" s="1">
        <f t="shared" si="170"/>
        <v>406.801324503311</v>
      </c>
      <c r="BX49" s="3" t="e">
        <f t="shared" si="171"/>
        <v>#REF!</v>
      </c>
      <c r="BY49" s="1">
        <f t="shared" si="172"/>
        <v>813.602649006622</v>
      </c>
      <c r="CA49" s="3" t="e">
        <f t="shared" si="173"/>
        <v>#REF!</v>
      </c>
    </row>
    <row r="50" ht="14.0">
      <c r="A50" s="27" t="s">
        <v>28</v>
      </c>
      <c r="B50" s="27" t="s">
        <v>98</v>
      </c>
      <c r="C50" s="27" t="s">
        <v>119</v>
      </c>
      <c r="D50" s="27" t="s">
        <v>120</v>
      </c>
      <c r="E50" s="27"/>
      <c r="F50" s="27">
        <v>171.0</v>
      </c>
      <c r="G50" s="27">
        <v>258.0</v>
      </c>
      <c r="H50" s="27">
        <v>114.0</v>
      </c>
      <c r="I50" s="27">
        <v>0.0</v>
      </c>
      <c r="J50" s="27">
        <v>0.0</v>
      </c>
      <c r="K50" s="27">
        <v>854.0</v>
      </c>
      <c r="L50" s="27">
        <v>252.0</v>
      </c>
      <c r="M50" s="27">
        <v>216.0</v>
      </c>
      <c r="N50" s="27">
        <v>187.0</v>
      </c>
      <c r="O50" s="27">
        <v>252.0</v>
      </c>
      <c r="P50" s="27">
        <v>343.0</v>
      </c>
      <c r="Q50" s="27">
        <v>186.0</v>
      </c>
      <c r="R50" s="27">
        <v>253.0</v>
      </c>
      <c r="S50" s="27">
        <v>186.0</v>
      </c>
      <c r="T50" s="27">
        <v>258.0</v>
      </c>
      <c r="U50" s="27">
        <v>264.0</v>
      </c>
      <c r="V50" s="27">
        <v>348.0</v>
      </c>
      <c r="W50" s="27">
        <v>330.0</v>
      </c>
      <c r="X50" s="27">
        <v>367.0</v>
      </c>
      <c r="Y50" s="27">
        <v>240.0</v>
      </c>
      <c r="Z50" s="27">
        <v>192.0</v>
      </c>
      <c r="AA50" s="27">
        <v>162.0</v>
      </c>
      <c r="AB50" s="27">
        <v>12.0</v>
      </c>
      <c r="AC50" s="27">
        <v>258.0</v>
      </c>
      <c r="AD50" s="27">
        <v>180.0</v>
      </c>
      <c r="AE50" s="27">
        <v>198.0</v>
      </c>
      <c r="AF50" s="27">
        <v>240.0</v>
      </c>
      <c r="AG50" s="27">
        <v>174.0</v>
      </c>
      <c r="AH50" s="27">
        <v>211.0</v>
      </c>
      <c r="AI50" s="27">
        <v>423.0</v>
      </c>
      <c r="AJ50" s="27">
        <v>162.0</v>
      </c>
      <c r="AK50" s="27">
        <v>150.0</v>
      </c>
      <c r="AL50" s="27">
        <v>138.0</v>
      </c>
      <c r="AM50" s="27">
        <v>186.0</v>
      </c>
      <c r="AN50" s="27">
        <v>96.0</v>
      </c>
      <c r="AO50" s="28">
        <f t="shared" si="3"/>
        <v>2494.0</v>
      </c>
      <c r="AP50" s="28">
        <f t="shared" si="4"/>
        <v>1270.0</v>
      </c>
      <c r="AQ50" s="28">
        <f t="shared" si="5"/>
        <v>1397.0</v>
      </c>
      <c r="AS50" s="1">
        <f t="shared" si="152"/>
        <v>271.942604856512</v>
      </c>
      <c r="AT50" s="1">
        <f t="shared" si="153"/>
        <v>128.962472406181</v>
      </c>
      <c r="AU50" s="1">
        <f t="shared" si="154"/>
        <v>249.514348785871</v>
      </c>
      <c r="AV50" s="1">
        <f t="shared" si="155"/>
        <v>204.657836644591</v>
      </c>
      <c r="AW50" s="1">
        <f t="shared" si="156"/>
        <v>159.801324503311</v>
      </c>
      <c r="AX50" s="1">
        <f t="shared" si="157"/>
        <v>319.602649006622</v>
      </c>
      <c r="BA50" s="2">
        <f t="shared" si="123"/>
        <v>1334.48123620309</v>
      </c>
      <c r="BB50" s="2" t="e">
        <f t="shared" si="124"/>
        <v>#REF!</v>
      </c>
      <c r="BD50" s="1" t="e">
        <f t="shared" si="177"/>
        <v>#REF!</v>
      </c>
      <c r="BE50" s="3" t="e">
        <f t="shared" si="159"/>
        <v>#REF!</v>
      </c>
      <c r="BF50" s="1">
        <f>VLOOKUP(C50,MOQ,3,FALSE())</f>
        <v>1008.0</v>
      </c>
      <c r="BG50" s="43" t="s">
        <v>32</v>
      </c>
      <c r="BI50" s="1" t="e">
        <f t="shared" si="161"/>
        <v>#REF!</v>
      </c>
      <c r="BJ50" s="1">
        <f t="shared" si="162"/>
        <v>271.942604856512</v>
      </c>
      <c r="BK50" s="1">
        <f t="shared" si="21"/>
      </c>
      <c r="BL50" s="3" t="e">
        <f t="shared" si="163"/>
        <v>#REF!</v>
      </c>
      <c r="BM50" s="1">
        <f t="shared" si="164"/>
        <v>128.962472406181</v>
      </c>
      <c r="BN50" s="1" t="e">
        <f t="shared" si="24"/>
        <v>#REF!</v>
      </c>
      <c r="BO50" s="3" t="e">
        <f t="shared" si="165"/>
        <v>#REF!</v>
      </c>
      <c r="BP50" s="1">
        <f t="shared" si="166"/>
        <v>249.514348785871</v>
      </c>
      <c r="BR50" s="3" t="e">
        <f t="shared" si="167"/>
        <v>#REF!</v>
      </c>
      <c r="BS50" s="1">
        <f t="shared" si="168"/>
        <v>204.657836644591</v>
      </c>
      <c r="BU50" s="3" t="e">
        <f t="shared" si="169"/>
        <v>#REF!</v>
      </c>
      <c r="BV50" s="1">
        <f t="shared" si="170"/>
        <v>159.801324503311</v>
      </c>
      <c r="BX50" s="3" t="e">
        <f t="shared" si="171"/>
        <v>#REF!</v>
      </c>
      <c r="BY50" s="1">
        <f t="shared" si="172"/>
        <v>319.602649006622</v>
      </c>
      <c r="CA50" s="3" t="e">
        <f t="shared" si="173"/>
        <v>#REF!</v>
      </c>
    </row>
    <row r="51" ht="14.0">
      <c r="A51" s="27" t="s">
        <v>28</v>
      </c>
      <c r="B51" s="27" t="s">
        <v>98</v>
      </c>
      <c r="C51" s="27" t="s">
        <v>121</v>
      </c>
      <c r="D51" s="27" t="s">
        <v>122</v>
      </c>
      <c r="E51" s="27"/>
      <c r="F51" s="27">
        <v>213.0</v>
      </c>
      <c r="G51" s="27">
        <v>438.0</v>
      </c>
      <c r="H51" s="27">
        <v>84.0</v>
      </c>
      <c r="I51" s="27">
        <v>0.0</v>
      </c>
      <c r="J51" s="27">
        <v>0.0</v>
      </c>
      <c r="K51" s="27">
        <v>1095.0</v>
      </c>
      <c r="L51" s="27">
        <v>476.0</v>
      </c>
      <c r="M51" s="27">
        <v>331.0</v>
      </c>
      <c r="N51" s="27">
        <v>372.0</v>
      </c>
      <c r="O51" s="27">
        <v>168.0</v>
      </c>
      <c r="P51" s="27">
        <v>0.0</v>
      </c>
      <c r="Q51" s="27">
        <v>187.0</v>
      </c>
      <c r="R51" s="27">
        <v>278.0</v>
      </c>
      <c r="S51" s="27">
        <v>270.0</v>
      </c>
      <c r="T51" s="27">
        <v>301.0</v>
      </c>
      <c r="U51" s="27">
        <v>366.0</v>
      </c>
      <c r="V51" s="27">
        <v>283.0</v>
      </c>
      <c r="W51" s="27">
        <v>512.0</v>
      </c>
      <c r="X51" s="27">
        <v>583.0</v>
      </c>
      <c r="Y51" s="27">
        <v>330.0</v>
      </c>
      <c r="Z51" s="27">
        <v>410.0</v>
      </c>
      <c r="AA51" s="27">
        <v>82.0</v>
      </c>
      <c r="AB51" s="27">
        <v>0.0</v>
      </c>
      <c r="AC51" s="27">
        <v>510.0</v>
      </c>
      <c r="AD51" s="27">
        <v>198.0</v>
      </c>
      <c r="AE51" s="27">
        <v>276.0</v>
      </c>
      <c r="AF51" s="27">
        <v>312.0</v>
      </c>
      <c r="AG51" s="27">
        <v>246.0</v>
      </c>
      <c r="AH51" s="27">
        <v>318.0</v>
      </c>
      <c r="AI51" s="27">
        <v>450.0</v>
      </c>
      <c r="AJ51" s="27">
        <v>187.0</v>
      </c>
      <c r="AK51" s="27">
        <v>253.0</v>
      </c>
      <c r="AL51" s="27">
        <v>237.0</v>
      </c>
      <c r="AM51" s="27">
        <v>378.0</v>
      </c>
      <c r="AN51" s="27">
        <v>246.0</v>
      </c>
      <c r="AO51" s="28">
        <f t="shared" si="3"/>
        <v>3447.0</v>
      </c>
      <c r="AP51" s="28">
        <f t="shared" si="4"/>
        <v>1823.0</v>
      </c>
      <c r="AQ51" s="28">
        <f t="shared" si="5"/>
        <v>2005.3</v>
      </c>
      <c r="AS51" s="1">
        <f t="shared" si="152"/>
        <v>390.35540838852</v>
      </c>
      <c r="AT51" s="1">
        <f t="shared" si="153"/>
        <v>185.116997792494</v>
      </c>
      <c r="AU51" s="1">
        <f t="shared" si="154"/>
        <v>358.16114790287</v>
      </c>
      <c r="AV51" s="1">
        <f t="shared" si="155"/>
        <v>293.772626931567</v>
      </c>
      <c r="AW51" s="1">
        <f t="shared" si="156"/>
        <v>229.384105960264</v>
      </c>
      <c r="AX51" s="1">
        <f t="shared" si="157"/>
        <v>458.76821192053</v>
      </c>
      <c r="BA51" s="2">
        <f t="shared" si="123"/>
        <v>1915.55849889624</v>
      </c>
      <c r="BB51" s="2" t="e">
        <f t="shared" si="124"/>
        <v>#REF!</v>
      </c>
      <c r="BD51" s="1" t="e">
        <f t="shared" si="177"/>
        <v>#REF!</v>
      </c>
      <c r="BE51" s="3" t="e">
        <f t="shared" si="159"/>
        <v>#REF!</v>
      </c>
      <c r="BF51" s="1">
        <f>VLOOKUP(C51,MOQ,3,FALSE())</f>
        <v>1008.0</v>
      </c>
      <c r="BG51" s="43" t="s">
        <v>32</v>
      </c>
      <c r="BI51" s="1" t="e">
        <f t="shared" si="161"/>
        <v>#REF!</v>
      </c>
      <c r="BJ51" s="1">
        <f t="shared" si="162"/>
        <v>390.35540838852</v>
      </c>
      <c r="BK51" s="1">
        <f t="shared" si="21"/>
      </c>
      <c r="BL51" s="3" t="e">
        <f t="shared" si="163"/>
        <v>#REF!</v>
      </c>
      <c r="BM51" s="1">
        <f t="shared" si="164"/>
        <v>185.116997792494</v>
      </c>
      <c r="BN51" s="1" t="e">
        <f t="shared" si="24"/>
        <v>#REF!</v>
      </c>
      <c r="BO51" s="3" t="e">
        <f t="shared" si="165"/>
        <v>#REF!</v>
      </c>
      <c r="BP51" s="1">
        <f t="shared" si="166"/>
        <v>358.16114790287</v>
      </c>
      <c r="BR51" s="3" t="e">
        <f t="shared" si="167"/>
        <v>#REF!</v>
      </c>
      <c r="BS51" s="1">
        <f t="shared" si="168"/>
        <v>293.772626931567</v>
      </c>
      <c r="BU51" s="3" t="e">
        <f t="shared" si="169"/>
        <v>#REF!</v>
      </c>
      <c r="BV51" s="1">
        <f t="shared" si="170"/>
        <v>229.384105960264</v>
      </c>
      <c r="BX51" s="3" t="e">
        <f t="shared" si="171"/>
        <v>#REF!</v>
      </c>
      <c r="BY51" s="1">
        <f t="shared" si="172"/>
        <v>458.76821192053</v>
      </c>
      <c r="CA51" s="3" t="e">
        <f t="shared" si="173"/>
        <v>#REF!</v>
      </c>
    </row>
    <row r="52" ht="14.0">
      <c r="A52" s="27" t="s">
        <v>28</v>
      </c>
      <c r="B52" s="27" t="s">
        <v>98</v>
      </c>
      <c r="C52" s="27" t="s">
        <v>123</v>
      </c>
      <c r="D52" s="27" t="s">
        <v>124</v>
      </c>
      <c r="E52" s="27"/>
      <c r="F52" s="27">
        <v>201.0</v>
      </c>
      <c r="G52" s="27">
        <v>306.0</v>
      </c>
      <c r="H52" s="27">
        <v>246.0</v>
      </c>
      <c r="I52" s="27">
        <v>156.0</v>
      </c>
      <c r="J52" s="27">
        <v>0.0</v>
      </c>
      <c r="K52" s="27">
        <v>661.0</v>
      </c>
      <c r="L52" s="27">
        <v>295.0</v>
      </c>
      <c r="M52" s="27">
        <v>192.0</v>
      </c>
      <c r="N52" s="27">
        <v>108.0</v>
      </c>
      <c r="O52" s="27">
        <v>186.0</v>
      </c>
      <c r="P52" s="27">
        <v>138.0</v>
      </c>
      <c r="Q52" s="27">
        <v>174.0</v>
      </c>
      <c r="R52" s="27">
        <v>103.0</v>
      </c>
      <c r="S52" s="27">
        <v>150.0</v>
      </c>
      <c r="T52" s="27">
        <v>180.0</v>
      </c>
      <c r="U52" s="27">
        <v>168.0</v>
      </c>
      <c r="V52" s="27">
        <v>162.0</v>
      </c>
      <c r="W52" s="27">
        <v>118.0</v>
      </c>
      <c r="X52" s="27">
        <v>193.0</v>
      </c>
      <c r="Y52" s="27">
        <v>194.0</v>
      </c>
      <c r="Z52" s="27">
        <v>132.0</v>
      </c>
      <c r="AA52" s="27">
        <v>162.0</v>
      </c>
      <c r="AB52" s="27">
        <v>84.0</v>
      </c>
      <c r="AC52" s="27">
        <v>114.0</v>
      </c>
      <c r="AD52" s="27">
        <v>42.0</v>
      </c>
      <c r="AE52" s="27">
        <v>66.0</v>
      </c>
      <c r="AF52" s="27">
        <v>120.0</v>
      </c>
      <c r="AG52" s="27">
        <v>120.0</v>
      </c>
      <c r="AH52" s="27">
        <v>90.0</v>
      </c>
      <c r="AI52" s="27">
        <v>198.0</v>
      </c>
      <c r="AJ52" s="27">
        <v>90.0</v>
      </c>
      <c r="AK52" s="27">
        <v>114.0</v>
      </c>
      <c r="AL52" s="27">
        <v>102.0</v>
      </c>
      <c r="AM52" s="27">
        <v>126.0</v>
      </c>
      <c r="AN52" s="27">
        <v>54.0</v>
      </c>
      <c r="AO52" s="28">
        <f t="shared" si="3"/>
        <v>1428.0</v>
      </c>
      <c r="AP52" s="28">
        <f t="shared" si="4"/>
        <v>720.0</v>
      </c>
      <c r="AQ52" s="28">
        <f t="shared" si="5"/>
        <v>792.0</v>
      </c>
      <c r="AS52" s="1">
        <f t="shared" si="152"/>
        <v>154.172185430463</v>
      </c>
      <c r="AT52" s="1">
        <f t="shared" si="153"/>
        <v>73.112582781457</v>
      </c>
      <c r="AU52" s="1">
        <f t="shared" si="154"/>
        <v>141.456953642384</v>
      </c>
      <c r="AV52" s="1">
        <f t="shared" si="155"/>
        <v>116.026490066225</v>
      </c>
      <c r="AW52" s="1">
        <f t="shared" si="156"/>
        <v>90.5960264900662</v>
      </c>
      <c r="AX52" s="1">
        <f t="shared" si="157"/>
        <v>181.192052980132</v>
      </c>
      <c r="BA52" s="2">
        <f t="shared" si="123"/>
        <v>756.556291390727</v>
      </c>
      <c r="BB52" s="2" t="e">
        <f t="shared" si="124"/>
        <v>#REF!</v>
      </c>
      <c r="BE52" s="3" t="e">
        <f t="shared" si="159"/>
        <v>#REF!</v>
      </c>
      <c r="BF52" s="1">
        <f>VLOOKUP(C52,MOQ,3,FALSE())</f>
        <v>1008.0</v>
      </c>
      <c r="BI52" s="1" t="e">
        <f t="shared" si="161"/>
        <v>#REF!</v>
      </c>
      <c r="BJ52" s="1">
        <f t="shared" si="162"/>
        <v>154.172185430463</v>
      </c>
      <c r="BK52" s="1">
        <f t="shared" si="21"/>
      </c>
      <c r="BL52" s="3" t="e">
        <f t="shared" si="163"/>
        <v>#REF!</v>
      </c>
      <c r="BM52" s="1">
        <f t="shared" si="164"/>
        <v>73.112582781457</v>
      </c>
      <c r="BN52" s="1">
        <f t="shared" si="24"/>
      </c>
      <c r="BO52" s="3" t="e">
        <f t="shared" si="165"/>
        <v>#REF!</v>
      </c>
      <c r="BP52" s="1">
        <f t="shared" si="166"/>
        <v>141.456953642384</v>
      </c>
      <c r="BR52" s="3" t="e">
        <f t="shared" si="167"/>
        <v>#REF!</v>
      </c>
      <c r="BS52" s="1">
        <f t="shared" si="168"/>
        <v>116.026490066225</v>
      </c>
      <c r="BU52" s="3" t="e">
        <f t="shared" si="169"/>
        <v>#REF!</v>
      </c>
      <c r="BV52" s="1">
        <f t="shared" si="170"/>
        <v>90.5960264900662</v>
      </c>
      <c r="BX52" s="3" t="e">
        <f t="shared" si="171"/>
        <v>#REF!</v>
      </c>
      <c r="BY52" s="1">
        <f t="shared" si="172"/>
        <v>181.192052980132</v>
      </c>
      <c r="CA52" s="3" t="e">
        <f t="shared" si="173"/>
        <v>#REF!</v>
      </c>
    </row>
    <row r="53" ht="14.0">
      <c r="A53" s="27" t="s">
        <v>28</v>
      </c>
      <c r="B53" s="27" t="s">
        <v>98</v>
      </c>
      <c r="C53" s="27" t="s">
        <v>125</v>
      </c>
      <c r="D53" s="27" t="s">
        <v>126</v>
      </c>
      <c r="E53" s="27"/>
      <c r="F53" s="27">
        <v>195.0</v>
      </c>
      <c r="G53" s="27">
        <v>336.0</v>
      </c>
      <c r="H53" s="27">
        <v>276.0</v>
      </c>
      <c r="I53" s="27">
        <v>89.0</v>
      </c>
      <c r="J53" s="27">
        <v>0.0</v>
      </c>
      <c r="K53" s="27">
        <v>733.0</v>
      </c>
      <c r="L53" s="27">
        <v>228.0</v>
      </c>
      <c r="M53" s="27">
        <v>132.0</v>
      </c>
      <c r="N53" s="27">
        <v>140.0</v>
      </c>
      <c r="O53" s="27">
        <v>140.0</v>
      </c>
      <c r="P53" s="27">
        <v>146.0</v>
      </c>
      <c r="Q53" s="27">
        <v>186.0</v>
      </c>
      <c r="R53" s="27">
        <v>114.0</v>
      </c>
      <c r="S53" s="27">
        <v>126.0</v>
      </c>
      <c r="T53" s="27">
        <v>138.0</v>
      </c>
      <c r="U53" s="27">
        <v>144.0</v>
      </c>
      <c r="V53" s="27">
        <v>132.0</v>
      </c>
      <c r="W53" s="27">
        <v>150.0</v>
      </c>
      <c r="X53" s="27">
        <v>103.0</v>
      </c>
      <c r="Y53" s="27">
        <v>144.0</v>
      </c>
      <c r="Z53" s="27">
        <v>156.0</v>
      </c>
      <c r="AA53" s="27">
        <v>168.0</v>
      </c>
      <c r="AB53" s="27">
        <v>77.0</v>
      </c>
      <c r="AC53" s="27">
        <v>72.0</v>
      </c>
      <c r="AD53" s="27">
        <v>60.0</v>
      </c>
      <c r="AE53" s="27">
        <v>48.0</v>
      </c>
      <c r="AF53" s="27">
        <v>48.0</v>
      </c>
      <c r="AG53" s="27">
        <v>96.0</v>
      </c>
      <c r="AH53" s="27">
        <v>138.0</v>
      </c>
      <c r="AI53" s="27">
        <v>180.0</v>
      </c>
      <c r="AJ53" s="27">
        <v>72.0</v>
      </c>
      <c r="AK53" s="27">
        <v>61.0</v>
      </c>
      <c r="AL53" s="27">
        <v>42.0</v>
      </c>
      <c r="AM53" s="27">
        <v>90.0</v>
      </c>
      <c r="AN53" s="27">
        <v>54.0</v>
      </c>
      <c r="AO53" s="28">
        <f t="shared" si="3"/>
        <v>1152.0</v>
      </c>
      <c r="AP53" s="28">
        <f t="shared" si="4"/>
        <v>583.0</v>
      </c>
      <c r="AQ53" s="28">
        <f t="shared" si="5"/>
        <v>641.3</v>
      </c>
      <c r="AS53" s="1">
        <f t="shared" si="152"/>
        <v>124.836644591611</v>
      </c>
      <c r="AT53" s="1">
        <f t="shared" si="153"/>
        <v>59.2008830022075</v>
      </c>
      <c r="AU53" s="1">
        <f t="shared" si="154"/>
        <v>114.540838852097</v>
      </c>
      <c r="AV53" s="1">
        <f t="shared" si="155"/>
        <v>93.9492273730684</v>
      </c>
      <c r="AW53" s="1">
        <f t="shared" si="156"/>
        <v>73.3576158940397</v>
      </c>
      <c r="AX53" s="1">
        <f t="shared" si="157"/>
        <v>146.715231788079</v>
      </c>
      <c r="BA53" s="2">
        <f t="shared" si="123"/>
        <v>612.600441501102</v>
      </c>
      <c r="BB53" s="2" t="e">
        <f t="shared" si="124"/>
        <v>#REF!</v>
      </c>
      <c r="BE53" s="3" t="e">
        <f t="shared" si="159"/>
        <v>#REF!</v>
      </c>
      <c r="BF53" s="1">
        <f>VLOOKUP(C53,MOQ,3,FALSE())</f>
        <v>1008.0</v>
      </c>
      <c r="BI53" s="1" t="e">
        <f t="shared" si="161"/>
        <v>#REF!</v>
      </c>
      <c r="BJ53" s="1">
        <f t="shared" si="162"/>
        <v>124.836644591611</v>
      </c>
      <c r="BK53" s="1">
        <f t="shared" si="21"/>
      </c>
      <c r="BL53" s="3" t="e">
        <f t="shared" si="163"/>
        <v>#REF!</v>
      </c>
      <c r="BM53" s="1">
        <f t="shared" si="164"/>
        <v>59.2008830022075</v>
      </c>
      <c r="BN53" s="1">
        <f t="shared" si="24"/>
      </c>
      <c r="BO53" s="3" t="e">
        <f t="shared" si="165"/>
        <v>#REF!</v>
      </c>
      <c r="BP53" s="1">
        <f t="shared" si="166"/>
        <v>114.540838852097</v>
      </c>
      <c r="BR53" s="3" t="e">
        <f t="shared" si="167"/>
        <v>#REF!</v>
      </c>
      <c r="BS53" s="1">
        <f t="shared" si="168"/>
        <v>93.9492273730684</v>
      </c>
      <c r="BU53" s="3" t="e">
        <f t="shared" si="169"/>
        <v>#REF!</v>
      </c>
      <c r="BV53" s="1">
        <f t="shared" si="170"/>
        <v>73.3576158940397</v>
      </c>
      <c r="BX53" s="3" t="e">
        <f t="shared" si="171"/>
        <v>#REF!</v>
      </c>
      <c r="BY53" s="1">
        <f t="shared" si="172"/>
        <v>146.715231788079</v>
      </c>
      <c r="CA53" s="3" t="e">
        <f t="shared" si="173"/>
        <v>#REF!</v>
      </c>
    </row>
    <row r="54" ht="14.0">
      <c r="A54" s="27" t="s">
        <v>28</v>
      </c>
      <c r="B54" s="27" t="s">
        <v>98</v>
      </c>
      <c r="C54" s="27" t="s">
        <v>127</v>
      </c>
      <c r="D54" s="27" t="s">
        <v>128</v>
      </c>
      <c r="E54" s="27"/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222.0</v>
      </c>
      <c r="S54" s="27">
        <v>366.0</v>
      </c>
      <c r="T54" s="27">
        <v>266.0</v>
      </c>
      <c r="U54" s="27">
        <v>381.0</v>
      </c>
      <c r="V54" s="27">
        <v>324.0</v>
      </c>
      <c r="W54" s="27">
        <v>306.0</v>
      </c>
      <c r="X54" s="27">
        <v>354.0</v>
      </c>
      <c r="Y54" s="27">
        <v>240.0</v>
      </c>
      <c r="Z54" s="27">
        <v>246.0</v>
      </c>
      <c r="AA54" s="27">
        <v>136.0</v>
      </c>
      <c r="AB54" s="27">
        <v>0.0</v>
      </c>
      <c r="AC54" s="27">
        <v>270.0</v>
      </c>
      <c r="AD54" s="27">
        <v>132.0</v>
      </c>
      <c r="AE54" s="27">
        <v>150.0</v>
      </c>
      <c r="AF54" s="27">
        <v>192.0</v>
      </c>
      <c r="AG54" s="27">
        <v>192.0</v>
      </c>
      <c r="AH54" s="27">
        <v>198.0</v>
      </c>
      <c r="AI54" s="27">
        <v>336.0</v>
      </c>
      <c r="AJ54" s="27">
        <v>180.0</v>
      </c>
      <c r="AK54" s="27">
        <v>180.0</v>
      </c>
      <c r="AL54" s="27">
        <v>138.0</v>
      </c>
      <c r="AM54" s="27">
        <v>174.0</v>
      </c>
      <c r="AN54" s="27">
        <v>120.0</v>
      </c>
      <c r="AO54" s="28">
        <f t="shared" si="3"/>
        <v>2278.0</v>
      </c>
      <c r="AP54" s="28">
        <f t="shared" si="4"/>
        <v>1206.0</v>
      </c>
      <c r="AQ54" s="28">
        <f t="shared" si="5"/>
        <v>1326.6</v>
      </c>
      <c r="AS54" s="1">
        <f t="shared" si="152"/>
        <v>258.238410596027</v>
      </c>
      <c r="AT54" s="1">
        <f t="shared" si="153"/>
        <v>122.46357615894</v>
      </c>
      <c r="AU54" s="1">
        <f t="shared" si="154"/>
        <v>236.940397350993</v>
      </c>
      <c r="AV54" s="1">
        <f t="shared" si="155"/>
        <v>194.344370860927</v>
      </c>
      <c r="AW54" s="1">
        <f t="shared" si="156"/>
        <v>151.74834437086</v>
      </c>
      <c r="AX54" s="1">
        <f t="shared" si="157"/>
        <v>303.496688741721</v>
      </c>
      <c r="BA54" s="2">
        <f t="shared" si="123"/>
        <v>1267.23178807947</v>
      </c>
      <c r="BB54" s="2" t="e">
        <f t="shared" si="124"/>
        <v>#REF!</v>
      </c>
      <c r="BD54" s="1" t="e">
        <f>VLOOKUP(C54,CHINAJUNE,3,false)</f>
        <v>#REF!</v>
      </c>
      <c r="BE54" s="3" t="e">
        <f t="shared" si="159"/>
        <v>#REF!</v>
      </c>
      <c r="BF54" s="1">
        <f>VLOOKUP(C54,MOQ,3,FALSE())</f>
        <v>1008.0</v>
      </c>
      <c r="BI54" s="1" t="e">
        <f t="shared" si="161"/>
        <v>#REF!</v>
      </c>
      <c r="BJ54" s="1">
        <f t="shared" si="162"/>
        <v>258.238410596027</v>
      </c>
      <c r="BK54" s="1">
        <f t="shared" si="21"/>
      </c>
      <c r="BL54" s="3" t="e">
        <f t="shared" si="163"/>
        <v>#REF!</v>
      </c>
      <c r="BM54" s="1">
        <f t="shared" si="164"/>
        <v>122.46357615894</v>
      </c>
      <c r="BN54" s="1" t="e">
        <f t="shared" si="24"/>
        <v>#REF!</v>
      </c>
      <c r="BO54" s="3" t="e">
        <f t="shared" si="165"/>
        <v>#REF!</v>
      </c>
      <c r="BP54" s="1">
        <f t="shared" si="166"/>
        <v>236.940397350993</v>
      </c>
      <c r="BR54" s="3" t="e">
        <f t="shared" si="167"/>
        <v>#REF!</v>
      </c>
      <c r="BS54" s="1">
        <f t="shared" si="168"/>
        <v>194.344370860927</v>
      </c>
      <c r="BU54" s="3" t="e">
        <f t="shared" si="169"/>
        <v>#REF!</v>
      </c>
      <c r="BV54" s="1">
        <f t="shared" si="170"/>
        <v>151.74834437086</v>
      </c>
      <c r="BX54" s="3" t="e">
        <f t="shared" si="171"/>
        <v>#REF!</v>
      </c>
      <c r="BY54" s="1">
        <f t="shared" si="172"/>
        <v>303.496688741721</v>
      </c>
      <c r="CA54" s="3" t="e">
        <f t="shared" si="173"/>
        <v>#REF!</v>
      </c>
    </row>
    <row r="55" ht="14.0">
      <c r="A55" s="27" t="s">
        <v>28</v>
      </c>
      <c r="B55" s="27" t="s">
        <v>98</v>
      </c>
      <c r="C55" s="27" t="s">
        <v>129</v>
      </c>
      <c r="D55" s="27" t="s">
        <v>130</v>
      </c>
      <c r="E55" s="27"/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204.0</v>
      </c>
      <c r="S55" s="27">
        <v>294.0</v>
      </c>
      <c r="T55" s="27">
        <v>211.0</v>
      </c>
      <c r="U55" s="27">
        <v>298.0</v>
      </c>
      <c r="V55" s="27">
        <v>300.0</v>
      </c>
      <c r="W55" s="27">
        <v>252.0</v>
      </c>
      <c r="X55" s="27">
        <v>313.0</v>
      </c>
      <c r="Y55" s="27">
        <v>174.0</v>
      </c>
      <c r="Z55" s="27">
        <v>168.0</v>
      </c>
      <c r="AA55" s="27">
        <v>288.0</v>
      </c>
      <c r="AB55" s="27">
        <v>180.0</v>
      </c>
      <c r="AC55" s="27">
        <v>156.0</v>
      </c>
      <c r="AD55" s="27">
        <v>102.0</v>
      </c>
      <c r="AE55" s="27">
        <v>114.0</v>
      </c>
      <c r="AF55" s="27">
        <v>156.0</v>
      </c>
      <c r="AG55" s="27">
        <v>120.0</v>
      </c>
      <c r="AH55" s="27">
        <v>192.0</v>
      </c>
      <c r="AI55" s="27">
        <v>264.0</v>
      </c>
      <c r="AJ55" s="27">
        <v>156.0</v>
      </c>
      <c r="AK55" s="27">
        <v>78.0</v>
      </c>
      <c r="AL55" s="27">
        <v>120.0</v>
      </c>
      <c r="AM55" s="27">
        <v>132.0</v>
      </c>
      <c r="AN55" s="27">
        <v>138.0</v>
      </c>
      <c r="AO55" s="28">
        <f t="shared" si="3"/>
        <v>2058.0</v>
      </c>
      <c r="AP55" s="28">
        <f t="shared" si="4"/>
        <v>942.0</v>
      </c>
      <c r="AQ55" s="28">
        <f t="shared" si="5"/>
        <v>1036.2</v>
      </c>
      <c r="AS55" s="1">
        <f t="shared" si="152"/>
        <v>201.708609271523</v>
      </c>
      <c r="AT55" s="1">
        <f t="shared" si="153"/>
        <v>95.6556291390728</v>
      </c>
      <c r="AU55" s="1">
        <f t="shared" si="154"/>
        <v>185.072847682119</v>
      </c>
      <c r="AV55" s="1">
        <f t="shared" si="155"/>
        <v>151.801324503311</v>
      </c>
      <c r="AW55" s="1">
        <f t="shared" si="156"/>
        <v>118.529801324503</v>
      </c>
      <c r="AX55" s="1">
        <f t="shared" si="157"/>
        <v>237.059602649007</v>
      </c>
      <c r="BA55" s="2">
        <f t="shared" si="123"/>
        <v>989.827814569536</v>
      </c>
      <c r="BB55" s="2" t="e">
        <f t="shared" si="124"/>
        <v>#REF!</v>
      </c>
      <c r="BE55" s="3" t="e">
        <f t="shared" si="159"/>
        <v>#REF!</v>
      </c>
      <c r="BF55" s="1">
        <f>VLOOKUP(C55,MOQ,3,FALSE())</f>
        <v>1008.0</v>
      </c>
      <c r="BI55" s="1" t="e">
        <f t="shared" si="161"/>
        <v>#REF!</v>
      </c>
      <c r="BJ55" s="1">
        <f t="shared" si="162"/>
        <v>201.708609271523</v>
      </c>
      <c r="BK55" s="1">
        <f t="shared" si="21"/>
      </c>
      <c r="BL55" s="3" t="e">
        <f t="shared" si="163"/>
        <v>#REF!</v>
      </c>
      <c r="BM55" s="1">
        <f t="shared" si="164"/>
        <v>95.6556291390728</v>
      </c>
      <c r="BN55" s="1">
        <f t="shared" si="24"/>
      </c>
      <c r="BO55" s="3" t="e">
        <f t="shared" si="165"/>
        <v>#REF!</v>
      </c>
      <c r="BP55" s="1">
        <f t="shared" si="166"/>
        <v>185.072847682119</v>
      </c>
      <c r="BR55" s="3" t="e">
        <f t="shared" si="167"/>
        <v>#REF!</v>
      </c>
      <c r="BS55" s="1">
        <f t="shared" si="168"/>
        <v>151.801324503311</v>
      </c>
      <c r="BU55" s="3" t="e">
        <f t="shared" si="169"/>
        <v>#REF!</v>
      </c>
      <c r="BV55" s="1">
        <f t="shared" si="170"/>
        <v>118.529801324503</v>
      </c>
      <c r="BX55" s="3" t="e">
        <f t="shared" si="171"/>
        <v>#REF!</v>
      </c>
      <c r="BY55" s="1">
        <f t="shared" si="172"/>
        <v>237.059602649007</v>
      </c>
      <c r="CA55" s="3" t="e">
        <f t="shared" si="173"/>
        <v>#REF!</v>
      </c>
    </row>
    <row r="56" ht="14.0">
      <c r="A56" s="27" t="s">
        <v>28</v>
      </c>
      <c r="B56" s="27" t="s">
        <v>98</v>
      </c>
      <c r="C56" s="27" t="s">
        <v>131</v>
      </c>
      <c r="D56" s="27" t="s">
        <v>132</v>
      </c>
      <c r="E56" s="27"/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114.0</v>
      </c>
      <c r="S56" s="27">
        <v>216.0</v>
      </c>
      <c r="T56" s="27">
        <v>156.0</v>
      </c>
      <c r="U56" s="27">
        <v>230.0</v>
      </c>
      <c r="V56" s="27">
        <v>241.0</v>
      </c>
      <c r="W56" s="27">
        <v>217.0</v>
      </c>
      <c r="X56" s="27">
        <v>248.0</v>
      </c>
      <c r="Y56" s="27">
        <v>204.0</v>
      </c>
      <c r="Z56" s="27">
        <v>180.0</v>
      </c>
      <c r="AA56" s="27">
        <v>33.0</v>
      </c>
      <c r="AB56" s="27">
        <v>0.0</v>
      </c>
      <c r="AC56" s="27">
        <v>252.0</v>
      </c>
      <c r="AD56" s="27">
        <v>96.0</v>
      </c>
      <c r="AE56" s="27">
        <v>84.0</v>
      </c>
      <c r="AF56" s="27">
        <v>126.0</v>
      </c>
      <c r="AG56" s="27">
        <v>126.0</v>
      </c>
      <c r="AH56" s="27">
        <v>246.0</v>
      </c>
      <c r="AI56" s="27">
        <v>221.0</v>
      </c>
      <c r="AJ56" s="27">
        <v>126.0</v>
      </c>
      <c r="AK56" s="27">
        <v>96.0</v>
      </c>
      <c r="AL56" s="27">
        <v>114.0</v>
      </c>
      <c r="AM56" s="27">
        <v>138.0</v>
      </c>
      <c r="AN56" s="27">
        <v>66.0</v>
      </c>
      <c r="AO56" s="28">
        <f t="shared" si="3"/>
        <v>1658.0</v>
      </c>
      <c r="AP56" s="28">
        <f t="shared" si="4"/>
        <v>941.0</v>
      </c>
      <c r="AQ56" s="28">
        <f t="shared" si="5"/>
        <v>1035.1</v>
      </c>
      <c r="AS56" s="1">
        <f t="shared" si="152"/>
        <v>201.494481236203</v>
      </c>
      <c r="AT56" s="1">
        <f t="shared" si="153"/>
        <v>95.5540838852097</v>
      </c>
      <c r="AU56" s="1">
        <f t="shared" si="154"/>
        <v>184.876379690949</v>
      </c>
      <c r="AV56" s="1">
        <f t="shared" si="155"/>
        <v>151.640176600441</v>
      </c>
      <c r="AW56" s="1">
        <f t="shared" si="156"/>
        <v>118.403973509933</v>
      </c>
      <c r="AX56" s="1">
        <f t="shared" si="157"/>
        <v>236.80794701987</v>
      </c>
      <c r="BA56" s="2">
        <f t="shared" si="123"/>
        <v>988.777041942606</v>
      </c>
      <c r="BB56" s="2" t="e">
        <f t="shared" si="124"/>
        <v>#REF!</v>
      </c>
      <c r="BE56" s="3" t="e">
        <f t="shared" si="159"/>
        <v>#REF!</v>
      </c>
      <c r="BF56" s="1">
        <f>VLOOKUP(C56,MOQ,3,FALSE())</f>
        <v>1008.0</v>
      </c>
      <c r="BI56" s="1" t="e">
        <f t="shared" si="161"/>
        <v>#REF!</v>
      </c>
      <c r="BJ56" s="1">
        <f t="shared" si="162"/>
        <v>201.494481236203</v>
      </c>
      <c r="BK56" s="1">
        <f t="shared" si="21"/>
      </c>
      <c r="BL56" s="3" t="e">
        <f t="shared" si="163"/>
        <v>#REF!</v>
      </c>
      <c r="BM56" s="1">
        <f t="shared" si="164"/>
        <v>95.5540838852097</v>
      </c>
      <c r="BN56" s="1">
        <f t="shared" si="24"/>
      </c>
      <c r="BO56" s="3" t="e">
        <f t="shared" si="165"/>
        <v>#REF!</v>
      </c>
      <c r="BP56" s="1">
        <f t="shared" si="166"/>
        <v>184.876379690949</v>
      </c>
      <c r="BR56" s="3" t="e">
        <f t="shared" si="167"/>
        <v>#REF!</v>
      </c>
      <c r="BS56" s="1">
        <f t="shared" si="168"/>
        <v>151.640176600441</v>
      </c>
      <c r="BU56" s="3" t="e">
        <f t="shared" si="169"/>
        <v>#REF!</v>
      </c>
      <c r="BV56" s="1">
        <f t="shared" si="170"/>
        <v>118.403973509933</v>
      </c>
      <c r="BX56" s="3" t="e">
        <f t="shared" si="171"/>
        <v>#REF!</v>
      </c>
      <c r="BY56" s="1">
        <f t="shared" si="172"/>
        <v>236.80794701987</v>
      </c>
      <c r="CA56" s="3" t="e">
        <f t="shared" si="173"/>
        <v>#REF!</v>
      </c>
    </row>
    <row r="57" ht="14.0">
      <c r="A57" s="27" t="s">
        <v>28</v>
      </c>
      <c r="B57" s="27" t="s">
        <v>98</v>
      </c>
      <c r="C57" s="27" t="s">
        <v>133</v>
      </c>
      <c r="D57" s="27" t="s">
        <v>134</v>
      </c>
      <c r="E57" s="27"/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252.0</v>
      </c>
      <c r="AH57" s="27">
        <v>336.0</v>
      </c>
      <c r="AI57" s="27">
        <v>420.0</v>
      </c>
      <c r="AJ57" s="27">
        <v>0.0</v>
      </c>
      <c r="AK57" s="27">
        <v>0.0</v>
      </c>
      <c r="AL57" s="27">
        <v>0.0</v>
      </c>
      <c r="AM57" s="27">
        <v>90.0</v>
      </c>
      <c r="AN57" s="27">
        <v>126.0</v>
      </c>
      <c r="AO57" s="28">
        <f t="shared" si="3"/>
        <v>1098.0</v>
      </c>
      <c r="AP57" s="28">
        <f t="shared" si="4"/>
        <v>846.0</v>
      </c>
      <c r="AQ57" s="28">
        <f t="shared" si="5"/>
        <v>930.6</v>
      </c>
      <c r="AS57" s="1">
        <f t="shared" si="152"/>
        <v>181.152317880794</v>
      </c>
      <c r="AT57" s="1">
        <f t="shared" si="153"/>
        <v>85.9072847682119</v>
      </c>
      <c r="AU57" s="1">
        <f t="shared" si="154"/>
        <v>166.211920529801</v>
      </c>
      <c r="AV57" s="1">
        <f t="shared" si="155"/>
        <v>136.331125827814</v>
      </c>
      <c r="AW57" s="1">
        <f t="shared" si="156"/>
        <v>106.450331125828</v>
      </c>
      <c r="AX57" s="1">
        <f t="shared" si="157"/>
        <v>212.900662251656</v>
      </c>
      <c r="BA57" s="2">
        <f t="shared" si="123"/>
        <v>888.953642384104</v>
      </c>
      <c r="BB57" s="2" t="e">
        <f t="shared" si="124"/>
        <v>#REF!</v>
      </c>
      <c r="BE57" s="3" t="e">
        <f t="shared" si="159"/>
        <v>#REF!</v>
      </c>
      <c r="BF57" s="1">
        <v>1008.0</v>
      </c>
      <c r="BG57" s="4">
        <f>BF57</f>
        <v>1008.0</v>
      </c>
      <c r="BH57" s="1" t="s">
        <v>10</v>
      </c>
      <c r="BI57" s="1" t="e">
        <f t="shared" si="161"/>
        <v>#REF!</v>
      </c>
      <c r="BJ57" s="1">
        <f t="shared" si="162"/>
        <v>181.152317880794</v>
      </c>
      <c r="BK57" s="1">
        <f t="shared" si="21"/>
      </c>
      <c r="BL57" s="3" t="e">
        <f t="shared" si="163"/>
        <v>#REF!</v>
      </c>
      <c r="BM57" s="1">
        <f t="shared" si="164"/>
        <v>85.9072847682119</v>
      </c>
      <c r="BN57" s="1">
        <f t="shared" si="24"/>
      </c>
      <c r="BO57" s="3" t="e">
        <f t="shared" si="165"/>
        <v>#REF!</v>
      </c>
      <c r="BP57" s="1">
        <f t="shared" si="166"/>
        <v>166.211920529801</v>
      </c>
      <c r="BR57" s="3" t="e">
        <f t="shared" si="167"/>
        <v>#REF!</v>
      </c>
      <c r="BS57" s="1">
        <f t="shared" si="168"/>
        <v>136.331125827814</v>
      </c>
      <c r="BU57" s="3" t="e">
        <f t="shared" si="169"/>
        <v>#REF!</v>
      </c>
      <c r="BV57" s="1">
        <f t="shared" si="170"/>
        <v>106.450331125828</v>
      </c>
      <c r="BX57" s="3" t="e">
        <f t="shared" si="171"/>
        <v>#REF!</v>
      </c>
      <c r="BY57" s="1">
        <f t="shared" si="172"/>
        <v>212.900662251656</v>
      </c>
      <c r="CA57" s="3" t="e">
        <f t="shared" si="173"/>
        <v>#REF!</v>
      </c>
    </row>
    <row r="58" ht="14.0">
      <c r="A58" s="27" t="s">
        <v>28</v>
      </c>
      <c r="B58" s="27" t="s">
        <v>98</v>
      </c>
      <c r="C58" s="27" t="s">
        <v>135</v>
      </c>
      <c r="D58" s="27" t="s">
        <v>136</v>
      </c>
      <c r="E58" s="27"/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102.0</v>
      </c>
      <c r="AN58" s="27">
        <v>144.0</v>
      </c>
      <c r="AO58" s="28">
        <f t="shared" si="3"/>
        <v>102.0</v>
      </c>
      <c r="AP58" s="28">
        <f t="shared" si="4"/>
        <v>102.0</v>
      </c>
      <c r="AQ58" s="28">
        <f t="shared" si="5"/>
        <v>112.2</v>
      </c>
      <c r="AS58" s="1">
        <f t="shared" si="152"/>
        <v>21.841059602649</v>
      </c>
      <c r="AT58" s="1">
        <f t="shared" si="153"/>
        <v>10.3576158940397</v>
      </c>
      <c r="AU58" s="1">
        <f t="shared" si="154"/>
        <v>20.0397350993377</v>
      </c>
      <c r="AV58" s="1">
        <f t="shared" si="155"/>
        <v>16.4370860927152</v>
      </c>
      <c r="AW58" s="1">
        <f t="shared" si="156"/>
        <v>12.8344370860927</v>
      </c>
      <c r="AX58" s="1">
        <f t="shared" si="157"/>
        <v>25.6688741721854</v>
      </c>
      <c r="BA58" s="2">
        <f t="shared" si="123"/>
        <v>107.17880794701</v>
      </c>
      <c r="BB58" s="2" t="e">
        <f t="shared" si="124"/>
        <v>#REF!</v>
      </c>
      <c r="BE58" s="3" t="e">
        <f t="shared" si="159"/>
        <v>#REF!</v>
      </c>
      <c r="BF58" s="1">
        <v>1008.0</v>
      </c>
      <c r="BI58" s="1" t="e">
        <f t="shared" si="161"/>
        <v>#REF!</v>
      </c>
      <c r="BJ58" s="1">
        <f t="shared" si="162"/>
        <v>21.841059602649</v>
      </c>
      <c r="BK58" s="1">
        <f t="shared" si="21"/>
      </c>
      <c r="BL58" s="3" t="e">
        <f t="shared" si="163"/>
        <v>#REF!</v>
      </c>
      <c r="BM58" s="1">
        <f t="shared" si="164"/>
        <v>10.3576158940397</v>
      </c>
      <c r="BN58" s="1">
        <f t="shared" si="24"/>
      </c>
      <c r="BO58" s="3" t="e">
        <f t="shared" si="165"/>
        <v>#REF!</v>
      </c>
      <c r="BP58" s="1">
        <f t="shared" si="166"/>
        <v>20.0397350993377</v>
      </c>
      <c r="BR58" s="3" t="e">
        <f t="shared" si="167"/>
        <v>#REF!</v>
      </c>
      <c r="BS58" s="1">
        <f t="shared" si="168"/>
        <v>16.4370860927152</v>
      </c>
      <c r="BU58" s="3" t="e">
        <f t="shared" si="169"/>
        <v>#REF!</v>
      </c>
      <c r="BV58" s="1">
        <f t="shared" si="170"/>
        <v>12.8344370860927</v>
      </c>
      <c r="BX58" s="3" t="e">
        <f t="shared" si="171"/>
        <v>#REF!</v>
      </c>
      <c r="BY58" s="1">
        <f t="shared" si="172"/>
        <v>25.6688741721854</v>
      </c>
      <c r="CA58" s="3" t="e">
        <f t="shared" si="173"/>
        <v>#REF!</v>
      </c>
    </row>
    <row r="59" ht="14.0">
      <c r="A59" s="27" t="s">
        <v>28</v>
      </c>
      <c r="B59" s="27" t="s">
        <v>98</v>
      </c>
      <c r="C59" s="27" t="s">
        <v>137</v>
      </c>
      <c r="D59" s="27" t="s">
        <v>138</v>
      </c>
      <c r="E59" s="27"/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126.0</v>
      </c>
      <c r="AN59" s="27">
        <v>168.0</v>
      </c>
      <c r="AO59" s="28">
        <f t="shared" si="3"/>
        <v>126.0</v>
      </c>
      <c r="AP59" s="28">
        <f t="shared" si="4"/>
        <v>126.0</v>
      </c>
      <c r="AQ59" s="28">
        <f t="shared" si="5"/>
        <v>138.6</v>
      </c>
      <c r="AS59" s="1">
        <f t="shared" si="152"/>
        <v>26.9801324503311</v>
      </c>
      <c r="AT59" s="1">
        <f t="shared" si="153"/>
        <v>12.794701986755</v>
      </c>
      <c r="AU59" s="1">
        <f t="shared" si="154"/>
        <v>24.7549668874172</v>
      </c>
      <c r="AV59" s="1">
        <f t="shared" si="155"/>
        <v>20.3046357615894</v>
      </c>
      <c r="AW59" s="1">
        <f t="shared" si="156"/>
        <v>15.854304635761</v>
      </c>
      <c r="AX59" s="1">
        <f t="shared" si="157"/>
        <v>31.7086092715231</v>
      </c>
      <c r="BA59" s="2">
        <f t="shared" si="123"/>
        <v>132.397350993377</v>
      </c>
      <c r="BB59" s="2" t="e">
        <f t="shared" si="124"/>
        <v>#REF!</v>
      </c>
      <c r="BE59" s="3" t="e">
        <f t="shared" si="159"/>
        <v>#REF!</v>
      </c>
      <c r="BF59" s="1">
        <v>1008.0</v>
      </c>
      <c r="BI59" s="1" t="e">
        <f t="shared" si="161"/>
        <v>#REF!</v>
      </c>
      <c r="BJ59" s="1">
        <f t="shared" si="162"/>
        <v>26.9801324503311</v>
      </c>
      <c r="BK59" s="1">
        <f t="shared" si="21"/>
      </c>
      <c r="BL59" s="3" t="e">
        <f t="shared" si="163"/>
        <v>#REF!</v>
      </c>
      <c r="BM59" s="1">
        <f t="shared" si="164"/>
        <v>12.794701986755</v>
      </c>
      <c r="BN59" s="1">
        <f t="shared" si="24"/>
      </c>
      <c r="BO59" s="3" t="e">
        <f t="shared" si="165"/>
        <v>#REF!</v>
      </c>
      <c r="BP59" s="1">
        <f t="shared" si="166"/>
        <v>24.7549668874172</v>
      </c>
      <c r="BR59" s="3" t="e">
        <f t="shared" si="167"/>
        <v>#REF!</v>
      </c>
      <c r="BS59" s="1">
        <f t="shared" si="168"/>
        <v>20.3046357615894</v>
      </c>
      <c r="BU59" s="3" t="e">
        <f t="shared" si="169"/>
        <v>#REF!</v>
      </c>
      <c r="BV59" s="1">
        <f t="shared" si="170"/>
        <v>15.854304635761</v>
      </c>
      <c r="BX59" s="3" t="e">
        <f t="shared" si="171"/>
        <v>#REF!</v>
      </c>
      <c r="BY59" s="1">
        <f t="shared" si="172"/>
        <v>31.7086092715231</v>
      </c>
      <c r="CA59" s="3" t="e">
        <f t="shared" si="173"/>
        <v>#REF!</v>
      </c>
    </row>
    <row r="60" ht="14.0">
      <c r="A60" s="27" t="s">
        <v>28</v>
      </c>
      <c r="B60" s="27" t="s">
        <v>98</v>
      </c>
      <c r="C60" s="27" t="s">
        <v>139</v>
      </c>
      <c r="D60" s="27" t="s">
        <v>140</v>
      </c>
      <c r="E60" s="27"/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114.0</v>
      </c>
      <c r="AN60" s="27">
        <v>156.0</v>
      </c>
      <c r="AO60" s="28">
        <f t="shared" si="3"/>
        <v>114.0</v>
      </c>
      <c r="AP60" s="28">
        <f t="shared" si="4"/>
        <v>114.0</v>
      </c>
      <c r="AQ60" s="28">
        <f t="shared" si="5"/>
        <v>125.4</v>
      </c>
      <c r="AS60" s="1">
        <f t="shared" si="152"/>
        <v>24.41059602649</v>
      </c>
      <c r="AT60" s="1">
        <f t="shared" si="153"/>
        <v>11.5761589403973</v>
      </c>
      <c r="AU60" s="1">
        <f t="shared" si="154"/>
        <v>22.3973509933774</v>
      </c>
      <c r="AV60" s="1">
        <f t="shared" si="155"/>
        <v>18.3708609271523</v>
      </c>
      <c r="AW60" s="1">
        <f t="shared" si="156"/>
        <v>14.3443708609271</v>
      </c>
      <c r="AX60" s="1">
        <f t="shared" si="157"/>
        <v>28.6887417218543</v>
      </c>
      <c r="BA60" s="2">
        <f t="shared" si="123"/>
        <v>119.788079470198</v>
      </c>
      <c r="BB60" s="2" t="e">
        <f t="shared" si="124"/>
        <v>#REF!</v>
      </c>
      <c r="BE60" s="3" t="e">
        <f t="shared" si="159"/>
        <v>#REF!</v>
      </c>
      <c r="BF60" s="1">
        <v>1008.0</v>
      </c>
      <c r="BI60" s="1" t="e">
        <f t="shared" si="161"/>
        <v>#REF!</v>
      </c>
      <c r="BJ60" s="1">
        <f t="shared" si="162"/>
        <v>24.41059602649</v>
      </c>
      <c r="BK60" s="1">
        <f t="shared" si="21"/>
      </c>
      <c r="BL60" s="3" t="e">
        <f t="shared" si="163"/>
        <v>#REF!</v>
      </c>
      <c r="BM60" s="1">
        <f t="shared" si="164"/>
        <v>11.5761589403973</v>
      </c>
      <c r="BN60" s="1">
        <f t="shared" si="24"/>
      </c>
      <c r="BO60" s="3" t="e">
        <f t="shared" si="165"/>
        <v>#REF!</v>
      </c>
      <c r="BP60" s="1">
        <f t="shared" si="166"/>
        <v>22.3973509933774</v>
      </c>
      <c r="BR60" s="3" t="e">
        <f t="shared" si="167"/>
        <v>#REF!</v>
      </c>
      <c r="BS60" s="1">
        <f t="shared" si="168"/>
        <v>18.3708609271523</v>
      </c>
      <c r="BU60" s="3" t="e">
        <f t="shared" si="169"/>
        <v>#REF!</v>
      </c>
      <c r="BV60" s="1">
        <f t="shared" si="170"/>
        <v>14.3443708609271</v>
      </c>
      <c r="BX60" s="3" t="e">
        <f t="shared" si="171"/>
        <v>#REF!</v>
      </c>
      <c r="BY60" s="1">
        <f t="shared" si="172"/>
        <v>28.6887417218543</v>
      </c>
      <c r="CA60" s="3" t="e">
        <f t="shared" si="173"/>
        <v>#REF!</v>
      </c>
    </row>
    <row r="61" ht="14.0">
      <c r="A61" s="27" t="s">
        <v>28</v>
      </c>
      <c r="B61" s="27" t="s">
        <v>98</v>
      </c>
      <c r="C61" s="27" t="s">
        <v>141</v>
      </c>
      <c r="D61" s="27" t="s">
        <v>142</v>
      </c>
      <c r="E61" s="27"/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7">
        <v>0.0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7">
        <v>0.0</v>
      </c>
      <c r="X61" s="27">
        <v>0.0</v>
      </c>
      <c r="Y61" s="27">
        <v>0.0</v>
      </c>
      <c r="Z61" s="27">
        <v>0.0</v>
      </c>
      <c r="AA61" s="27">
        <v>0.0</v>
      </c>
      <c r="AB61" s="27">
        <v>0.0</v>
      </c>
      <c r="AC61" s="27">
        <v>0.0</v>
      </c>
      <c r="AD61" s="27">
        <v>0.0</v>
      </c>
      <c r="AE61" s="27">
        <v>0.0</v>
      </c>
      <c r="AF61" s="27">
        <v>0.0</v>
      </c>
      <c r="AG61" s="27">
        <v>0.0</v>
      </c>
      <c r="AH61" s="27">
        <v>0.0</v>
      </c>
      <c r="AI61" s="27">
        <v>0.0</v>
      </c>
      <c r="AJ61" s="27">
        <v>0.0</v>
      </c>
      <c r="AK61" s="27">
        <v>0.0</v>
      </c>
      <c r="AL61" s="27">
        <v>0.0</v>
      </c>
      <c r="AM61" s="27">
        <v>120.0</v>
      </c>
      <c r="AN61" s="27">
        <v>216.0</v>
      </c>
      <c r="AO61" s="28">
        <f t="shared" si="3"/>
        <v>120.0</v>
      </c>
      <c r="AP61" s="28">
        <f t="shared" si="4"/>
        <v>120.0</v>
      </c>
      <c r="AQ61" s="28">
        <f t="shared" si="5"/>
        <v>132.0</v>
      </c>
      <c r="AS61" s="1">
        <f t="shared" si="152"/>
        <v>25.6953642384106</v>
      </c>
      <c r="AT61" s="1">
        <f t="shared" si="153"/>
        <v>12.1854304635761</v>
      </c>
      <c r="AU61" s="1">
        <f t="shared" si="154"/>
        <v>23.5761589403973</v>
      </c>
      <c r="AV61" s="1">
        <f t="shared" si="155"/>
        <v>19.3377483443709</v>
      </c>
      <c r="AW61" s="1">
        <f t="shared" si="156"/>
        <v>15.0993377483443</v>
      </c>
      <c r="AX61" s="1">
        <f t="shared" si="157"/>
        <v>30.1986754966887</v>
      </c>
      <c r="BA61" s="2">
        <f t="shared" si="123"/>
        <v>126.0927152318</v>
      </c>
      <c r="BB61" s="2" t="e">
        <f t="shared" si="124"/>
        <v>#REF!</v>
      </c>
      <c r="BE61" s="3" t="e">
        <f t="shared" si="159"/>
        <v>#REF!</v>
      </c>
      <c r="BF61" s="1">
        <v>1008.0</v>
      </c>
      <c r="BI61" s="1" t="e">
        <f t="shared" si="161"/>
        <v>#REF!</v>
      </c>
      <c r="BJ61" s="1">
        <f t="shared" si="162"/>
        <v>25.6953642384106</v>
      </c>
      <c r="BK61" s="1">
        <f t="shared" si="21"/>
      </c>
      <c r="BL61" s="3" t="e">
        <f t="shared" si="163"/>
        <v>#REF!</v>
      </c>
      <c r="BM61" s="1">
        <f t="shared" si="164"/>
        <v>12.1854304635761</v>
      </c>
      <c r="BN61" s="1">
        <f t="shared" si="24"/>
      </c>
      <c r="BO61" s="3" t="e">
        <f t="shared" si="165"/>
        <v>#REF!</v>
      </c>
      <c r="BP61" s="1">
        <f t="shared" si="166"/>
        <v>23.5761589403973</v>
      </c>
      <c r="BR61" s="3" t="e">
        <f t="shared" si="167"/>
        <v>#REF!</v>
      </c>
      <c r="BS61" s="1">
        <f t="shared" si="168"/>
        <v>19.3377483443709</v>
      </c>
      <c r="BU61" s="3" t="e">
        <f t="shared" si="169"/>
        <v>#REF!</v>
      </c>
      <c r="BV61" s="1">
        <f t="shared" si="170"/>
        <v>15.0993377483443</v>
      </c>
      <c r="BX61" s="3" t="e">
        <f t="shared" si="171"/>
        <v>#REF!</v>
      </c>
      <c r="BY61" s="1">
        <f t="shared" si="172"/>
        <v>30.1986754966887</v>
      </c>
      <c r="CA61" s="3" t="e">
        <f t="shared" si="173"/>
        <v>#REF!</v>
      </c>
    </row>
    <row r="62" ht="14.0">
      <c r="A62" s="27" t="s">
        <v>28</v>
      </c>
      <c r="B62" s="27" t="s">
        <v>98</v>
      </c>
      <c r="C62" s="27" t="s">
        <v>143</v>
      </c>
      <c r="D62" s="27" t="s">
        <v>144</v>
      </c>
      <c r="E62" s="27"/>
      <c r="F62" s="27">
        <v>5.0</v>
      </c>
      <c r="G62" s="27">
        <v>4.0</v>
      </c>
      <c r="H62" s="27">
        <v>4.0</v>
      </c>
      <c r="I62" s="27">
        <v>4.0</v>
      </c>
      <c r="J62" s="27">
        <v>0.0</v>
      </c>
      <c r="K62" s="27">
        <v>2.0</v>
      </c>
      <c r="L62" s="27">
        <v>2.0</v>
      </c>
      <c r="M62" s="27">
        <v>1.0</v>
      </c>
      <c r="N62" s="27">
        <v>3.0</v>
      </c>
      <c r="O62" s="27">
        <v>1.0</v>
      </c>
      <c r="P62" s="27">
        <v>3.0</v>
      </c>
      <c r="Q62" s="27">
        <v>4.0</v>
      </c>
      <c r="R62" s="27">
        <v>4.0</v>
      </c>
      <c r="S62" s="27">
        <v>3.0</v>
      </c>
      <c r="T62" s="27">
        <v>5.0</v>
      </c>
      <c r="U62" s="27">
        <v>2.0</v>
      </c>
      <c r="V62" s="27">
        <v>5.0</v>
      </c>
      <c r="W62" s="27">
        <v>1.0</v>
      </c>
      <c r="X62" s="27">
        <v>0.0</v>
      </c>
      <c r="Y62" s="27">
        <v>2.0</v>
      </c>
      <c r="Z62" s="27">
        <v>1.0</v>
      </c>
      <c r="AA62" s="27">
        <v>7.0</v>
      </c>
      <c r="AB62" s="27">
        <v>3.0</v>
      </c>
      <c r="AC62" s="27">
        <v>4.0</v>
      </c>
      <c r="AD62" s="27">
        <v>0.0</v>
      </c>
      <c r="AE62" s="27">
        <v>4.0</v>
      </c>
      <c r="AF62" s="27">
        <v>6.0</v>
      </c>
      <c r="AG62" s="27">
        <v>2.0</v>
      </c>
      <c r="AH62" s="27">
        <v>8.0</v>
      </c>
      <c r="AI62" s="27">
        <v>8.0</v>
      </c>
      <c r="AJ62" s="27">
        <v>2.0</v>
      </c>
      <c r="AK62" s="27">
        <v>1.0</v>
      </c>
      <c r="AL62" s="27">
        <v>2.0</v>
      </c>
      <c r="AM62" s="27">
        <v>3.0</v>
      </c>
      <c r="AN62" s="27">
        <v>2.0</v>
      </c>
      <c r="AO62" s="32">
        <f t="shared" si="3"/>
        <v>50.0</v>
      </c>
      <c r="AP62" s="32">
        <f t="shared" si="4"/>
        <v>24.0</v>
      </c>
      <c r="AQ62" s="32">
        <f t="shared" si="5"/>
        <v>26.4</v>
      </c>
      <c r="AR62" s="33"/>
      <c r="AS62" s="33">
        <v>5.0</v>
      </c>
      <c r="AT62" s="33">
        <v>2.0</v>
      </c>
      <c r="AU62" s="33">
        <v>5.0</v>
      </c>
      <c r="AV62" s="33">
        <v>4.0</v>
      </c>
      <c r="AW62" s="33">
        <v>3.0</v>
      </c>
      <c r="AX62" s="33">
        <v>6.0</v>
      </c>
      <c r="BA62" s="2">
        <f t="shared" si="123"/>
        <v>25.0</v>
      </c>
      <c r="BB62" s="2" t="e">
        <f t="shared" si="124"/>
        <v>#REF!</v>
      </c>
      <c r="BL62" s="3"/>
      <c r="BO62" s="3"/>
      <c r="BR62" s="3"/>
      <c r="BU62" s="3"/>
      <c r="BX62" s="3"/>
      <c r="CA62" s="3"/>
    </row>
    <row r="63" ht="14.0">
      <c r="A63" s="27" t="s">
        <v>28</v>
      </c>
      <c r="B63" s="27" t="s">
        <v>98</v>
      </c>
      <c r="C63" s="27" t="s">
        <v>145</v>
      </c>
      <c r="D63" s="27" t="s">
        <v>146</v>
      </c>
      <c r="E63" s="27"/>
      <c r="F63" s="27">
        <v>1.0</v>
      </c>
      <c r="G63" s="27">
        <v>0.0</v>
      </c>
      <c r="H63" s="27">
        <v>1.0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2.0</v>
      </c>
      <c r="P63" s="27">
        <v>1.0</v>
      </c>
      <c r="Q63" s="27">
        <v>1.0</v>
      </c>
      <c r="R63" s="27">
        <v>3.0</v>
      </c>
      <c r="S63" s="27">
        <v>0.0</v>
      </c>
      <c r="T63" s="27">
        <v>0.0</v>
      </c>
      <c r="U63" s="27">
        <v>1.0</v>
      </c>
      <c r="V63" s="27">
        <v>0.0</v>
      </c>
      <c r="W63" s="27">
        <v>1.0</v>
      </c>
      <c r="X63" s="27">
        <v>1.0</v>
      </c>
      <c r="Y63" s="27">
        <v>1.0</v>
      </c>
      <c r="Z63" s="27">
        <v>1.0</v>
      </c>
      <c r="AA63" s="27">
        <v>0.0</v>
      </c>
      <c r="AB63" s="27">
        <v>2.0</v>
      </c>
      <c r="AC63" s="27">
        <v>0.0</v>
      </c>
      <c r="AD63" s="27">
        <v>2.0</v>
      </c>
      <c r="AE63" s="27">
        <v>0.0</v>
      </c>
      <c r="AF63" s="27">
        <v>0.0</v>
      </c>
      <c r="AG63" s="27">
        <v>0.0</v>
      </c>
      <c r="AH63" s="27">
        <v>1.0</v>
      </c>
      <c r="AI63" s="27">
        <v>1.0</v>
      </c>
      <c r="AJ63" s="27">
        <v>0.0</v>
      </c>
      <c r="AK63" s="27">
        <v>0.0</v>
      </c>
      <c r="AL63" s="27">
        <v>1.0</v>
      </c>
      <c r="AM63" s="27">
        <v>0.0</v>
      </c>
      <c r="AN63" s="27">
        <v>0.0</v>
      </c>
      <c r="AO63" s="32">
        <f t="shared" si="3"/>
        <v>7.0</v>
      </c>
      <c r="AP63" s="32">
        <f t="shared" si="4"/>
        <v>3.0</v>
      </c>
      <c r="AQ63" s="32">
        <f t="shared" si="5"/>
        <v>3.3</v>
      </c>
      <c r="AR63" s="33"/>
      <c r="AS63" s="33">
        <v>1.0</v>
      </c>
      <c r="AT63" s="33">
        <v>0.0</v>
      </c>
      <c r="AU63" s="33">
        <v>1.0</v>
      </c>
      <c r="AV63" s="33">
        <v>0.0</v>
      </c>
      <c r="AW63" s="33">
        <v>0.0</v>
      </c>
      <c r="AX63" s="33">
        <v>1.0</v>
      </c>
      <c r="BA63" s="2">
        <f t="shared" si="123"/>
        <v>3.0</v>
      </c>
      <c r="BB63" s="2" t="e">
        <f t="shared" si="124"/>
        <v>#REF!</v>
      </c>
      <c r="BL63" s="3"/>
      <c r="BO63" s="3"/>
      <c r="BR63" s="3"/>
      <c r="BU63" s="3"/>
      <c r="BX63" s="3"/>
      <c r="CA63" s="3"/>
    </row>
    <row r="64">
      <c r="C64" s="1" t="s">
        <v>192</v>
      </c>
      <c r="D64" s="1" t="s">
        <v>242</v>
      </c>
      <c r="AV64" s="178">
        <f>AV26*0.55+AV80*0.5</f>
        <v>296.570198675498</v>
      </c>
      <c r="AW64" s="178">
        <f>AW26*0.75+AW80*0.75</f>
        <v>408.162913907284</v>
      </c>
      <c r="AX64" s="178">
        <f>AX26*0.75+AX80*0.75</f>
        <v>563.125827814569</v>
      </c>
      <c r="AY64" s="178">
        <f>AY26*0.75+AY80*0.75</f>
        <v>498.509224219488</v>
      </c>
      <c r="AZ64" s="178">
        <f>AZ26*0.75+AZ80*0.75</f>
        <v>572.388836329233</v>
      </c>
      <c r="BA64" s="28">
        <f t="shared" ref="BA64:BA67" si="185">SUM(AS64:AZ64)</f>
        <v>2338.75700094607</v>
      </c>
      <c r="BB64" s="2">
        <v>0.0</v>
      </c>
      <c r="BD64" s="36" t="e">
        <f t="shared" ref="BD64:BD67" si="186">VLOOKUP(C64,CHINAJUNE,3,false)</f>
        <v>#REF!</v>
      </c>
      <c r="BE64" s="28" t="e">
        <f t="shared" ref="BE64:BE67" si="187">BB64+BC64+BD64-BA64</f>
        <v>#REF!</v>
      </c>
      <c r="BF64" s="29">
        <v>2040.0</v>
      </c>
      <c r="BG64" s="177">
        <f>BF64</f>
        <v>2040.0</v>
      </c>
      <c r="BH64" s="1" t="s">
        <v>212</v>
      </c>
      <c r="BI64" s="1">
        <f t="shared" ref="BI64:BI67" si="189">BB64</f>
        <v>0.0</v>
      </c>
      <c r="BJ64" s="1">
        <f t="shared" ref="BJ64:BJ67" si="190">AS64</f>
      </c>
      <c r="BK64" s="1">
        <f t="shared" ref="BK64:BK67" si="191">BC64</f>
      </c>
      <c r="BL64" s="3">
        <f t="shared" ref="BL64:BL67" si="192">BI64+BK64-BJ64</f>
        <v>0.0</v>
      </c>
      <c r="BM64" s="1">
        <f t="shared" ref="BM64:BM67" si="193">AT64</f>
      </c>
      <c r="BN64" s="1" t="e">
        <f t="shared" ref="BN64:BN67" si="194">BD64</f>
        <v>#REF!</v>
      </c>
      <c r="BO64" s="3" t="e">
        <f t="shared" ref="BO64:BO67" si="195">BL64+BN64-BM64</f>
        <v>#REF!</v>
      </c>
      <c r="BP64" s="1">
        <f t="shared" ref="BP64:BP67" si="196">AU64</f>
      </c>
      <c r="BR64" s="3" t="e">
        <f t="shared" ref="BR64:BR67" si="197">BO64+BQ64-BP64</f>
        <v>#REF!</v>
      </c>
      <c r="BS64" s="1">
        <f t="shared" ref="BS64:BS67" si="198">AV64</f>
        <v>296.570198675498</v>
      </c>
      <c r="BU64" s="3" t="e">
        <f t="shared" ref="BU64:BU67" si="199">BR64+BT64-BS64</f>
        <v>#REF!</v>
      </c>
      <c r="BV64" s="1">
        <f t="shared" ref="BV64:BV67" si="200">AW64</f>
        <v>408.162913907284</v>
      </c>
      <c r="BX64" s="3" t="e">
        <f t="shared" ref="BX64:BX67" si="201">BU64+BW64-BV64</f>
        <v>#REF!</v>
      </c>
      <c r="BY64" s="1">
        <f t="shared" ref="BY64:BY67" si="202">AX64</f>
        <v>563.125827814569</v>
      </c>
      <c r="CA64" s="3" t="e">
        <f t="shared" ref="CA64:CA67" si="203">BX64+BZ64-BY64</f>
        <v>#REF!</v>
      </c>
      <c r="CB64" s="1">
        <f t="shared" ref="CB64:CB67" si="204">AY64</f>
        <v>498.509224219488</v>
      </c>
      <c r="CD64" s="3" t="e">
        <f t="shared" ref="CD64:CD67" si="205">CA64+CC64-CB64</f>
        <v>#REF!</v>
      </c>
      <c r="CE64" s="1">
        <f t="shared" ref="CE64:CE67" si="206">AZ64</f>
        <v>572.388836329233</v>
      </c>
      <c r="CG64" s="3" t="e">
        <f t="shared" ref="CG64:CG67" si="207">CD64+CF64-CE64</f>
        <v>#REF!</v>
      </c>
    </row>
    <row r="65">
      <c r="C65" s="1" t="s">
        <v>194</v>
      </c>
      <c r="D65" s="1" t="s">
        <v>243</v>
      </c>
      <c r="AV65" s="178">
        <f t="shared" ref="AV65:AV67" si="208">AV27*0.5</f>
        <v>115.717439293598</v>
      </c>
      <c r="AW65" s="178">
        <f t="shared" ref="AW65:AW67" si="209">AW27*0.75</f>
        <v>135.96357615894</v>
      </c>
      <c r="AX65" s="178">
        <f t="shared" ref="AX65:AX66" si="210">AX27*0.75</f>
        <v>267.42715231788</v>
      </c>
      <c r="AY65" s="178">
        <f t="shared" ref="AY65:AY66" si="211">AY27*0.75</f>
        <v>262.831125827814</v>
      </c>
      <c r="AZ65" s="178">
        <f t="shared" ref="AZ65:AZ66" si="212">AZ27*0.75</f>
        <v>237.996688741725</v>
      </c>
      <c r="BA65" s="28">
        <f t="shared" si="185"/>
        <v>1019.93598233996</v>
      </c>
      <c r="BB65" s="2">
        <v>0.0</v>
      </c>
      <c r="BD65" s="36" t="e">
        <f t="shared" si="186"/>
        <v>#REF!</v>
      </c>
      <c r="BE65" s="28" t="e">
        <f t="shared" si="187"/>
        <v>#REF!</v>
      </c>
      <c r="BF65" s="29"/>
      <c r="BG65" s="15"/>
      <c r="BI65" s="1">
        <f t="shared" si="189"/>
        <v>0.0</v>
      </c>
      <c r="BJ65" s="1">
        <f t="shared" si="190"/>
      </c>
      <c r="BK65" s="1">
        <f t="shared" si="191"/>
      </c>
      <c r="BL65" s="3">
        <f t="shared" si="192"/>
        <v>0.0</v>
      </c>
      <c r="BM65" s="1">
        <f t="shared" si="193"/>
      </c>
      <c r="BN65" s="1" t="e">
        <f t="shared" si="194"/>
        <v>#REF!</v>
      </c>
      <c r="BO65" s="3" t="e">
        <f t="shared" si="195"/>
        <v>#REF!</v>
      </c>
      <c r="BP65" s="1">
        <f t="shared" si="196"/>
      </c>
      <c r="BR65" s="3" t="e">
        <f t="shared" si="197"/>
        <v>#REF!</v>
      </c>
      <c r="BS65" s="1">
        <f t="shared" si="198"/>
        <v>115.717439293598</v>
      </c>
      <c r="BU65" s="3" t="e">
        <f t="shared" si="199"/>
        <v>#REF!</v>
      </c>
      <c r="BV65" s="1">
        <f t="shared" si="200"/>
        <v>135.96357615894</v>
      </c>
      <c r="BX65" s="3" t="e">
        <f t="shared" si="201"/>
        <v>#REF!</v>
      </c>
      <c r="BY65" s="1">
        <f t="shared" si="202"/>
        <v>267.42715231788</v>
      </c>
      <c r="CA65" s="3" t="e">
        <f t="shared" si="203"/>
        <v>#REF!</v>
      </c>
      <c r="CB65" s="1">
        <f t="shared" si="204"/>
        <v>262.831125827814</v>
      </c>
      <c r="CD65" s="3" t="e">
        <f t="shared" si="205"/>
        <v>#REF!</v>
      </c>
      <c r="CE65" s="1">
        <f t="shared" si="206"/>
        <v>237.996688741725</v>
      </c>
      <c r="CG65" s="3" t="e">
        <f t="shared" si="207"/>
        <v>#REF!</v>
      </c>
    </row>
    <row r="66">
      <c r="C66" s="1" t="s">
        <v>196</v>
      </c>
      <c r="D66" s="1" t="s">
        <v>244</v>
      </c>
      <c r="AV66" s="178">
        <f t="shared" si="208"/>
        <v>75.913907284768</v>
      </c>
      <c r="AW66" s="178">
        <f t="shared" si="209"/>
        <v>89.3443708609275</v>
      </c>
      <c r="AX66" s="178">
        <f t="shared" si="210"/>
        <v>174.188741721854</v>
      </c>
      <c r="AY66" s="178">
        <f t="shared" si="211"/>
        <v>158.960264900655</v>
      </c>
      <c r="AZ66" s="178">
        <f t="shared" si="212"/>
        <v>143.940397350993</v>
      </c>
      <c r="BA66" s="28">
        <f t="shared" si="185"/>
        <v>642.347682119198</v>
      </c>
      <c r="BB66" s="2">
        <v>0.0</v>
      </c>
      <c r="BD66" s="36" t="e">
        <f t="shared" si="186"/>
        <v>#REF!</v>
      </c>
      <c r="BE66" s="28" t="e">
        <f t="shared" si="187"/>
        <v>#REF!</v>
      </c>
      <c r="BF66" s="29"/>
      <c r="BG66" s="15"/>
      <c r="BI66" s="1">
        <f t="shared" si="189"/>
        <v>0.0</v>
      </c>
      <c r="BJ66" s="1">
        <f t="shared" si="190"/>
      </c>
      <c r="BK66" s="1">
        <f t="shared" si="191"/>
      </c>
      <c r="BL66" s="3">
        <f t="shared" si="192"/>
        <v>0.0</v>
      </c>
      <c r="BM66" s="1">
        <f t="shared" si="193"/>
      </c>
      <c r="BN66" s="1" t="e">
        <f t="shared" si="194"/>
        <v>#REF!</v>
      </c>
      <c r="BO66" s="3" t="e">
        <f t="shared" si="195"/>
        <v>#REF!</v>
      </c>
      <c r="BP66" s="1">
        <f t="shared" si="196"/>
      </c>
      <c r="BR66" s="3" t="e">
        <f t="shared" si="197"/>
        <v>#REF!</v>
      </c>
      <c r="BS66" s="1">
        <f t="shared" si="198"/>
        <v>75.913907284768</v>
      </c>
      <c r="BU66" s="3" t="e">
        <f t="shared" si="199"/>
        <v>#REF!</v>
      </c>
      <c r="BV66" s="1">
        <f t="shared" si="200"/>
        <v>89.3443708609275</v>
      </c>
      <c r="BX66" s="3" t="e">
        <f t="shared" si="201"/>
        <v>#REF!</v>
      </c>
      <c r="BY66" s="1">
        <f t="shared" si="202"/>
        <v>174.188741721854</v>
      </c>
      <c r="CA66" s="3" t="e">
        <f t="shared" si="203"/>
        <v>#REF!</v>
      </c>
      <c r="CB66" s="1">
        <f t="shared" si="204"/>
        <v>158.960264900655</v>
      </c>
      <c r="CD66" s="3" t="e">
        <f t="shared" si="205"/>
        <v>#REF!</v>
      </c>
      <c r="CE66" s="1">
        <f t="shared" si="206"/>
        <v>143.940397350993</v>
      </c>
      <c r="CG66" s="3" t="e">
        <f t="shared" si="207"/>
        <v>#REF!</v>
      </c>
    </row>
    <row r="67">
      <c r="C67" s="1" t="s">
        <v>198</v>
      </c>
      <c r="D67" s="1" t="s">
        <v>245</v>
      </c>
      <c r="AV67" s="178">
        <f t="shared" si="208"/>
        <v>135.135761589404</v>
      </c>
      <c r="AW67" s="178">
        <f t="shared" si="209"/>
        <v>158.706953642384</v>
      </c>
      <c r="AX67" s="178">
        <f>AX29*0.75+AX81*0.75</f>
        <v>372.31390728477</v>
      </c>
      <c r="AY67" s="178">
        <f>AY29*0.75+AY9*0.75+AY81*0.75</f>
        <v>677.387890255439</v>
      </c>
      <c r="AZ67" s="178">
        <f>AZ29*0.75+AZ9*0.75+AZ81*0.75</f>
        <v>652.206835383153</v>
      </c>
      <c r="BA67" s="28">
        <f t="shared" si="185"/>
        <v>1995.75134815514</v>
      </c>
      <c r="BB67" s="2">
        <v>0.0</v>
      </c>
      <c r="BD67" s="36" t="e">
        <f t="shared" si="186"/>
        <v>#REF!</v>
      </c>
      <c r="BE67" s="28" t="e">
        <f t="shared" si="187"/>
        <v>#REF!</v>
      </c>
      <c r="BF67" s="29"/>
      <c r="BG67" s="15"/>
      <c r="BI67" s="1">
        <f t="shared" si="189"/>
        <v>0.0</v>
      </c>
      <c r="BJ67" s="1">
        <f t="shared" si="190"/>
      </c>
      <c r="BK67" s="1">
        <f t="shared" si="191"/>
      </c>
      <c r="BL67" s="3">
        <f t="shared" si="192"/>
        <v>0.0</v>
      </c>
      <c r="BM67" s="1">
        <f t="shared" si="193"/>
      </c>
      <c r="BN67" s="1" t="e">
        <f t="shared" si="194"/>
        <v>#REF!</v>
      </c>
      <c r="BO67" s="3" t="e">
        <f t="shared" si="195"/>
        <v>#REF!</v>
      </c>
      <c r="BP67" s="1">
        <f t="shared" si="196"/>
      </c>
      <c r="BR67" s="3" t="e">
        <f t="shared" si="197"/>
        <v>#REF!</v>
      </c>
      <c r="BS67" s="1">
        <f t="shared" si="198"/>
        <v>135.135761589404</v>
      </c>
      <c r="BU67" s="3" t="e">
        <f t="shared" si="199"/>
        <v>#REF!</v>
      </c>
      <c r="BV67" s="1">
        <f t="shared" si="200"/>
        <v>158.706953642384</v>
      </c>
      <c r="BX67" s="3" t="e">
        <f t="shared" si="201"/>
        <v>#REF!</v>
      </c>
      <c r="BY67" s="1">
        <f t="shared" si="202"/>
        <v>372.31390728477</v>
      </c>
      <c r="CA67" s="3" t="e">
        <f t="shared" si="203"/>
        <v>#REF!</v>
      </c>
      <c r="CB67" s="1">
        <f t="shared" si="204"/>
        <v>677.387890255439</v>
      </c>
      <c r="CD67" s="3" t="e">
        <f t="shared" si="205"/>
        <v>#REF!</v>
      </c>
      <c r="CE67" s="1">
        <f t="shared" si="206"/>
        <v>652.206835383153</v>
      </c>
      <c r="CG67" s="3" t="e">
        <f t="shared" si="207"/>
        <v>#REF!</v>
      </c>
    </row>
    <row r="68">
      <c r="BF68" s="29"/>
      <c r="BG68" s="15"/>
    </row>
    <row hidden="1"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L69" s="27"/>
      <c r="AM69" s="27"/>
      <c r="AN69" s="27"/>
      <c r="AO69" s="27"/>
    </row>
    <row r="70" ht="14.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44">
        <v>0.058</v>
      </c>
      <c r="AC70" s="44">
        <v>0.122</v>
      </c>
      <c r="AD70" s="44">
        <v>0.103</v>
      </c>
      <c r="AE70" s="44">
        <v>0.079</v>
      </c>
      <c r="AF70" s="44">
        <v>0.069</v>
      </c>
      <c r="AG70" s="44">
        <v>0.065</v>
      </c>
      <c r="AH70" s="44">
        <v>0.066</v>
      </c>
      <c r="AI70" s="44">
        <v>0.052</v>
      </c>
      <c r="AJ70" s="44">
        <v>0.106</v>
      </c>
      <c r="AK70" s="44">
        <v>0.153</v>
      </c>
      <c r="AL70" s="44">
        <v>0.054</v>
      </c>
      <c r="AM70" s="44">
        <v>0.073</v>
      </c>
      <c r="AN70" s="44">
        <v>0.058</v>
      </c>
      <c r="AO70" s="5">
        <f>SUM(AA70:AL70)</f>
        <v>0.927</v>
      </c>
      <c r="AP70" s="8">
        <f>SUM(AH70:AM70)</f>
        <v>0.504</v>
      </c>
      <c r="AQ70" s="8">
        <f>AP70*1.1</f>
        <v>0.5544</v>
      </c>
      <c r="AS70" s="44">
        <v>0.058</v>
      </c>
      <c r="AT70" s="44">
        <v>0.122</v>
      </c>
      <c r="AU70" s="44">
        <v>0.103</v>
      </c>
      <c r="AV70" s="44">
        <v>0.079</v>
      </c>
      <c r="AW70" s="44">
        <v>0.069</v>
      </c>
      <c r="AX70" s="44">
        <v>0.065</v>
      </c>
      <c r="AY70" s="44">
        <v>0.052</v>
      </c>
      <c r="AZ70" s="44">
        <v>0.106</v>
      </c>
      <c r="BF70" s="29"/>
      <c r="BG70" s="15"/>
    </row>
    <row r="71" ht="15.0">
      <c r="A71" s="45" t="s">
        <v>147</v>
      </c>
      <c r="B71" s="6"/>
      <c r="C71" s="6"/>
      <c r="D71" s="6"/>
      <c r="E71" s="9">
        <v>45799</v>
      </c>
      <c r="F71" s="9">
        <v>45830</v>
      </c>
      <c r="G71" s="9">
        <v>45860</v>
      </c>
      <c r="H71" s="9">
        <v>45891</v>
      </c>
      <c r="I71" s="9">
        <v>45922</v>
      </c>
      <c r="J71" s="9">
        <v>45952</v>
      </c>
      <c r="K71" s="9">
        <v>45983</v>
      </c>
      <c r="L71" s="9">
        <v>46013</v>
      </c>
      <c r="M71" s="9">
        <v>45680</v>
      </c>
      <c r="N71" s="9">
        <v>45711</v>
      </c>
      <c r="O71" s="9">
        <v>45739</v>
      </c>
      <c r="P71" s="9">
        <v>45770</v>
      </c>
      <c r="Q71" s="10">
        <v>45800</v>
      </c>
      <c r="R71" s="10">
        <v>45831</v>
      </c>
      <c r="S71" s="10">
        <v>45861</v>
      </c>
      <c r="T71" s="10">
        <v>45892</v>
      </c>
      <c r="U71" s="10">
        <v>45923</v>
      </c>
      <c r="V71" s="10">
        <v>45953</v>
      </c>
      <c r="W71" s="10">
        <v>45984</v>
      </c>
      <c r="X71" s="10">
        <v>46014</v>
      </c>
      <c r="Y71" s="10">
        <v>45681</v>
      </c>
      <c r="Z71" s="10">
        <v>45712</v>
      </c>
      <c r="AA71" s="10">
        <v>45740</v>
      </c>
      <c r="AB71" s="10">
        <v>45771</v>
      </c>
      <c r="AC71" s="11">
        <v>45801</v>
      </c>
      <c r="AD71" s="11">
        <v>45832</v>
      </c>
      <c r="AE71" s="11">
        <v>45862</v>
      </c>
      <c r="AF71" s="11">
        <v>45893</v>
      </c>
      <c r="AG71" s="11">
        <v>45924</v>
      </c>
      <c r="AH71" s="11">
        <v>45954</v>
      </c>
      <c r="AI71" s="11">
        <v>45985</v>
      </c>
      <c r="AJ71" s="11">
        <v>46015</v>
      </c>
      <c r="AK71" s="11">
        <v>45682</v>
      </c>
      <c r="AL71" s="11">
        <v>45713</v>
      </c>
      <c r="AM71" s="11">
        <v>45741</v>
      </c>
      <c r="AN71" s="11">
        <v>45772</v>
      </c>
      <c r="AO71" s="12" t="s">
        <v>1</v>
      </c>
      <c r="AP71" s="12" t="s">
        <v>2</v>
      </c>
      <c r="AQ71" s="12" t="s">
        <v>2</v>
      </c>
      <c r="AR71" s="13"/>
      <c r="AS71" s="11">
        <v>45801</v>
      </c>
      <c r="AT71" s="11">
        <v>45832</v>
      </c>
      <c r="AU71" s="11">
        <v>45862</v>
      </c>
      <c r="AV71" s="11">
        <v>45893</v>
      </c>
      <c r="AW71" s="11">
        <v>45924</v>
      </c>
      <c r="AX71" s="11">
        <v>45955</v>
      </c>
      <c r="AY71" s="11">
        <v>45986</v>
      </c>
      <c r="AZ71" s="11">
        <v>46016</v>
      </c>
      <c r="BA71" s="13" t="s">
        <v>3</v>
      </c>
      <c r="BB71" s="13" t="s">
        <v>3</v>
      </c>
      <c r="BC71" s="13" t="s">
        <v>3</v>
      </c>
      <c r="BD71" s="13" t="s">
        <v>3</v>
      </c>
      <c r="BE71" s="14" t="s">
        <v>3</v>
      </c>
      <c r="BF71" s="46" t="s">
        <v>3</v>
      </c>
      <c r="BG71" s="15" t="s">
        <v>3</v>
      </c>
      <c r="BH71" s="13"/>
      <c r="BI71" s="13" t="s">
        <v>4</v>
      </c>
      <c r="BJ71" s="13" t="s">
        <v>5</v>
      </c>
      <c r="BK71" s="13"/>
      <c r="BL71" s="13"/>
      <c r="BM71" s="13" t="s">
        <v>6</v>
      </c>
      <c r="BN71" s="13"/>
      <c r="BO71" s="13"/>
      <c r="BP71" s="13" t="s">
        <v>7</v>
      </c>
      <c r="BQ71" s="13"/>
      <c r="BR71" s="13"/>
      <c r="BS71" s="13" t="s">
        <v>8</v>
      </c>
      <c r="BT71" s="13"/>
      <c r="BU71" s="13"/>
      <c r="BV71" s="13" t="s">
        <v>9</v>
      </c>
      <c r="BW71" s="13"/>
      <c r="BX71" s="13"/>
      <c r="BY71" s="13" t="s">
        <v>10</v>
      </c>
      <c r="BZ71" s="13"/>
      <c r="CA71" s="13"/>
      <c r="CB71" s="13" t="s">
        <v>227</v>
      </c>
      <c r="CC71" s="13"/>
      <c r="CD71" s="13"/>
      <c r="CE71" s="13" t="s">
        <v>212</v>
      </c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</row>
    <row r="72" ht="29.0">
      <c r="A72" s="16" t="s">
        <v>11</v>
      </c>
      <c r="B72" s="16" t="s">
        <v>12</v>
      </c>
      <c r="C72" s="16" t="s">
        <v>13</v>
      </c>
      <c r="D72" s="17" t="s">
        <v>14</v>
      </c>
      <c r="E72" s="18" t="s">
        <v>15</v>
      </c>
      <c r="F72" s="18" t="s">
        <v>15</v>
      </c>
      <c r="G72" s="18" t="s">
        <v>15</v>
      </c>
      <c r="H72" s="18" t="s">
        <v>15</v>
      </c>
      <c r="I72" s="18" t="s">
        <v>15</v>
      </c>
      <c r="J72" s="18" t="s">
        <v>15</v>
      </c>
      <c r="K72" s="18" t="s">
        <v>15</v>
      </c>
      <c r="L72" s="18" t="s">
        <v>15</v>
      </c>
      <c r="M72" s="18" t="s">
        <v>15</v>
      </c>
      <c r="N72" s="18" t="s">
        <v>15</v>
      </c>
      <c r="O72" s="18" t="s">
        <v>15</v>
      </c>
      <c r="P72" s="18" t="s">
        <v>15</v>
      </c>
      <c r="Q72" s="18" t="s">
        <v>15</v>
      </c>
      <c r="R72" s="18" t="s">
        <v>15</v>
      </c>
      <c r="S72" s="18" t="s">
        <v>15</v>
      </c>
      <c r="T72" s="18" t="s">
        <v>15</v>
      </c>
      <c r="U72" s="18" t="s">
        <v>15</v>
      </c>
      <c r="V72" s="18" t="s">
        <v>15</v>
      </c>
      <c r="W72" s="18" t="s">
        <v>15</v>
      </c>
      <c r="X72" s="18" t="s">
        <v>15</v>
      </c>
      <c r="Y72" s="18" t="s">
        <v>15</v>
      </c>
      <c r="Z72" s="18" t="s">
        <v>15</v>
      </c>
      <c r="AA72" s="18" t="s">
        <v>15</v>
      </c>
      <c r="AB72" s="18" t="s">
        <v>15</v>
      </c>
      <c r="AC72" s="18" t="s">
        <v>15</v>
      </c>
      <c r="AD72" s="18" t="s">
        <v>15</v>
      </c>
      <c r="AE72" s="18" t="s">
        <v>15</v>
      </c>
      <c r="AF72" s="18" t="s">
        <v>15</v>
      </c>
      <c r="AG72" s="18" t="s">
        <v>15</v>
      </c>
      <c r="AH72" s="18" t="s">
        <v>15</v>
      </c>
      <c r="AI72" s="18" t="s">
        <v>15</v>
      </c>
      <c r="AJ72" s="18" t="s">
        <v>15</v>
      </c>
      <c r="AK72" s="18" t="s">
        <v>15</v>
      </c>
      <c r="AL72" s="18" t="s">
        <v>15</v>
      </c>
      <c r="AM72" s="18" t="s">
        <v>15</v>
      </c>
      <c r="AN72" s="18"/>
      <c r="AO72" s="19" t="s">
        <v>3</v>
      </c>
      <c r="AP72" s="19" t="s">
        <v>3</v>
      </c>
      <c r="AQ72" s="19" t="s">
        <v>16</v>
      </c>
      <c r="AR72" s="20"/>
      <c r="AS72" s="21" t="s">
        <v>17</v>
      </c>
      <c r="AT72" s="21" t="s">
        <v>17</v>
      </c>
      <c r="AU72" s="21" t="s">
        <v>17</v>
      </c>
      <c r="AV72" s="21" t="s">
        <v>17</v>
      </c>
      <c r="AW72" s="21" t="s">
        <v>17</v>
      </c>
      <c r="AX72" s="21" t="s">
        <v>17</v>
      </c>
      <c r="AY72" s="21" t="s">
        <v>17</v>
      </c>
      <c r="AZ72" s="21" t="s">
        <v>17</v>
      </c>
      <c r="BA72" s="21" t="s">
        <v>17</v>
      </c>
      <c r="BB72" s="18" t="s">
        <v>260</v>
      </c>
      <c r="BC72" s="22" t="s">
        <v>19</v>
      </c>
      <c r="BD72" s="22" t="s">
        <v>20</v>
      </c>
      <c r="BE72" s="23" t="s">
        <v>21</v>
      </c>
      <c r="BF72" s="47" t="s">
        <v>22</v>
      </c>
      <c r="BG72" s="24" t="s">
        <v>23</v>
      </c>
      <c r="BH72" s="25" t="s">
        <v>24</v>
      </c>
      <c r="BI72" s="18" t="s">
        <v>25</v>
      </c>
      <c r="BJ72" s="18" t="s">
        <v>17</v>
      </c>
      <c r="BK72" s="18" t="s">
        <v>26</v>
      </c>
      <c r="BL72" s="18" t="s">
        <v>27</v>
      </c>
      <c r="BM72" s="18" t="s">
        <v>17</v>
      </c>
      <c r="BN72" s="18" t="s">
        <v>26</v>
      </c>
      <c r="BO72" s="18" t="s">
        <v>27</v>
      </c>
      <c r="BP72" s="18" t="s">
        <v>17</v>
      </c>
      <c r="BQ72" s="18" t="s">
        <v>26</v>
      </c>
      <c r="BR72" s="18" t="s">
        <v>27</v>
      </c>
      <c r="BS72" s="18" t="s">
        <v>17</v>
      </c>
      <c r="BT72" s="18" t="s">
        <v>26</v>
      </c>
      <c r="BU72" s="18" t="s">
        <v>27</v>
      </c>
      <c r="BV72" s="18" t="s">
        <v>17</v>
      </c>
      <c r="BW72" s="18" t="s">
        <v>26</v>
      </c>
      <c r="BX72" s="18" t="s">
        <v>27</v>
      </c>
      <c r="BY72" s="18" t="s">
        <v>17</v>
      </c>
      <c r="BZ72" s="18" t="s">
        <v>26</v>
      </c>
      <c r="CA72" s="18" t="s">
        <v>27</v>
      </c>
      <c r="CB72" s="18" t="s">
        <v>17</v>
      </c>
      <c r="CC72" s="18" t="s">
        <v>26</v>
      </c>
      <c r="CD72" s="18" t="s">
        <v>27</v>
      </c>
      <c r="CE72" s="18" t="s">
        <v>17</v>
      </c>
      <c r="CF72" s="18" t="s">
        <v>26</v>
      </c>
      <c r="CG72" s="18" t="s">
        <v>27</v>
      </c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</row>
    <row hidden="1" r="73" ht="14.0" outlineLevel="1">
      <c r="A73" s="27" t="s">
        <v>28</v>
      </c>
      <c r="B73" s="27" t="s">
        <v>98</v>
      </c>
      <c r="C73" s="27" t="s">
        <v>99</v>
      </c>
      <c r="D73" s="27" t="s">
        <v>100</v>
      </c>
      <c r="E73" s="27">
        <v>42.0</v>
      </c>
      <c r="F73" s="27">
        <v>42.0</v>
      </c>
      <c r="G73" s="27">
        <v>84.0</v>
      </c>
      <c r="H73" s="27">
        <v>126.0</v>
      </c>
      <c r="I73" s="27">
        <v>84.0</v>
      </c>
      <c r="J73" s="27">
        <v>84.0</v>
      </c>
      <c r="K73" s="27">
        <v>168.0</v>
      </c>
      <c r="L73" s="27">
        <v>126.0</v>
      </c>
      <c r="M73" s="27">
        <v>252.0</v>
      </c>
      <c r="N73" s="27">
        <v>42.0</v>
      </c>
      <c r="O73" s="27">
        <v>42.0</v>
      </c>
      <c r="P73" s="27">
        <v>84.0</v>
      </c>
      <c r="Q73" s="27">
        <v>126.0</v>
      </c>
      <c r="R73" s="27">
        <v>126.0</v>
      </c>
      <c r="S73" s="27">
        <v>126.0</v>
      </c>
      <c r="T73" s="27">
        <v>42.0</v>
      </c>
      <c r="U73" s="27">
        <v>84.0</v>
      </c>
      <c r="V73" s="27">
        <v>42.0</v>
      </c>
      <c r="W73" s="27">
        <v>84.0</v>
      </c>
      <c r="X73" s="27">
        <v>252.0</v>
      </c>
      <c r="Y73" s="27">
        <v>84.0</v>
      </c>
      <c r="Z73" s="27">
        <v>0.0</v>
      </c>
      <c r="AA73" s="27">
        <v>42.0</v>
      </c>
      <c r="AB73" s="27">
        <v>0.0</v>
      </c>
      <c r="AC73" s="27">
        <v>42.0</v>
      </c>
      <c r="AD73" s="27">
        <v>336.0</v>
      </c>
      <c r="AE73" s="27">
        <v>42.0</v>
      </c>
      <c r="AF73" s="27">
        <v>84.0</v>
      </c>
      <c r="AG73" s="27">
        <v>42.0</v>
      </c>
      <c r="AH73" s="27">
        <v>42.0</v>
      </c>
      <c r="AI73" s="27">
        <v>42.0</v>
      </c>
      <c r="AJ73" s="27">
        <v>84.0</v>
      </c>
      <c r="AK73" s="27">
        <v>168.0</v>
      </c>
      <c r="AL73" s="27">
        <v>42.0</v>
      </c>
      <c r="AM73" s="27">
        <v>42.0</v>
      </c>
      <c r="AN73" s="27">
        <v>0.0</v>
      </c>
      <c r="AO73" s="28">
        <f t="shared" ref="AO73:AO100" si="219">SUM(AA73:AM73)</f>
        <v>1008.0</v>
      </c>
      <c r="AP73" s="28">
        <f t="shared" ref="AP73:AP100" si="220">SUM(AH73:AM73)</f>
        <v>420.0</v>
      </c>
      <c r="AQ73" s="28">
        <f t="shared" ref="AQ73:AQ100" si="221">AP73*1.1</f>
        <v>462.0</v>
      </c>
      <c r="AS73" s="3">
        <f t="shared" ref="AS73:AS81" si="222">AB73*1.1</f>
        <v>0.0</v>
      </c>
      <c r="AT73" s="3">
        <f t="shared" ref="AT73:AT81" si="223">AC73*1.1</f>
        <v>46.2</v>
      </c>
      <c r="AU73" s="3">
        <f t="shared" ref="AU73:AU81" si="224">AD73*1.1</f>
        <v>369.6</v>
      </c>
      <c r="AV73" s="3">
        <f t="shared" ref="AV73:AV81" si="225">AE73*1.1</f>
        <v>46.2</v>
      </c>
      <c r="AW73" s="3">
        <f t="shared" ref="AW73:AW81" si="226">AF73*1.1</f>
        <v>92.4</v>
      </c>
      <c r="AX73" s="3">
        <f t="shared" ref="AX73:AX81" si="227">AG73*1.1</f>
        <v>46.2</v>
      </c>
      <c r="AY73" s="28"/>
      <c r="AZ73" s="28"/>
      <c r="BA73" s="28">
        <f t="shared" ref="BA73:BA79" si="228">SUM(AS73:AX73)</f>
        <v>600.6</v>
      </c>
      <c r="BB73" s="2" t="e">
        <f t="shared" ref="BB73:BB79" si="229">VLOOKUP(D73,MAY1,3,false)</f>
        <v>#REF!</v>
      </c>
      <c r="BD73" s="1" t="e">
        <f t="shared" ref="BD73:BD74" si="230">VLOOKUP(C73,CHINAJUNE,3,false)</f>
        <v>#REF!</v>
      </c>
      <c r="BE73" s="3" t="e">
        <f>BB73+BC73+BD73-BA73-BA40</f>
        <v>#REF!</v>
      </c>
      <c r="BF73" s="1">
        <f>VLOOKUP(C73,MOQ,3,FALSE())</f>
        <v>1008.0</v>
      </c>
      <c r="BI73" s="1" t="e">
        <f t="shared" ref="BI73:BI100" si="233">BB73</f>
        <v>#REF!</v>
      </c>
      <c r="BJ73" s="1">
        <f>AS73+BJ40</f>
        <v>730.176600441501</v>
      </c>
      <c r="BK73" s="1">
        <f t="shared" ref="BK73:BK100" si="235">BC73</f>
      </c>
      <c r="BL73" s="3" t="e">
        <f t="shared" ref="BL73:BL100" si="236">BI73+BK73-BJ73</f>
        <v>#REF!</v>
      </c>
      <c r="BM73" s="1">
        <f>AT73+BM40</f>
        <v>392.469315673289</v>
      </c>
      <c r="BN73" s="1" t="e">
        <f t="shared" ref="BN73:BN100" si="238">BD73</f>
        <v>#REF!</v>
      </c>
      <c r="BO73" s="3" t="e">
        <f t="shared" ref="BO73:BO100" si="239">BL73+BN73-BM73</f>
        <v>#REF!</v>
      </c>
      <c r="BP73" s="1">
        <f>AU73+BP40</f>
        <v>1039.55584988962</v>
      </c>
      <c r="BR73" s="3" t="e">
        <f t="shared" ref="BR73:BR100" si="241">BO73+BQ73-BP73</f>
        <v>#REF!</v>
      </c>
      <c r="BS73" s="1">
        <f>AV73+BS40</f>
        <v>595.714348785871</v>
      </c>
      <c r="BU73" s="3" t="e">
        <f t="shared" ref="BU73:BU100" si="243">BR73+BT73-BS73</f>
        <v>#REF!</v>
      </c>
      <c r="BV73" s="1">
        <f>AW73+BV40</f>
        <v>521.472847682119</v>
      </c>
      <c r="BX73" s="3" t="e">
        <f t="shared" ref="BX73:BX100" si="245">BU73+BW73-BV73</f>
        <v>#REF!</v>
      </c>
      <c r="BY73" s="1">
        <f>AX73+BY40</f>
        <v>904.345695364238</v>
      </c>
      <c r="CA73" s="3" t="e">
        <f t="shared" ref="CA73:CA100" si="247">BX73+BZ73-BY73</f>
        <v>#REF!</v>
      </c>
    </row>
    <row hidden="1" r="74" ht="14.0" outlineLevel="1">
      <c r="A74" s="27" t="s">
        <v>28</v>
      </c>
      <c r="B74" s="27" t="s">
        <v>98</v>
      </c>
      <c r="C74" s="27" t="s">
        <v>103</v>
      </c>
      <c r="D74" s="27" t="s">
        <v>104</v>
      </c>
      <c r="E74" s="27">
        <v>0.0</v>
      </c>
      <c r="F74" s="27">
        <v>546.0</v>
      </c>
      <c r="G74" s="27">
        <v>0.0</v>
      </c>
      <c r="H74" s="27">
        <v>42.0</v>
      </c>
      <c r="I74" s="27">
        <v>84.0</v>
      </c>
      <c r="J74" s="27">
        <v>126.0</v>
      </c>
      <c r="K74" s="27">
        <v>84.0</v>
      </c>
      <c r="L74" s="27">
        <v>210.0</v>
      </c>
      <c r="M74" s="27">
        <v>0.0</v>
      </c>
      <c r="N74" s="27">
        <v>420.0</v>
      </c>
      <c r="O74" s="27">
        <v>42.0</v>
      </c>
      <c r="P74" s="27">
        <v>126.0</v>
      </c>
      <c r="Q74" s="27">
        <v>126.0</v>
      </c>
      <c r="R74" s="27">
        <v>84.0</v>
      </c>
      <c r="S74" s="27">
        <v>126.0</v>
      </c>
      <c r="T74" s="27">
        <v>126.0</v>
      </c>
      <c r="U74" s="27">
        <v>84.0</v>
      </c>
      <c r="V74" s="27">
        <v>126.0</v>
      </c>
      <c r="W74" s="27">
        <v>126.0</v>
      </c>
      <c r="X74" s="27">
        <v>168.0</v>
      </c>
      <c r="Y74" s="27">
        <v>252.0</v>
      </c>
      <c r="Z74" s="27">
        <v>42.0</v>
      </c>
      <c r="AA74" s="27">
        <v>42.0</v>
      </c>
      <c r="AB74" s="27">
        <v>0.0</v>
      </c>
      <c r="AC74" s="27">
        <v>336.0</v>
      </c>
      <c r="AD74" s="27">
        <v>0.0</v>
      </c>
      <c r="AE74" s="27">
        <v>168.0</v>
      </c>
      <c r="AF74" s="27">
        <v>42.0</v>
      </c>
      <c r="AG74" s="27">
        <v>42.0</v>
      </c>
      <c r="AH74" s="27">
        <v>84.0</v>
      </c>
      <c r="AI74" s="27">
        <v>84.0</v>
      </c>
      <c r="AJ74" s="27">
        <v>84.0</v>
      </c>
      <c r="AK74" s="27">
        <v>210.0</v>
      </c>
      <c r="AL74" s="27">
        <v>42.0</v>
      </c>
      <c r="AM74" s="27">
        <v>42.0</v>
      </c>
      <c r="AN74" s="27">
        <v>84.0</v>
      </c>
      <c r="AO74" s="28">
        <f t="shared" si="219"/>
        <v>1176.0</v>
      </c>
      <c r="AP74" s="28">
        <f t="shared" si="220"/>
        <v>546.0</v>
      </c>
      <c r="AQ74" s="28">
        <f t="shared" si="221"/>
        <v>600.6</v>
      </c>
      <c r="AS74" s="3">
        <f t="shared" si="222"/>
        <v>0.0</v>
      </c>
      <c r="AT74" s="3">
        <f t="shared" si="223"/>
        <v>369.6</v>
      </c>
      <c r="AU74" s="3">
        <f t="shared" si="224"/>
        <v>0.0</v>
      </c>
      <c r="AV74" s="3">
        <f t="shared" si="225"/>
        <v>184.8</v>
      </c>
      <c r="AW74" s="3">
        <f t="shared" si="226"/>
        <v>46.2</v>
      </c>
      <c r="AX74" s="3">
        <f t="shared" si="227"/>
        <v>46.2</v>
      </c>
      <c r="AY74" s="28"/>
      <c r="AZ74" s="28"/>
      <c r="BA74" s="28">
        <f t="shared" si="228"/>
        <v>646.8</v>
      </c>
      <c r="BB74" s="2" t="e">
        <f t="shared" si="229"/>
        <v>#REF!</v>
      </c>
      <c r="BD74" s="1" t="e">
        <f t="shared" si="230"/>
        <v>#REF!</v>
      </c>
      <c r="BE74" s="3" t="e">
        <f>BB74+BC74+BD74-BA74-BA42</f>
        <v>#REF!</v>
      </c>
      <c r="BF74" s="1">
        <f>VLOOKUP(C74,MOQ,3,FALSE())</f>
        <v>1008.0</v>
      </c>
      <c r="BI74" s="1" t="e">
        <f t="shared" si="233"/>
        <v>#REF!</v>
      </c>
      <c r="BJ74" s="1">
        <f>AS74+BJ42</f>
        <v>731.033112582781</v>
      </c>
      <c r="BK74" s="1">
        <f t="shared" si="235"/>
      </c>
      <c r="BL74" s="3" t="e">
        <f t="shared" si="236"/>
        <v>#REF!</v>
      </c>
      <c r="BM74" s="1">
        <f>AT74+BM42</f>
        <v>716.275496688741</v>
      </c>
      <c r="BN74" s="1" t="e">
        <f t="shared" si="238"/>
        <v>#REF!</v>
      </c>
      <c r="BO74" s="3" t="e">
        <f t="shared" si="239"/>
        <v>#REF!</v>
      </c>
      <c r="BP74" s="1">
        <f>AU74+BP42</f>
        <v>670.741721854304</v>
      </c>
      <c r="BR74" s="3" t="e">
        <f t="shared" si="241"/>
        <v>#REF!</v>
      </c>
      <c r="BS74" s="1">
        <f>AV74+BS42</f>
        <v>734.958940397351</v>
      </c>
      <c r="BU74" s="3" t="e">
        <f t="shared" si="243"/>
        <v>#REF!</v>
      </c>
      <c r="BV74" s="1">
        <f>AW74+BV42</f>
        <v>475.776158940397</v>
      </c>
      <c r="BX74" s="3" t="e">
        <f t="shared" si="245"/>
        <v>#REF!</v>
      </c>
      <c r="BY74" s="1">
        <f>AX74+BY42</f>
        <v>905.352317880794</v>
      </c>
      <c r="CA74" s="3" t="e">
        <f t="shared" si="247"/>
        <v>#REF!</v>
      </c>
    </row>
    <row hidden="1" r="75" ht="14.0" outlineLevel="1">
      <c r="A75" s="27" t="s">
        <v>28</v>
      </c>
      <c r="B75" s="27" t="s">
        <v>98</v>
      </c>
      <c r="C75" s="27" t="s">
        <v>111</v>
      </c>
      <c r="D75" s="27" t="s">
        <v>112</v>
      </c>
      <c r="E75" s="27">
        <v>84.0</v>
      </c>
      <c r="F75" s="27">
        <v>84.0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7">
        <v>0.0</v>
      </c>
      <c r="N75" s="27">
        <v>0.0</v>
      </c>
      <c r="O75" s="27">
        <v>0.0</v>
      </c>
      <c r="P75" s="27">
        <v>0.0</v>
      </c>
      <c r="Q75" s="27">
        <v>0.0</v>
      </c>
      <c r="R75" s="27">
        <v>0.0</v>
      </c>
      <c r="S75" s="27">
        <v>0.0</v>
      </c>
      <c r="T75" s="27">
        <v>0.0</v>
      </c>
      <c r="U75" s="27">
        <v>0.0</v>
      </c>
      <c r="V75" s="27">
        <v>0.0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B75" s="27">
        <v>0.0</v>
      </c>
      <c r="AC75" s="27">
        <v>0.0</v>
      </c>
      <c r="AD75" s="27">
        <v>0.0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0.0</v>
      </c>
      <c r="AK75" s="27">
        <v>0.0</v>
      </c>
      <c r="AL75" s="27">
        <v>0.0</v>
      </c>
      <c r="AM75" s="27">
        <v>0.0</v>
      </c>
      <c r="AN75" s="27">
        <v>0.0</v>
      </c>
      <c r="AO75" s="28">
        <f t="shared" si="219"/>
        <v>0.0</v>
      </c>
      <c r="AP75" s="28">
        <f t="shared" si="220"/>
        <v>0.0</v>
      </c>
      <c r="AQ75" s="28">
        <f t="shared" si="221"/>
        <v>0.0</v>
      </c>
      <c r="AS75" s="3">
        <f t="shared" si="222"/>
        <v>0.0</v>
      </c>
      <c r="AT75" s="3">
        <f t="shared" si="223"/>
        <v>0.0</v>
      </c>
      <c r="AU75" s="3">
        <f t="shared" si="224"/>
        <v>0.0</v>
      </c>
      <c r="AV75" s="3">
        <f t="shared" si="225"/>
        <v>0.0</v>
      </c>
      <c r="AW75" s="3">
        <f t="shared" si="226"/>
        <v>0.0</v>
      </c>
      <c r="AX75" s="3">
        <f t="shared" si="227"/>
        <v>0.0</v>
      </c>
      <c r="AY75" s="28"/>
      <c r="AZ75" s="28"/>
      <c r="BA75" s="28">
        <f t="shared" si="228"/>
        <v>0.0</v>
      </c>
      <c r="BB75" s="2" t="e">
        <f t="shared" si="229"/>
        <v>#REF!</v>
      </c>
      <c r="BE75" s="3" t="e">
        <f t="shared" ref="BE75:BE76" si="255">BB75+BC75+BD75-BA75-BA46</f>
        <v>#REF!</v>
      </c>
      <c r="BF75" s="1">
        <f>VLOOKUP(C75,MOQ,3,FALSE())</f>
        <v>1008.0</v>
      </c>
      <c r="BI75" s="1" t="e">
        <f t="shared" si="233"/>
        <v>#REF!</v>
      </c>
      <c r="BJ75" s="1">
        <f t="shared" ref="BJ75:BJ76" si="256">AS75+BJ46</f>
        <v>138.969094922737</v>
      </c>
      <c r="BK75" s="1">
        <f t="shared" si="235"/>
      </c>
      <c r="BL75" s="3" t="e">
        <f t="shared" si="236"/>
        <v>#REF!</v>
      </c>
      <c r="BM75" s="1">
        <f t="shared" ref="BM75:BM76" si="257">AT75+BM46</f>
        <v>65.9028697571743</v>
      </c>
      <c r="BN75" s="1">
        <f t="shared" si="238"/>
      </c>
      <c r="BO75" s="3" t="e">
        <f t="shared" si="239"/>
        <v>#REF!</v>
      </c>
      <c r="BP75" s="1">
        <f t="shared" ref="BP75:BP76" si="258">AU75+BP46</f>
        <v>127.507726269316</v>
      </c>
      <c r="BR75" s="3" t="e">
        <f t="shared" si="241"/>
        <v>#REF!</v>
      </c>
      <c r="BS75" s="1">
        <f t="shared" ref="BS75:BS76" si="259">AV75+BS46</f>
        <v>104.584988962472</v>
      </c>
      <c r="BU75" s="3" t="e">
        <f t="shared" si="243"/>
        <v>#REF!</v>
      </c>
      <c r="BV75" s="1">
        <f t="shared" ref="BV75:BV76" si="260">AW75+BV46</f>
        <v>81.6622516556291</v>
      </c>
      <c r="BX75" s="3" t="e">
        <f t="shared" si="245"/>
        <v>#REF!</v>
      </c>
      <c r="BY75" s="1">
        <f t="shared" ref="BY75:BY76" si="261">AX75+BY46</f>
        <v>163.324503311258</v>
      </c>
      <c r="CA75" s="3" t="e">
        <f t="shared" si="247"/>
        <v>#REF!</v>
      </c>
    </row>
    <row hidden="1" r="76" ht="14.0" outlineLevel="1">
      <c r="A76" s="27" t="s">
        <v>28</v>
      </c>
      <c r="B76" s="27" t="s">
        <v>98</v>
      </c>
      <c r="C76" s="27" t="s">
        <v>113</v>
      </c>
      <c r="D76" s="27" t="s">
        <v>114</v>
      </c>
      <c r="E76" s="27">
        <v>0.0</v>
      </c>
      <c r="F76" s="27">
        <v>0.0</v>
      </c>
      <c r="G76" s="27">
        <v>0.0</v>
      </c>
      <c r="H76" s="27">
        <v>210.0</v>
      </c>
      <c r="I76" s="27">
        <v>42.0</v>
      </c>
      <c r="J76" s="27">
        <v>0.0</v>
      </c>
      <c r="K76" s="27">
        <v>84.0</v>
      </c>
      <c r="L76" s="27">
        <v>84.0</v>
      </c>
      <c r="M76" s="27">
        <v>126.0</v>
      </c>
      <c r="N76" s="27">
        <v>0.0</v>
      </c>
      <c r="O76" s="27">
        <v>84.0</v>
      </c>
      <c r="P76" s="27">
        <v>42.0</v>
      </c>
      <c r="Q76" s="27">
        <v>42.0</v>
      </c>
      <c r="R76" s="27">
        <v>42.0</v>
      </c>
      <c r="S76" s="27">
        <v>42.0</v>
      </c>
      <c r="T76" s="27">
        <v>42.0</v>
      </c>
      <c r="U76" s="27">
        <v>0.0</v>
      </c>
      <c r="V76" s="27">
        <v>126.0</v>
      </c>
      <c r="W76" s="27">
        <v>0.0</v>
      </c>
      <c r="X76" s="27">
        <v>84.0</v>
      </c>
      <c r="Y76" s="27">
        <v>126.0</v>
      </c>
      <c r="Z76" s="27">
        <v>42.0</v>
      </c>
      <c r="AA76" s="27">
        <v>42.0</v>
      </c>
      <c r="AB76" s="27">
        <v>42.0</v>
      </c>
      <c r="AC76" s="27">
        <v>42.0</v>
      </c>
      <c r="AD76" s="27">
        <v>42.0</v>
      </c>
      <c r="AE76" s="27">
        <v>42.0</v>
      </c>
      <c r="AF76" s="27">
        <v>42.0</v>
      </c>
      <c r="AG76" s="27">
        <v>0.0</v>
      </c>
      <c r="AH76" s="27">
        <v>42.0</v>
      </c>
      <c r="AI76" s="27">
        <v>42.0</v>
      </c>
      <c r="AJ76" s="27">
        <v>0.0</v>
      </c>
      <c r="AK76" s="27">
        <v>84.0</v>
      </c>
      <c r="AL76" s="27">
        <v>42.0</v>
      </c>
      <c r="AM76" s="27">
        <v>0.0</v>
      </c>
      <c r="AN76" s="27">
        <v>84.0</v>
      </c>
      <c r="AO76" s="28">
        <f t="shared" si="219"/>
        <v>462.0</v>
      </c>
      <c r="AP76" s="28">
        <f t="shared" si="220"/>
        <v>210.0</v>
      </c>
      <c r="AQ76" s="28">
        <f t="shared" si="221"/>
        <v>231.0</v>
      </c>
      <c r="AS76" s="3">
        <f t="shared" si="222"/>
        <v>46.2</v>
      </c>
      <c r="AT76" s="3">
        <f t="shared" si="223"/>
        <v>46.2</v>
      </c>
      <c r="AU76" s="3">
        <f t="shared" si="224"/>
        <v>46.2</v>
      </c>
      <c r="AV76" s="3">
        <f t="shared" si="225"/>
        <v>46.2</v>
      </c>
      <c r="AW76" s="3">
        <f t="shared" si="226"/>
        <v>46.2</v>
      </c>
      <c r="AX76" s="3">
        <f t="shared" si="227"/>
        <v>0.0</v>
      </c>
      <c r="AY76" s="28"/>
      <c r="AZ76" s="28"/>
      <c r="BA76" s="28">
        <f t="shared" si="228"/>
        <v>231.0</v>
      </c>
      <c r="BB76" s="2" t="e">
        <f t="shared" si="229"/>
        <v>#REF!</v>
      </c>
      <c r="BE76" s="3" t="e">
        <f t="shared" si="255"/>
        <v>#REF!</v>
      </c>
      <c r="BF76" s="1">
        <f>VLOOKUP(C76,MOQ,3,FALSE())</f>
        <v>1008.0</v>
      </c>
      <c r="BI76" s="1" t="e">
        <f t="shared" si="233"/>
        <v>#REF!</v>
      </c>
      <c r="BJ76" s="1">
        <f t="shared" si="256"/>
        <v>84.7430463576159</v>
      </c>
      <c r="BK76" s="1">
        <f t="shared" si="235"/>
      </c>
      <c r="BL76" s="3" t="e">
        <f t="shared" si="236"/>
        <v>#REF!</v>
      </c>
      <c r="BM76" s="1">
        <f t="shared" si="257"/>
        <v>64.4781456953642</v>
      </c>
      <c r="BN76" s="1">
        <f t="shared" si="238"/>
      </c>
      <c r="BO76" s="3" t="e">
        <f t="shared" si="239"/>
        <v>#REF!</v>
      </c>
      <c r="BP76" s="1">
        <f t="shared" si="258"/>
        <v>81.564238410596</v>
      </c>
      <c r="BR76" s="3" t="e">
        <f t="shared" si="241"/>
        <v>#REF!</v>
      </c>
      <c r="BS76" s="1">
        <f t="shared" si="259"/>
        <v>75.2066225165562</v>
      </c>
      <c r="BU76" s="3" t="e">
        <f t="shared" si="243"/>
        <v>#REF!</v>
      </c>
      <c r="BV76" s="1">
        <f t="shared" si="260"/>
        <v>68.8490066225166</v>
      </c>
      <c r="BX76" s="3" t="e">
        <f t="shared" si="245"/>
        <v>#REF!</v>
      </c>
      <c r="BY76" s="1">
        <f t="shared" si="261"/>
        <v>45.2980132450331</v>
      </c>
      <c r="CA76" s="3" t="e">
        <f t="shared" si="247"/>
        <v>#REF!</v>
      </c>
    </row>
    <row hidden="1" r="77" ht="14.0" outlineLevel="1">
      <c r="A77" s="27" t="s">
        <v>28</v>
      </c>
      <c r="B77" s="27" t="s">
        <v>98</v>
      </c>
      <c r="C77" s="27" t="s">
        <v>117</v>
      </c>
      <c r="D77" s="27" t="s">
        <v>118</v>
      </c>
      <c r="E77" s="27">
        <v>42.0</v>
      </c>
      <c r="F77" s="27">
        <v>42.0</v>
      </c>
      <c r="G77" s="27">
        <v>84.0</v>
      </c>
      <c r="H77" s="27">
        <v>84.0</v>
      </c>
      <c r="I77" s="27">
        <v>126.0</v>
      </c>
      <c r="J77" s="27">
        <v>42.0</v>
      </c>
      <c r="K77" s="27">
        <v>42.0</v>
      </c>
      <c r="L77" s="27">
        <v>168.0</v>
      </c>
      <c r="M77" s="27">
        <v>0.0</v>
      </c>
      <c r="N77" s="27">
        <v>462.0</v>
      </c>
      <c r="O77" s="27">
        <v>0.0</v>
      </c>
      <c r="P77" s="27">
        <v>84.0</v>
      </c>
      <c r="Q77" s="27">
        <v>42.0</v>
      </c>
      <c r="R77" s="27">
        <v>42.0</v>
      </c>
      <c r="S77" s="27">
        <v>84.0</v>
      </c>
      <c r="T77" s="27">
        <v>84.0</v>
      </c>
      <c r="U77" s="27">
        <v>84.0</v>
      </c>
      <c r="V77" s="27">
        <v>126.0</v>
      </c>
      <c r="W77" s="27">
        <v>42.0</v>
      </c>
      <c r="X77" s="27">
        <v>168.0</v>
      </c>
      <c r="Y77" s="27">
        <v>84.0</v>
      </c>
      <c r="Z77" s="27">
        <v>84.0</v>
      </c>
      <c r="AA77" s="27">
        <v>42.0</v>
      </c>
      <c r="AB77" s="27">
        <v>0.0</v>
      </c>
      <c r="AC77" s="27">
        <v>210.0</v>
      </c>
      <c r="AD77" s="27">
        <v>42.0</v>
      </c>
      <c r="AE77" s="27">
        <v>84.0</v>
      </c>
      <c r="AF77" s="27">
        <v>84.0</v>
      </c>
      <c r="AG77" s="27">
        <v>42.0</v>
      </c>
      <c r="AH77" s="27">
        <v>0.0</v>
      </c>
      <c r="AI77" s="27">
        <v>84.0</v>
      </c>
      <c r="AJ77" s="27">
        <v>42.0</v>
      </c>
      <c r="AK77" s="27">
        <v>252.0</v>
      </c>
      <c r="AL77" s="27">
        <v>42.0</v>
      </c>
      <c r="AM77" s="27">
        <v>0.0</v>
      </c>
      <c r="AN77" s="27">
        <v>42.0</v>
      </c>
      <c r="AO77" s="28">
        <f t="shared" si="219"/>
        <v>924.0</v>
      </c>
      <c r="AP77" s="28">
        <f t="shared" si="220"/>
        <v>420.0</v>
      </c>
      <c r="AQ77" s="28">
        <f t="shared" si="221"/>
        <v>462.0</v>
      </c>
      <c r="AS77" s="3">
        <f t="shared" si="222"/>
        <v>0.0</v>
      </c>
      <c r="AT77" s="3">
        <f t="shared" si="223"/>
        <v>231.0</v>
      </c>
      <c r="AU77" s="3">
        <f t="shared" si="224"/>
        <v>46.2</v>
      </c>
      <c r="AV77" s="3">
        <f t="shared" si="225"/>
        <v>92.4</v>
      </c>
      <c r="AW77" s="3">
        <f t="shared" si="226"/>
        <v>92.4</v>
      </c>
      <c r="AX77" s="3">
        <f t="shared" si="227"/>
        <v>46.2</v>
      </c>
      <c r="AY77" s="28"/>
      <c r="AZ77" s="28"/>
      <c r="BA77" s="28">
        <f t="shared" si="228"/>
        <v>508.2</v>
      </c>
      <c r="BB77" s="2" t="e">
        <f t="shared" si="229"/>
        <v>#REF!</v>
      </c>
      <c r="BD77" s="1" t="e">
        <f t="shared" ref="BD77:BD79" si="262">VLOOKUP(C77,CHINAJUNE,3,false)</f>
        <v>#REF!</v>
      </c>
      <c r="BE77" s="3" t="e">
        <f t="shared" ref="BE77:BE79" si="263">BB77+BC77+BD77-BA77-BA49</f>
        <v>#REF!</v>
      </c>
      <c r="BF77" s="1">
        <f>VLOOKUP(C77,MOQ,3,FALSE())</f>
        <v>1008.0</v>
      </c>
      <c r="BI77" s="1" t="e">
        <f t="shared" si="233"/>
        <v>#REF!</v>
      </c>
      <c r="BJ77" s="1">
        <f t="shared" ref="BJ77:BJ79" si="264">AS77+BJ49</f>
        <v>692.275938189845</v>
      </c>
      <c r="BK77" s="1">
        <f t="shared" si="235"/>
      </c>
      <c r="BL77" s="3" t="e">
        <f t="shared" si="236"/>
        <v>#REF!</v>
      </c>
      <c r="BM77" s="1">
        <f t="shared" ref="BM77:BM79" si="265">AT77+BM49</f>
        <v>559.295805739514</v>
      </c>
      <c r="BN77" s="1" t="e">
        <f t="shared" si="238"/>
        <v>#REF!</v>
      </c>
      <c r="BO77" s="3" t="e">
        <f t="shared" si="239"/>
        <v>#REF!</v>
      </c>
      <c r="BP77" s="1">
        <f t="shared" ref="BP77:BP79" si="266">AU77+BP49</f>
        <v>681.381015452539</v>
      </c>
      <c r="BR77" s="3" t="e">
        <f t="shared" si="241"/>
        <v>#REF!</v>
      </c>
      <c r="BS77" s="1">
        <f t="shared" ref="BS77:BS79" si="267">AV77+BS49</f>
        <v>613.391169977923</v>
      </c>
      <c r="BU77" s="3" t="e">
        <f t="shared" si="243"/>
        <v>#REF!</v>
      </c>
      <c r="BV77" s="1">
        <f t="shared" ref="BV77:BV79" si="268">AW77+BV49</f>
        <v>499.20132450331</v>
      </c>
      <c r="BX77" s="3" t="e">
        <f t="shared" si="245"/>
        <v>#REF!</v>
      </c>
      <c r="BY77" s="1">
        <f t="shared" ref="BY77:BY79" si="269">AX77+BY49</f>
        <v>859.802649006622</v>
      </c>
      <c r="CA77" s="3" t="e">
        <f t="shared" si="247"/>
        <v>#REF!</v>
      </c>
    </row>
    <row hidden="1" r="78" ht="14.0" outlineLevel="1">
      <c r="A78" s="27" t="s">
        <v>28</v>
      </c>
      <c r="B78" s="27" t="s">
        <v>98</v>
      </c>
      <c r="C78" s="27" t="s">
        <v>119</v>
      </c>
      <c r="D78" s="27" t="s">
        <v>120</v>
      </c>
      <c r="E78" s="27">
        <v>0.0</v>
      </c>
      <c r="F78" s="27">
        <v>0.0</v>
      </c>
      <c r="G78" s="27">
        <v>0.0</v>
      </c>
      <c r="H78" s="27">
        <v>0.0</v>
      </c>
      <c r="I78" s="27">
        <v>0.0</v>
      </c>
      <c r="J78" s="27">
        <v>0.0</v>
      </c>
      <c r="K78" s="27">
        <v>252.0</v>
      </c>
      <c r="L78" s="27">
        <v>252.0</v>
      </c>
      <c r="M78" s="27">
        <v>0.0</v>
      </c>
      <c r="N78" s="27">
        <v>252.0</v>
      </c>
      <c r="O78" s="27">
        <v>0.0</v>
      </c>
      <c r="P78" s="27">
        <v>0.0</v>
      </c>
      <c r="Q78" s="27">
        <v>252.0</v>
      </c>
      <c r="R78" s="27">
        <v>0.0</v>
      </c>
      <c r="S78" s="27">
        <v>0.0</v>
      </c>
      <c r="T78" s="27">
        <v>252.0</v>
      </c>
      <c r="U78" s="27">
        <v>0.0</v>
      </c>
      <c r="V78" s="27">
        <v>252.0</v>
      </c>
      <c r="W78" s="27">
        <v>0.0</v>
      </c>
      <c r="X78" s="27">
        <v>252.0</v>
      </c>
      <c r="Y78" s="27">
        <v>0.0</v>
      </c>
      <c r="Z78" s="27">
        <v>0.0</v>
      </c>
      <c r="AA78" s="27">
        <v>252.0</v>
      </c>
      <c r="AB78" s="27">
        <v>0.0</v>
      </c>
      <c r="AC78" s="27">
        <v>0.0</v>
      </c>
      <c r="AD78" s="27">
        <v>0.0</v>
      </c>
      <c r="AE78" s="27">
        <v>252.0</v>
      </c>
      <c r="AF78" s="27">
        <v>0.0</v>
      </c>
      <c r="AG78" s="27">
        <v>0.0</v>
      </c>
      <c r="AH78" s="27">
        <v>0.0</v>
      </c>
      <c r="AI78" s="27">
        <v>0.0</v>
      </c>
      <c r="AJ78" s="27">
        <v>252.0</v>
      </c>
      <c r="AK78" s="27">
        <v>0.0</v>
      </c>
      <c r="AL78" s="27">
        <v>252.0</v>
      </c>
      <c r="AM78" s="27">
        <v>0.0</v>
      </c>
      <c r="AN78" s="27">
        <v>0.0</v>
      </c>
      <c r="AO78" s="28">
        <f t="shared" si="219"/>
        <v>1008.0</v>
      </c>
      <c r="AP78" s="28">
        <f t="shared" si="220"/>
        <v>504.0</v>
      </c>
      <c r="AQ78" s="28">
        <f t="shared" si="221"/>
        <v>554.4</v>
      </c>
      <c r="AS78" s="3">
        <f t="shared" si="222"/>
        <v>0.0</v>
      </c>
      <c r="AT78" s="3">
        <f t="shared" si="223"/>
        <v>0.0</v>
      </c>
      <c r="AU78" s="3">
        <f t="shared" si="224"/>
        <v>0.0</v>
      </c>
      <c r="AV78" s="3">
        <f t="shared" si="225"/>
        <v>277.2</v>
      </c>
      <c r="AW78" s="3">
        <f t="shared" si="226"/>
        <v>0.0</v>
      </c>
      <c r="AX78" s="3">
        <f t="shared" si="227"/>
        <v>0.0</v>
      </c>
      <c r="AY78" s="28"/>
      <c r="AZ78" s="28"/>
      <c r="BA78" s="28">
        <f t="shared" si="228"/>
        <v>277.2</v>
      </c>
      <c r="BB78" s="2" t="e">
        <f t="shared" si="229"/>
        <v>#REF!</v>
      </c>
      <c r="BD78" s="1" t="e">
        <f t="shared" si="262"/>
        <v>#REF!</v>
      </c>
      <c r="BE78" s="3" t="e">
        <f t="shared" si="263"/>
        <v>#REF!</v>
      </c>
      <c r="BF78" s="1">
        <f>VLOOKUP(C78,MOQ,3,FALSE())</f>
        <v>1008.0</v>
      </c>
      <c r="BI78" s="1" t="e">
        <f t="shared" si="233"/>
        <v>#REF!</v>
      </c>
      <c r="BJ78" s="1">
        <f t="shared" si="264"/>
        <v>271.942604856512</v>
      </c>
      <c r="BK78" s="1">
        <f t="shared" si="235"/>
      </c>
      <c r="BL78" s="3" t="e">
        <f t="shared" si="236"/>
        <v>#REF!</v>
      </c>
      <c r="BM78" s="1">
        <f t="shared" si="265"/>
        <v>128.962472406181</v>
      </c>
      <c r="BN78" s="1" t="e">
        <f t="shared" si="238"/>
        <v>#REF!</v>
      </c>
      <c r="BO78" s="3" t="e">
        <f t="shared" si="239"/>
        <v>#REF!</v>
      </c>
      <c r="BP78" s="1">
        <f t="shared" si="266"/>
        <v>249.514348785871</v>
      </c>
      <c r="BR78" s="3" t="e">
        <f t="shared" si="241"/>
        <v>#REF!</v>
      </c>
      <c r="BS78" s="1">
        <f t="shared" si="267"/>
        <v>481.857836644591</v>
      </c>
      <c r="BU78" s="3" t="e">
        <f t="shared" si="243"/>
        <v>#REF!</v>
      </c>
      <c r="BV78" s="1">
        <f t="shared" si="268"/>
        <v>159.801324503311</v>
      </c>
      <c r="BX78" s="3" t="e">
        <f t="shared" si="245"/>
        <v>#REF!</v>
      </c>
      <c r="BY78" s="1">
        <f t="shared" si="269"/>
        <v>319.602649006622</v>
      </c>
      <c r="CA78" s="3" t="e">
        <f t="shared" si="247"/>
        <v>#REF!</v>
      </c>
    </row>
    <row hidden="1" r="79" ht="14.0" outlineLevel="1">
      <c r="A79" s="27" t="s">
        <v>28</v>
      </c>
      <c r="B79" s="27" t="s">
        <v>98</v>
      </c>
      <c r="C79" s="27" t="s">
        <v>121</v>
      </c>
      <c r="D79" s="27" t="s">
        <v>122</v>
      </c>
      <c r="E79" s="27">
        <v>0.0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252.0</v>
      </c>
      <c r="L79" s="27">
        <v>252.0</v>
      </c>
      <c r="M79" s="27">
        <v>0.0</v>
      </c>
      <c r="N79" s="27">
        <v>0.0</v>
      </c>
      <c r="O79" s="27">
        <v>0.0</v>
      </c>
      <c r="P79" s="27">
        <v>0.0</v>
      </c>
      <c r="Q79" s="27">
        <v>252.0</v>
      </c>
      <c r="R79" s="27">
        <v>0.0</v>
      </c>
      <c r="S79" s="27">
        <v>252.0</v>
      </c>
      <c r="T79" s="27">
        <v>0.0</v>
      </c>
      <c r="U79" s="27">
        <v>0.0</v>
      </c>
      <c r="V79" s="27">
        <v>252.0</v>
      </c>
      <c r="W79" s="27">
        <v>0.0</v>
      </c>
      <c r="X79" s="27">
        <v>252.0</v>
      </c>
      <c r="Y79" s="27">
        <v>0.0</v>
      </c>
      <c r="Z79" s="27">
        <v>0.0</v>
      </c>
      <c r="AA79" s="27">
        <v>246.0</v>
      </c>
      <c r="AB79" s="27">
        <v>0.0</v>
      </c>
      <c r="AC79" s="27">
        <v>0.0</v>
      </c>
      <c r="AD79" s="27">
        <v>252.0</v>
      </c>
      <c r="AE79" s="27">
        <v>0.0</v>
      </c>
      <c r="AF79" s="27">
        <v>0.0</v>
      </c>
      <c r="AG79" s="27">
        <v>0.0</v>
      </c>
      <c r="AH79" s="27">
        <v>0.0</v>
      </c>
      <c r="AI79" s="27">
        <v>0.0</v>
      </c>
      <c r="AJ79" s="27">
        <v>252.0</v>
      </c>
      <c r="AK79" s="27">
        <v>0.0</v>
      </c>
      <c r="AL79" s="27">
        <v>240.0</v>
      </c>
      <c r="AM79" s="27">
        <v>0.0</v>
      </c>
      <c r="AN79" s="27">
        <v>0.0</v>
      </c>
      <c r="AO79" s="28">
        <f t="shared" si="219"/>
        <v>990.0</v>
      </c>
      <c r="AP79" s="28">
        <f t="shared" si="220"/>
        <v>492.0</v>
      </c>
      <c r="AQ79" s="28">
        <f t="shared" si="221"/>
        <v>541.2</v>
      </c>
      <c r="AS79" s="3">
        <f t="shared" si="222"/>
        <v>0.0</v>
      </c>
      <c r="AT79" s="3">
        <f t="shared" si="223"/>
        <v>0.0</v>
      </c>
      <c r="AU79" s="3">
        <f t="shared" si="224"/>
        <v>277.2</v>
      </c>
      <c r="AV79" s="3">
        <f t="shared" si="225"/>
        <v>0.0</v>
      </c>
      <c r="AW79" s="3">
        <f t="shared" si="226"/>
        <v>0.0</v>
      </c>
      <c r="AX79" s="3">
        <f t="shared" si="227"/>
        <v>0.0</v>
      </c>
      <c r="AY79" s="28"/>
      <c r="AZ79" s="28"/>
      <c r="BA79" s="28">
        <f t="shared" si="228"/>
        <v>277.2</v>
      </c>
      <c r="BB79" s="2" t="e">
        <f t="shared" si="229"/>
        <v>#REF!</v>
      </c>
      <c r="BD79" s="1" t="e">
        <f t="shared" si="262"/>
        <v>#REF!</v>
      </c>
      <c r="BE79" s="3" t="e">
        <f t="shared" si="263"/>
        <v>#REF!</v>
      </c>
      <c r="BF79" s="1">
        <f>VLOOKUP(C79,MOQ,3,FALSE())</f>
        <v>1008.0</v>
      </c>
      <c r="BI79" s="1" t="e">
        <f t="shared" si="233"/>
        <v>#REF!</v>
      </c>
      <c r="BJ79" s="1">
        <f t="shared" si="264"/>
        <v>390.35540838852</v>
      </c>
      <c r="BK79" s="1">
        <f t="shared" si="235"/>
      </c>
      <c r="BL79" s="3" t="e">
        <f t="shared" si="236"/>
        <v>#REF!</v>
      </c>
      <c r="BM79" s="1">
        <f t="shared" si="265"/>
        <v>185.116997792494</v>
      </c>
      <c r="BN79" s="1" t="e">
        <f t="shared" si="238"/>
        <v>#REF!</v>
      </c>
      <c r="BO79" s="3" t="e">
        <f t="shared" si="239"/>
        <v>#REF!</v>
      </c>
      <c r="BP79" s="1">
        <f t="shared" si="266"/>
        <v>635.36114790287</v>
      </c>
      <c r="BR79" s="3" t="e">
        <f t="shared" si="241"/>
        <v>#REF!</v>
      </c>
      <c r="BS79" s="1">
        <f t="shared" si="267"/>
        <v>293.772626931567</v>
      </c>
      <c r="BU79" s="3" t="e">
        <f t="shared" si="243"/>
        <v>#REF!</v>
      </c>
      <c r="BV79" s="1">
        <f t="shared" si="268"/>
        <v>229.384105960264</v>
      </c>
      <c r="BX79" s="3" t="e">
        <f t="shared" si="245"/>
        <v>#REF!</v>
      </c>
      <c r="BY79" s="1">
        <f t="shared" si="269"/>
        <v>458.76821192053</v>
      </c>
      <c r="CA79" s="3" t="e">
        <f t="shared" si="247"/>
        <v>#REF!</v>
      </c>
    </row>
    <row r="80" ht="14.0" collapsed="1">
      <c r="A80" s="27" t="s">
        <v>28</v>
      </c>
      <c r="B80" s="27" t="s">
        <v>29</v>
      </c>
      <c r="C80" s="27" t="s">
        <v>30</v>
      </c>
      <c r="D80" s="27" t="s">
        <v>31</v>
      </c>
      <c r="E80" s="27">
        <v>239.0</v>
      </c>
      <c r="F80" s="27">
        <v>180.0</v>
      </c>
      <c r="G80" s="27">
        <v>180.0</v>
      </c>
      <c r="H80" s="27">
        <v>239.0</v>
      </c>
      <c r="I80" s="27">
        <v>240.0</v>
      </c>
      <c r="J80" s="27">
        <v>179.0</v>
      </c>
      <c r="K80" s="27">
        <v>180.0</v>
      </c>
      <c r="L80" s="27">
        <v>600.0</v>
      </c>
      <c r="M80" s="27">
        <v>60.0</v>
      </c>
      <c r="N80" s="27">
        <v>300.0</v>
      </c>
      <c r="O80" s="27">
        <v>420.0</v>
      </c>
      <c r="P80" s="27">
        <v>359.0</v>
      </c>
      <c r="Q80" s="27">
        <v>419.0</v>
      </c>
      <c r="R80" s="27">
        <v>180.0</v>
      </c>
      <c r="S80" s="27">
        <v>240.0</v>
      </c>
      <c r="T80" s="27">
        <v>359.0</v>
      </c>
      <c r="U80" s="27">
        <v>360.0</v>
      </c>
      <c r="V80" s="27">
        <v>240.0</v>
      </c>
      <c r="W80" s="27">
        <v>120.0</v>
      </c>
      <c r="X80" s="27">
        <v>420.0</v>
      </c>
      <c r="Y80" s="27">
        <v>600.0</v>
      </c>
      <c r="Z80" s="27">
        <v>240.0</v>
      </c>
      <c r="AA80" s="27">
        <v>240.0</v>
      </c>
      <c r="AB80" s="27">
        <v>240.0</v>
      </c>
      <c r="AC80" s="27">
        <v>240.0</v>
      </c>
      <c r="AD80" s="27">
        <v>240.0</v>
      </c>
      <c r="AE80" s="27">
        <v>179.0</v>
      </c>
      <c r="AF80" s="27">
        <v>238.0</v>
      </c>
      <c r="AG80" s="27">
        <v>180.0</v>
      </c>
      <c r="AH80" s="27">
        <v>120.0</v>
      </c>
      <c r="AI80" s="27">
        <v>180.0</v>
      </c>
      <c r="AJ80" s="27">
        <v>120.0</v>
      </c>
      <c r="AK80" s="27">
        <v>720.0</v>
      </c>
      <c r="AL80" s="27">
        <v>180.0</v>
      </c>
      <c r="AM80" s="27">
        <v>60.0</v>
      </c>
      <c r="AN80" s="27">
        <v>240.0</v>
      </c>
      <c r="AO80" s="28">
        <f t="shared" si="219"/>
        <v>2937.0</v>
      </c>
      <c r="AP80" s="28">
        <f t="shared" si="220"/>
        <v>1380.0</v>
      </c>
      <c r="AQ80" s="28">
        <f t="shared" si="221"/>
        <v>1518.0</v>
      </c>
      <c r="AS80" s="179">
        <f t="shared" si="222"/>
        <v>264.0</v>
      </c>
      <c r="AT80" s="179">
        <f t="shared" si="223"/>
        <v>264.0</v>
      </c>
      <c r="AU80" s="179">
        <f t="shared" si="224"/>
        <v>264.0</v>
      </c>
      <c r="AV80" s="179">
        <f t="shared" si="225"/>
        <v>196.9</v>
      </c>
      <c r="AW80" s="179">
        <f t="shared" si="226"/>
        <v>261.8</v>
      </c>
      <c r="AX80" s="179">
        <f t="shared" si="227"/>
        <v>198.0</v>
      </c>
      <c r="AY80" s="180">
        <f t="shared" ref="AY80:AY84" si="270">AQ80*$AY$70/$AQ$70</f>
        <v>142.380952380952</v>
      </c>
      <c r="AZ80" s="180">
        <f t="shared" ref="AZ80:AZ84" si="271">AQ80*$AZ$70/$AQ$70</f>
        <v>290.238095238095</v>
      </c>
      <c r="BA80" s="28">
        <f t="shared" ref="BA80:BA84" si="272">SUM(AS80:AZ80)</f>
        <v>1881.31904761904</v>
      </c>
      <c r="BB80" s="2" t="e">
        <f t="shared" ref="BB80:BB84" si="273">VLOOKUP(D80,MAY13SOH,3,false)</f>
        <v>#REF!</v>
      </c>
      <c r="BC80" s="1" t="e">
        <f>VLOOKUP(C80,CHINAMAY5,3,false)</f>
        <v>#REF!</v>
      </c>
      <c r="BE80" s="28" t="e">
        <f t="shared" ref="BE80:BE81" si="275">BB80+BC80+BD80-BA80-BA8</f>
        <v>#REF!</v>
      </c>
      <c r="BF80" s="29">
        <f>VLOOKUP(C80,MOQ,3,FALSE())</f>
        <v>504.0</v>
      </c>
      <c r="BG80" s="30"/>
      <c r="BH80" s="1" t="s">
        <v>5</v>
      </c>
      <c r="BI80" s="1" t="e">
        <f t="shared" si="233"/>
        <v>#REF!</v>
      </c>
      <c r="BJ80" s="1">
        <f t="shared" ref="BJ80:BJ81" si="276">AS80+BJ8</f>
        <v>854.783664459161</v>
      </c>
      <c r="BK80" s="1" t="e">
        <f t="shared" si="235"/>
        <v>#REF!</v>
      </c>
      <c r="BL80" s="3" t="e">
        <f t="shared" si="236"/>
        <v>#REF!</v>
      </c>
      <c r="BM80" s="1">
        <f t="shared" ref="BM80:BM81" si="277">AT80+BM8</f>
        <v>547.32008830022</v>
      </c>
      <c r="BN80" s="1">
        <f t="shared" si="238"/>
      </c>
      <c r="BO80" s="3" t="e">
        <f t="shared" si="239"/>
        <v>#REF!</v>
      </c>
      <c r="BP80" s="1">
        <f t="shared" ref="BP80:BP81" si="278">AU80+BP8</f>
        <v>806.55408388521</v>
      </c>
      <c r="BR80" s="3" t="e">
        <f t="shared" si="241"/>
        <v>#REF!</v>
      </c>
      <c r="BS80" s="1">
        <f t="shared" ref="BS80:BS81" si="279">AV80+BS8</f>
        <v>642.994922737307</v>
      </c>
      <c r="BU80" s="3" t="e">
        <f t="shared" si="243"/>
        <v>#REF!</v>
      </c>
      <c r="BV80" s="1">
        <f t="shared" ref="BV80:BV81" si="280">AW80+BV8</f>
        <v>611.435761589403</v>
      </c>
      <c r="BX80" s="3" t="e">
        <f t="shared" si="245"/>
        <v>#REF!</v>
      </c>
      <c r="BY80" s="1">
        <f t="shared" ref="BY80:BY81" si="281">AX80+BY8</f>
        <v>891.271523178808</v>
      </c>
      <c r="CA80" s="3" t="e">
        <f t="shared" si="247"/>
        <v>#REF!</v>
      </c>
      <c r="CB80" s="1">
        <f t="shared" ref="CB80:CB84" si="282">AY80+CB8</f>
        <v>914.025543992431</v>
      </c>
      <c r="CD80" s="3" t="e">
        <f t="shared" ref="CD80:CD84" si="283">CA80+CC80-CB80</f>
        <v>#REF!</v>
      </c>
      <c r="CE80" s="1">
        <f t="shared" ref="CE80:CE84" si="284">AZ80+CE8</f>
        <v>989.538315988646</v>
      </c>
      <c r="CG80" s="3" t="e">
        <f t="shared" ref="CG80:CG84" si="285">CD80+CF80-CE80</f>
        <v>#REF!</v>
      </c>
    </row>
    <row r="81" ht="14.0">
      <c r="A81" s="27" t="s">
        <v>28</v>
      </c>
      <c r="B81" s="27" t="s">
        <v>29</v>
      </c>
      <c r="C81" s="27" t="s">
        <v>33</v>
      </c>
      <c r="D81" s="27" t="s">
        <v>34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0.0</v>
      </c>
      <c r="AC81" s="27">
        <v>0.0</v>
      </c>
      <c r="AD81" s="27">
        <v>336.0</v>
      </c>
      <c r="AE81" s="27">
        <v>24.0</v>
      </c>
      <c r="AF81" s="27">
        <v>0.0</v>
      </c>
      <c r="AG81" s="27">
        <v>72.0</v>
      </c>
      <c r="AH81" s="27">
        <v>72.0</v>
      </c>
      <c r="AI81" s="27">
        <v>72.0</v>
      </c>
      <c r="AJ81" s="27">
        <v>0.0</v>
      </c>
      <c r="AK81" s="27">
        <v>216.0</v>
      </c>
      <c r="AL81" s="27">
        <v>78.0</v>
      </c>
      <c r="AM81" s="27">
        <v>0.0</v>
      </c>
      <c r="AN81" s="27">
        <v>72.0</v>
      </c>
      <c r="AO81" s="28">
        <f t="shared" si="219"/>
        <v>870.0</v>
      </c>
      <c r="AP81" s="28">
        <f t="shared" si="220"/>
        <v>438.0</v>
      </c>
      <c r="AQ81" s="28">
        <f t="shared" si="221"/>
        <v>481.8</v>
      </c>
      <c r="AS81" s="3">
        <f t="shared" si="222"/>
        <v>0.0</v>
      </c>
      <c r="AT81" s="3">
        <f t="shared" si="223"/>
        <v>0.0</v>
      </c>
      <c r="AU81" s="3">
        <f t="shared" si="224"/>
        <v>369.6</v>
      </c>
      <c r="AV81" s="3">
        <f t="shared" si="225"/>
        <v>26.4</v>
      </c>
      <c r="AW81" s="3">
        <f t="shared" si="226"/>
        <v>0.0</v>
      </c>
      <c r="AX81" s="179">
        <f t="shared" si="227"/>
        <v>79.2</v>
      </c>
      <c r="AY81" s="180">
        <f t="shared" si="270"/>
        <v>45.1904761904761</v>
      </c>
      <c r="AZ81" s="180">
        <f t="shared" si="271"/>
        <v>92.1190476190476</v>
      </c>
      <c r="BA81" s="28">
        <f t="shared" si="272"/>
        <v>612.509523809523</v>
      </c>
      <c r="BB81" s="2" t="e">
        <f t="shared" si="273"/>
        <v>#REF!</v>
      </c>
      <c r="BE81" s="28" t="e">
        <f t="shared" si="275"/>
        <v>#REF!</v>
      </c>
      <c r="BF81" s="29">
        <f>VLOOKUP(C81,MOQ,3,FALSE())</f>
        <v>504.0</v>
      </c>
      <c r="BG81" s="15"/>
      <c r="BH81" s="1" t="s">
        <v>10</v>
      </c>
      <c r="BI81" s="1" t="e">
        <f t="shared" si="233"/>
        <v>#REF!</v>
      </c>
      <c r="BJ81" s="1">
        <f t="shared" si="276"/>
        <v>337.4701986755</v>
      </c>
      <c r="BK81" s="1">
        <f t="shared" si="235"/>
      </c>
      <c r="BL81" s="3" t="e">
        <f t="shared" si="236"/>
        <v>#REF!</v>
      </c>
      <c r="BM81" s="1">
        <f t="shared" si="277"/>
        <v>163.192052980132</v>
      </c>
      <c r="BN81" s="1">
        <f t="shared" si="238"/>
      </c>
      <c r="BO81" s="3" t="e">
        <f t="shared" si="239"/>
        <v>#REF!</v>
      </c>
      <c r="BP81" s="1">
        <f t="shared" si="278"/>
        <v>679.73245033112</v>
      </c>
      <c r="BR81" s="3" t="e">
        <f t="shared" si="241"/>
        <v>#REF!</v>
      </c>
      <c r="BS81" s="1">
        <f t="shared" si="279"/>
        <v>281.856953642384</v>
      </c>
      <c r="BU81" s="3" t="e">
        <f t="shared" si="243"/>
        <v>#REF!</v>
      </c>
      <c r="BV81" s="1">
        <f t="shared" si="280"/>
        <v>200.781456953642</v>
      </c>
      <c r="BX81" s="3" t="e">
        <f t="shared" si="245"/>
        <v>#REF!</v>
      </c>
      <c r="BY81" s="1">
        <f t="shared" si="281"/>
        <v>474.762913907284</v>
      </c>
      <c r="CA81" s="3" t="e">
        <f t="shared" si="247"/>
        <v>#REF!</v>
      </c>
      <c r="CB81" s="1">
        <f t="shared" si="282"/>
        <v>485.177231157363</v>
      </c>
      <c r="CD81" s="3" t="e">
        <f t="shared" si="283"/>
        <v>#REF!</v>
      </c>
      <c r="CE81" s="1">
        <f t="shared" si="284"/>
        <v>491.09918006938</v>
      </c>
      <c r="CG81" s="3" t="e">
        <f t="shared" si="285"/>
        <v>#REF!</v>
      </c>
    </row>
    <row r="82" ht="14.0">
      <c r="A82" s="40" t="s">
        <v>28</v>
      </c>
      <c r="B82" s="40" t="s">
        <v>29</v>
      </c>
      <c r="C82" s="40" t="s">
        <v>60</v>
      </c>
      <c r="D82" s="40" t="s">
        <v>61</v>
      </c>
      <c r="E82" s="34">
        <v>0.0</v>
      </c>
      <c r="F82" s="34">
        <v>0.0</v>
      </c>
      <c r="G82" s="34">
        <v>0.0</v>
      </c>
      <c r="H82" s="34">
        <v>0.0</v>
      </c>
      <c r="I82" s="34">
        <v>0.0</v>
      </c>
      <c r="J82" s="34">
        <v>0.0</v>
      </c>
      <c r="K82" s="34">
        <v>0.0</v>
      </c>
      <c r="L82" s="34">
        <v>0.0</v>
      </c>
      <c r="M82" s="34">
        <v>0.0</v>
      </c>
      <c r="N82" s="34">
        <v>0.0</v>
      </c>
      <c r="O82" s="34">
        <v>0.0</v>
      </c>
      <c r="P82" s="34">
        <v>0.0</v>
      </c>
      <c r="Q82" s="34">
        <v>0.0</v>
      </c>
      <c r="R82" s="34">
        <v>0.0</v>
      </c>
      <c r="S82" s="34">
        <v>0.0</v>
      </c>
      <c r="T82" s="34">
        <v>0.0</v>
      </c>
      <c r="U82" s="34">
        <v>0.0</v>
      </c>
      <c r="V82" s="34">
        <v>0.0</v>
      </c>
      <c r="W82" s="34">
        <v>0.0</v>
      </c>
      <c r="X82" s="34">
        <v>0.0</v>
      </c>
      <c r="Y82" s="34">
        <v>0.0</v>
      </c>
      <c r="Z82" s="34">
        <v>0.0</v>
      </c>
      <c r="AA82" s="34">
        <v>0.0</v>
      </c>
      <c r="AB82" s="34">
        <v>0.0</v>
      </c>
      <c r="AC82" s="34">
        <v>0.0</v>
      </c>
      <c r="AD82" s="34">
        <v>120.0</v>
      </c>
      <c r="AE82" s="34">
        <v>0.0</v>
      </c>
      <c r="AF82" s="34">
        <v>60.0</v>
      </c>
      <c r="AG82" s="34">
        <v>0.0</v>
      </c>
      <c r="AH82" s="34">
        <v>60.0</v>
      </c>
      <c r="AI82" s="34">
        <v>59.0</v>
      </c>
      <c r="AJ82" s="34">
        <v>0.0</v>
      </c>
      <c r="AK82" s="34">
        <v>-2.0</v>
      </c>
      <c r="AL82" s="34">
        <v>11.0</v>
      </c>
      <c r="AM82" s="34">
        <v>0.0</v>
      </c>
      <c r="AN82" s="34">
        <v>0.0</v>
      </c>
      <c r="AO82" s="35">
        <f t="shared" si="219"/>
        <v>308.0</v>
      </c>
      <c r="AP82" s="35">
        <f t="shared" si="220"/>
        <v>128.0</v>
      </c>
      <c r="AQ82" s="35">
        <f t="shared" si="221"/>
        <v>140.8</v>
      </c>
      <c r="AR82" s="36"/>
      <c r="AS82" s="181">
        <f>AB82*1.1+AS80</f>
        <v>264.0</v>
      </c>
      <c r="AT82" s="181">
        <f>AC82*1.1+AT80</f>
        <v>264.0</v>
      </c>
      <c r="AU82" s="182">
        <f>AD82*1.1+AU80+AU84</f>
        <v>607.2</v>
      </c>
      <c r="AV82" s="182">
        <f>AE82*1.1+AV80*0.5+AV84*0.5</f>
        <v>230.45</v>
      </c>
      <c r="AW82" s="182">
        <f t="shared" ref="AW82:AW83" si="290">AF82*1.1*1.2</f>
        <v>79.2</v>
      </c>
      <c r="AX82" s="182">
        <f t="shared" ref="AX82:AX83" si="291">AG82*1.1*1.2</f>
        <v>0.0</v>
      </c>
      <c r="AY82" s="180">
        <f t="shared" si="270"/>
        <v>13.2063492063492</v>
      </c>
      <c r="AZ82" s="180">
        <f t="shared" si="271"/>
        <v>26.9206349206349</v>
      </c>
      <c r="BA82" s="28">
        <f t="shared" si="272"/>
        <v>1484.97698412698</v>
      </c>
      <c r="BB82" s="2" t="e">
        <f t="shared" si="273"/>
        <v>#REF!</v>
      </c>
      <c r="BC82" s="36"/>
      <c r="BD82" s="36" t="e">
        <f t="shared" ref="BD82:BD83" si="292">VLOOKUP(C82,CHINAJUNE,3,false)</f>
        <v>#REF!</v>
      </c>
      <c r="BE82" s="28" t="e">
        <f>BB82+BC82+BD82-BA82-BA22</f>
        <v>#REF!</v>
      </c>
      <c r="BF82" s="37">
        <f>VLOOKUP(C82,MOQ,3,FALSE())</f>
        <v>3000.0</v>
      </c>
      <c r="BG82" s="177" t="e">
        <f>BE82*-1</f>
        <v>#REF!</v>
      </c>
      <c r="BH82" s="29" t="s">
        <v>7</v>
      </c>
      <c r="BI82" s="36" t="e">
        <f t="shared" si="233"/>
        <v>#REF!</v>
      </c>
      <c r="BJ82" s="36">
        <f>AS82+BJ22</f>
        <v>954.348785871964</v>
      </c>
      <c r="BK82" s="36">
        <f t="shared" si="235"/>
      </c>
      <c r="BL82" s="35" t="e">
        <f t="shared" si="236"/>
        <v>#REF!</v>
      </c>
      <c r="BM82" s="36">
        <f>AT82+BM22</f>
        <v>874.701986754966</v>
      </c>
      <c r="BN82" s="36" t="e">
        <f t="shared" si="238"/>
        <v>#REF!</v>
      </c>
      <c r="BO82" s="35" t="e">
        <f t="shared" si="239"/>
        <v>#REF!</v>
      </c>
      <c r="BP82" s="36">
        <f>AU82+BP22</f>
        <v>1783.16688741721</v>
      </c>
      <c r="BQ82" s="36"/>
      <c r="BR82" s="35" t="e">
        <f t="shared" si="241"/>
        <v>#REF!</v>
      </c>
      <c r="BS82" s="36">
        <f>AV82+BS22</f>
        <v>1153.14757174393</v>
      </c>
      <c r="BT82" s="36"/>
      <c r="BU82" s="35" t="e">
        <f t="shared" si="243"/>
        <v>#REF!</v>
      </c>
      <c r="BV82" s="36">
        <f>AW82+BV22</f>
        <v>642.882119205297</v>
      </c>
      <c r="BW82" s="36"/>
      <c r="BX82" s="35" t="e">
        <f t="shared" si="245"/>
        <v>#REF!</v>
      </c>
      <c r="BY82" s="36">
        <f>AX82+BY22</f>
        <v>1122.86423841059</v>
      </c>
      <c r="BZ82" s="36"/>
      <c r="CA82" s="35" t="e">
        <f t="shared" si="247"/>
        <v>#REF!</v>
      </c>
      <c r="CB82" s="1">
        <f t="shared" si="282"/>
        <v>13.2063492063492</v>
      </c>
      <c r="CD82" s="3" t="e">
        <f t="shared" si="283"/>
        <v>#REF!</v>
      </c>
      <c r="CE82" s="1">
        <f t="shared" si="284"/>
        <v>26.9206349206349</v>
      </c>
      <c r="CG82" s="3" t="e">
        <f t="shared" si="285"/>
        <v>#REF!</v>
      </c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AMI82" s="39"/>
      <c r="AMJ82" s="39"/>
      <c r="AMK82" s="39"/>
      <c r="AML82" s="39"/>
    </row>
    <row r="83" ht="14.0">
      <c r="A83" s="40" t="s">
        <v>28</v>
      </c>
      <c r="B83" s="40" t="s">
        <v>29</v>
      </c>
      <c r="C83" s="40" t="s">
        <v>65</v>
      </c>
      <c r="D83" s="40" t="s">
        <v>66</v>
      </c>
      <c r="E83" s="34">
        <v>0.0</v>
      </c>
      <c r="F83" s="34">
        <v>0.0</v>
      </c>
      <c r="G83" s="34">
        <v>0.0</v>
      </c>
      <c r="H83" s="34">
        <v>0.0</v>
      </c>
      <c r="I83" s="34">
        <v>0.0</v>
      </c>
      <c r="J83" s="34">
        <v>0.0</v>
      </c>
      <c r="K83" s="34">
        <v>0.0</v>
      </c>
      <c r="L83" s="34">
        <v>0.0</v>
      </c>
      <c r="M83" s="34">
        <v>0.0</v>
      </c>
      <c r="N83" s="34">
        <v>0.0</v>
      </c>
      <c r="O83" s="34">
        <v>0.0</v>
      </c>
      <c r="P83" s="34">
        <v>0.0</v>
      </c>
      <c r="Q83" s="34">
        <v>0.0</v>
      </c>
      <c r="R83" s="34">
        <v>0.0</v>
      </c>
      <c r="S83" s="34">
        <v>0.0</v>
      </c>
      <c r="T83" s="34">
        <v>0.0</v>
      </c>
      <c r="U83" s="34">
        <v>0.0</v>
      </c>
      <c r="V83" s="34">
        <v>0.0</v>
      </c>
      <c r="W83" s="34">
        <v>0.0</v>
      </c>
      <c r="X83" s="34">
        <v>0.0</v>
      </c>
      <c r="Y83" s="34">
        <v>0.0</v>
      </c>
      <c r="Z83" s="34">
        <v>0.0</v>
      </c>
      <c r="AA83" s="34">
        <v>0.0</v>
      </c>
      <c r="AB83" s="34">
        <v>0.0</v>
      </c>
      <c r="AC83" s="34">
        <v>0.0</v>
      </c>
      <c r="AD83" s="34">
        <v>120.0</v>
      </c>
      <c r="AE83" s="34">
        <v>0.0</v>
      </c>
      <c r="AF83" s="34">
        <v>0.0</v>
      </c>
      <c r="AG83" s="34">
        <v>0.0</v>
      </c>
      <c r="AH83" s="34">
        <v>0.0</v>
      </c>
      <c r="AI83" s="34">
        <v>0.0</v>
      </c>
      <c r="AJ83" s="34">
        <v>0.0</v>
      </c>
      <c r="AK83" s="34">
        <v>59.0</v>
      </c>
      <c r="AL83" s="34">
        <v>0.0</v>
      </c>
      <c r="AM83" s="34">
        <v>0.0</v>
      </c>
      <c r="AN83" s="34">
        <v>60.0</v>
      </c>
      <c r="AO83" s="35">
        <f t="shared" si="219"/>
        <v>179.0</v>
      </c>
      <c r="AP83" s="35">
        <f t="shared" si="220"/>
        <v>59.0</v>
      </c>
      <c r="AQ83" s="35">
        <f t="shared" si="221"/>
        <v>64.9</v>
      </c>
      <c r="AR83" s="36"/>
      <c r="AS83" s="181">
        <f t="shared" ref="AS83:AS100" si="301">AB83*1.1</f>
        <v>0.0</v>
      </c>
      <c r="AT83" s="181">
        <f t="shared" ref="AT83:AT100" si="302">AC83*1.1</f>
        <v>0.0</v>
      </c>
      <c r="AU83" s="181">
        <f t="shared" ref="AU83:AU100" si="303">AD83*1.1</f>
        <v>132.0</v>
      </c>
      <c r="AV83" s="182">
        <f>AE83*1.1*1.2</f>
        <v>0.0</v>
      </c>
      <c r="AW83" s="182">
        <f t="shared" si="290"/>
        <v>0.0</v>
      </c>
      <c r="AX83" s="182">
        <f t="shared" si="291"/>
        <v>0.0</v>
      </c>
      <c r="AY83" s="180">
        <f t="shared" si="270"/>
        <v>6.08730158730159</v>
      </c>
      <c r="AZ83" s="180">
        <f t="shared" si="271"/>
        <v>12.4087301587301</v>
      </c>
      <c r="BA83" s="28">
        <f t="shared" si="272"/>
        <v>150.496031746031</v>
      </c>
      <c r="BB83" s="2" t="e">
        <f t="shared" si="273"/>
        <v>#REF!</v>
      </c>
      <c r="BC83" s="36"/>
      <c r="BD83" s="36" t="e">
        <f t="shared" si="292"/>
        <v>#REF!</v>
      </c>
      <c r="BE83" s="28" t="e">
        <f>BB83+BC83+BD83-BA83-BA24</f>
        <v>#REF!</v>
      </c>
      <c r="BF83" s="37">
        <f>VLOOKUP(C83,MOQ,3,FALSE())</f>
        <v>3000.0</v>
      </c>
      <c r="BG83" s="177">
        <f>BF83</f>
        <v>3000.0</v>
      </c>
      <c r="BH83" s="29" t="s">
        <v>8</v>
      </c>
      <c r="BI83" s="36" t="e">
        <f t="shared" si="233"/>
        <v>#REF!</v>
      </c>
      <c r="BJ83" s="36">
        <f>AS83+BJ24</f>
        <v>719.710816777045</v>
      </c>
      <c r="BK83" s="36">
        <f t="shared" si="235"/>
      </c>
      <c r="BL83" s="35" t="e">
        <f t="shared" si="236"/>
        <v>#REF!</v>
      </c>
      <c r="BM83" s="36">
        <f>AT83+BM24</f>
        <v>342.23399558499</v>
      </c>
      <c r="BN83" s="36" t="e">
        <f t="shared" si="238"/>
        <v>#REF!</v>
      </c>
      <c r="BO83" s="35" t="e">
        <f t="shared" si="239"/>
        <v>#REF!</v>
      </c>
      <c r="BP83" s="36">
        <f>AU83+BP24</f>
        <v>795.322295805739</v>
      </c>
      <c r="BQ83" s="36"/>
      <c r="BR83" s="35" t="e">
        <f t="shared" si="241"/>
        <v>#REF!</v>
      </c>
      <c r="BS83" s="36">
        <f>AV83+BS24</f>
        <v>468.631346578366</v>
      </c>
      <c r="BT83" s="36"/>
      <c r="BU83" s="35" t="e">
        <f t="shared" si="243"/>
        <v>#REF!</v>
      </c>
      <c r="BV83" s="36">
        <f>AW83+BV24</f>
        <v>336.423841059602</v>
      </c>
      <c r="BW83" s="36"/>
      <c r="BX83" s="35" t="e">
        <f t="shared" si="245"/>
        <v>#REF!</v>
      </c>
      <c r="BY83" s="36">
        <f>AX83+BY24</f>
        <v>671.347682119204</v>
      </c>
      <c r="BZ83" s="36"/>
      <c r="CA83" s="35" t="e">
        <f t="shared" si="247"/>
        <v>#REF!</v>
      </c>
      <c r="CB83" s="1">
        <f t="shared" si="282"/>
        <v>6.08730158730159</v>
      </c>
      <c r="CD83" s="3" t="e">
        <f t="shared" si="283"/>
        <v>#REF!</v>
      </c>
      <c r="CE83" s="1">
        <f t="shared" si="284"/>
        <v>12.4087301587301</v>
      </c>
      <c r="CG83" s="3" t="e">
        <f t="shared" si="285"/>
        <v>#REF!</v>
      </c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AMI83" s="39"/>
      <c r="AMJ83" s="39"/>
      <c r="AMK83" s="39"/>
      <c r="AML83" s="39"/>
    </row>
    <row r="84" ht="14.0">
      <c r="A84" s="27" t="s">
        <v>28</v>
      </c>
      <c r="B84" s="27" t="s">
        <v>29</v>
      </c>
      <c r="C84" s="27" t="s">
        <v>69</v>
      </c>
      <c r="D84" s="27" t="s">
        <v>70</v>
      </c>
      <c r="E84" s="27">
        <v>336.0</v>
      </c>
      <c r="F84" s="27">
        <v>92.0</v>
      </c>
      <c r="G84" s="27">
        <v>144.0</v>
      </c>
      <c r="H84" s="27">
        <v>240.0</v>
      </c>
      <c r="I84" s="27">
        <v>240.0</v>
      </c>
      <c r="J84" s="27">
        <v>96.0</v>
      </c>
      <c r="K84" s="27">
        <v>192.0</v>
      </c>
      <c r="L84" s="27">
        <v>768.0</v>
      </c>
      <c r="M84" s="27">
        <v>143.0</v>
      </c>
      <c r="N84" s="27">
        <v>144.0</v>
      </c>
      <c r="O84" s="27">
        <v>144.0</v>
      </c>
      <c r="P84" s="27">
        <v>286.0</v>
      </c>
      <c r="Q84" s="27">
        <v>288.0</v>
      </c>
      <c r="R84" s="27">
        <v>144.0</v>
      </c>
      <c r="S84" s="27">
        <v>192.0</v>
      </c>
      <c r="T84" s="27">
        <v>240.0</v>
      </c>
      <c r="U84" s="27">
        <v>240.0</v>
      </c>
      <c r="V84" s="27">
        <v>192.0</v>
      </c>
      <c r="W84" s="27">
        <v>144.0</v>
      </c>
      <c r="X84" s="27">
        <v>278.0</v>
      </c>
      <c r="Y84" s="27">
        <v>528.0</v>
      </c>
      <c r="Z84" s="27">
        <v>0.0</v>
      </c>
      <c r="AA84" s="27">
        <v>336.0</v>
      </c>
      <c r="AB84" s="27">
        <v>96.0</v>
      </c>
      <c r="AC84" s="27">
        <v>192.0</v>
      </c>
      <c r="AD84" s="27">
        <v>192.0</v>
      </c>
      <c r="AE84" s="27">
        <v>240.0</v>
      </c>
      <c r="AF84" s="27">
        <v>87.0</v>
      </c>
      <c r="AG84" s="27">
        <v>192.0</v>
      </c>
      <c r="AH84" s="27">
        <v>96.0</v>
      </c>
      <c r="AI84" s="27">
        <v>191.0</v>
      </c>
      <c r="AJ84" s="27">
        <v>144.0</v>
      </c>
      <c r="AK84" s="27">
        <v>575.0</v>
      </c>
      <c r="AL84" s="27">
        <v>48.0</v>
      </c>
      <c r="AM84" s="27">
        <v>96.0</v>
      </c>
      <c r="AN84" s="27">
        <v>144.0</v>
      </c>
      <c r="AO84" s="28">
        <f t="shared" si="219"/>
        <v>2485.0</v>
      </c>
      <c r="AP84" s="28">
        <f t="shared" si="220"/>
        <v>1150.0</v>
      </c>
      <c r="AQ84" s="28">
        <f t="shared" si="221"/>
        <v>1265.0</v>
      </c>
      <c r="AS84" s="3">
        <f t="shared" si="301"/>
        <v>105.6</v>
      </c>
      <c r="AT84" s="3">
        <f t="shared" si="302"/>
        <v>211.2</v>
      </c>
      <c r="AU84" s="179">
        <f t="shared" si="303"/>
        <v>211.2</v>
      </c>
      <c r="AV84" s="179">
        <f t="shared" ref="AV84:AV100" si="313">AE84*1.1</f>
        <v>264.0</v>
      </c>
      <c r="AW84" s="179">
        <f t="shared" ref="AW84:AW100" si="314">AF84*1.1</f>
        <v>95.7</v>
      </c>
      <c r="AX84" s="179">
        <f t="shared" ref="AX84:AX100" si="315">AG84*1.1</f>
        <v>211.2</v>
      </c>
      <c r="AY84" s="180">
        <f t="shared" si="270"/>
        <v>118.650793650793</v>
      </c>
      <c r="AZ84" s="180">
        <f t="shared" si="271"/>
        <v>241.865079365079</v>
      </c>
      <c r="BA84" s="28">
        <f t="shared" si="272"/>
        <v>1459.41587301587</v>
      </c>
      <c r="BB84" s="2" t="e">
        <f t="shared" si="273"/>
        <v>#REF!</v>
      </c>
      <c r="BE84" s="28" t="e">
        <f>BB84+BC84+BD84-BA84-BA26</f>
        <v>#REF!</v>
      </c>
      <c r="BF84" s="29">
        <f>VLOOKUP(C84,MOQ,3,FALSE())</f>
        <v>1620.0</v>
      </c>
      <c r="BG84" s="30"/>
      <c r="BH84" s="1" t="s">
        <v>7</v>
      </c>
      <c r="BI84" s="1" t="e">
        <f t="shared" si="233"/>
        <v>#REF!</v>
      </c>
      <c r="BJ84" s="1">
        <f>AS84+BJ26</f>
        <v>576.520529801324</v>
      </c>
      <c r="BK84" s="1">
        <f t="shared" si="235"/>
      </c>
      <c r="BL84" s="3" t="e">
        <f t="shared" si="236"/>
        <v>#REF!</v>
      </c>
      <c r="BM84" s="1">
        <f>AT84+BM26</f>
        <v>436.37880794702</v>
      </c>
      <c r="BN84" s="1">
        <f t="shared" si="238"/>
      </c>
      <c r="BO84" s="3" t="e">
        <f t="shared" si="239"/>
        <v>#REF!</v>
      </c>
      <c r="BP84" s="1">
        <f>AU84+BP26</f>
        <v>649.219867549669</v>
      </c>
      <c r="BR84" s="3" t="e">
        <f t="shared" si="241"/>
        <v>#REF!</v>
      </c>
      <c r="BS84" s="1">
        <f>AV84+BS26</f>
        <v>624.21854304636</v>
      </c>
      <c r="BU84" s="3" t="e">
        <f t="shared" si="243"/>
        <v>#REF!</v>
      </c>
      <c r="BV84" s="1">
        <f>AW84+BV26</f>
        <v>378.117218543046</v>
      </c>
      <c r="BX84" s="3" t="e">
        <f t="shared" si="245"/>
        <v>#REF!</v>
      </c>
      <c r="BY84" s="1">
        <f>AX84+BY26</f>
        <v>764.034437086091</v>
      </c>
      <c r="CA84" s="3" t="e">
        <f t="shared" si="247"/>
        <v>#REF!</v>
      </c>
      <c r="CB84" s="1">
        <f t="shared" si="282"/>
        <v>118.650793650793</v>
      </c>
      <c r="CD84" s="3" t="e">
        <f t="shared" si="283"/>
        <v>#REF!</v>
      </c>
      <c r="CE84" s="1">
        <f t="shared" si="284"/>
        <v>241.865079365079</v>
      </c>
      <c r="CG84" s="3" t="e">
        <f t="shared" si="285"/>
        <v>#REF!</v>
      </c>
    </row>
    <row hidden="1" r="85" ht="14.0" outlineLevel="1">
      <c r="A85" s="27" t="s">
        <v>28</v>
      </c>
      <c r="B85" s="27" t="s">
        <v>29</v>
      </c>
      <c r="C85" s="27" t="s">
        <v>80</v>
      </c>
      <c r="D85" s="27" t="s">
        <v>81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0.0</v>
      </c>
      <c r="AC85" s="27">
        <v>0.0</v>
      </c>
      <c r="AD85" s="27">
        <v>360.0</v>
      </c>
      <c r="AE85" s="27">
        <v>0.0</v>
      </c>
      <c r="AF85" s="27">
        <v>60.0</v>
      </c>
      <c r="AG85" s="27">
        <v>60.0</v>
      </c>
      <c r="AH85" s="27">
        <v>60.0</v>
      </c>
      <c r="AI85" s="27">
        <v>120.0</v>
      </c>
      <c r="AJ85" s="27">
        <v>60.0</v>
      </c>
      <c r="AK85" s="27">
        <v>180.0</v>
      </c>
      <c r="AL85" s="27">
        <v>120.0</v>
      </c>
      <c r="AM85" s="27">
        <v>60.0</v>
      </c>
      <c r="AN85" s="27">
        <v>120.0</v>
      </c>
      <c r="AO85" s="28">
        <f t="shared" si="219"/>
        <v>1080.0</v>
      </c>
      <c r="AP85" s="28">
        <f t="shared" si="220"/>
        <v>600.0</v>
      </c>
      <c r="AQ85" s="28">
        <f t="shared" si="221"/>
        <v>660.0</v>
      </c>
      <c r="AS85" s="3">
        <f t="shared" si="301"/>
        <v>0.0</v>
      </c>
      <c r="AT85" s="3">
        <f t="shared" si="302"/>
        <v>0.0</v>
      </c>
      <c r="AU85" s="3">
        <f t="shared" si="303"/>
        <v>396.0</v>
      </c>
      <c r="AV85" s="3">
        <f t="shared" si="313"/>
        <v>0.0</v>
      </c>
      <c r="AW85" s="3">
        <f t="shared" si="314"/>
        <v>66.0</v>
      </c>
      <c r="AX85" s="3">
        <f t="shared" si="315"/>
        <v>66.0</v>
      </c>
      <c r="AY85" s="28"/>
      <c r="AZ85" s="28"/>
      <c r="BA85" s="28">
        <f t="shared" ref="BA85:BA100" si="323">SUM(AS85:AX85)</f>
        <v>528.0</v>
      </c>
      <c r="BB85" s="2" t="e">
        <f t="shared" ref="BB85:BB100" si="324">VLOOKUP(D85,MAY1,3,false)</f>
        <v>#REF!</v>
      </c>
      <c r="BE85" s="3" t="e">
        <f>BB85+BC85+BD85-BA85-BA31</f>
        <v>#REF!</v>
      </c>
      <c r="BF85" s="1">
        <f>VLOOKUP(C85,MOQ,3,FALSE())</f>
        <v>3000.0</v>
      </c>
      <c r="BI85" s="1" t="e">
        <f t="shared" si="233"/>
        <v>#REF!</v>
      </c>
      <c r="BJ85" s="1">
        <f>AS85+BJ31</f>
        <v>723.172185430463</v>
      </c>
      <c r="BK85" s="1">
        <f t="shared" si="235"/>
      </c>
      <c r="BL85" s="3" t="e">
        <f t="shared" si="236"/>
        <v>#REF!</v>
      </c>
      <c r="BM85" s="1">
        <f>AT85+BM31</f>
        <v>339.11258278146</v>
      </c>
      <c r="BN85" s="1">
        <f t="shared" si="238"/>
      </c>
      <c r="BO85" s="3" t="e">
        <f t="shared" si="239"/>
        <v>#REF!</v>
      </c>
      <c r="BP85" s="1">
        <f>AU85+BP31</f>
        <v>1054.45695364238</v>
      </c>
      <c r="BR85" s="3" t="e">
        <f t="shared" si="241"/>
        <v>#REF!</v>
      </c>
      <c r="BS85" s="1">
        <f>AV85+BS31</f>
        <v>541.026490066225</v>
      </c>
      <c r="BU85" s="3" t="e">
        <f t="shared" si="243"/>
        <v>#REF!</v>
      </c>
      <c r="BV85" s="1">
        <f>AW85+BV31</f>
        <v>489.596026490066</v>
      </c>
      <c r="BX85" s="3" t="e">
        <f t="shared" si="245"/>
        <v>#REF!</v>
      </c>
      <c r="BY85" s="1">
        <f>AX85+BY31</f>
        <v>913.192052980132</v>
      </c>
      <c r="CA85" s="3" t="e">
        <f t="shared" si="247"/>
        <v>#REF!</v>
      </c>
    </row>
    <row hidden="1" r="86" ht="14.0" outlineLevel="1">
      <c r="A86" s="27" t="s">
        <v>28</v>
      </c>
      <c r="B86" s="27" t="s">
        <v>29</v>
      </c>
      <c r="C86" s="27" t="s">
        <v>86</v>
      </c>
      <c r="D86" s="27" t="s">
        <v>87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324.0</v>
      </c>
      <c r="AE86" s="27">
        <v>0.0</v>
      </c>
      <c r="AF86" s="27">
        <v>60.0</v>
      </c>
      <c r="AG86" s="27">
        <v>60.0</v>
      </c>
      <c r="AH86" s="27">
        <v>60.0</v>
      </c>
      <c r="AI86" s="27">
        <v>60.0</v>
      </c>
      <c r="AJ86" s="27">
        <v>60.0</v>
      </c>
      <c r="AK86" s="27">
        <v>240.0</v>
      </c>
      <c r="AL86" s="27">
        <v>60.0</v>
      </c>
      <c r="AM86" s="27">
        <v>60.0</v>
      </c>
      <c r="AN86" s="27">
        <v>60.0</v>
      </c>
      <c r="AO86" s="28">
        <f t="shared" si="219"/>
        <v>984.0</v>
      </c>
      <c r="AP86" s="28">
        <f t="shared" si="220"/>
        <v>540.0</v>
      </c>
      <c r="AQ86" s="28">
        <f t="shared" si="221"/>
        <v>594.0</v>
      </c>
      <c r="AS86" s="3">
        <f t="shared" si="301"/>
        <v>0.0</v>
      </c>
      <c r="AT86" s="3">
        <f t="shared" si="302"/>
        <v>0.0</v>
      </c>
      <c r="AU86" s="3">
        <f t="shared" si="303"/>
        <v>356.4</v>
      </c>
      <c r="AV86" s="3">
        <f t="shared" si="313"/>
        <v>0.0</v>
      </c>
      <c r="AW86" s="3">
        <f t="shared" si="314"/>
        <v>66.0</v>
      </c>
      <c r="AX86" s="3">
        <f t="shared" si="315"/>
        <v>66.0</v>
      </c>
      <c r="AY86" s="28"/>
      <c r="AZ86" s="28"/>
      <c r="BA86" s="28">
        <f t="shared" si="323"/>
        <v>488.4</v>
      </c>
      <c r="BB86" s="2" t="e">
        <f t="shared" si="324"/>
        <v>#REF!</v>
      </c>
      <c r="BE86" s="3" t="e">
        <f t="shared" ref="BE86:BE87" si="332">BB86+BC86+BD86-BA86-BA34</f>
        <v>#REF!</v>
      </c>
      <c r="BF86" s="1">
        <f>VLOOKUP(C86,MOQ,3,FALSE())</f>
        <v>3000.0</v>
      </c>
      <c r="BI86" s="1" t="e">
        <f t="shared" si="233"/>
        <v>#REF!</v>
      </c>
      <c r="BJ86" s="1">
        <f t="shared" ref="BJ86:BJ87" si="333">AS86+BJ34</f>
        <v>584.386313465783</v>
      </c>
      <c r="BK86" s="1">
        <f t="shared" si="235"/>
      </c>
      <c r="BL86" s="3" t="e">
        <f t="shared" si="236"/>
        <v>#REF!</v>
      </c>
      <c r="BM86" s="1">
        <f t="shared" ref="BM86:BM87" si="334">AT86+BM34</f>
        <v>275.21412803532</v>
      </c>
      <c r="BN86" s="1">
        <f t="shared" si="238"/>
      </c>
      <c r="BO86" s="3" t="e">
        <f t="shared" si="239"/>
        <v>#REF!</v>
      </c>
      <c r="BP86" s="1">
        <f t="shared" ref="BP86:BP87" si="335">AU86+BP34</f>
        <v>890.053421633554</v>
      </c>
      <c r="BR86" s="3" t="e">
        <f t="shared" si="241"/>
        <v>#REF!</v>
      </c>
      <c r="BS86" s="1">
        <f t="shared" ref="BS86:BS87" si="336">AV86+BS34</f>
        <v>438.187637969094</v>
      </c>
      <c r="BU86" s="3" t="e">
        <f t="shared" si="243"/>
        <v>#REF!</v>
      </c>
      <c r="BV86" s="1">
        <f t="shared" ref="BV86:BV87" si="337">AW86+BV34</f>
        <v>408.721854304636</v>
      </c>
      <c r="BX86" s="3" t="e">
        <f t="shared" si="245"/>
        <v>#REF!</v>
      </c>
      <c r="BY86" s="1">
        <f t="shared" ref="BY86:BY87" si="338">AX86+BY34</f>
        <v>751.443708609271</v>
      </c>
      <c r="CA86" s="3" t="e">
        <f t="shared" si="247"/>
        <v>#REF!</v>
      </c>
    </row>
    <row hidden="1" r="87" ht="14.0" outlineLevel="1">
      <c r="A87" s="27" t="s">
        <v>28</v>
      </c>
      <c r="B87" s="27" t="s">
        <v>29</v>
      </c>
      <c r="C87" s="27" t="s">
        <v>88</v>
      </c>
      <c r="D87" s="27" t="s">
        <v>89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324.0</v>
      </c>
      <c r="AE87" s="27">
        <v>0.0</v>
      </c>
      <c r="AF87" s="27">
        <v>0.0</v>
      </c>
      <c r="AG87" s="27">
        <v>0.0</v>
      </c>
      <c r="AH87" s="27">
        <v>60.0</v>
      </c>
      <c r="AI87" s="27">
        <v>120.0</v>
      </c>
      <c r="AJ87" s="27">
        <v>60.0</v>
      </c>
      <c r="AK87" s="27">
        <v>120.0</v>
      </c>
      <c r="AL87" s="27">
        <v>60.0</v>
      </c>
      <c r="AM87" s="27">
        <v>66.0</v>
      </c>
      <c r="AN87" s="27">
        <v>60.0</v>
      </c>
      <c r="AO87" s="28">
        <f t="shared" si="219"/>
        <v>810.0</v>
      </c>
      <c r="AP87" s="28">
        <f t="shared" si="220"/>
        <v>486.0</v>
      </c>
      <c r="AQ87" s="28">
        <f t="shared" si="221"/>
        <v>534.6</v>
      </c>
      <c r="AS87" s="3">
        <f t="shared" si="301"/>
        <v>0.0</v>
      </c>
      <c r="AT87" s="3">
        <f t="shared" si="302"/>
        <v>0.0</v>
      </c>
      <c r="AU87" s="3">
        <f t="shared" si="303"/>
        <v>356.4</v>
      </c>
      <c r="AV87" s="3">
        <f t="shared" si="313"/>
        <v>0.0</v>
      </c>
      <c r="AW87" s="3">
        <f t="shared" si="314"/>
        <v>0.0</v>
      </c>
      <c r="AX87" s="3">
        <f t="shared" si="315"/>
        <v>0.0</v>
      </c>
      <c r="AY87" s="28"/>
      <c r="AZ87" s="28"/>
      <c r="BA87" s="28">
        <f t="shared" si="323"/>
        <v>356.4</v>
      </c>
      <c r="BB87" s="2" t="e">
        <f t="shared" si="324"/>
        <v>#REF!</v>
      </c>
      <c r="BE87" s="3" t="e">
        <f t="shared" si="332"/>
        <v>#REF!</v>
      </c>
      <c r="BF87" s="1">
        <f>VLOOKUP(C87,MOQ,3,FALSE())</f>
        <v>3000.0</v>
      </c>
      <c r="BI87" s="1" t="e">
        <f t="shared" si="233"/>
        <v>#REF!</v>
      </c>
      <c r="BJ87" s="1">
        <f t="shared" si="333"/>
        <v>468.757174392936</v>
      </c>
      <c r="BK87" s="1">
        <f t="shared" si="235"/>
      </c>
      <c r="BL87" s="3" t="e">
        <f t="shared" si="236"/>
        <v>#REF!</v>
      </c>
      <c r="BM87" s="1">
        <f t="shared" si="334"/>
        <v>220.379690949227</v>
      </c>
      <c r="BN87" s="1">
        <f t="shared" si="238"/>
      </c>
      <c r="BO87" s="3" t="e">
        <f t="shared" si="239"/>
        <v>#REF!</v>
      </c>
      <c r="BP87" s="1">
        <f t="shared" si="335"/>
        <v>783.960706401766</v>
      </c>
      <c r="BR87" s="3" t="e">
        <f t="shared" si="241"/>
        <v>#REF!</v>
      </c>
      <c r="BS87" s="1">
        <f t="shared" si="336"/>
        <v>351.167770419426</v>
      </c>
      <c r="BU87" s="3" t="e">
        <f t="shared" si="243"/>
        <v>#REF!</v>
      </c>
      <c r="BV87" s="1">
        <f t="shared" si="337"/>
        <v>274.774834437086</v>
      </c>
      <c r="BX87" s="3" t="e">
        <f t="shared" si="245"/>
        <v>#REF!</v>
      </c>
      <c r="BY87" s="1">
        <f t="shared" si="338"/>
        <v>549.549668874172</v>
      </c>
      <c r="CA87" s="3" t="e">
        <f t="shared" si="247"/>
        <v>#REF!</v>
      </c>
    </row>
    <row hidden="1" r="88" ht="14.0" outlineLevel="1">
      <c r="A88" s="27" t="s">
        <v>28</v>
      </c>
      <c r="B88" s="27" t="s">
        <v>29</v>
      </c>
      <c r="C88" s="27" t="s">
        <v>94</v>
      </c>
      <c r="D88" s="27" t="s">
        <v>95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36.0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0.0</v>
      </c>
      <c r="AK88" s="27">
        <v>120.0</v>
      </c>
      <c r="AL88" s="27">
        <v>0.0</v>
      </c>
      <c r="AM88" s="27">
        <v>0.0</v>
      </c>
      <c r="AN88" s="27">
        <v>0.0</v>
      </c>
      <c r="AO88" s="28">
        <f t="shared" si="219"/>
        <v>156.0</v>
      </c>
      <c r="AP88" s="28">
        <f t="shared" si="220"/>
        <v>120.0</v>
      </c>
      <c r="AQ88" s="28">
        <f t="shared" si="221"/>
        <v>132.0</v>
      </c>
      <c r="AS88" s="3">
        <f t="shared" si="301"/>
        <v>0.0</v>
      </c>
      <c r="AT88" s="3">
        <f t="shared" si="302"/>
        <v>0.0</v>
      </c>
      <c r="AU88" s="3">
        <f t="shared" si="303"/>
        <v>39.6</v>
      </c>
      <c r="AV88" s="3">
        <f t="shared" si="313"/>
        <v>0.0</v>
      </c>
      <c r="AW88" s="3">
        <f t="shared" si="314"/>
        <v>0.0</v>
      </c>
      <c r="AX88" s="3">
        <f t="shared" si="315"/>
        <v>0.0</v>
      </c>
      <c r="AY88" s="28"/>
      <c r="AZ88" s="28"/>
      <c r="BA88" s="28">
        <f t="shared" si="323"/>
        <v>39.6</v>
      </c>
      <c r="BB88" s="2" t="e">
        <f t="shared" si="324"/>
        <v>#REF!</v>
      </c>
      <c r="BD88" s="1" t="e">
        <f>VLOOKUP(C88,CHINAJUNE,3,false)</f>
        <v>#REF!</v>
      </c>
      <c r="BE88" s="3" t="e">
        <f>BB88+BC88+BD88-BA88-BA38</f>
        <v>#REF!</v>
      </c>
      <c r="BF88" s="1">
        <f>VLOOKUP(C88,MOQ,3,FALSE())</f>
        <v>480.0</v>
      </c>
      <c r="BI88" s="1" t="e">
        <f t="shared" si="233"/>
        <v>#REF!</v>
      </c>
      <c r="BJ88" s="1">
        <f>AS88+BJ38</f>
        <v>208.774834437086</v>
      </c>
      <c r="BK88" s="1">
        <f t="shared" si="235"/>
      </c>
      <c r="BL88" s="3" t="e">
        <f t="shared" si="236"/>
        <v>#REF!</v>
      </c>
      <c r="BM88" s="1">
        <f>AT88+BM38</f>
        <v>99.0066225165562</v>
      </c>
      <c r="BN88" s="1" t="e">
        <f t="shared" si="238"/>
        <v>#REF!</v>
      </c>
      <c r="BO88" s="3" t="e">
        <f t="shared" si="239"/>
        <v>#REF!</v>
      </c>
      <c r="BP88" s="1">
        <f>AU88+BP38</f>
        <v>231.156291390728</v>
      </c>
      <c r="BR88" s="3" t="e">
        <f t="shared" si="241"/>
        <v>#REF!</v>
      </c>
      <c r="BS88" s="1">
        <f>AV88+BS38</f>
        <v>157.119205298013</v>
      </c>
      <c r="BU88" s="3" t="e">
        <f t="shared" si="243"/>
        <v>#REF!</v>
      </c>
      <c r="BV88" s="1">
        <f>AW88+BV38</f>
        <v>122.682119205298</v>
      </c>
      <c r="BX88" s="3" t="e">
        <f t="shared" si="245"/>
        <v>#REF!</v>
      </c>
      <c r="BY88" s="1">
        <f>AX88+BY38</f>
        <v>245.364238410596</v>
      </c>
      <c r="CA88" s="3" t="e">
        <f t="shared" si="247"/>
        <v>#REF!</v>
      </c>
    </row>
    <row hidden="1" r="89" ht="14.0" outlineLevel="1">
      <c r="A89" s="27" t="s">
        <v>150</v>
      </c>
      <c r="B89" s="27" t="s">
        <v>151</v>
      </c>
      <c r="C89" s="27" t="s">
        <v>152</v>
      </c>
      <c r="D89" s="27" t="s">
        <v>153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400.0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0.0</v>
      </c>
      <c r="AE89" s="27">
        <v>0.0</v>
      </c>
      <c r="AF89" s="27">
        <v>0.0</v>
      </c>
      <c r="AG89" s="27">
        <v>0.0</v>
      </c>
      <c r="AH89" s="27">
        <v>0.0</v>
      </c>
      <c r="AI89" s="27">
        <v>0.0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8">
        <f t="shared" si="219"/>
        <v>0.0</v>
      </c>
      <c r="AP89" s="28">
        <f t="shared" si="220"/>
        <v>0.0</v>
      </c>
      <c r="AQ89" s="28">
        <f t="shared" si="221"/>
        <v>0.0</v>
      </c>
      <c r="AS89" s="3">
        <f t="shared" si="301"/>
        <v>0.0</v>
      </c>
      <c r="AT89" s="3">
        <f t="shared" si="302"/>
        <v>0.0</v>
      </c>
      <c r="AU89" s="3">
        <f t="shared" si="303"/>
        <v>0.0</v>
      </c>
      <c r="AV89" s="3">
        <f t="shared" si="313"/>
        <v>0.0</v>
      </c>
      <c r="AW89" s="3">
        <f t="shared" si="314"/>
        <v>0.0</v>
      </c>
      <c r="AX89" s="3">
        <f t="shared" si="315"/>
        <v>0.0</v>
      </c>
      <c r="AY89" s="28"/>
      <c r="AZ89" s="28"/>
      <c r="BA89" s="28">
        <f t="shared" si="323"/>
        <v>0.0</v>
      </c>
      <c r="BB89" s="2" t="e">
        <f t="shared" si="324"/>
        <v>#REF!</v>
      </c>
      <c r="BE89" s="3" t="e">
        <f t="shared" ref="BE89:BE100" si="347">BB89+BC89+BD89-BA89</f>
        <v>#REF!</v>
      </c>
      <c r="BF89" s="1">
        <f>VLOOKUP(C89,MOQ,3,FALSE())</f>
        <v>1000.0</v>
      </c>
      <c r="BI89" s="1" t="e">
        <f t="shared" si="233"/>
        <v>#REF!</v>
      </c>
      <c r="BJ89" s="1">
        <f t="shared" ref="BJ89:BJ100" si="348">AS89</f>
        <v>0.0</v>
      </c>
      <c r="BK89" s="1">
        <f t="shared" si="235"/>
      </c>
      <c r="BL89" s="3" t="e">
        <f t="shared" si="236"/>
        <v>#REF!</v>
      </c>
      <c r="BM89" s="1">
        <f t="shared" ref="BM89:BM100" si="349">AT89</f>
        <v>0.0</v>
      </c>
      <c r="BN89" s="1">
        <f t="shared" si="238"/>
      </c>
      <c r="BO89" s="3" t="e">
        <f t="shared" si="239"/>
        <v>#REF!</v>
      </c>
      <c r="BP89" s="1">
        <f t="shared" ref="BP89:BP100" si="350">AU89</f>
        <v>0.0</v>
      </c>
      <c r="BR89" s="3" t="e">
        <f t="shared" si="241"/>
        <v>#REF!</v>
      </c>
      <c r="BS89" s="1">
        <f t="shared" ref="BS89:BS100" si="351">AV89</f>
        <v>0.0</v>
      </c>
      <c r="BU89" s="3" t="e">
        <f t="shared" si="243"/>
        <v>#REF!</v>
      </c>
      <c r="BV89" s="1">
        <f t="shared" ref="BV89:BV100" si="352">AW89</f>
        <v>0.0</v>
      </c>
      <c r="BX89" s="3" t="e">
        <f t="shared" si="245"/>
        <v>#REF!</v>
      </c>
      <c r="BY89" s="1">
        <f t="shared" ref="BY89:BY100" si="353">AX89</f>
        <v>0.0</v>
      </c>
      <c r="CA89" s="3" t="e">
        <f t="shared" si="247"/>
        <v>#REF!</v>
      </c>
    </row>
    <row hidden="1" r="90" ht="14.0" outlineLevel="1">
      <c r="A90" s="27" t="s">
        <v>45</v>
      </c>
      <c r="B90" s="27" t="s">
        <v>151</v>
      </c>
      <c r="C90" s="27" t="s">
        <v>154</v>
      </c>
      <c r="D90" s="27" t="s">
        <v>155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192.0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8">
        <f t="shared" si="219"/>
        <v>0.0</v>
      </c>
      <c r="AP90" s="28">
        <f t="shared" si="220"/>
        <v>0.0</v>
      </c>
      <c r="AQ90" s="28">
        <f t="shared" si="221"/>
        <v>0.0</v>
      </c>
      <c r="AS90" s="3">
        <f t="shared" si="301"/>
        <v>0.0</v>
      </c>
      <c r="AT90" s="3">
        <f t="shared" si="302"/>
        <v>0.0</v>
      </c>
      <c r="AU90" s="3">
        <f t="shared" si="303"/>
        <v>0.0</v>
      </c>
      <c r="AV90" s="3">
        <f t="shared" si="313"/>
        <v>0.0</v>
      </c>
      <c r="AW90" s="3">
        <f t="shared" si="314"/>
        <v>0.0</v>
      </c>
      <c r="AX90" s="3">
        <f t="shared" si="315"/>
        <v>0.0</v>
      </c>
      <c r="AY90" s="28"/>
      <c r="AZ90" s="28"/>
      <c r="BA90" s="28">
        <f t="shared" si="323"/>
        <v>0.0</v>
      </c>
      <c r="BB90" s="2" t="e">
        <f t="shared" si="324"/>
        <v>#REF!</v>
      </c>
      <c r="BE90" s="3" t="e">
        <f t="shared" si="347"/>
        <v>#REF!</v>
      </c>
      <c r="BF90" s="1">
        <f>VLOOKUP(C90,MOQ,3,FALSE())</f>
        <v>1008.0</v>
      </c>
      <c r="BG90" s="31"/>
      <c r="BI90" s="1" t="e">
        <f t="shared" si="233"/>
        <v>#REF!</v>
      </c>
      <c r="BJ90" s="1">
        <f t="shared" si="348"/>
        <v>0.0</v>
      </c>
      <c r="BK90" s="1">
        <f t="shared" si="235"/>
      </c>
      <c r="BL90" s="3" t="e">
        <f t="shared" si="236"/>
        <v>#REF!</v>
      </c>
      <c r="BM90" s="1">
        <f t="shared" si="349"/>
        <v>0.0</v>
      </c>
      <c r="BN90" s="1">
        <f t="shared" si="238"/>
      </c>
      <c r="BO90" s="3" t="e">
        <f t="shared" si="239"/>
        <v>#REF!</v>
      </c>
      <c r="BP90" s="1">
        <f t="shared" si="350"/>
        <v>0.0</v>
      </c>
      <c r="BR90" s="3" t="e">
        <f t="shared" si="241"/>
        <v>#REF!</v>
      </c>
      <c r="BS90" s="1">
        <f t="shared" si="351"/>
        <v>0.0</v>
      </c>
      <c r="BU90" s="3" t="e">
        <f t="shared" si="243"/>
        <v>#REF!</v>
      </c>
      <c r="BV90" s="1">
        <f t="shared" si="352"/>
        <v>0.0</v>
      </c>
      <c r="BX90" s="3" t="e">
        <f t="shared" si="245"/>
        <v>#REF!</v>
      </c>
      <c r="BY90" s="1">
        <f t="shared" si="353"/>
        <v>0.0</v>
      </c>
      <c r="CA90" s="3" t="e">
        <f t="shared" si="247"/>
        <v>#REF!</v>
      </c>
    </row>
    <row hidden="1" r="91" ht="14.0" outlineLevel="1">
      <c r="A91" s="27" t="s">
        <v>45</v>
      </c>
      <c r="B91" s="27" t="s">
        <v>151</v>
      </c>
      <c r="C91" s="27" t="s">
        <v>156</v>
      </c>
      <c r="D91" s="27" t="s">
        <v>157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240.0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168.0</v>
      </c>
      <c r="AE91" s="27">
        <v>0.0</v>
      </c>
      <c r="AF91" s="27">
        <v>48.0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8">
        <f t="shared" si="219"/>
        <v>216.0</v>
      </c>
      <c r="AP91" s="28">
        <f t="shared" si="220"/>
        <v>0.0</v>
      </c>
      <c r="AQ91" s="28">
        <f t="shared" si="221"/>
        <v>0.0</v>
      </c>
      <c r="AS91" s="3">
        <f t="shared" si="301"/>
        <v>0.0</v>
      </c>
      <c r="AT91" s="3">
        <f t="shared" si="302"/>
        <v>0.0</v>
      </c>
      <c r="AU91" s="3">
        <f t="shared" si="303"/>
        <v>184.8</v>
      </c>
      <c r="AV91" s="3">
        <f t="shared" si="313"/>
        <v>0.0</v>
      </c>
      <c r="AW91" s="3">
        <f t="shared" si="314"/>
        <v>52.8</v>
      </c>
      <c r="AX91" s="3">
        <f t="shared" si="315"/>
        <v>0.0</v>
      </c>
      <c r="AY91" s="28"/>
      <c r="AZ91" s="28"/>
      <c r="BA91" s="28">
        <f t="shared" si="323"/>
        <v>237.6</v>
      </c>
      <c r="BB91" s="2" t="e">
        <f t="shared" si="324"/>
        <v>#REF!</v>
      </c>
      <c r="BE91" s="3" t="e">
        <f t="shared" si="347"/>
        <v>#REF!</v>
      </c>
      <c r="BF91" s="1">
        <f>VLOOKUP(C91,MOQ,3,FALSE())</f>
        <v>1008.0</v>
      </c>
      <c r="BG91" s="31">
        <f>BF91</f>
        <v>1008.0</v>
      </c>
      <c r="BH91" s="1" t="s">
        <v>7</v>
      </c>
      <c r="BI91" s="1" t="e">
        <f t="shared" si="233"/>
        <v>#REF!</v>
      </c>
      <c r="BJ91" s="1">
        <f t="shared" si="348"/>
        <v>0.0</v>
      </c>
      <c r="BK91" s="1">
        <f t="shared" si="235"/>
      </c>
      <c r="BL91" s="3" t="e">
        <f t="shared" si="236"/>
        <v>#REF!</v>
      </c>
      <c r="BM91" s="1">
        <f t="shared" si="349"/>
        <v>0.0</v>
      </c>
      <c r="BN91" s="1">
        <f t="shared" si="238"/>
      </c>
      <c r="BO91" s="3" t="e">
        <f t="shared" si="239"/>
        <v>#REF!</v>
      </c>
      <c r="BP91" s="1">
        <f t="shared" si="350"/>
        <v>184.8</v>
      </c>
      <c r="BR91" s="3" t="e">
        <f t="shared" si="241"/>
        <v>#REF!</v>
      </c>
      <c r="BS91" s="1">
        <f t="shared" si="351"/>
        <v>0.0</v>
      </c>
      <c r="BU91" s="3" t="e">
        <f t="shared" si="243"/>
        <v>#REF!</v>
      </c>
      <c r="BV91" s="1">
        <f t="shared" si="352"/>
        <v>52.8</v>
      </c>
      <c r="BX91" s="3" t="e">
        <f t="shared" si="245"/>
        <v>#REF!</v>
      </c>
      <c r="BY91" s="1">
        <f t="shared" si="353"/>
        <v>0.0</v>
      </c>
      <c r="CA91" s="3" t="e">
        <f t="shared" si="247"/>
        <v>#REF!</v>
      </c>
    </row>
    <row hidden="1" r="92" ht="14.0" outlineLevel="1">
      <c r="A92" s="27" t="s">
        <v>45</v>
      </c>
      <c r="B92" s="27" t="s">
        <v>151</v>
      </c>
      <c r="C92" s="27" t="s">
        <v>158</v>
      </c>
      <c r="D92" s="27" t="s">
        <v>159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144.0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0.0</v>
      </c>
      <c r="AG92" s="27">
        <v>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8">
        <f t="shared" si="219"/>
        <v>0.0</v>
      </c>
      <c r="AP92" s="28">
        <f t="shared" si="220"/>
        <v>0.0</v>
      </c>
      <c r="AQ92" s="28">
        <f t="shared" si="221"/>
        <v>0.0</v>
      </c>
      <c r="AS92" s="3">
        <f t="shared" si="301"/>
        <v>0.0</v>
      </c>
      <c r="AT92" s="3">
        <f t="shared" si="302"/>
        <v>0.0</v>
      </c>
      <c r="AU92" s="3">
        <f t="shared" si="303"/>
        <v>0.0</v>
      </c>
      <c r="AV92" s="3">
        <f t="shared" si="313"/>
        <v>0.0</v>
      </c>
      <c r="AW92" s="3">
        <f t="shared" si="314"/>
        <v>0.0</v>
      </c>
      <c r="AX92" s="3">
        <f t="shared" si="315"/>
        <v>0.0</v>
      </c>
      <c r="AY92" s="28"/>
      <c r="AZ92" s="28"/>
      <c r="BA92" s="28">
        <f t="shared" si="323"/>
        <v>0.0</v>
      </c>
      <c r="BB92" s="2" t="e">
        <f t="shared" si="324"/>
        <v>#REF!</v>
      </c>
      <c r="BE92" s="3" t="e">
        <f t="shared" si="347"/>
        <v>#REF!</v>
      </c>
      <c r="BF92" s="1">
        <v>1008.0</v>
      </c>
      <c r="BG92" s="31"/>
      <c r="BI92" s="1" t="e">
        <f t="shared" si="233"/>
        <v>#REF!</v>
      </c>
      <c r="BJ92" s="1">
        <f t="shared" si="348"/>
        <v>0.0</v>
      </c>
      <c r="BK92" s="1">
        <f t="shared" si="235"/>
      </c>
      <c r="BL92" s="3" t="e">
        <f t="shared" si="236"/>
        <v>#REF!</v>
      </c>
      <c r="BM92" s="1">
        <f t="shared" si="349"/>
        <v>0.0</v>
      </c>
      <c r="BN92" s="1">
        <f t="shared" si="238"/>
      </c>
      <c r="BO92" s="3" t="e">
        <f t="shared" si="239"/>
        <v>#REF!</v>
      </c>
      <c r="BP92" s="1">
        <f t="shared" si="350"/>
        <v>0.0</v>
      </c>
      <c r="BR92" s="3" t="e">
        <f t="shared" si="241"/>
        <v>#REF!</v>
      </c>
      <c r="BS92" s="1">
        <f t="shared" si="351"/>
        <v>0.0</v>
      </c>
      <c r="BU92" s="3" t="e">
        <f t="shared" si="243"/>
        <v>#REF!</v>
      </c>
      <c r="BV92" s="1">
        <f t="shared" si="352"/>
        <v>0.0</v>
      </c>
      <c r="BX92" s="3" t="e">
        <f t="shared" si="245"/>
        <v>#REF!</v>
      </c>
      <c r="BY92" s="1">
        <f t="shared" si="353"/>
        <v>0.0</v>
      </c>
      <c r="CA92" s="3" t="e">
        <f t="shared" si="247"/>
        <v>#REF!</v>
      </c>
    </row>
    <row hidden="1" r="93" ht="14.0" outlineLevel="1">
      <c r="A93" s="27" t="s">
        <v>45</v>
      </c>
      <c r="B93" s="27" t="s">
        <v>151</v>
      </c>
      <c r="C93" s="27" t="s">
        <v>160</v>
      </c>
      <c r="D93" s="27" t="s">
        <v>161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0.0</v>
      </c>
      <c r="N93" s="27">
        <v>0.0</v>
      </c>
      <c r="O93" s="27">
        <v>0.0</v>
      </c>
      <c r="P93" s="27">
        <v>0.0</v>
      </c>
      <c r="Q93" s="27">
        <v>144.0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47.0</v>
      </c>
      <c r="AF93" s="27">
        <v>-1.0</v>
      </c>
      <c r="AG93" s="27">
        <v>0.0</v>
      </c>
      <c r="AH93" s="27">
        <v>16.0</v>
      </c>
      <c r="AI93" s="27">
        <v>16.0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8">
        <f t="shared" si="219"/>
        <v>78.0</v>
      </c>
      <c r="AP93" s="28">
        <f t="shared" si="220"/>
        <v>32.0</v>
      </c>
      <c r="AQ93" s="28">
        <f t="shared" si="221"/>
        <v>35.2</v>
      </c>
      <c r="AS93" s="3">
        <f t="shared" si="301"/>
        <v>0.0</v>
      </c>
      <c r="AT93" s="3">
        <f t="shared" si="302"/>
        <v>0.0</v>
      </c>
      <c r="AU93" s="3">
        <f t="shared" si="303"/>
        <v>0.0</v>
      </c>
      <c r="AV93" s="3">
        <f t="shared" si="313"/>
        <v>51.7</v>
      </c>
      <c r="AW93" s="3">
        <f t="shared" si="314"/>
        <v>-1.1</v>
      </c>
      <c r="AX93" s="3">
        <f t="shared" si="315"/>
        <v>0.0</v>
      </c>
      <c r="AY93" s="28"/>
      <c r="AZ93" s="28"/>
      <c r="BA93" s="28">
        <f t="shared" si="323"/>
        <v>50.6</v>
      </c>
      <c r="BB93" s="2" t="e">
        <f t="shared" si="324"/>
        <v>#REF!</v>
      </c>
      <c r="BE93" s="3" t="e">
        <f t="shared" si="347"/>
        <v>#REF!</v>
      </c>
      <c r="BF93" s="1">
        <f>VLOOKUP(C93,MOQ,3,FALSE())</f>
        <v>1000.0</v>
      </c>
      <c r="BG93" s="31">
        <f>BF93</f>
        <v>1000.0</v>
      </c>
      <c r="BH93" s="1" t="s">
        <v>8</v>
      </c>
      <c r="BI93" s="1" t="e">
        <f t="shared" si="233"/>
        <v>#REF!</v>
      </c>
      <c r="BJ93" s="1">
        <f t="shared" si="348"/>
        <v>0.0</v>
      </c>
      <c r="BK93" s="1">
        <f t="shared" si="235"/>
      </c>
      <c r="BL93" s="3" t="e">
        <f t="shared" si="236"/>
        <v>#REF!</v>
      </c>
      <c r="BM93" s="1">
        <f t="shared" si="349"/>
        <v>0.0</v>
      </c>
      <c r="BN93" s="1">
        <f t="shared" si="238"/>
      </c>
      <c r="BO93" s="3" t="e">
        <f t="shared" si="239"/>
        <v>#REF!</v>
      </c>
      <c r="BP93" s="1">
        <f t="shared" si="350"/>
        <v>0.0</v>
      </c>
      <c r="BR93" s="3" t="e">
        <f t="shared" si="241"/>
        <v>#REF!</v>
      </c>
      <c r="BS93" s="1">
        <f t="shared" si="351"/>
        <v>51.7</v>
      </c>
      <c r="BU93" s="3" t="e">
        <f t="shared" si="243"/>
        <v>#REF!</v>
      </c>
      <c r="BV93" s="1">
        <f t="shared" si="352"/>
        <v>-1.1</v>
      </c>
      <c r="BX93" s="3" t="e">
        <f t="shared" si="245"/>
        <v>#REF!</v>
      </c>
      <c r="BY93" s="1">
        <f t="shared" si="353"/>
        <v>0.0</v>
      </c>
      <c r="CA93" s="3" t="e">
        <f t="shared" si="247"/>
        <v>#REF!</v>
      </c>
    </row>
    <row hidden="1" r="94" ht="14.0" outlineLevel="1">
      <c r="A94" s="27" t="s">
        <v>150</v>
      </c>
      <c r="B94" s="27" t="s">
        <v>151</v>
      </c>
      <c r="C94" s="27" t="s">
        <v>162</v>
      </c>
      <c r="D94" s="27" t="s">
        <v>163</v>
      </c>
      <c r="E94" s="27">
        <v>0.0</v>
      </c>
      <c r="F94" s="27">
        <v>0.0</v>
      </c>
      <c r="G94" s="27">
        <v>0.0</v>
      </c>
      <c r="H94" s="27">
        <v>0.0</v>
      </c>
      <c r="I94" s="27">
        <v>0.0</v>
      </c>
      <c r="J94" s="27">
        <v>0.0</v>
      </c>
      <c r="K94" s="27">
        <v>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7">
        <v>144.0</v>
      </c>
      <c r="R94" s="27">
        <v>0.0</v>
      </c>
      <c r="S94" s="27">
        <v>0.0</v>
      </c>
      <c r="T94" s="27">
        <v>0.0</v>
      </c>
      <c r="U94" s="27">
        <v>0.0</v>
      </c>
      <c r="V94" s="27">
        <v>0.0</v>
      </c>
      <c r="W94" s="27">
        <v>0.0</v>
      </c>
      <c r="X94" s="27">
        <v>0.0</v>
      </c>
      <c r="Y94" s="27">
        <v>0.0</v>
      </c>
      <c r="Z94" s="27">
        <v>0.0</v>
      </c>
      <c r="AA94" s="27">
        <v>0.0</v>
      </c>
      <c r="AB94" s="27">
        <v>0.0</v>
      </c>
      <c r="AC94" s="27">
        <v>0.0</v>
      </c>
      <c r="AD94" s="27">
        <v>0.0</v>
      </c>
      <c r="AE94" s="27">
        <v>31.0</v>
      </c>
      <c r="AF94" s="27">
        <v>0.0</v>
      </c>
      <c r="AG94" s="27">
        <v>0.0</v>
      </c>
      <c r="AH94" s="27">
        <v>0.0</v>
      </c>
      <c r="AI94" s="27">
        <v>8.0</v>
      </c>
      <c r="AJ94" s="27">
        <v>8.0</v>
      </c>
      <c r="AK94" s="27">
        <v>24.0</v>
      </c>
      <c r="AL94" s="27">
        <v>0.0</v>
      </c>
      <c r="AM94" s="27">
        <v>0.0</v>
      </c>
      <c r="AN94" s="27">
        <v>0.0</v>
      </c>
      <c r="AO94" s="28">
        <f t="shared" si="219"/>
        <v>71.0</v>
      </c>
      <c r="AP94" s="28">
        <f t="shared" si="220"/>
        <v>40.0</v>
      </c>
      <c r="AQ94" s="28">
        <f t="shared" si="221"/>
        <v>44.0</v>
      </c>
      <c r="AS94" s="3">
        <f t="shared" si="301"/>
        <v>0.0</v>
      </c>
      <c r="AT94" s="3">
        <f t="shared" si="302"/>
        <v>0.0</v>
      </c>
      <c r="AU94" s="3">
        <f t="shared" si="303"/>
        <v>0.0</v>
      </c>
      <c r="AV94" s="3">
        <f t="shared" si="313"/>
        <v>34.1</v>
      </c>
      <c r="AW94" s="3">
        <f t="shared" si="314"/>
        <v>0.0</v>
      </c>
      <c r="AX94" s="3">
        <f t="shared" si="315"/>
        <v>0.0</v>
      </c>
      <c r="AY94" s="28"/>
      <c r="AZ94" s="28"/>
      <c r="BA94" s="28">
        <f t="shared" si="323"/>
        <v>34.1</v>
      </c>
      <c r="BB94" s="2" t="e">
        <f t="shared" si="324"/>
        <v>#REF!</v>
      </c>
      <c r="BE94" s="3" t="e">
        <f t="shared" si="347"/>
        <v>#REF!</v>
      </c>
      <c r="BF94" s="1">
        <f>VLOOKUP(C94,MOQ,3,FALSE())</f>
        <v>1008.0</v>
      </c>
      <c r="BI94" s="1" t="e">
        <f t="shared" si="233"/>
        <v>#REF!</v>
      </c>
      <c r="BJ94" s="1">
        <f t="shared" si="348"/>
        <v>0.0</v>
      </c>
      <c r="BK94" s="1">
        <f t="shared" si="235"/>
      </c>
      <c r="BL94" s="3" t="e">
        <f t="shared" si="236"/>
        <v>#REF!</v>
      </c>
      <c r="BM94" s="1">
        <f t="shared" si="349"/>
        <v>0.0</v>
      </c>
      <c r="BN94" s="1">
        <f t="shared" si="238"/>
      </c>
      <c r="BO94" s="3" t="e">
        <f t="shared" si="239"/>
        <v>#REF!</v>
      </c>
      <c r="BP94" s="1">
        <f t="shared" si="350"/>
        <v>0.0</v>
      </c>
      <c r="BR94" s="3" t="e">
        <f t="shared" si="241"/>
        <v>#REF!</v>
      </c>
      <c r="BS94" s="1">
        <f t="shared" si="351"/>
        <v>34.1</v>
      </c>
      <c r="BU94" s="3" t="e">
        <f t="shared" si="243"/>
        <v>#REF!</v>
      </c>
      <c r="BV94" s="1">
        <f t="shared" si="352"/>
        <v>0.0</v>
      </c>
      <c r="BX94" s="3" t="e">
        <f t="shared" si="245"/>
        <v>#REF!</v>
      </c>
      <c r="BY94" s="1">
        <f t="shared" si="353"/>
        <v>0.0</v>
      </c>
      <c r="CA94" s="3" t="e">
        <f t="shared" si="247"/>
        <v>#REF!</v>
      </c>
    </row>
    <row hidden="1" r="95" ht="14.0" outlineLevel="1">
      <c r="A95" s="27" t="s">
        <v>45</v>
      </c>
      <c r="B95" s="27" t="s">
        <v>151</v>
      </c>
      <c r="C95" s="27" t="s">
        <v>164</v>
      </c>
      <c r="D95" s="27" t="s">
        <v>165</v>
      </c>
      <c r="E95" s="27">
        <v>0.0</v>
      </c>
      <c r="F95" s="27">
        <v>0.0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0.0</v>
      </c>
      <c r="M95" s="27">
        <v>0.0</v>
      </c>
      <c r="N95" s="27">
        <v>0.0</v>
      </c>
      <c r="O95" s="27">
        <v>0.0</v>
      </c>
      <c r="P95" s="27">
        <v>0.0</v>
      </c>
      <c r="Q95" s="27">
        <v>0.0</v>
      </c>
      <c r="R95" s="27">
        <v>0.0</v>
      </c>
      <c r="S95" s="27">
        <v>0.0</v>
      </c>
      <c r="T95" s="27">
        <v>0.0</v>
      </c>
      <c r="U95" s="27">
        <v>0.0</v>
      </c>
      <c r="V95" s="27">
        <v>0.0</v>
      </c>
      <c r="W95" s="27">
        <v>0.0</v>
      </c>
      <c r="X95" s="27">
        <v>0.0</v>
      </c>
      <c r="Y95" s="27">
        <v>0.0</v>
      </c>
      <c r="Z95" s="27">
        <v>0.0</v>
      </c>
      <c r="AA95" s="27">
        <v>0.0</v>
      </c>
      <c r="AB95" s="27">
        <v>0.0</v>
      </c>
      <c r="AC95" s="27">
        <v>0.0</v>
      </c>
      <c r="AD95" s="27">
        <v>0.0</v>
      </c>
      <c r="AE95" s="27">
        <v>0.0</v>
      </c>
      <c r="AF95" s="27">
        <v>1.0</v>
      </c>
      <c r="AG95" s="27">
        <v>224.0</v>
      </c>
      <c r="AH95" s="27">
        <v>0.0</v>
      </c>
      <c r="AI95" s="27">
        <v>0.0</v>
      </c>
      <c r="AJ95" s="27">
        <v>0.0</v>
      </c>
      <c r="AK95" s="27">
        <v>0.0</v>
      </c>
      <c r="AL95" s="27">
        <v>0.0</v>
      </c>
      <c r="AM95" s="27">
        <v>0.0</v>
      </c>
      <c r="AN95" s="27">
        <v>0.0</v>
      </c>
      <c r="AO95" s="28">
        <f t="shared" si="219"/>
        <v>225.0</v>
      </c>
      <c r="AP95" s="28">
        <f t="shared" si="220"/>
        <v>0.0</v>
      </c>
      <c r="AQ95" s="28">
        <f t="shared" si="221"/>
        <v>0.0</v>
      </c>
      <c r="AS95" s="3">
        <f t="shared" si="301"/>
        <v>0.0</v>
      </c>
      <c r="AT95" s="3">
        <f t="shared" si="302"/>
        <v>0.0</v>
      </c>
      <c r="AU95" s="3">
        <f t="shared" si="303"/>
        <v>0.0</v>
      </c>
      <c r="AV95" s="3">
        <f t="shared" si="313"/>
        <v>0.0</v>
      </c>
      <c r="AW95" s="3">
        <f t="shared" si="314"/>
        <v>1.1</v>
      </c>
      <c r="AX95" s="3">
        <f t="shared" si="315"/>
        <v>246.4</v>
      </c>
      <c r="AY95" s="28"/>
      <c r="AZ95" s="28"/>
      <c r="BA95" s="28">
        <f t="shared" si="323"/>
        <v>247.5</v>
      </c>
      <c r="BB95" s="2" t="e">
        <f t="shared" si="324"/>
        <v>#REF!</v>
      </c>
      <c r="BE95" s="3" t="e">
        <f t="shared" si="347"/>
        <v>#REF!</v>
      </c>
      <c r="BF95" s="1">
        <f>VLOOKUP(C95,MOQ,3,FALSE())</f>
        <v>1002.0</v>
      </c>
      <c r="BG95" s="31">
        <f>BF95</f>
        <v>1002.0</v>
      </c>
      <c r="BH95" s="1" t="s">
        <v>10</v>
      </c>
      <c r="BI95" s="1" t="e">
        <f t="shared" si="233"/>
        <v>#REF!</v>
      </c>
      <c r="BJ95" s="1">
        <f t="shared" si="348"/>
        <v>0.0</v>
      </c>
      <c r="BK95" s="1">
        <f t="shared" si="235"/>
      </c>
      <c r="BL95" s="3" t="e">
        <f t="shared" si="236"/>
        <v>#REF!</v>
      </c>
      <c r="BM95" s="1">
        <f t="shared" si="349"/>
        <v>0.0</v>
      </c>
      <c r="BN95" s="1">
        <f t="shared" si="238"/>
      </c>
      <c r="BO95" s="3" t="e">
        <f t="shared" si="239"/>
        <v>#REF!</v>
      </c>
      <c r="BP95" s="1">
        <f t="shared" si="350"/>
        <v>0.0</v>
      </c>
      <c r="BR95" s="3" t="e">
        <f t="shared" si="241"/>
        <v>#REF!</v>
      </c>
      <c r="BS95" s="1">
        <f t="shared" si="351"/>
        <v>0.0</v>
      </c>
      <c r="BU95" s="3" t="e">
        <f t="shared" si="243"/>
        <v>#REF!</v>
      </c>
      <c r="BV95" s="1">
        <f t="shared" si="352"/>
        <v>1.1</v>
      </c>
      <c r="BX95" s="3" t="e">
        <f t="shared" si="245"/>
        <v>#REF!</v>
      </c>
      <c r="BY95" s="1">
        <f t="shared" si="353"/>
        <v>246.4</v>
      </c>
      <c r="CA95" s="3" t="e">
        <f t="shared" si="247"/>
        <v>#REF!</v>
      </c>
    </row>
    <row hidden="1" r="96" ht="14.0" outlineLevel="1">
      <c r="A96" s="27" t="s">
        <v>150</v>
      </c>
      <c r="B96" s="27" t="s">
        <v>166</v>
      </c>
      <c r="C96" s="27" t="s">
        <v>167</v>
      </c>
      <c r="D96" s="27" t="s">
        <v>168</v>
      </c>
      <c r="E96" s="27">
        <v>0.0</v>
      </c>
      <c r="F96" s="27">
        <v>0.0</v>
      </c>
      <c r="G96" s="27">
        <v>0.0</v>
      </c>
      <c r="H96" s="27">
        <v>0.0</v>
      </c>
      <c r="I96" s="27">
        <v>0.0</v>
      </c>
      <c r="J96" s="27">
        <v>0.0</v>
      </c>
      <c r="K96" s="27">
        <v>0.0</v>
      </c>
      <c r="L96" s="27">
        <v>0.0</v>
      </c>
      <c r="M96" s="27">
        <v>0.0</v>
      </c>
      <c r="N96" s="27">
        <v>0.0</v>
      </c>
      <c r="O96" s="27">
        <v>0.0</v>
      </c>
      <c r="P96" s="27">
        <v>0.0</v>
      </c>
      <c r="Q96" s="27">
        <v>0.0</v>
      </c>
      <c r="R96" s="27">
        <v>0.0</v>
      </c>
      <c r="S96" s="27">
        <v>0.0</v>
      </c>
      <c r="T96" s="27">
        <v>0.0</v>
      </c>
      <c r="U96" s="27">
        <v>0.0</v>
      </c>
      <c r="V96" s="27">
        <v>0.0</v>
      </c>
      <c r="W96" s="27">
        <v>0.0</v>
      </c>
      <c r="X96" s="27">
        <v>0.0</v>
      </c>
      <c r="Y96" s="27">
        <v>0.0</v>
      </c>
      <c r="Z96" s="27">
        <v>0.0</v>
      </c>
      <c r="AA96" s="27">
        <v>0.0</v>
      </c>
      <c r="AB96" s="27">
        <v>0.0</v>
      </c>
      <c r="AC96" s="27">
        <v>0.0</v>
      </c>
      <c r="AD96" s="27">
        <v>0.0</v>
      </c>
      <c r="AE96" s="27">
        <v>0.0</v>
      </c>
      <c r="AF96" s="27">
        <v>1.0</v>
      </c>
      <c r="AG96" s="27">
        <v>60.0</v>
      </c>
      <c r="AH96" s="27">
        <v>0.0</v>
      </c>
      <c r="AI96" s="27">
        <v>0.0</v>
      </c>
      <c r="AJ96" s="27">
        <v>0.0</v>
      </c>
      <c r="AK96" s="27">
        <v>0.0</v>
      </c>
      <c r="AL96" s="27">
        <v>0.0</v>
      </c>
      <c r="AM96" s="27">
        <v>0.0</v>
      </c>
      <c r="AN96" s="27">
        <v>0.0</v>
      </c>
      <c r="AO96" s="28">
        <f t="shared" si="219"/>
        <v>61.0</v>
      </c>
      <c r="AP96" s="28">
        <f t="shared" si="220"/>
        <v>0.0</v>
      </c>
      <c r="AQ96" s="28">
        <f t="shared" si="221"/>
        <v>0.0</v>
      </c>
      <c r="AS96" s="3">
        <f t="shared" si="301"/>
        <v>0.0</v>
      </c>
      <c r="AT96" s="3">
        <f t="shared" si="302"/>
        <v>0.0</v>
      </c>
      <c r="AU96" s="3">
        <f t="shared" si="303"/>
        <v>0.0</v>
      </c>
      <c r="AV96" s="3">
        <f t="shared" si="313"/>
        <v>0.0</v>
      </c>
      <c r="AW96" s="3">
        <f t="shared" si="314"/>
        <v>1.1</v>
      </c>
      <c r="AX96" s="3">
        <f t="shared" si="315"/>
        <v>66.0</v>
      </c>
      <c r="AY96" s="28"/>
      <c r="AZ96" s="28"/>
      <c r="BA96" s="28">
        <f t="shared" si="323"/>
        <v>67.1</v>
      </c>
      <c r="BB96" s="2" t="e">
        <f t="shared" si="324"/>
        <v>#REF!</v>
      </c>
      <c r="BE96" s="3" t="e">
        <f t="shared" si="347"/>
        <v>#REF!</v>
      </c>
      <c r="BF96" s="1">
        <v>1002.0</v>
      </c>
      <c r="BI96" s="1" t="e">
        <f t="shared" si="233"/>
        <v>#REF!</v>
      </c>
      <c r="BJ96" s="1">
        <f t="shared" si="348"/>
        <v>0.0</v>
      </c>
      <c r="BK96" s="1">
        <f t="shared" si="235"/>
      </c>
      <c r="BL96" s="3" t="e">
        <f t="shared" si="236"/>
        <v>#REF!</v>
      </c>
      <c r="BM96" s="1">
        <f t="shared" si="349"/>
        <v>0.0</v>
      </c>
      <c r="BN96" s="1">
        <f t="shared" si="238"/>
      </c>
      <c r="BO96" s="3" t="e">
        <f t="shared" si="239"/>
        <v>#REF!</v>
      </c>
      <c r="BP96" s="1">
        <f t="shared" si="350"/>
        <v>0.0</v>
      </c>
      <c r="BR96" s="3" t="e">
        <f t="shared" si="241"/>
        <v>#REF!</v>
      </c>
      <c r="BS96" s="1">
        <f t="shared" si="351"/>
        <v>0.0</v>
      </c>
      <c r="BU96" s="3" t="e">
        <f t="shared" si="243"/>
        <v>#REF!</v>
      </c>
      <c r="BV96" s="1">
        <f t="shared" si="352"/>
        <v>1.1</v>
      </c>
      <c r="BX96" s="3" t="e">
        <f t="shared" si="245"/>
        <v>#REF!</v>
      </c>
      <c r="BY96" s="1">
        <f t="shared" si="353"/>
        <v>66.0</v>
      </c>
      <c r="CA96" s="3" t="e">
        <f t="shared" si="247"/>
        <v>#REF!</v>
      </c>
    </row>
    <row hidden="1" r="97" ht="14.0" outlineLevel="1">
      <c r="A97" s="27" t="s">
        <v>169</v>
      </c>
      <c r="B97" s="27" t="s">
        <v>170</v>
      </c>
      <c r="C97" s="27" t="s">
        <v>171</v>
      </c>
      <c r="D97" s="27" t="s">
        <v>172</v>
      </c>
      <c r="E97" s="27">
        <v>24.0</v>
      </c>
      <c r="F97" s="27">
        <v>0.0</v>
      </c>
      <c r="G97" s="27">
        <v>192.0</v>
      </c>
      <c r="H97" s="27">
        <v>21.0</v>
      </c>
      <c r="I97" s="27">
        <v>24.0</v>
      </c>
      <c r="J97" s="27">
        <v>0.0</v>
      </c>
      <c r="K97" s="27">
        <v>24.0</v>
      </c>
      <c r="L97" s="27">
        <v>24.0</v>
      </c>
      <c r="M97" s="27">
        <v>48.0</v>
      </c>
      <c r="N97" s="27">
        <v>24.0</v>
      </c>
      <c r="O97" s="27">
        <v>0.0</v>
      </c>
      <c r="P97" s="27">
        <v>24.0</v>
      </c>
      <c r="Q97" s="27">
        <v>24.0</v>
      </c>
      <c r="R97" s="27">
        <v>24.0</v>
      </c>
      <c r="S97" s="27">
        <v>192.0</v>
      </c>
      <c r="T97" s="27">
        <v>0.0</v>
      </c>
      <c r="U97" s="27">
        <v>48.0</v>
      </c>
      <c r="V97" s="27">
        <v>0.0</v>
      </c>
      <c r="W97" s="27">
        <v>24.0</v>
      </c>
      <c r="X97" s="27">
        <v>24.0</v>
      </c>
      <c r="Y97" s="27">
        <v>24.0</v>
      </c>
      <c r="Z97" s="27">
        <v>24.0</v>
      </c>
      <c r="AA97" s="27">
        <v>0.0</v>
      </c>
      <c r="AB97" s="27">
        <v>24.0</v>
      </c>
      <c r="AC97" s="27">
        <v>24.0</v>
      </c>
      <c r="AD97" s="27">
        <v>0.0</v>
      </c>
      <c r="AE97" s="27">
        <v>24.0</v>
      </c>
      <c r="AF97" s="27">
        <v>168.0</v>
      </c>
      <c r="AG97" s="27">
        <v>120.0</v>
      </c>
      <c r="AH97" s="27">
        <v>24.0</v>
      </c>
      <c r="AI97" s="27">
        <v>48.0</v>
      </c>
      <c r="AJ97" s="27">
        <v>72.0</v>
      </c>
      <c r="AK97" s="27">
        <v>144.0</v>
      </c>
      <c r="AL97" s="27">
        <v>24.0</v>
      </c>
      <c r="AM97" s="27">
        <v>24.0</v>
      </c>
      <c r="AN97" s="27">
        <v>24.0</v>
      </c>
      <c r="AO97" s="28">
        <f t="shared" si="219"/>
        <v>696.0</v>
      </c>
      <c r="AP97" s="28">
        <f t="shared" si="220"/>
        <v>336.0</v>
      </c>
      <c r="AQ97" s="28">
        <f t="shared" si="221"/>
        <v>369.6</v>
      </c>
      <c r="AS97" s="3">
        <f t="shared" si="301"/>
        <v>26.4</v>
      </c>
      <c r="AT97" s="3">
        <f t="shared" si="302"/>
        <v>26.4</v>
      </c>
      <c r="AU97" s="3">
        <f t="shared" si="303"/>
        <v>0.0</v>
      </c>
      <c r="AV97" s="3">
        <f t="shared" si="313"/>
        <v>26.4</v>
      </c>
      <c r="AW97" s="3">
        <f t="shared" si="314"/>
        <v>184.8</v>
      </c>
      <c r="AX97" s="3">
        <f t="shared" si="315"/>
        <v>132.0</v>
      </c>
      <c r="AY97" s="28"/>
      <c r="AZ97" s="28"/>
      <c r="BA97" s="28">
        <f t="shared" si="323"/>
        <v>396.0</v>
      </c>
      <c r="BB97" s="2" t="e">
        <f t="shared" si="324"/>
        <v>#REF!</v>
      </c>
      <c r="BC97" s="1" t="e">
        <f t="shared" ref="BC97:BC100" si="358">VLOOKUP(C97,FYTM1,3,false)</f>
        <v>#REF!</v>
      </c>
      <c r="BD97" s="1" t="e">
        <f t="shared" ref="BD97:BD98" si="359">VLOOKUP(C97,FYTM2,3,false)</f>
        <v>#REF!</v>
      </c>
      <c r="BE97" s="3" t="e">
        <f t="shared" si="347"/>
        <v>#REF!</v>
      </c>
      <c r="BF97" s="1">
        <f>VLOOKUP(C97,MOQ,3,FALSE())</f>
        <v>200.0</v>
      </c>
      <c r="BI97" s="1" t="e">
        <f t="shared" si="233"/>
        <v>#REF!</v>
      </c>
      <c r="BJ97" s="1">
        <f t="shared" si="348"/>
        <v>26.4</v>
      </c>
      <c r="BK97" s="1" t="e">
        <f t="shared" si="235"/>
        <v>#REF!</v>
      </c>
      <c r="BL97" s="3" t="e">
        <f t="shared" si="236"/>
        <v>#REF!</v>
      </c>
      <c r="BM97" s="1">
        <f t="shared" si="349"/>
        <v>26.4</v>
      </c>
      <c r="BN97" s="1" t="e">
        <f t="shared" si="238"/>
        <v>#REF!</v>
      </c>
      <c r="BO97" s="3" t="e">
        <f t="shared" si="239"/>
        <v>#REF!</v>
      </c>
      <c r="BP97" s="1">
        <f t="shared" si="350"/>
        <v>0.0</v>
      </c>
      <c r="BR97" s="3" t="e">
        <f t="shared" si="241"/>
        <v>#REF!</v>
      </c>
      <c r="BS97" s="1">
        <f t="shared" si="351"/>
        <v>26.4</v>
      </c>
      <c r="BU97" s="3" t="e">
        <f t="shared" si="243"/>
        <v>#REF!</v>
      </c>
      <c r="BV97" s="1">
        <f t="shared" si="352"/>
        <v>184.8</v>
      </c>
      <c r="BX97" s="3" t="e">
        <f t="shared" si="245"/>
        <v>#REF!</v>
      </c>
      <c r="BY97" s="1">
        <f t="shared" si="353"/>
        <v>132.0</v>
      </c>
      <c r="CA97" s="3" t="e">
        <f t="shared" si="247"/>
        <v>#REF!</v>
      </c>
    </row>
    <row hidden="1" r="98" ht="14.0" outlineLevel="1">
      <c r="A98" s="27" t="s">
        <v>169</v>
      </c>
      <c r="B98" s="27" t="s">
        <v>170</v>
      </c>
      <c r="C98" s="27" t="s">
        <v>173</v>
      </c>
      <c r="D98" s="27" t="s">
        <v>174</v>
      </c>
      <c r="E98" s="27">
        <v>24.0</v>
      </c>
      <c r="F98" s="27">
        <v>24.0</v>
      </c>
      <c r="G98" s="27">
        <v>192.0</v>
      </c>
      <c r="H98" s="27">
        <v>0.0</v>
      </c>
      <c r="I98" s="27">
        <v>24.0</v>
      </c>
      <c r="J98" s="27">
        <v>0.0</v>
      </c>
      <c r="K98" s="27">
        <v>24.0</v>
      </c>
      <c r="L98" s="27">
        <v>72.0</v>
      </c>
      <c r="M98" s="27">
        <v>24.0</v>
      </c>
      <c r="N98" s="27">
        <v>24.0</v>
      </c>
      <c r="O98" s="27">
        <v>24.0</v>
      </c>
      <c r="P98" s="27">
        <v>24.0</v>
      </c>
      <c r="Q98" s="27">
        <v>24.0</v>
      </c>
      <c r="R98" s="27">
        <v>24.0</v>
      </c>
      <c r="S98" s="27">
        <v>192.0</v>
      </c>
      <c r="T98" s="27">
        <v>0.0</v>
      </c>
      <c r="U98" s="27">
        <v>24.0</v>
      </c>
      <c r="V98" s="27">
        <v>0.0</v>
      </c>
      <c r="W98" s="27">
        <v>24.0</v>
      </c>
      <c r="X98" s="27">
        <v>24.0</v>
      </c>
      <c r="Y98" s="27">
        <v>48.0</v>
      </c>
      <c r="Z98" s="27">
        <v>24.0</v>
      </c>
      <c r="AA98" s="27">
        <v>0.0</v>
      </c>
      <c r="AB98" s="27">
        <v>24.0</v>
      </c>
      <c r="AC98" s="27">
        <v>24.0</v>
      </c>
      <c r="AD98" s="27">
        <v>24.0</v>
      </c>
      <c r="AE98" s="27">
        <v>0.0</v>
      </c>
      <c r="AF98" s="27">
        <v>120.0</v>
      </c>
      <c r="AG98" s="27">
        <v>48.0</v>
      </c>
      <c r="AH98" s="27">
        <v>24.0</v>
      </c>
      <c r="AI98" s="27">
        <v>24.0</v>
      </c>
      <c r="AJ98" s="27">
        <v>48.0</v>
      </c>
      <c r="AK98" s="27">
        <v>96.0</v>
      </c>
      <c r="AL98" s="27">
        <v>0.0</v>
      </c>
      <c r="AM98" s="27">
        <v>24.0</v>
      </c>
      <c r="AN98" s="27">
        <v>0.0</v>
      </c>
      <c r="AO98" s="28">
        <f t="shared" si="219"/>
        <v>456.0</v>
      </c>
      <c r="AP98" s="28">
        <f t="shared" si="220"/>
        <v>216.0</v>
      </c>
      <c r="AQ98" s="28">
        <f t="shared" si="221"/>
        <v>237.6</v>
      </c>
      <c r="AS98" s="3">
        <f t="shared" si="301"/>
        <v>26.4</v>
      </c>
      <c r="AT98" s="3">
        <f t="shared" si="302"/>
        <v>26.4</v>
      </c>
      <c r="AU98" s="3">
        <f t="shared" si="303"/>
        <v>26.4</v>
      </c>
      <c r="AV98" s="3">
        <f t="shared" si="313"/>
        <v>0.0</v>
      </c>
      <c r="AW98" s="3">
        <f t="shared" si="314"/>
        <v>132.0</v>
      </c>
      <c r="AX98" s="3">
        <f t="shared" si="315"/>
        <v>52.8</v>
      </c>
      <c r="AY98" s="28"/>
      <c r="AZ98" s="28"/>
      <c r="BA98" s="28">
        <f t="shared" si="323"/>
        <v>264.0</v>
      </c>
      <c r="BB98" s="2" t="e">
        <f t="shared" si="324"/>
        <v>#REF!</v>
      </c>
      <c r="BC98" s="1" t="e">
        <f t="shared" si="358"/>
        <v>#REF!</v>
      </c>
      <c r="BD98" s="1" t="e">
        <f t="shared" si="359"/>
        <v>#REF!</v>
      </c>
      <c r="BE98" s="3" t="e">
        <f t="shared" si="347"/>
        <v>#REF!</v>
      </c>
      <c r="BF98" s="1">
        <f>VLOOKUP(C98,MOQ,3,FALSE())</f>
        <v>200.0</v>
      </c>
      <c r="BI98" s="1" t="e">
        <f t="shared" si="233"/>
        <v>#REF!</v>
      </c>
      <c r="BJ98" s="1">
        <f t="shared" si="348"/>
        <v>26.4</v>
      </c>
      <c r="BK98" s="1" t="e">
        <f t="shared" si="235"/>
        <v>#REF!</v>
      </c>
      <c r="BL98" s="3" t="e">
        <f t="shared" si="236"/>
        <v>#REF!</v>
      </c>
      <c r="BM98" s="1">
        <f t="shared" si="349"/>
        <v>26.4</v>
      </c>
      <c r="BN98" s="1" t="e">
        <f t="shared" si="238"/>
        <v>#REF!</v>
      </c>
      <c r="BO98" s="3" t="e">
        <f t="shared" si="239"/>
        <v>#REF!</v>
      </c>
      <c r="BP98" s="1">
        <f t="shared" si="350"/>
        <v>26.4</v>
      </c>
      <c r="BR98" s="3" t="e">
        <f t="shared" si="241"/>
        <v>#REF!</v>
      </c>
      <c r="BS98" s="1">
        <f t="shared" si="351"/>
        <v>0.0</v>
      </c>
      <c r="BU98" s="3" t="e">
        <f t="shared" si="243"/>
        <v>#REF!</v>
      </c>
      <c r="BV98" s="1">
        <f t="shared" si="352"/>
        <v>132.0</v>
      </c>
      <c r="BX98" s="3" t="e">
        <f t="shared" si="245"/>
        <v>#REF!</v>
      </c>
      <c r="BY98" s="1">
        <f t="shared" si="353"/>
        <v>52.8</v>
      </c>
      <c r="CA98" s="3" t="e">
        <f t="shared" si="247"/>
        <v>#REF!</v>
      </c>
    </row>
    <row hidden="1" r="99" ht="14.0" outlineLevel="1">
      <c r="A99" s="27" t="s">
        <v>169</v>
      </c>
      <c r="B99" s="27" t="s">
        <v>170</v>
      </c>
      <c r="C99" s="27" t="s">
        <v>175</v>
      </c>
      <c r="D99" s="27" t="s">
        <v>176</v>
      </c>
      <c r="E99" s="27">
        <v>23.0</v>
      </c>
      <c r="F99" s="27">
        <v>24.0</v>
      </c>
      <c r="G99" s="27">
        <v>24.0</v>
      </c>
      <c r="H99" s="27">
        <v>24.0</v>
      </c>
      <c r="I99" s="27">
        <v>24.0</v>
      </c>
      <c r="J99" s="27">
        <v>24.0</v>
      </c>
      <c r="K99" s="27">
        <v>0.0</v>
      </c>
      <c r="L99" s="27">
        <v>96.0</v>
      </c>
      <c r="M99" s="27">
        <v>24.0</v>
      </c>
      <c r="N99" s="27">
        <v>48.0</v>
      </c>
      <c r="O99" s="27">
        <v>24.0</v>
      </c>
      <c r="P99" s="27">
        <v>216.0</v>
      </c>
      <c r="Q99" s="27">
        <v>24.0</v>
      </c>
      <c r="R99" s="27">
        <v>24.0</v>
      </c>
      <c r="S99" s="27">
        <v>24.0</v>
      </c>
      <c r="T99" s="27">
        <v>24.0</v>
      </c>
      <c r="U99" s="27">
        <v>24.0</v>
      </c>
      <c r="V99" s="27">
        <v>24.0</v>
      </c>
      <c r="W99" s="27">
        <v>24.0</v>
      </c>
      <c r="X99" s="27">
        <v>96.0</v>
      </c>
      <c r="Y99" s="27">
        <v>48.0</v>
      </c>
      <c r="Z99" s="27">
        <v>24.0</v>
      </c>
      <c r="AA99" s="27">
        <v>240.0</v>
      </c>
      <c r="AB99" s="27">
        <v>0.0</v>
      </c>
      <c r="AC99" s="27">
        <v>0.0</v>
      </c>
      <c r="AD99" s="27">
        <v>24.0</v>
      </c>
      <c r="AE99" s="27">
        <v>0.0</v>
      </c>
      <c r="AF99" s="27">
        <v>48.0</v>
      </c>
      <c r="AG99" s="27">
        <v>24.0</v>
      </c>
      <c r="AH99" s="27">
        <v>24.0</v>
      </c>
      <c r="AI99" s="27">
        <v>24.0</v>
      </c>
      <c r="AJ99" s="27">
        <v>72.0</v>
      </c>
      <c r="AK99" s="27">
        <v>144.0</v>
      </c>
      <c r="AL99" s="27">
        <v>12.0</v>
      </c>
      <c r="AM99" s="27">
        <v>24.0</v>
      </c>
      <c r="AN99" s="27">
        <v>216.0</v>
      </c>
      <c r="AO99" s="28">
        <f t="shared" si="219"/>
        <v>636.0</v>
      </c>
      <c r="AP99" s="28">
        <f t="shared" si="220"/>
        <v>300.0</v>
      </c>
      <c r="AQ99" s="28">
        <f t="shared" si="221"/>
        <v>330.0</v>
      </c>
      <c r="AS99" s="3">
        <f t="shared" si="301"/>
        <v>0.0</v>
      </c>
      <c r="AT99" s="3">
        <f t="shared" si="302"/>
        <v>0.0</v>
      </c>
      <c r="AU99" s="3">
        <f t="shared" si="303"/>
        <v>26.4</v>
      </c>
      <c r="AV99" s="3">
        <f t="shared" si="313"/>
        <v>0.0</v>
      </c>
      <c r="AW99" s="3">
        <f t="shared" si="314"/>
        <v>52.8</v>
      </c>
      <c r="AX99" s="3">
        <f t="shared" si="315"/>
        <v>26.4</v>
      </c>
      <c r="AY99" s="28"/>
      <c r="AZ99" s="28"/>
      <c r="BA99" s="28">
        <f t="shared" si="323"/>
        <v>105.6</v>
      </c>
      <c r="BB99" s="2" t="e">
        <f t="shared" si="324"/>
        <v>#REF!</v>
      </c>
      <c r="BC99" s="1" t="e">
        <f t="shared" si="358"/>
        <v>#REF!</v>
      </c>
      <c r="BE99" s="3" t="e">
        <f t="shared" si="347"/>
        <v>#REF!</v>
      </c>
      <c r="BF99" s="1">
        <f>VLOOKUP(C99,MOQ,3,FALSE())</f>
        <v>120.0</v>
      </c>
      <c r="BI99" s="1" t="e">
        <f t="shared" si="233"/>
        <v>#REF!</v>
      </c>
      <c r="BJ99" s="1">
        <f t="shared" si="348"/>
        <v>0.0</v>
      </c>
      <c r="BK99" s="1" t="e">
        <f t="shared" si="235"/>
        <v>#REF!</v>
      </c>
      <c r="BL99" s="3" t="e">
        <f t="shared" si="236"/>
        <v>#REF!</v>
      </c>
      <c r="BM99" s="1">
        <f t="shared" si="349"/>
        <v>0.0</v>
      </c>
      <c r="BN99" s="1">
        <f t="shared" si="238"/>
      </c>
      <c r="BO99" s="3" t="e">
        <f t="shared" si="239"/>
        <v>#REF!</v>
      </c>
      <c r="BP99" s="1">
        <f t="shared" si="350"/>
        <v>26.4</v>
      </c>
      <c r="BR99" s="3" t="e">
        <f t="shared" si="241"/>
        <v>#REF!</v>
      </c>
      <c r="BS99" s="1">
        <f t="shared" si="351"/>
        <v>0.0</v>
      </c>
      <c r="BU99" s="3" t="e">
        <f t="shared" si="243"/>
        <v>#REF!</v>
      </c>
      <c r="BV99" s="1">
        <f t="shared" si="352"/>
        <v>52.8</v>
      </c>
      <c r="BX99" s="3" t="e">
        <f t="shared" si="245"/>
        <v>#REF!</v>
      </c>
      <c r="BY99" s="1">
        <f t="shared" si="353"/>
        <v>26.4</v>
      </c>
      <c r="CA99" s="3" t="e">
        <f t="shared" si="247"/>
        <v>#REF!</v>
      </c>
    </row>
    <row hidden="1" r="100" ht="14.0" outlineLevel="1">
      <c r="A100" s="27" t="s">
        <v>169</v>
      </c>
      <c r="B100" s="27" t="s">
        <v>170</v>
      </c>
      <c r="C100" s="27" t="s">
        <v>177</v>
      </c>
      <c r="D100" s="27" t="s">
        <v>178</v>
      </c>
      <c r="E100" s="27">
        <v>24.0</v>
      </c>
      <c r="F100" s="27">
        <v>24.0</v>
      </c>
      <c r="G100" s="27">
        <v>0.0</v>
      </c>
      <c r="H100" s="27">
        <v>24.0</v>
      </c>
      <c r="I100" s="27">
        <v>24.0</v>
      </c>
      <c r="J100" s="27">
        <v>24.0</v>
      </c>
      <c r="K100" s="27">
        <v>24.0</v>
      </c>
      <c r="L100" s="27">
        <v>72.0</v>
      </c>
      <c r="M100" s="27">
        <v>48.0</v>
      </c>
      <c r="N100" s="27">
        <v>48.0</v>
      </c>
      <c r="O100" s="27">
        <v>24.0</v>
      </c>
      <c r="P100" s="27">
        <v>240.0</v>
      </c>
      <c r="Q100" s="27">
        <v>48.0</v>
      </c>
      <c r="R100" s="27">
        <v>24.0</v>
      </c>
      <c r="S100" s="27">
        <v>24.0</v>
      </c>
      <c r="T100" s="27">
        <v>24.0</v>
      </c>
      <c r="U100" s="27">
        <v>48.0</v>
      </c>
      <c r="V100" s="27">
        <v>24.0</v>
      </c>
      <c r="W100" s="27">
        <v>0.0</v>
      </c>
      <c r="X100" s="27">
        <v>72.0</v>
      </c>
      <c r="Y100" s="27">
        <v>48.0</v>
      </c>
      <c r="Z100" s="27">
        <v>72.0</v>
      </c>
      <c r="AA100" s="27">
        <v>240.0</v>
      </c>
      <c r="AB100" s="27">
        <v>0.0</v>
      </c>
      <c r="AC100" s="27">
        <v>24.0</v>
      </c>
      <c r="AD100" s="27">
        <v>0.0</v>
      </c>
      <c r="AE100" s="27">
        <v>48.0</v>
      </c>
      <c r="AF100" s="27">
        <v>24.0</v>
      </c>
      <c r="AG100" s="27">
        <v>72.0</v>
      </c>
      <c r="AH100" s="27">
        <v>24.0</v>
      </c>
      <c r="AI100" s="27">
        <v>48.0</v>
      </c>
      <c r="AJ100" s="27">
        <v>120.0</v>
      </c>
      <c r="AK100" s="27">
        <v>120.0</v>
      </c>
      <c r="AL100" s="27">
        <v>72.0</v>
      </c>
      <c r="AM100" s="27">
        <v>0.0</v>
      </c>
      <c r="AN100" s="27">
        <v>264.0</v>
      </c>
      <c r="AO100" s="28">
        <f t="shared" si="219"/>
        <v>792.0</v>
      </c>
      <c r="AP100" s="28">
        <f t="shared" si="220"/>
        <v>384.0</v>
      </c>
      <c r="AQ100" s="28">
        <f t="shared" si="221"/>
        <v>422.4</v>
      </c>
      <c r="AS100" s="3">
        <f t="shared" si="301"/>
        <v>0.0</v>
      </c>
      <c r="AT100" s="3">
        <f t="shared" si="302"/>
        <v>26.4</v>
      </c>
      <c r="AU100" s="3">
        <f t="shared" si="303"/>
        <v>0.0</v>
      </c>
      <c r="AV100" s="3">
        <f t="shared" si="313"/>
        <v>52.8</v>
      </c>
      <c r="AW100" s="3">
        <f t="shared" si="314"/>
        <v>26.4</v>
      </c>
      <c r="AX100" s="3">
        <f t="shared" si="315"/>
        <v>79.2</v>
      </c>
      <c r="AY100" s="28"/>
      <c r="AZ100" s="28"/>
      <c r="BA100" s="28">
        <f t="shared" si="323"/>
        <v>184.8</v>
      </c>
      <c r="BB100" s="2" t="e">
        <f t="shared" si="324"/>
        <v>#REF!</v>
      </c>
      <c r="BC100" s="1" t="e">
        <f t="shared" si="358"/>
        <v>#REF!</v>
      </c>
      <c r="BD100" s="1" t="e">
        <f>VLOOKUP(C100,FYTM2,3,false)</f>
        <v>#REF!</v>
      </c>
      <c r="BE100" s="3" t="e">
        <f t="shared" si="347"/>
        <v>#REF!</v>
      </c>
      <c r="BF100" s="1">
        <f>VLOOKUP(C100,MOQ,3,FALSE())</f>
        <v>120.0</v>
      </c>
      <c r="BI100" s="1" t="e">
        <f t="shared" si="233"/>
        <v>#REF!</v>
      </c>
      <c r="BJ100" s="1">
        <f t="shared" si="348"/>
        <v>0.0</v>
      </c>
      <c r="BK100" s="1" t="e">
        <f t="shared" si="235"/>
        <v>#REF!</v>
      </c>
      <c r="BL100" s="3" t="e">
        <f t="shared" si="236"/>
        <v>#REF!</v>
      </c>
      <c r="BM100" s="1">
        <f t="shared" si="349"/>
        <v>26.4</v>
      </c>
      <c r="BN100" s="1" t="e">
        <f t="shared" si="238"/>
        <v>#REF!</v>
      </c>
      <c r="BO100" s="3" t="e">
        <f t="shared" si="239"/>
        <v>#REF!</v>
      </c>
      <c r="BP100" s="1">
        <f t="shared" si="350"/>
        <v>0.0</v>
      </c>
      <c r="BR100" s="3" t="e">
        <f t="shared" si="241"/>
        <v>#REF!</v>
      </c>
      <c r="BS100" s="1">
        <f t="shared" si="351"/>
        <v>52.8</v>
      </c>
      <c r="BU100" s="3" t="e">
        <f t="shared" si="243"/>
        <v>#REF!</v>
      </c>
      <c r="BV100" s="1">
        <f t="shared" si="352"/>
        <v>26.4</v>
      </c>
      <c r="BX100" s="3" t="e">
        <f t="shared" si="245"/>
        <v>#REF!</v>
      </c>
      <c r="BY100" s="1">
        <f t="shared" si="353"/>
        <v>79.2</v>
      </c>
      <c r="CA100" s="3" t="e">
        <f t="shared" si="247"/>
        <v>#REF!</v>
      </c>
    </row>
    <row r="101" collapsed="1"/>
    <row r="103">
      <c r="BG103" s="48"/>
    </row>
    <row r="104">
      <c r="BG104" s="15"/>
    </row>
  </sheetData>
  <mergeCells count="16">
    <mergeCell ref="BM6:BO6"/>
    <mergeCell ref="BP71:BR71"/>
    <mergeCell ref="BM71:BO71"/>
    <mergeCell ref="BP6:BR6"/>
    <mergeCell ref="BS71:BU71"/>
    <mergeCell ref="BS6:BU6"/>
    <mergeCell ref="BV6:BX6"/>
    <mergeCell ref="BV71:BX71"/>
    <mergeCell ref="BY6:CA6"/>
    <mergeCell ref="CB71:CD71"/>
    <mergeCell ref="BY71:CA71"/>
    <mergeCell ref="CB6:CD6"/>
    <mergeCell ref="CE71:CG71"/>
    <mergeCell ref="CE6:CG6"/>
    <mergeCell ref="BJ6:BL6"/>
    <mergeCell ref="BJ71:BL71"/>
  </mergeCells>
  <conditionalFormatting sqref="E8:AN67">
    <cfRule dxfId="0" operator="equal" type="cellIs" priority="1">
      <formula>0</formula>
    </cfRule>
  </conditionalFormatting>
  <conditionalFormatting sqref="C73:AN100 E70:AA70">
    <cfRule dxfId="0" operator="equal" type="cellIs" priority="2">
      <formula>0</formula>
    </cfRule>
  </conditionalFormatting>
  <conditionalFormatting sqref="C1:C262142">
    <cfRule dxfId="1" operator="containsText" type="containsText" priority="3" text="set up">
      <formula>NOT(ISERROR(SEARCH("set up",C1)))</formula>
    </cfRule>
  </conditionalFormatting>
  <conditionalFormatting sqref="BE101:BE262142 BE22:BE72 BE1:BE9">
    <cfRule dxfId="2" operator="lessThan" type="cellIs" priority="4">
      <formula>0</formula>
    </cfRule>
  </conditionalFormatting>
  <conditionalFormatting sqref="BI8:CA67">
    <cfRule dxfId="3" operator="lessThan" type="cellIs" priority="5">
      <formula>0</formula>
    </cfRule>
  </conditionalFormatting>
  <conditionalFormatting sqref="BL73:BM100 BO73:CA100 BI73:BJ100">
    <cfRule dxfId="3" operator="lessThan" type="cellIs" priority="6">
      <formula>0</formula>
    </cfRule>
  </conditionalFormatting>
  <conditionalFormatting sqref="BK73:BK100">
    <cfRule dxfId="3" operator="lessThan" type="cellIs" priority="7">
      <formula>0</formula>
    </cfRule>
  </conditionalFormatting>
  <conditionalFormatting sqref="BN73:BN100">
    <cfRule dxfId="3" operator="lessThan" type="cellIs" priority="8">
      <formula>0</formula>
    </cfRule>
  </conditionalFormatting>
  <conditionalFormatting sqref="BE73:BE100">
    <cfRule dxfId="2" operator="lessThan" type="cellIs" priority="9">
      <formula>0</formula>
    </cfRule>
  </conditionalFormatting>
  <conditionalFormatting sqref="CB8:CD9 CB22:CD29">
    <cfRule dxfId="3" operator="lessThan" type="cellIs" priority="10">
      <formula>0</formula>
    </cfRule>
  </conditionalFormatting>
  <conditionalFormatting sqref="CE8:CG9 CE22:CG29">
    <cfRule dxfId="3" operator="lessThan" type="cellIs" priority="11">
      <formula>0</formula>
    </cfRule>
  </conditionalFormatting>
  <conditionalFormatting sqref="CB80:CD84">
    <cfRule dxfId="3" operator="lessThan" type="cellIs" priority="12">
      <formula>0</formula>
    </cfRule>
  </conditionalFormatting>
  <conditionalFormatting sqref="CE80:CG84">
    <cfRule dxfId="3" operator="lessThan" type="cellIs" priority="13">
      <formula>0</formula>
    </cfRule>
  </conditionalFormatting>
  <conditionalFormatting sqref="CB64:CD67">
    <cfRule dxfId="3" operator="lessThan" type="cellIs" priority="14">
      <formula>0</formula>
    </cfRule>
  </conditionalFormatting>
  <conditionalFormatting sqref="CE64:CG65">
    <cfRule dxfId="3" operator="lessThan" type="cellIs" priority="15">
      <formula>0</formula>
    </cfRule>
  </conditionalFormatting>
  <conditionalFormatting sqref="CE66:CG66">
    <cfRule dxfId="3" operator="lessThan" type="cellIs" priority="16">
      <formula>0</formula>
    </cfRule>
  </conditionalFormatting>
  <conditionalFormatting sqref="CE67:CG67">
    <cfRule dxfId="3" operator="lessThan" type="cellIs" priority="17">
      <formula>0</formula>
    </cfRule>
  </conditionalFormatting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6"/>
  <sheetViews>
    <sheetView workbookViewId="0"/>
  </sheetViews>
  <sheetFormatPr defaultRowHeight="14.0" customHeight="1"/>
  <cols>
    <col min="1" max="1" style="49" width="6.35"/>
    <col min="2" max="2" style="50" width="17.22"/>
    <col min="3" max="3" style="49" width="13.64"/>
    <col min="4" max="4" style="49" width="42.66"/>
    <col min="5" max="5" style="50" width="10.2"/>
    <col min="6" max="6" style="49" width="12.18"/>
    <col min="7" max="7" style="49" width="12.05"/>
    <col min="8" max="8" style="146" width="14.83"/>
    <col min="9" max="9" style="146" width="14.97"/>
    <col min="10" max="10" style="146" width="16.82"/>
    <col min="11" max="11" style="49" width="13.77"/>
    <col min="12" max="12" style="146" width="13.51"/>
    <col min="13" max="13" style="205" width="14.44"/>
    <col min="14" max="14" style="206" width="10.86"/>
    <col min="15" max="15" style="207" width="12.85"/>
    <col min="16" max="16" style="49" width="16.29"/>
    <col min="17" max="17" style="49" width="13.77"/>
    <col min="18" max="18" style="49" width="11.65"/>
    <col min="19" max="19" style="49" width="4.5"/>
    <col min="20" max="1027" style="49" width="13.24"/>
    <col min="1028" max="1028" style="49" width="13.24"/>
    <col min="1029" max="2047" style="49" width="13.24"/>
    <col min="2048" max="2048" width="13.24"/>
  </cols>
  <sheetData>
    <row r="1" customHeight="1" ht="35.0">
      <c r="B1" s="208" t="s">
        <v>11</v>
      </c>
      <c r="C1" s="208" t="s">
        <v>12</v>
      </c>
      <c r="D1" s="209" t="s">
        <v>261</v>
      </c>
      <c r="E1" s="209" t="s">
        <v>262</v>
      </c>
      <c r="F1" s="209" t="s">
        <v>263</v>
      </c>
      <c r="G1" s="209" t="s">
        <v>264</v>
      </c>
      <c r="H1" s="210" t="s">
        <v>265</v>
      </c>
      <c r="I1" s="210" t="s">
        <v>185</v>
      </c>
      <c r="J1" s="209" t="s">
        <v>266</v>
      </c>
      <c r="K1" s="211" t="s">
        <v>186</v>
      </c>
      <c r="L1" s="209" t="s">
        <v>267</v>
      </c>
      <c r="M1" s="212" t="s">
        <v>268</v>
      </c>
      <c r="N1" s="213" t="s">
        <v>22</v>
      </c>
      <c r="O1" s="214" t="s">
        <v>269</v>
      </c>
      <c r="P1" s="214" t="s">
        <v>270</v>
      </c>
      <c r="Q1" s="215" t="s">
        <v>271</v>
      </c>
    </row>
    <row r="2" ht="14.0">
      <c r="B2" s="216" t="s">
        <v>28</v>
      </c>
      <c r="C2" s="217" t="s">
        <v>29</v>
      </c>
      <c r="D2" s="217" t="s">
        <v>43</v>
      </c>
      <c r="E2" s="216" t="s">
        <v>44</v>
      </c>
      <c r="F2" s="217">
        <v>359.0</v>
      </c>
      <c r="G2" s="217">
        <v>294.0</v>
      </c>
      <c r="H2" s="218">
        <v>5.17</v>
      </c>
      <c r="I2" s="218">
        <v>1520.9</v>
      </c>
      <c r="J2" s="216" t="s">
        <v>7</v>
      </c>
      <c r="K2" s="217"/>
      <c r="L2" s="219"/>
      <c r="M2" s="220">
        <v>-65.0</v>
      </c>
      <c r="N2" s="221">
        <v>1000.0</v>
      </c>
      <c r="O2" s="222">
        <v>1000.0</v>
      </c>
      <c r="P2" s="216" t="s">
        <v>272</v>
      </c>
      <c r="Q2" s="102">
        <f t="shared" ref="Q2:Q5" si="0">O2*H2</f>
        <v>5170.0</v>
      </c>
    </row>
    <row r="3" ht="14.0">
      <c r="B3" s="216" t="s">
        <v>28</v>
      </c>
      <c r="C3" s="217" t="s">
        <v>29</v>
      </c>
      <c r="D3" s="217" t="s">
        <v>62</v>
      </c>
      <c r="E3" s="216" t="s">
        <v>63</v>
      </c>
      <c r="F3" s="217">
        <v>3010.0</v>
      </c>
      <c r="G3" s="217">
        <v>1714.0</v>
      </c>
      <c r="H3" s="218">
        <v>3.46</v>
      </c>
      <c r="I3" s="218">
        <v>5937.3</v>
      </c>
      <c r="J3" s="216" t="s">
        <v>6</v>
      </c>
      <c r="K3" s="217"/>
      <c r="L3" s="219"/>
      <c r="M3" s="220">
        <v>-1296.0</v>
      </c>
      <c r="N3" s="221">
        <v>1008.0</v>
      </c>
      <c r="O3" s="222">
        <v>1296.0</v>
      </c>
      <c r="P3" s="216" t="s">
        <v>272</v>
      </c>
      <c r="Q3" s="102">
        <f t="shared" si="0"/>
        <v>4484.16</v>
      </c>
    </row>
    <row r="4" ht="14.0">
      <c r="B4" s="216" t="s">
        <v>28</v>
      </c>
      <c r="C4" s="217" t="s">
        <v>29</v>
      </c>
      <c r="D4" s="217" t="s">
        <v>67</v>
      </c>
      <c r="E4" s="216" t="s">
        <v>68</v>
      </c>
      <c r="F4" s="217">
        <v>2576.0</v>
      </c>
      <c r="G4" s="217">
        <v>2335.0</v>
      </c>
      <c r="H4" s="218">
        <v>3.46</v>
      </c>
      <c r="I4" s="218">
        <v>8088.2</v>
      </c>
      <c r="J4" s="216" t="s">
        <v>8</v>
      </c>
      <c r="K4" s="217"/>
      <c r="L4" s="219"/>
      <c r="M4" s="220">
        <v>-241.0</v>
      </c>
      <c r="N4" s="221">
        <v>1008.0</v>
      </c>
      <c r="O4" s="222">
        <v>1008.0</v>
      </c>
      <c r="P4" s="216" t="s">
        <v>272</v>
      </c>
      <c r="Q4" s="102">
        <f t="shared" si="0"/>
        <v>3487.68</v>
      </c>
    </row>
    <row r="5" ht="14.0">
      <c r="B5" s="216" t="s">
        <v>28</v>
      </c>
      <c r="C5" s="217" t="s">
        <v>166</v>
      </c>
      <c r="D5" s="217" t="s">
        <v>167</v>
      </c>
      <c r="E5" s="216" t="s">
        <v>168</v>
      </c>
      <c r="F5" s="217">
        <v>277.0</v>
      </c>
      <c r="G5" s="217">
        <v>34.0</v>
      </c>
      <c r="H5" s="218">
        <v>3.76</v>
      </c>
      <c r="I5" s="218">
        <v>127.8</v>
      </c>
      <c r="J5" s="216" t="s">
        <v>6</v>
      </c>
      <c r="K5" s="217"/>
      <c r="L5" s="219"/>
      <c r="M5" s="220">
        <v>-243.0</v>
      </c>
      <c r="N5" s="221">
        <v>1008.0</v>
      </c>
      <c r="O5" s="222">
        <v>1008.0</v>
      </c>
      <c r="P5" s="216" t="s">
        <v>272</v>
      </c>
      <c r="Q5" s="102">
        <f t="shared" si="0"/>
        <v>3790.08</v>
      </c>
      <c r="R5" s="109" t="s">
        <v>273</v>
      </c>
    </row>
    <row r="6" ht="14.0">
      <c r="I6" s="52">
        <f>SUM(I2:I5)</f>
        <v>15674.2</v>
      </c>
      <c r="O6" s="51">
        <f>SUM(O2:O5)</f>
        <v>4312.0</v>
      </c>
      <c r="Q6" s="52">
        <f>SUM(Q2:Q5)</f>
        <v>16931.92</v>
      </c>
      <c r="R6" s="109" t="s">
        <v>274</v>
      </c>
    </row>
    <row r="261957">
      <c r="L261957" s="49"/>
      <c r="N261957" s="146"/>
      <c r="O261957" s="206"/>
      <c r="P261957" s="207"/>
    </row>
    <row r="261958">
      <c r="L261958" s="49"/>
      <c r="N261958" s="146"/>
      <c r="O261958" s="206"/>
      <c r="P261958" s="207"/>
    </row>
  </sheetData>
  <autoFilter ref="A2:N99"/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42"/>
  <sheetViews>
    <sheetView workbookViewId="0"/>
  </sheetViews>
  <sheetFormatPr defaultRowHeight="14.0" customHeight="1"/>
  <cols>
    <col min="1" max="1" style="126" width="13.24"/>
    <col min="2" max="2" style="126" width="42.0"/>
    <col min="3" max="3" style="126" width="10.2"/>
    <col min="4" max="4" style="126" width="55.64"/>
    <col min="5" max="9" style="126" width="25.7"/>
    <col min="10" max="1018" style="126" width="13.24"/>
    <col min="1019" max="1024" width="13.24"/>
    <col min="1025" max="2048" width="13.24"/>
  </cols>
  <sheetData>
    <row r="1">
      <c r="A1" s="223"/>
      <c r="B1" s="223"/>
      <c r="C1" s="223"/>
      <c r="D1" s="223"/>
      <c r="E1" s="223"/>
      <c r="F1" s="223"/>
      <c r="G1" s="223"/>
      <c r="H1" s="223"/>
      <c r="I1" s="223"/>
    </row>
    <row r="2">
      <c r="A2" s="223" t="s">
        <v>275</v>
      </c>
      <c r="B2" s="223"/>
      <c r="C2" s="223"/>
      <c r="D2" s="223" t="s">
        <v>276</v>
      </c>
      <c r="E2" s="223" t="s">
        <v>277</v>
      </c>
      <c r="F2" s="223" t="s">
        <v>278</v>
      </c>
      <c r="G2" s="223" t="s">
        <v>279</v>
      </c>
      <c r="H2" s="223" t="s">
        <v>280</v>
      </c>
      <c r="I2" s="223" t="s">
        <v>281</v>
      </c>
    </row>
    <row r="3">
      <c r="A3" s="223"/>
      <c r="B3" s="223"/>
      <c r="C3" s="223"/>
      <c r="D3" s="223"/>
      <c r="E3" s="223"/>
      <c r="F3" s="223"/>
      <c r="G3" s="223"/>
      <c r="H3" s="223"/>
      <c r="I3" s="223"/>
    </row>
    <row r="4">
      <c r="A4" s="224" t="s">
        <v>29</v>
      </c>
      <c r="B4" s="224" t="s">
        <v>60</v>
      </c>
      <c r="C4" s="224" t="s">
        <v>61</v>
      </c>
      <c r="D4" s="223" t="s">
        <v>282</v>
      </c>
      <c r="E4" s="223"/>
      <c r="F4" s="223"/>
      <c r="G4" s="223"/>
      <c r="H4" s="223"/>
      <c r="I4" s="223"/>
      <c r="AME4" s="126"/>
      <c r="AMF4" s="126"/>
      <c r="AMG4" s="126"/>
      <c r="AMH4" s="126"/>
      <c r="AMI4" s="126"/>
    </row>
    <row r="5">
      <c r="A5" s="224" t="s">
        <v>29</v>
      </c>
      <c r="B5" s="224" t="s">
        <v>62</v>
      </c>
      <c r="C5" s="224" t="s">
        <v>63</v>
      </c>
      <c r="D5" s="223"/>
      <c r="E5" s="223"/>
      <c r="F5" s="223"/>
      <c r="G5" s="223"/>
      <c r="H5" s="223"/>
      <c r="I5" s="223"/>
      <c r="AME5" s="126"/>
      <c r="AMF5" s="126"/>
      <c r="AMG5" s="126"/>
      <c r="AMH5" s="126"/>
      <c r="AMI5" s="126"/>
    </row>
    <row r="6">
      <c r="A6" s="224" t="s">
        <v>29</v>
      </c>
      <c r="B6" s="224" t="s">
        <v>65</v>
      </c>
      <c r="C6" s="224" t="s">
        <v>66</v>
      </c>
      <c r="D6" s="223"/>
      <c r="E6" s="223"/>
      <c r="F6" s="223"/>
      <c r="G6" s="223"/>
      <c r="H6" s="223"/>
      <c r="I6" s="223"/>
      <c r="AME6" s="126"/>
      <c r="AMF6" s="126"/>
      <c r="AMG6" s="126"/>
      <c r="AMH6" s="126"/>
      <c r="AMI6" s="126"/>
    </row>
    <row r="7">
      <c r="A7" s="224" t="s">
        <v>29</v>
      </c>
      <c r="B7" s="224" t="s">
        <v>67</v>
      </c>
      <c r="C7" s="224" t="s">
        <v>68</v>
      </c>
      <c r="D7" s="223"/>
      <c r="E7" s="223"/>
      <c r="F7" s="223"/>
      <c r="G7" s="223"/>
      <c r="H7" s="223"/>
      <c r="I7" s="223"/>
      <c r="AME7" s="126"/>
      <c r="AMF7" s="126"/>
      <c r="AMG7" s="126"/>
      <c r="AMH7" s="126"/>
      <c r="AMI7" s="126"/>
    </row>
    <row r="8">
      <c r="A8" s="223"/>
      <c r="B8" s="223"/>
      <c r="C8" s="223"/>
      <c r="D8" s="223"/>
      <c r="E8" s="223"/>
      <c r="F8" s="223"/>
      <c r="G8" s="223"/>
      <c r="H8" s="223"/>
      <c r="I8" s="223"/>
    </row>
    <row r="9">
      <c r="A9" s="223" t="s">
        <v>29</v>
      </c>
      <c r="B9" s="223" t="s">
        <v>30</v>
      </c>
      <c r="C9" s="223" t="s">
        <v>31</v>
      </c>
      <c r="D9" s="223" t="s">
        <v>282</v>
      </c>
      <c r="E9" s="223" t="s">
        <v>283</v>
      </c>
      <c r="F9" s="223" t="s">
        <v>284</v>
      </c>
      <c r="G9" s="223" t="s">
        <v>284</v>
      </c>
      <c r="H9" s="223" t="s">
        <v>284</v>
      </c>
      <c r="I9" s="223" t="s">
        <v>284</v>
      </c>
    </row>
    <row r="10">
      <c r="A10" s="223" t="s">
        <v>29</v>
      </c>
      <c r="B10" s="223" t="s">
        <v>33</v>
      </c>
      <c r="C10" s="223" t="s">
        <v>34</v>
      </c>
      <c r="D10" s="223" t="s">
        <v>285</v>
      </c>
      <c r="E10" s="223" t="s">
        <v>283</v>
      </c>
      <c r="F10" s="223" t="s">
        <v>284</v>
      </c>
      <c r="G10" s="223" t="s">
        <v>284</v>
      </c>
      <c r="H10" s="223" t="s">
        <v>284</v>
      </c>
      <c r="I10" s="223" t="s">
        <v>284</v>
      </c>
      <c r="AME10" s="126"/>
      <c r="AMF10" s="126"/>
      <c r="AMG10" s="126"/>
      <c r="AMH10" s="126"/>
      <c r="AMI10" s="126"/>
    </row>
    <row r="11">
      <c r="A11" s="223" t="s">
        <v>29</v>
      </c>
      <c r="B11" s="223" t="s">
        <v>69</v>
      </c>
      <c r="C11" s="223" t="s">
        <v>70</v>
      </c>
      <c r="D11" s="223" t="s">
        <v>282</v>
      </c>
      <c r="E11" s="223" t="s">
        <v>283</v>
      </c>
      <c r="F11" s="223" t="s">
        <v>284</v>
      </c>
      <c r="G11" s="223" t="s">
        <v>284</v>
      </c>
      <c r="H11" s="223" t="s">
        <v>284</v>
      </c>
      <c r="I11" s="223" t="s">
        <v>284</v>
      </c>
      <c r="AME11" s="126"/>
      <c r="AMF11" s="126"/>
      <c r="AMG11" s="126"/>
      <c r="AMH11" s="126"/>
      <c r="AMI11" s="126"/>
    </row>
    <row r="12">
      <c r="A12" s="223" t="s">
        <v>29</v>
      </c>
      <c r="B12" s="223" t="s">
        <v>71</v>
      </c>
      <c r="C12" s="223" t="s">
        <v>72</v>
      </c>
      <c r="D12" s="223" t="s">
        <v>286</v>
      </c>
      <c r="E12" s="223" t="s">
        <v>283</v>
      </c>
      <c r="F12" s="223" t="s">
        <v>284</v>
      </c>
      <c r="G12" s="223" t="s">
        <v>284</v>
      </c>
      <c r="H12" s="223" t="s">
        <v>284</v>
      </c>
      <c r="I12" s="223" t="s">
        <v>284</v>
      </c>
    </row>
    <row r="13">
      <c r="A13" s="223" t="s">
        <v>29</v>
      </c>
      <c r="B13" s="223" t="s">
        <v>73</v>
      </c>
      <c r="C13" s="223" t="s">
        <v>74</v>
      </c>
      <c r="D13" s="223" t="s">
        <v>287</v>
      </c>
      <c r="E13" s="223" t="s">
        <v>283</v>
      </c>
      <c r="F13" s="223" t="s">
        <v>284</v>
      </c>
      <c r="G13" s="223" t="s">
        <v>284</v>
      </c>
      <c r="H13" s="223" t="s">
        <v>284</v>
      </c>
      <c r="I13" s="223" t="s">
        <v>284</v>
      </c>
    </row>
    <row r="14">
      <c r="A14" s="223" t="s">
        <v>29</v>
      </c>
      <c r="B14" s="223" t="s">
        <v>75</v>
      </c>
      <c r="C14" s="223" t="s">
        <v>76</v>
      </c>
      <c r="D14" s="223" t="s">
        <v>285</v>
      </c>
      <c r="E14" s="223" t="s">
        <v>283</v>
      </c>
      <c r="F14" s="223" t="s">
        <v>284</v>
      </c>
      <c r="G14" s="223" t="s">
        <v>284</v>
      </c>
      <c r="H14" s="223" t="s">
        <v>284</v>
      </c>
      <c r="I14" s="223" t="s">
        <v>284</v>
      </c>
    </row>
    <row r="15">
      <c r="A15" s="223"/>
      <c r="B15" s="223"/>
      <c r="C15" s="223"/>
      <c r="D15" s="223"/>
      <c r="E15" s="223"/>
      <c r="F15" s="223"/>
      <c r="G15" s="223"/>
      <c r="H15" s="223"/>
      <c r="I15" s="223"/>
    </row>
    <row r="16">
      <c r="A16" s="223"/>
      <c r="B16" s="223"/>
      <c r="C16" s="223"/>
      <c r="D16" s="223"/>
      <c r="E16" s="223"/>
      <c r="F16" s="223"/>
      <c r="G16" s="223"/>
      <c r="H16" s="223"/>
      <c r="I16" s="223"/>
      <c r="AME16" s="126"/>
      <c r="AMF16" s="126"/>
      <c r="AMG16" s="126"/>
      <c r="AMH16" s="126"/>
      <c r="AMI16" s="126"/>
    </row>
    <row r="17" customFormat="1" s="163">
      <c r="A17" s="162" t="s">
        <v>288</v>
      </c>
    </row>
    <row r="18" ht="17.0" customFormat="1" s="163">
      <c r="A18" s="225">
        <v>1.0</v>
      </c>
      <c r="B18" s="226" t="s">
        <v>289</v>
      </c>
    </row>
    <row r="19" customFormat="1" s="163">
      <c r="A19" s="162"/>
    </row>
    <row r="20" ht="17.0" customFormat="1" s="163">
      <c r="A20" s="162">
        <v>2.0</v>
      </c>
      <c r="B20" s="227" t="s">
        <v>290</v>
      </c>
    </row>
    <row r="21" ht="17.0" customFormat="1" s="163">
      <c r="A21" s="162"/>
      <c r="B21" s="228" t="s">
        <v>291</v>
      </c>
      <c r="E21" s="229"/>
      <c r="F21" s="70"/>
    </row>
    <row r="22" ht="17.0" customFormat="1" s="163">
      <c r="A22" s="162"/>
      <c r="B22" s="228" t="s">
        <v>292</v>
      </c>
      <c r="E22" s="229"/>
      <c r="F22" s="70"/>
    </row>
    <row r="23" customFormat="1" s="163">
      <c r="A23" s="162"/>
      <c r="B23" s="163" t="s">
        <v>293</v>
      </c>
      <c r="E23" s="59"/>
      <c r="F23" s="59"/>
    </row>
    <row r="24" customFormat="1" s="163">
      <c r="A24" s="162"/>
    </row>
    <row r="25" customFormat="1" s="163">
      <c r="A25" s="162">
        <v>2.0</v>
      </c>
      <c r="B25" s="162" t="s">
        <v>294</v>
      </c>
    </row>
    <row r="26" customFormat="1" s="163">
      <c r="A26" s="162"/>
      <c r="B26" s="163" t="s">
        <v>295</v>
      </c>
    </row>
    <row r="27" customFormat="1" s="163">
      <c r="A27" s="162"/>
    </row>
    <row r="28" customFormat="1" s="163">
      <c r="A28" s="162">
        <v>3.0</v>
      </c>
      <c r="B28" s="162" t="s">
        <v>296</v>
      </c>
    </row>
    <row r="29" ht="17.0" customFormat="1" s="163">
      <c r="A29" s="162"/>
      <c r="B29" s="230" t="s">
        <v>297</v>
      </c>
    </row>
    <row r="30" customFormat="1" s="163"/>
    <row r="31" ht="17.0" customFormat="1" s="163">
      <c r="A31" s="162">
        <v>4.0</v>
      </c>
      <c r="B31" s="226" t="s">
        <v>298</v>
      </c>
    </row>
    <row r="32" ht="17.0" customFormat="1" s="163">
      <c r="A32" s="225"/>
      <c r="B32" s="228" t="s">
        <v>299</v>
      </c>
    </row>
    <row r="33" customFormat="1" s="163">
      <c r="A33" s="162"/>
    </row>
    <row r="34" ht="17.0" customFormat="1" s="163">
      <c r="A34" s="225">
        <v>5.0</v>
      </c>
      <c r="B34" s="226" t="s">
        <v>300</v>
      </c>
    </row>
    <row r="35" ht="17.0" customFormat="1" s="163">
      <c r="A35" s="225"/>
      <c r="B35" s="228" t="s">
        <v>301</v>
      </c>
    </row>
    <row r="36" customFormat="1" s="163">
      <c r="A36" s="162"/>
    </row>
    <row r="37" ht="17.0" customFormat="1" s="163">
      <c r="A37" s="162">
        <v>6.0</v>
      </c>
      <c r="B37" s="226" t="s">
        <v>302</v>
      </c>
    </row>
    <row r="38" ht="17.0" customFormat="1" s="163">
      <c r="A38" s="162"/>
      <c r="B38" s="228" t="s">
        <v>303</v>
      </c>
    </row>
    <row r="39" customFormat="1" s="163">
      <c r="A39" s="162"/>
    </row>
    <row r="40" ht="17.0" customFormat="1" s="163">
      <c r="A40" s="225">
        <v>7.0</v>
      </c>
      <c r="B40" s="162" t="s">
        <v>304</v>
      </c>
    </row>
    <row r="41" customFormat="1" s="163">
      <c r="A41" s="225"/>
      <c r="B41" s="126"/>
    </row>
    <row r="42" customFormat="1" s="163">
      <c r="A42" s="162">
        <v>8.0</v>
      </c>
      <c r="B42" s="231" t="s">
        <v>305</v>
      </c>
    </row>
    <row r="43" customFormat="1" s="126"/>
  </sheetData>
  <mergeCells count="1">
    <mergeCell ref="A2:B2"/>
  </mergeCells>
  <extLst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3938"/>
  <sheetViews>
    <sheetView workbookViewId="0"/>
  </sheetViews>
  <sheetFormatPr defaultRowHeight="14.0" customHeight="1"/>
  <cols>
    <col min="1" max="1" style="232" width="20.13"/>
    <col min="2" max="2" width="70.88"/>
    <col min="3" max="3" width="10.46"/>
    <col min="4" max="4" width="7.41"/>
    <col min="5" max="5" width="6.49"/>
    <col min="6" max="6" width="13.24"/>
    <col min="7" max="949" width="13.24"/>
  </cols>
  <sheetData>
    <row r="1">
      <c r="A1" s="233"/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</row>
    <row r="2">
      <c r="A2" s="232" t="s">
        <v>14</v>
      </c>
      <c r="B2" t="s">
        <v>13</v>
      </c>
      <c r="C2" t="s">
        <v>306</v>
      </c>
      <c r="D2" t="s">
        <v>307</v>
      </c>
      <c r="E2" t="s">
        <v>308</v>
      </c>
    </row>
    <row r="3">
      <c r="A3" s="232">
        <v>91716.0</v>
      </c>
      <c r="B3" t="s">
        <v>309</v>
      </c>
      <c r="C3">
        <v>0.0</v>
      </c>
      <c r="D3" t="s">
        <v>310</v>
      </c>
      <c r="E3" t="s">
        <v>311</v>
      </c>
    </row>
    <row r="4">
      <c r="A4" s="232">
        <v>91751.0</v>
      </c>
      <c r="B4" t="s">
        <v>312</v>
      </c>
      <c r="C4">
        <v>0.0</v>
      </c>
      <c r="D4" t="s">
        <v>310</v>
      </c>
      <c r="E4" t="s">
        <v>311</v>
      </c>
    </row>
    <row r="5">
      <c r="A5" s="232">
        <v>91726.0</v>
      </c>
      <c r="B5" t="s">
        <v>313</v>
      </c>
      <c r="C5">
        <v>0.0</v>
      </c>
      <c r="D5" t="s">
        <v>310</v>
      </c>
      <c r="E5" t="s">
        <v>311</v>
      </c>
    </row>
    <row r="6">
      <c r="A6" s="232">
        <v>91736.0</v>
      </c>
      <c r="B6" t="s">
        <v>314</v>
      </c>
      <c r="C6">
        <v>0.0</v>
      </c>
      <c r="D6" t="s">
        <v>310</v>
      </c>
      <c r="E6" t="s">
        <v>311</v>
      </c>
    </row>
    <row r="7">
      <c r="A7" s="232">
        <v>91746.0</v>
      </c>
      <c r="B7" t="s">
        <v>315</v>
      </c>
      <c r="C7">
        <v>0.0</v>
      </c>
      <c r="D7" t="s">
        <v>310</v>
      </c>
      <c r="E7" t="s">
        <v>311</v>
      </c>
    </row>
    <row r="8">
      <c r="A8" s="232">
        <v>91741.0</v>
      </c>
      <c r="B8" t="s">
        <v>316</v>
      </c>
      <c r="C8">
        <v>0.0</v>
      </c>
      <c r="D8" t="s">
        <v>310</v>
      </c>
      <c r="E8" t="s">
        <v>311</v>
      </c>
    </row>
    <row r="9">
      <c r="A9" s="232">
        <v>91717.0</v>
      </c>
      <c r="B9" t="s">
        <v>317</v>
      </c>
      <c r="C9">
        <v>0.0</v>
      </c>
      <c r="D9" t="s">
        <v>310</v>
      </c>
      <c r="E9" t="s">
        <v>311</v>
      </c>
    </row>
    <row r="10">
      <c r="A10" s="232">
        <v>91727.0</v>
      </c>
      <c r="B10" t="s">
        <v>318</v>
      </c>
      <c r="C10">
        <v>0.0</v>
      </c>
      <c r="D10" t="s">
        <v>310</v>
      </c>
      <c r="E10" t="s">
        <v>311</v>
      </c>
    </row>
    <row r="11">
      <c r="A11" s="232">
        <v>91737.0</v>
      </c>
      <c r="B11" t="s">
        <v>319</v>
      </c>
      <c r="C11">
        <v>0.0</v>
      </c>
      <c r="D11" t="s">
        <v>310</v>
      </c>
      <c r="E11" t="s">
        <v>311</v>
      </c>
    </row>
    <row r="12">
      <c r="A12" s="232">
        <v>91747.0</v>
      </c>
      <c r="B12" t="s">
        <v>320</v>
      </c>
      <c r="C12">
        <v>0.0</v>
      </c>
      <c r="D12" t="s">
        <v>310</v>
      </c>
      <c r="E12" t="s">
        <v>311</v>
      </c>
    </row>
    <row r="13">
      <c r="A13" s="232">
        <v>91742.0</v>
      </c>
      <c r="B13" t="s">
        <v>321</v>
      </c>
      <c r="C13">
        <v>0.0</v>
      </c>
      <c r="D13" t="s">
        <v>310</v>
      </c>
      <c r="E13" t="s">
        <v>311</v>
      </c>
    </row>
    <row r="14">
      <c r="A14" s="232" t="s">
        <v>322</v>
      </c>
      <c r="B14" t="s">
        <v>323</v>
      </c>
      <c r="C14">
        <v>0.0</v>
      </c>
      <c r="D14" t="s">
        <v>310</v>
      </c>
      <c r="E14" t="s">
        <v>311</v>
      </c>
    </row>
    <row r="15">
      <c r="A15" s="232" t="s">
        <v>324</v>
      </c>
      <c r="B15" t="s">
        <v>325</v>
      </c>
      <c r="C15">
        <v>0.0</v>
      </c>
      <c r="D15" t="s">
        <v>310</v>
      </c>
      <c r="E15" t="s">
        <v>311</v>
      </c>
    </row>
    <row r="16">
      <c r="A16" s="232" t="s">
        <v>326</v>
      </c>
      <c r="B16" t="s">
        <v>327</v>
      </c>
      <c r="C16">
        <v>0.0</v>
      </c>
      <c r="D16" t="s">
        <v>310</v>
      </c>
      <c r="E16" t="s">
        <v>311</v>
      </c>
    </row>
    <row r="17">
      <c r="A17" s="232" t="s">
        <v>328</v>
      </c>
      <c r="B17" t="s">
        <v>329</v>
      </c>
      <c r="C17">
        <v>192.0</v>
      </c>
      <c r="D17" t="s">
        <v>330</v>
      </c>
      <c r="E17" t="s">
        <v>311</v>
      </c>
    </row>
    <row r="18">
      <c r="A18" s="232" t="s">
        <v>331</v>
      </c>
      <c r="B18" t="s">
        <v>332</v>
      </c>
      <c r="C18">
        <v>378.0</v>
      </c>
      <c r="D18" t="s">
        <v>330</v>
      </c>
      <c r="E18" t="s">
        <v>311</v>
      </c>
    </row>
    <row r="19">
      <c r="A19" s="232" t="s">
        <v>333</v>
      </c>
      <c r="B19" t="s">
        <v>334</v>
      </c>
      <c r="C19">
        <v>354.0</v>
      </c>
      <c r="D19" t="s">
        <v>330</v>
      </c>
      <c r="E19" t="s">
        <v>311</v>
      </c>
    </row>
    <row r="20">
      <c r="A20" s="232" t="s">
        <v>335</v>
      </c>
      <c r="B20" t="s">
        <v>336</v>
      </c>
      <c r="C20">
        <v>392.0</v>
      </c>
      <c r="D20" t="s">
        <v>330</v>
      </c>
      <c r="E20" t="s">
        <v>311</v>
      </c>
    </row>
    <row r="21">
      <c r="A21" s="232" t="s">
        <v>337</v>
      </c>
      <c r="B21" t="s">
        <v>338</v>
      </c>
      <c r="C21">
        <v>199.0</v>
      </c>
      <c r="D21" t="s">
        <v>330</v>
      </c>
      <c r="E21" t="s">
        <v>311</v>
      </c>
    </row>
    <row r="22">
      <c r="A22" s="232" t="s">
        <v>339</v>
      </c>
      <c r="B22" t="s">
        <v>340</v>
      </c>
      <c r="C22">
        <v>253.0</v>
      </c>
      <c r="D22" t="s">
        <v>330</v>
      </c>
      <c r="E22" t="s">
        <v>311</v>
      </c>
    </row>
    <row r="23">
      <c r="A23" s="232" t="s">
        <v>341</v>
      </c>
      <c r="B23" t="s">
        <v>342</v>
      </c>
      <c r="C23">
        <v>0.0</v>
      </c>
      <c r="D23" t="s">
        <v>310</v>
      </c>
      <c r="E23" t="s">
        <v>311</v>
      </c>
    </row>
    <row r="24">
      <c r="A24" s="232" t="s">
        <v>343</v>
      </c>
      <c r="B24" t="s">
        <v>344</v>
      </c>
      <c r="C24">
        <v>1000.0</v>
      </c>
      <c r="D24" t="s">
        <v>330</v>
      </c>
      <c r="E24" t="s">
        <v>311</v>
      </c>
    </row>
    <row r="25">
      <c r="A25" s="232" t="s">
        <v>345</v>
      </c>
      <c r="B25" t="s">
        <v>346</v>
      </c>
      <c r="C25">
        <v>0.0</v>
      </c>
      <c r="D25" t="s">
        <v>310</v>
      </c>
      <c r="E25" t="s">
        <v>311</v>
      </c>
    </row>
    <row r="26">
      <c r="A26" s="232" t="s">
        <v>347</v>
      </c>
      <c r="B26" t="s">
        <v>348</v>
      </c>
      <c r="C26">
        <v>0.0</v>
      </c>
      <c r="D26" t="s">
        <v>310</v>
      </c>
      <c r="E26" t="s">
        <v>311</v>
      </c>
    </row>
    <row r="27">
      <c r="A27" s="232" t="s">
        <v>349</v>
      </c>
      <c r="B27" t="s">
        <v>350</v>
      </c>
      <c r="C27">
        <v>0.0</v>
      </c>
      <c r="D27" t="s">
        <v>310</v>
      </c>
      <c r="E27" t="s">
        <v>311</v>
      </c>
    </row>
    <row r="28">
      <c r="A28" s="232" t="s">
        <v>351</v>
      </c>
      <c r="B28" t="s">
        <v>352</v>
      </c>
      <c r="C28">
        <v>0.0</v>
      </c>
      <c r="D28" t="s">
        <v>310</v>
      </c>
      <c r="E28" t="s">
        <v>311</v>
      </c>
    </row>
    <row r="29">
      <c r="A29" s="232">
        <v>91718.0</v>
      </c>
      <c r="B29" t="s">
        <v>353</v>
      </c>
      <c r="C29">
        <v>0.0</v>
      </c>
      <c r="D29" t="s">
        <v>310</v>
      </c>
      <c r="E29" t="s">
        <v>311</v>
      </c>
    </row>
    <row r="30">
      <c r="A30" s="232">
        <v>91753.0</v>
      </c>
      <c r="B30" t="s">
        <v>354</v>
      </c>
      <c r="C30">
        <v>0.0</v>
      </c>
      <c r="D30" t="s">
        <v>310</v>
      </c>
      <c r="E30" t="s">
        <v>311</v>
      </c>
    </row>
    <row r="31">
      <c r="A31" s="232">
        <v>91728.0</v>
      </c>
      <c r="B31" t="s">
        <v>355</v>
      </c>
      <c r="C31">
        <v>0.0</v>
      </c>
      <c r="D31" t="s">
        <v>310</v>
      </c>
      <c r="E31" t="s">
        <v>311</v>
      </c>
    </row>
    <row r="32">
      <c r="A32" s="232">
        <v>91738.0</v>
      </c>
      <c r="B32" t="s">
        <v>356</v>
      </c>
      <c r="C32">
        <v>0.0</v>
      </c>
      <c r="D32" t="s">
        <v>310</v>
      </c>
      <c r="E32" t="s">
        <v>311</v>
      </c>
    </row>
    <row r="33">
      <c r="A33" s="232">
        <v>91748.0</v>
      </c>
      <c r="B33" t="s">
        <v>357</v>
      </c>
      <c r="C33">
        <v>0.0</v>
      </c>
      <c r="D33" t="s">
        <v>310</v>
      </c>
      <c r="E33" t="s">
        <v>311</v>
      </c>
    </row>
    <row r="34">
      <c r="A34" s="232">
        <v>91743.0</v>
      </c>
      <c r="B34" t="s">
        <v>358</v>
      </c>
      <c r="C34">
        <v>0.0</v>
      </c>
      <c r="D34" t="s">
        <v>310</v>
      </c>
      <c r="E34" t="s">
        <v>311</v>
      </c>
    </row>
    <row r="35">
      <c r="A35" s="232" t="s">
        <v>359</v>
      </c>
      <c r="B35" t="s">
        <v>360</v>
      </c>
      <c r="C35">
        <v>0.0</v>
      </c>
      <c r="D35" t="s">
        <v>310</v>
      </c>
      <c r="E35" t="s">
        <v>311</v>
      </c>
    </row>
    <row r="36">
      <c r="A36" s="232" t="s">
        <v>361</v>
      </c>
      <c r="B36" t="s">
        <v>362</v>
      </c>
      <c r="C36">
        <v>0.0</v>
      </c>
      <c r="D36" t="s">
        <v>310</v>
      </c>
      <c r="E36" t="s">
        <v>311</v>
      </c>
    </row>
    <row r="37">
      <c r="A37" s="232" t="s">
        <v>363</v>
      </c>
      <c r="B37" t="s">
        <v>364</v>
      </c>
      <c r="C37">
        <v>0.0</v>
      </c>
      <c r="D37" t="s">
        <v>310</v>
      </c>
      <c r="E37" t="s">
        <v>311</v>
      </c>
    </row>
    <row r="38">
      <c r="A38" s="232" t="s">
        <v>365</v>
      </c>
      <c r="B38" t="s">
        <v>366</v>
      </c>
      <c r="C38">
        <v>808.0</v>
      </c>
      <c r="D38" t="s">
        <v>330</v>
      </c>
      <c r="E38" t="s">
        <v>311</v>
      </c>
    </row>
    <row r="39">
      <c r="A39" s="232" t="s">
        <v>367</v>
      </c>
      <c r="B39" t="s">
        <v>368</v>
      </c>
      <c r="C39">
        <v>886.0</v>
      </c>
      <c r="D39" t="s">
        <v>330</v>
      </c>
      <c r="E39" t="s">
        <v>311</v>
      </c>
    </row>
    <row r="40">
      <c r="A40" s="232">
        <v>91719.0</v>
      </c>
      <c r="B40" t="s">
        <v>369</v>
      </c>
      <c r="C40">
        <v>0.0</v>
      </c>
      <c r="D40" t="s">
        <v>310</v>
      </c>
      <c r="E40" t="s">
        <v>311</v>
      </c>
    </row>
    <row r="41">
      <c r="A41" s="232">
        <v>91754.0</v>
      </c>
      <c r="B41" t="s">
        <v>370</v>
      </c>
      <c r="C41">
        <v>0.0</v>
      </c>
      <c r="D41" t="s">
        <v>310</v>
      </c>
      <c r="E41" t="s">
        <v>311</v>
      </c>
    </row>
    <row r="42">
      <c r="A42" s="232">
        <v>91729.0</v>
      </c>
      <c r="B42" t="s">
        <v>371</v>
      </c>
      <c r="C42">
        <v>0.0</v>
      </c>
      <c r="D42" t="s">
        <v>310</v>
      </c>
      <c r="E42" t="s">
        <v>311</v>
      </c>
    </row>
    <row r="43">
      <c r="A43" s="232">
        <v>91739.0</v>
      </c>
      <c r="B43" t="s">
        <v>372</v>
      </c>
      <c r="C43">
        <v>0.0</v>
      </c>
      <c r="D43" t="s">
        <v>310</v>
      </c>
      <c r="E43" t="s">
        <v>311</v>
      </c>
    </row>
    <row r="44">
      <c r="A44" s="232">
        <v>91749.0</v>
      </c>
      <c r="B44" t="s">
        <v>373</v>
      </c>
      <c r="C44">
        <v>0.0</v>
      </c>
      <c r="D44" t="s">
        <v>310</v>
      </c>
      <c r="E44" t="s">
        <v>311</v>
      </c>
    </row>
    <row r="45">
      <c r="A45" s="232">
        <v>91744.0</v>
      </c>
      <c r="B45" t="s">
        <v>374</v>
      </c>
      <c r="C45">
        <v>0.0</v>
      </c>
      <c r="D45" t="s">
        <v>310</v>
      </c>
      <c r="E45" t="s">
        <v>311</v>
      </c>
    </row>
    <row r="46">
      <c r="A46" s="232" t="s">
        <v>375</v>
      </c>
      <c r="B46" t="s">
        <v>376</v>
      </c>
      <c r="C46">
        <v>0.0</v>
      </c>
      <c r="D46" t="s">
        <v>310</v>
      </c>
      <c r="E46" t="s">
        <v>311</v>
      </c>
    </row>
    <row r="47">
      <c r="A47" s="232" t="s">
        <v>377</v>
      </c>
      <c r="B47" t="s">
        <v>378</v>
      </c>
      <c r="C47">
        <v>0.0</v>
      </c>
      <c r="D47" t="s">
        <v>310</v>
      </c>
      <c r="E47" t="s">
        <v>311</v>
      </c>
    </row>
    <row r="48">
      <c r="A48" s="232" t="s">
        <v>379</v>
      </c>
      <c r="B48" t="s">
        <v>380</v>
      </c>
      <c r="C48">
        <v>0.0</v>
      </c>
      <c r="D48" t="s">
        <v>310</v>
      </c>
      <c r="E48" t="s">
        <v>311</v>
      </c>
    </row>
    <row r="49">
      <c r="A49" s="232" t="s">
        <v>381</v>
      </c>
      <c r="B49" t="s">
        <v>382</v>
      </c>
      <c r="C49">
        <v>0.0</v>
      </c>
      <c r="D49" t="s">
        <v>310</v>
      </c>
      <c r="E49" t="s">
        <v>311</v>
      </c>
    </row>
    <row r="50">
      <c r="A50" s="232" t="s">
        <v>383</v>
      </c>
      <c r="B50" t="s">
        <v>384</v>
      </c>
      <c r="C50">
        <v>0.0</v>
      </c>
      <c r="D50" t="s">
        <v>310</v>
      </c>
      <c r="E50" t="s">
        <v>311</v>
      </c>
    </row>
    <row r="51">
      <c r="A51" s="232" t="s">
        <v>385</v>
      </c>
      <c r="B51" t="s">
        <v>386</v>
      </c>
      <c r="C51">
        <v>0.0</v>
      </c>
      <c r="D51" t="s">
        <v>310</v>
      </c>
      <c r="E51" t="s">
        <v>311</v>
      </c>
    </row>
    <row r="52">
      <c r="A52" s="232" t="s">
        <v>387</v>
      </c>
      <c r="B52" t="s">
        <v>388</v>
      </c>
      <c r="C52">
        <v>0.0</v>
      </c>
      <c r="D52" t="s">
        <v>310</v>
      </c>
      <c r="E52" t="s">
        <v>311</v>
      </c>
    </row>
    <row r="53">
      <c r="A53" s="232" t="s">
        <v>389</v>
      </c>
      <c r="B53" t="s">
        <v>390</v>
      </c>
      <c r="C53">
        <v>0.0</v>
      </c>
      <c r="D53" t="s">
        <v>310</v>
      </c>
      <c r="E53" t="s">
        <v>311</v>
      </c>
    </row>
    <row r="54">
      <c r="A54" s="232" t="s">
        <v>391</v>
      </c>
      <c r="B54" t="s">
        <v>392</v>
      </c>
      <c r="C54">
        <v>0.0</v>
      </c>
      <c r="D54" t="s">
        <v>310</v>
      </c>
      <c r="E54" t="s">
        <v>311</v>
      </c>
    </row>
    <row r="55">
      <c r="A55" s="232" t="s">
        <v>393</v>
      </c>
      <c r="B55" t="s">
        <v>394</v>
      </c>
      <c r="C55">
        <v>0.0</v>
      </c>
      <c r="D55" t="s">
        <v>310</v>
      </c>
      <c r="E55" t="s">
        <v>311</v>
      </c>
    </row>
    <row r="56">
      <c r="A56" s="232" t="s">
        <v>395</v>
      </c>
      <c r="B56" t="s">
        <v>396</v>
      </c>
      <c r="C56">
        <v>0.0</v>
      </c>
      <c r="D56" t="s">
        <v>310</v>
      </c>
      <c r="E56" t="s">
        <v>311</v>
      </c>
    </row>
    <row r="57">
      <c r="A57" s="232" t="s">
        <v>397</v>
      </c>
      <c r="B57" t="s">
        <v>398</v>
      </c>
      <c r="C57">
        <v>0.0</v>
      </c>
      <c r="D57" t="s">
        <v>310</v>
      </c>
      <c r="E57" t="s">
        <v>311</v>
      </c>
    </row>
    <row r="58">
      <c r="A58" s="232" t="s">
        <v>399</v>
      </c>
      <c r="B58" t="s">
        <v>400</v>
      </c>
      <c r="C58">
        <v>0.0</v>
      </c>
      <c r="D58" t="s">
        <v>310</v>
      </c>
      <c r="E58" t="s">
        <v>311</v>
      </c>
    </row>
    <row r="59">
      <c r="A59" s="232" t="s">
        <v>401</v>
      </c>
      <c r="B59" t="s">
        <v>402</v>
      </c>
      <c r="C59">
        <v>0.0</v>
      </c>
      <c r="D59" t="s">
        <v>310</v>
      </c>
      <c r="E59" t="s">
        <v>311</v>
      </c>
    </row>
    <row r="60">
      <c r="A60" s="232" t="s">
        <v>403</v>
      </c>
      <c r="B60" t="s">
        <v>404</v>
      </c>
      <c r="C60">
        <v>0.0</v>
      </c>
      <c r="D60" t="s">
        <v>310</v>
      </c>
      <c r="E60" t="s">
        <v>311</v>
      </c>
    </row>
    <row r="61">
      <c r="A61" s="232" t="s">
        <v>405</v>
      </c>
      <c r="B61" t="s">
        <v>406</v>
      </c>
      <c r="C61">
        <v>0.0</v>
      </c>
      <c r="D61" t="s">
        <v>310</v>
      </c>
      <c r="E61" t="s">
        <v>311</v>
      </c>
    </row>
    <row r="62">
      <c r="A62" s="232" t="s">
        <v>407</v>
      </c>
      <c r="B62" t="s">
        <v>408</v>
      </c>
      <c r="C62">
        <v>0.0</v>
      </c>
      <c r="D62" t="s">
        <v>310</v>
      </c>
      <c r="E62" t="s">
        <v>311</v>
      </c>
    </row>
    <row r="63">
      <c r="A63" s="232" t="s">
        <v>409</v>
      </c>
      <c r="B63" t="s">
        <v>410</v>
      </c>
      <c r="C63">
        <v>0.0</v>
      </c>
      <c r="D63" t="s">
        <v>310</v>
      </c>
      <c r="E63" t="s">
        <v>311</v>
      </c>
    </row>
    <row r="64">
      <c r="A64" s="232" t="s">
        <v>411</v>
      </c>
      <c r="B64" t="s">
        <v>412</v>
      </c>
      <c r="C64">
        <v>0.0</v>
      </c>
      <c r="D64" t="s">
        <v>310</v>
      </c>
      <c r="E64" t="s">
        <v>311</v>
      </c>
    </row>
    <row r="65">
      <c r="A65" s="232" t="s">
        <v>413</v>
      </c>
      <c r="B65" t="s">
        <v>414</v>
      </c>
      <c r="C65">
        <v>0.0</v>
      </c>
      <c r="D65" t="s">
        <v>310</v>
      </c>
      <c r="E65" t="s">
        <v>311</v>
      </c>
    </row>
    <row r="66">
      <c r="A66" s="232" t="s">
        <v>415</v>
      </c>
      <c r="B66" t="s">
        <v>416</v>
      </c>
      <c r="C66">
        <v>0.0</v>
      </c>
      <c r="D66" t="s">
        <v>310</v>
      </c>
      <c r="E66" t="s">
        <v>311</v>
      </c>
    </row>
    <row r="67">
      <c r="A67" s="232" t="s">
        <v>417</v>
      </c>
      <c r="B67" t="s">
        <v>418</v>
      </c>
      <c r="C67">
        <v>0.0</v>
      </c>
      <c r="D67" t="s">
        <v>310</v>
      </c>
      <c r="E67" t="s">
        <v>311</v>
      </c>
    </row>
    <row r="68">
      <c r="A68" s="232" t="s">
        <v>419</v>
      </c>
      <c r="B68" t="s">
        <v>420</v>
      </c>
      <c r="C68">
        <v>0.0</v>
      </c>
      <c r="D68" t="s">
        <v>310</v>
      </c>
      <c r="E68" t="s">
        <v>311</v>
      </c>
    </row>
    <row r="69">
      <c r="A69" s="232" t="s">
        <v>421</v>
      </c>
      <c r="B69" t="s">
        <v>422</v>
      </c>
      <c r="C69">
        <v>0.0</v>
      </c>
      <c r="D69" t="s">
        <v>310</v>
      </c>
      <c r="E69" t="s">
        <v>311</v>
      </c>
    </row>
    <row r="70">
      <c r="A70" s="232" t="s">
        <v>423</v>
      </c>
      <c r="B70" t="s">
        <v>424</v>
      </c>
      <c r="C70">
        <v>0.0</v>
      </c>
      <c r="D70" t="s">
        <v>310</v>
      </c>
      <c r="E70" t="s">
        <v>311</v>
      </c>
    </row>
    <row r="71">
      <c r="A71" s="232" t="s">
        <v>425</v>
      </c>
      <c r="B71" t="s">
        <v>426</v>
      </c>
      <c r="C71">
        <v>0.0</v>
      </c>
      <c r="D71" t="s">
        <v>310</v>
      </c>
      <c r="E71" t="s">
        <v>311</v>
      </c>
    </row>
    <row r="72">
      <c r="A72" s="232" t="s">
        <v>427</v>
      </c>
      <c r="B72" t="s">
        <v>428</v>
      </c>
      <c r="C72">
        <v>0.0</v>
      </c>
      <c r="D72" t="s">
        <v>310</v>
      </c>
      <c r="E72" t="s">
        <v>311</v>
      </c>
    </row>
    <row r="73">
      <c r="A73" s="232" t="s">
        <v>429</v>
      </c>
      <c r="B73" t="s">
        <v>430</v>
      </c>
      <c r="C73">
        <v>0.0</v>
      </c>
      <c r="D73" t="s">
        <v>310</v>
      </c>
      <c r="E73" t="s">
        <v>311</v>
      </c>
    </row>
    <row r="74">
      <c r="A74" s="232" t="s">
        <v>431</v>
      </c>
      <c r="B74" t="s">
        <v>432</v>
      </c>
      <c r="C74">
        <v>0.0</v>
      </c>
      <c r="D74" t="s">
        <v>310</v>
      </c>
      <c r="E74" t="s">
        <v>311</v>
      </c>
    </row>
    <row r="75">
      <c r="A75" s="232" t="s">
        <v>433</v>
      </c>
      <c r="B75" t="s">
        <v>434</v>
      </c>
      <c r="C75">
        <v>0.0</v>
      </c>
      <c r="D75" t="s">
        <v>310</v>
      </c>
      <c r="E75" t="s">
        <v>311</v>
      </c>
    </row>
    <row r="76">
      <c r="A76" s="232" t="s">
        <v>435</v>
      </c>
      <c r="B76" t="s">
        <v>436</v>
      </c>
      <c r="C76">
        <v>0.0</v>
      </c>
      <c r="D76" t="s">
        <v>310</v>
      </c>
      <c r="E76" t="s">
        <v>311</v>
      </c>
    </row>
    <row r="77">
      <c r="A77" s="232" t="s">
        <v>437</v>
      </c>
      <c r="B77" t="s">
        <v>438</v>
      </c>
      <c r="C77">
        <v>0.0</v>
      </c>
      <c r="D77" t="s">
        <v>310</v>
      </c>
      <c r="E77" t="s">
        <v>311</v>
      </c>
    </row>
    <row r="78">
      <c r="A78" s="232" t="s">
        <v>439</v>
      </c>
      <c r="B78" t="s">
        <v>440</v>
      </c>
      <c r="C78">
        <v>0.0</v>
      </c>
      <c r="D78" t="s">
        <v>310</v>
      </c>
      <c r="E78" t="s">
        <v>311</v>
      </c>
    </row>
    <row r="79">
      <c r="A79" s="232" t="s">
        <v>441</v>
      </c>
      <c r="B79" t="s">
        <v>442</v>
      </c>
      <c r="C79">
        <v>2.0</v>
      </c>
      <c r="D79" t="s">
        <v>330</v>
      </c>
      <c r="E79" t="s">
        <v>311</v>
      </c>
    </row>
    <row r="80">
      <c r="A80" s="232" t="s">
        <v>443</v>
      </c>
      <c r="B80" t="s">
        <v>444</v>
      </c>
      <c r="C80">
        <v>0.0</v>
      </c>
      <c r="D80" t="s">
        <v>310</v>
      </c>
      <c r="E80" t="s">
        <v>311</v>
      </c>
    </row>
    <row r="81">
      <c r="A81" s="232" t="s">
        <v>445</v>
      </c>
      <c r="B81" t="s">
        <v>446</v>
      </c>
      <c r="C81">
        <v>246.0</v>
      </c>
      <c r="D81" t="s">
        <v>330</v>
      </c>
      <c r="E81" t="s">
        <v>311</v>
      </c>
    </row>
    <row r="82">
      <c r="A82" s="232" t="s">
        <v>447</v>
      </c>
      <c r="B82" t="s">
        <v>448</v>
      </c>
      <c r="C82">
        <v>0.0</v>
      </c>
      <c r="D82" t="s">
        <v>310</v>
      </c>
      <c r="E82" t="s">
        <v>311</v>
      </c>
    </row>
    <row r="83">
      <c r="A83" s="232" t="s">
        <v>449</v>
      </c>
      <c r="B83" t="s">
        <v>450</v>
      </c>
      <c r="C83">
        <v>0.0</v>
      </c>
      <c r="D83" t="s">
        <v>310</v>
      </c>
      <c r="E83" t="s">
        <v>311</v>
      </c>
    </row>
    <row r="84">
      <c r="A84" s="232" t="s">
        <v>451</v>
      </c>
      <c r="B84" t="s">
        <v>452</v>
      </c>
      <c r="C84">
        <v>438.0</v>
      </c>
      <c r="D84" t="s">
        <v>330</v>
      </c>
      <c r="E84" t="s">
        <v>311</v>
      </c>
    </row>
    <row r="85">
      <c r="A85" s="232" t="s">
        <v>453</v>
      </c>
      <c r="B85" t="s">
        <v>454</v>
      </c>
      <c r="C85">
        <v>249.0</v>
      </c>
      <c r="D85" t="s">
        <v>330</v>
      </c>
      <c r="E85" t="s">
        <v>311</v>
      </c>
    </row>
    <row r="86">
      <c r="A86" s="232" t="s">
        <v>455</v>
      </c>
      <c r="B86" t="s">
        <v>456</v>
      </c>
      <c r="C86">
        <v>875.0</v>
      </c>
      <c r="D86" t="s">
        <v>330</v>
      </c>
      <c r="E86" t="s">
        <v>311</v>
      </c>
    </row>
    <row r="87">
      <c r="A87" s="232" t="s">
        <v>457</v>
      </c>
      <c r="B87" t="s">
        <v>458</v>
      </c>
      <c r="C87">
        <v>0.0</v>
      </c>
      <c r="D87" t="s">
        <v>310</v>
      </c>
      <c r="E87" t="s">
        <v>311</v>
      </c>
    </row>
    <row r="88">
      <c r="A88" s="232" t="s">
        <v>459</v>
      </c>
      <c r="B88" t="s">
        <v>460</v>
      </c>
      <c r="C88">
        <v>582.0</v>
      </c>
      <c r="D88" t="s">
        <v>330</v>
      </c>
      <c r="E88" t="s">
        <v>311</v>
      </c>
    </row>
    <row r="89">
      <c r="A89" s="232" t="s">
        <v>461</v>
      </c>
      <c r="B89" t="s">
        <v>462</v>
      </c>
      <c r="C89">
        <v>597.0</v>
      </c>
      <c r="D89" t="s">
        <v>330</v>
      </c>
      <c r="E89" t="s">
        <v>311</v>
      </c>
    </row>
    <row r="90">
      <c r="A90" s="232" t="s">
        <v>463</v>
      </c>
      <c r="B90" t="s">
        <v>464</v>
      </c>
      <c r="C90">
        <v>264.0</v>
      </c>
      <c r="D90" t="s">
        <v>330</v>
      </c>
      <c r="E90" t="s">
        <v>311</v>
      </c>
    </row>
    <row r="91">
      <c r="A91" s="232" t="s">
        <v>465</v>
      </c>
      <c r="B91" t="s">
        <v>466</v>
      </c>
      <c r="C91">
        <v>0.0</v>
      </c>
      <c r="D91" t="s">
        <v>310</v>
      </c>
      <c r="E91" t="s">
        <v>311</v>
      </c>
    </row>
    <row r="92">
      <c r="A92" s="232" t="s">
        <v>467</v>
      </c>
      <c r="B92" t="s">
        <v>468</v>
      </c>
      <c r="C92">
        <v>570.0</v>
      </c>
      <c r="D92" t="s">
        <v>330</v>
      </c>
      <c r="E92" t="s">
        <v>311</v>
      </c>
    </row>
    <row r="93">
      <c r="A93" s="232" t="s">
        <v>469</v>
      </c>
      <c r="B93" t="s">
        <v>470</v>
      </c>
      <c r="C93">
        <v>0.0</v>
      </c>
      <c r="D93" t="s">
        <v>310</v>
      </c>
      <c r="E93" t="s">
        <v>311</v>
      </c>
    </row>
    <row r="94">
      <c r="A94" s="232" t="s">
        <v>471</v>
      </c>
      <c r="B94" t="s">
        <v>472</v>
      </c>
      <c r="C94">
        <v>462.0</v>
      </c>
      <c r="D94" t="s">
        <v>330</v>
      </c>
      <c r="E94" t="s">
        <v>311</v>
      </c>
    </row>
    <row r="95">
      <c r="A95" s="232" t="s">
        <v>473</v>
      </c>
      <c r="B95" t="s">
        <v>474</v>
      </c>
      <c r="C95">
        <v>0.0</v>
      </c>
      <c r="D95" t="s">
        <v>310</v>
      </c>
      <c r="E95" t="s">
        <v>311</v>
      </c>
    </row>
    <row r="96">
      <c r="A96" s="232" t="s">
        <v>475</v>
      </c>
      <c r="B96" t="s">
        <v>476</v>
      </c>
      <c r="C96">
        <v>773.0</v>
      </c>
      <c r="D96" t="s">
        <v>330</v>
      </c>
      <c r="E96" t="s">
        <v>311</v>
      </c>
    </row>
    <row r="97">
      <c r="A97" s="232" t="s">
        <v>477</v>
      </c>
      <c r="B97" t="s">
        <v>478</v>
      </c>
      <c r="C97">
        <v>654.0</v>
      </c>
      <c r="D97" t="s">
        <v>330</v>
      </c>
      <c r="E97" t="s">
        <v>311</v>
      </c>
    </row>
    <row r="98">
      <c r="A98" s="232" t="s">
        <v>479</v>
      </c>
      <c r="B98" t="s">
        <v>480</v>
      </c>
      <c r="C98">
        <v>990.0</v>
      </c>
      <c r="D98" t="s">
        <v>330</v>
      </c>
      <c r="E98" t="s">
        <v>311</v>
      </c>
    </row>
    <row r="99">
      <c r="A99" s="232" t="s">
        <v>481</v>
      </c>
      <c r="B99" t="s">
        <v>482</v>
      </c>
      <c r="C99">
        <v>0.0</v>
      </c>
      <c r="D99" t="s">
        <v>310</v>
      </c>
      <c r="E99" t="s">
        <v>311</v>
      </c>
    </row>
    <row r="100">
      <c r="A100" s="232" t="s">
        <v>483</v>
      </c>
      <c r="B100" t="s">
        <v>484</v>
      </c>
      <c r="C100">
        <v>636.0</v>
      </c>
      <c r="D100" t="s">
        <v>330</v>
      </c>
      <c r="E100" t="s">
        <v>311</v>
      </c>
    </row>
    <row r="101">
      <c r="A101" s="232" t="s">
        <v>485</v>
      </c>
      <c r="B101" t="s">
        <v>486</v>
      </c>
      <c r="C101">
        <v>0.0</v>
      </c>
      <c r="D101" t="s">
        <v>310</v>
      </c>
      <c r="E101" t="s">
        <v>311</v>
      </c>
    </row>
    <row r="102">
      <c r="A102" s="232" t="s">
        <v>487</v>
      </c>
      <c r="B102" t="s">
        <v>488</v>
      </c>
      <c r="C102">
        <v>0.0</v>
      </c>
      <c r="D102" t="s">
        <v>330</v>
      </c>
      <c r="E102" t="s">
        <v>311</v>
      </c>
    </row>
    <row r="103">
      <c r="A103" s="232" t="s">
        <v>489</v>
      </c>
      <c r="B103" t="s">
        <v>490</v>
      </c>
      <c r="C103">
        <v>0.0</v>
      </c>
      <c r="D103" t="s">
        <v>330</v>
      </c>
      <c r="E103" t="s">
        <v>311</v>
      </c>
    </row>
    <row r="104">
      <c r="A104" s="232" t="s">
        <v>491</v>
      </c>
      <c r="B104" t="s">
        <v>492</v>
      </c>
      <c r="C104">
        <v>0.0</v>
      </c>
      <c r="D104" t="s">
        <v>330</v>
      </c>
      <c r="E104" t="s">
        <v>311</v>
      </c>
    </row>
    <row r="105">
      <c r="A105" s="232" t="s">
        <v>493</v>
      </c>
      <c r="B105" t="s">
        <v>494</v>
      </c>
      <c r="C105">
        <v>201.0</v>
      </c>
      <c r="D105" t="s">
        <v>330</v>
      </c>
      <c r="E105" t="s">
        <v>311</v>
      </c>
    </row>
    <row r="106">
      <c r="A106" s="232" t="s">
        <v>495</v>
      </c>
      <c r="B106" t="s">
        <v>496</v>
      </c>
      <c r="C106">
        <v>70.0</v>
      </c>
      <c r="D106" t="s">
        <v>330</v>
      </c>
      <c r="E106" t="s">
        <v>311</v>
      </c>
    </row>
    <row r="107">
      <c r="A107" s="232" t="s">
        <v>497</v>
      </c>
      <c r="B107" t="s">
        <v>498</v>
      </c>
      <c r="C107">
        <v>0.0</v>
      </c>
      <c r="D107" t="s">
        <v>310</v>
      </c>
      <c r="E107" t="s">
        <v>311</v>
      </c>
    </row>
    <row r="108">
      <c r="A108" s="232" t="s">
        <v>499</v>
      </c>
      <c r="B108" t="s">
        <v>500</v>
      </c>
      <c r="C108">
        <v>821.0</v>
      </c>
      <c r="D108" t="s">
        <v>330</v>
      </c>
      <c r="E108" t="s">
        <v>311</v>
      </c>
    </row>
    <row r="109">
      <c r="A109" s="232" t="s">
        <v>501</v>
      </c>
      <c r="B109" t="s">
        <v>502</v>
      </c>
      <c r="C109">
        <v>12.0</v>
      </c>
      <c r="D109" t="s">
        <v>330</v>
      </c>
      <c r="E109" t="s">
        <v>311</v>
      </c>
    </row>
    <row r="110">
      <c r="A110" s="232" t="s">
        <v>503</v>
      </c>
      <c r="B110" t="s">
        <v>504</v>
      </c>
      <c r="C110">
        <v>666.0</v>
      </c>
      <c r="D110" t="s">
        <v>330</v>
      </c>
      <c r="E110" t="s">
        <v>311</v>
      </c>
    </row>
    <row r="111">
      <c r="A111" s="232" t="s">
        <v>505</v>
      </c>
      <c r="B111" t="s">
        <v>506</v>
      </c>
      <c r="C111">
        <v>809.0</v>
      </c>
      <c r="D111" t="s">
        <v>330</v>
      </c>
      <c r="E111" t="s">
        <v>311</v>
      </c>
    </row>
    <row r="112">
      <c r="A112" s="232" t="s">
        <v>507</v>
      </c>
      <c r="B112" t="s">
        <v>508</v>
      </c>
      <c r="C112">
        <v>648.0</v>
      </c>
      <c r="D112" t="s">
        <v>330</v>
      </c>
      <c r="E112" t="s">
        <v>311</v>
      </c>
    </row>
    <row r="113">
      <c r="A113" s="232" t="s">
        <v>509</v>
      </c>
      <c r="B113" t="s">
        <v>510</v>
      </c>
      <c r="C113">
        <v>0.0</v>
      </c>
      <c r="D113" t="s">
        <v>310</v>
      </c>
      <c r="E113" t="s">
        <v>311</v>
      </c>
    </row>
    <row r="114">
      <c r="A114" s="232" t="s">
        <v>511</v>
      </c>
      <c r="B114" t="s">
        <v>512</v>
      </c>
      <c r="C114">
        <v>0.0</v>
      </c>
      <c r="D114" t="s">
        <v>310</v>
      </c>
      <c r="E114" t="s">
        <v>311</v>
      </c>
    </row>
    <row r="115">
      <c r="A115" s="232" t="s">
        <v>513</v>
      </c>
      <c r="B115" t="s">
        <v>514</v>
      </c>
      <c r="C115">
        <v>0.0</v>
      </c>
      <c r="D115" t="s">
        <v>330</v>
      </c>
      <c r="E115" t="s">
        <v>311</v>
      </c>
    </row>
    <row r="116">
      <c r="A116" s="232" t="s">
        <v>515</v>
      </c>
      <c r="B116" t="s">
        <v>516</v>
      </c>
      <c r="C116">
        <v>461.0</v>
      </c>
      <c r="D116" t="s">
        <v>330</v>
      </c>
      <c r="E116" t="s">
        <v>311</v>
      </c>
    </row>
    <row r="117">
      <c r="A117" s="232" t="s">
        <v>517</v>
      </c>
      <c r="B117" t="s">
        <v>518</v>
      </c>
      <c r="C117">
        <v>186.0</v>
      </c>
      <c r="D117" t="s">
        <v>330</v>
      </c>
      <c r="E117" t="s">
        <v>311</v>
      </c>
    </row>
    <row r="118">
      <c r="A118" s="232" t="s">
        <v>519</v>
      </c>
      <c r="B118" t="s">
        <v>520</v>
      </c>
      <c r="C118">
        <v>84.0</v>
      </c>
      <c r="D118" t="s">
        <v>330</v>
      </c>
      <c r="E118" t="s">
        <v>311</v>
      </c>
    </row>
    <row r="119">
      <c r="A119" s="232" t="s">
        <v>521</v>
      </c>
      <c r="B119" t="s">
        <v>522</v>
      </c>
      <c r="C119">
        <v>120.0</v>
      </c>
      <c r="D119" t="s">
        <v>330</v>
      </c>
      <c r="E119" t="s">
        <v>311</v>
      </c>
    </row>
    <row r="120">
      <c r="A120" s="232" t="s">
        <v>523</v>
      </c>
      <c r="B120" t="s">
        <v>524</v>
      </c>
      <c r="C120">
        <v>0.0</v>
      </c>
      <c r="D120" t="s">
        <v>310</v>
      </c>
      <c r="E120" t="s">
        <v>311</v>
      </c>
    </row>
    <row r="121">
      <c r="A121" s="232">
        <v>94319.0</v>
      </c>
      <c r="B121" t="s">
        <v>525</v>
      </c>
      <c r="C121">
        <v>0.0</v>
      </c>
      <c r="D121" t="s">
        <v>310</v>
      </c>
      <c r="E121" t="s">
        <v>311</v>
      </c>
    </row>
    <row r="122">
      <c r="A122" s="232">
        <v>94317.0</v>
      </c>
      <c r="B122" t="s">
        <v>526</v>
      </c>
      <c r="C122">
        <v>0.0</v>
      </c>
      <c r="D122" t="s">
        <v>310</v>
      </c>
      <c r="E122" t="s">
        <v>311</v>
      </c>
    </row>
    <row r="123">
      <c r="A123" s="232">
        <v>94318.0</v>
      </c>
      <c r="B123" t="s">
        <v>527</v>
      </c>
      <c r="C123">
        <v>0.0</v>
      </c>
      <c r="D123" t="s">
        <v>310</v>
      </c>
      <c r="E123" t="s">
        <v>311</v>
      </c>
    </row>
    <row r="124">
      <c r="A124" s="232" t="s">
        <v>528</v>
      </c>
      <c r="B124" t="s">
        <v>529</v>
      </c>
      <c r="C124">
        <v>0.0</v>
      </c>
      <c r="D124" t="s">
        <v>310</v>
      </c>
      <c r="E124" t="s">
        <v>311</v>
      </c>
    </row>
    <row r="125">
      <c r="A125" s="232" t="s">
        <v>530</v>
      </c>
      <c r="B125" t="s">
        <v>531</v>
      </c>
      <c r="C125">
        <v>0.0</v>
      </c>
      <c r="D125" t="s">
        <v>310</v>
      </c>
      <c r="E125" t="s">
        <v>311</v>
      </c>
    </row>
    <row r="126">
      <c r="A126" s="232" t="s">
        <v>532</v>
      </c>
      <c r="B126" t="s">
        <v>533</v>
      </c>
      <c r="C126">
        <v>0.0</v>
      </c>
      <c r="D126" t="s">
        <v>310</v>
      </c>
      <c r="E126" t="s">
        <v>311</v>
      </c>
    </row>
    <row r="127">
      <c r="A127" s="232" t="s">
        <v>534</v>
      </c>
      <c r="B127" t="s">
        <v>535</v>
      </c>
      <c r="C127">
        <v>0.0</v>
      </c>
      <c r="D127" t="s">
        <v>310</v>
      </c>
      <c r="E127" t="s">
        <v>311</v>
      </c>
    </row>
    <row r="128">
      <c r="A128" s="232" t="s">
        <v>536</v>
      </c>
      <c r="B128" t="s">
        <v>537</v>
      </c>
      <c r="C128">
        <v>0.0</v>
      </c>
      <c r="D128" t="s">
        <v>310</v>
      </c>
      <c r="E128" t="s">
        <v>311</v>
      </c>
    </row>
    <row r="129">
      <c r="A129" s="232" t="s">
        <v>538</v>
      </c>
      <c r="B129" t="s">
        <v>539</v>
      </c>
      <c r="C129">
        <v>0.0</v>
      </c>
      <c r="D129" t="s">
        <v>310</v>
      </c>
      <c r="E129" t="s">
        <v>311</v>
      </c>
    </row>
    <row r="130">
      <c r="A130" s="232" t="s">
        <v>540</v>
      </c>
      <c r="B130" t="s">
        <v>541</v>
      </c>
      <c r="C130">
        <v>0.0</v>
      </c>
      <c r="D130" t="s">
        <v>310</v>
      </c>
      <c r="E130" t="s">
        <v>311</v>
      </c>
    </row>
    <row r="131">
      <c r="A131" s="232" t="s">
        <v>542</v>
      </c>
      <c r="B131" t="s">
        <v>543</v>
      </c>
      <c r="C131">
        <v>0.0</v>
      </c>
      <c r="D131" t="s">
        <v>310</v>
      </c>
      <c r="E131" t="s">
        <v>311</v>
      </c>
    </row>
    <row r="132">
      <c r="A132" s="232" t="s">
        <v>544</v>
      </c>
      <c r="B132" t="s">
        <v>545</v>
      </c>
      <c r="C132">
        <v>0.0</v>
      </c>
      <c r="D132" t="s">
        <v>310</v>
      </c>
      <c r="E132" t="s">
        <v>311</v>
      </c>
    </row>
    <row r="133">
      <c r="A133" s="232" t="s">
        <v>546</v>
      </c>
      <c r="B133" t="s">
        <v>547</v>
      </c>
      <c r="C133">
        <v>0.0</v>
      </c>
      <c r="D133" t="s">
        <v>310</v>
      </c>
      <c r="E133" t="s">
        <v>311</v>
      </c>
    </row>
    <row r="134">
      <c r="A134" s="232" t="s">
        <v>548</v>
      </c>
      <c r="B134" t="s">
        <v>549</v>
      </c>
      <c r="C134">
        <v>0.0</v>
      </c>
      <c r="D134" t="s">
        <v>310</v>
      </c>
      <c r="E134" t="s">
        <v>311</v>
      </c>
    </row>
    <row r="135">
      <c r="A135" s="232" t="s">
        <v>550</v>
      </c>
      <c r="B135" t="s">
        <v>551</v>
      </c>
      <c r="C135">
        <v>184.0</v>
      </c>
      <c r="D135" t="s">
        <v>330</v>
      </c>
      <c r="E135" t="s">
        <v>552</v>
      </c>
    </row>
    <row r="136">
      <c r="A136" s="232" t="s">
        <v>553</v>
      </c>
      <c r="B136" t="s">
        <v>554</v>
      </c>
      <c r="C136">
        <v>0.0</v>
      </c>
      <c r="D136" t="s">
        <v>310</v>
      </c>
      <c r="E136" t="s">
        <v>311</v>
      </c>
    </row>
    <row r="137">
      <c r="A137" s="232" t="s">
        <v>555</v>
      </c>
      <c r="B137" t="s">
        <v>556</v>
      </c>
      <c r="C137">
        <v>1.0</v>
      </c>
      <c r="D137" t="s">
        <v>330</v>
      </c>
      <c r="E137" t="s">
        <v>311</v>
      </c>
    </row>
    <row r="138">
      <c r="A138" s="232" t="s">
        <v>557</v>
      </c>
      <c r="B138" t="s">
        <v>558</v>
      </c>
      <c r="C138">
        <v>0.0</v>
      </c>
      <c r="D138" t="s">
        <v>310</v>
      </c>
      <c r="E138" t="s">
        <v>311</v>
      </c>
    </row>
    <row r="139">
      <c r="A139" s="232" t="s">
        <v>559</v>
      </c>
      <c r="B139" t="s">
        <v>560</v>
      </c>
      <c r="C139">
        <v>3.0</v>
      </c>
      <c r="D139" t="s">
        <v>330</v>
      </c>
      <c r="E139" t="s">
        <v>311</v>
      </c>
    </row>
    <row r="140">
      <c r="A140" s="232" t="s">
        <v>561</v>
      </c>
      <c r="B140" t="s">
        <v>562</v>
      </c>
      <c r="C140">
        <v>0.0</v>
      </c>
      <c r="D140" t="s">
        <v>330</v>
      </c>
      <c r="E140" t="s">
        <v>311</v>
      </c>
    </row>
    <row r="141">
      <c r="A141" s="232" t="s">
        <v>563</v>
      </c>
      <c r="B141" t="s">
        <v>564</v>
      </c>
      <c r="C141">
        <v>5.0</v>
      </c>
      <c r="D141" t="s">
        <v>330</v>
      </c>
      <c r="E141" t="s">
        <v>565</v>
      </c>
    </row>
    <row r="142">
      <c r="A142" s="232" t="s">
        <v>566</v>
      </c>
      <c r="B142" t="s">
        <v>567</v>
      </c>
      <c r="C142">
        <v>0.0</v>
      </c>
      <c r="D142" t="s">
        <v>310</v>
      </c>
      <c r="E142" t="s">
        <v>311</v>
      </c>
    </row>
    <row r="143">
      <c r="A143" s="232" t="s">
        <v>568</v>
      </c>
      <c r="B143" t="s">
        <v>569</v>
      </c>
      <c r="C143">
        <v>0.0</v>
      </c>
      <c r="D143" t="s">
        <v>310</v>
      </c>
      <c r="E143" t="s">
        <v>311</v>
      </c>
    </row>
    <row r="144">
      <c r="A144" s="232" t="s">
        <v>570</v>
      </c>
      <c r="B144" t="s">
        <v>571</v>
      </c>
      <c r="C144">
        <v>0.0</v>
      </c>
      <c r="D144" t="s">
        <v>310</v>
      </c>
      <c r="E144" t="s">
        <v>311</v>
      </c>
    </row>
    <row r="145">
      <c r="A145" s="232" t="s">
        <v>572</v>
      </c>
      <c r="B145" t="s">
        <v>573</v>
      </c>
      <c r="C145">
        <v>0.0</v>
      </c>
      <c r="D145" t="s">
        <v>310</v>
      </c>
      <c r="E145" t="s">
        <v>311</v>
      </c>
    </row>
    <row r="146">
      <c r="A146" s="232" t="s">
        <v>574</v>
      </c>
      <c r="B146" t="s">
        <v>575</v>
      </c>
      <c r="C146">
        <v>0.0</v>
      </c>
      <c r="D146" t="s">
        <v>310</v>
      </c>
      <c r="E146" t="s">
        <v>311</v>
      </c>
    </row>
    <row r="147">
      <c r="A147" s="232" t="s">
        <v>576</v>
      </c>
      <c r="B147" t="s">
        <v>577</v>
      </c>
      <c r="C147">
        <v>0.0</v>
      </c>
      <c r="D147" t="s">
        <v>310</v>
      </c>
      <c r="E147" t="s">
        <v>311</v>
      </c>
    </row>
    <row r="148">
      <c r="A148" s="232" t="s">
        <v>578</v>
      </c>
      <c r="B148" t="s">
        <v>579</v>
      </c>
      <c r="C148">
        <v>0.0</v>
      </c>
      <c r="D148" t="s">
        <v>310</v>
      </c>
      <c r="E148" t="s">
        <v>311</v>
      </c>
    </row>
    <row r="149">
      <c r="A149" s="232" t="s">
        <v>580</v>
      </c>
      <c r="B149" t="s">
        <v>581</v>
      </c>
      <c r="C149">
        <v>0.0</v>
      </c>
      <c r="D149" t="s">
        <v>310</v>
      </c>
      <c r="E149" t="s">
        <v>311</v>
      </c>
    </row>
    <row r="150">
      <c r="A150" s="232" t="s">
        <v>582</v>
      </c>
      <c r="B150" t="s">
        <v>583</v>
      </c>
      <c r="C150">
        <v>0.0</v>
      </c>
      <c r="D150" t="s">
        <v>310</v>
      </c>
      <c r="E150" t="s">
        <v>311</v>
      </c>
    </row>
    <row r="151">
      <c r="A151" s="232" t="s">
        <v>584</v>
      </c>
      <c r="B151" t="s">
        <v>585</v>
      </c>
      <c r="C151">
        <v>0.0</v>
      </c>
      <c r="D151" t="s">
        <v>310</v>
      </c>
      <c r="E151" t="s">
        <v>311</v>
      </c>
    </row>
    <row r="152">
      <c r="A152" s="232" t="s">
        <v>586</v>
      </c>
      <c r="B152" t="s">
        <v>587</v>
      </c>
      <c r="C152">
        <v>0.0</v>
      </c>
      <c r="D152" t="s">
        <v>310</v>
      </c>
      <c r="E152" t="s">
        <v>311</v>
      </c>
    </row>
    <row r="153">
      <c r="A153" s="232" t="s">
        <v>588</v>
      </c>
      <c r="B153" t="s">
        <v>589</v>
      </c>
      <c r="C153">
        <v>0.0</v>
      </c>
      <c r="D153" t="s">
        <v>310</v>
      </c>
      <c r="E153" t="s">
        <v>311</v>
      </c>
    </row>
    <row r="154">
      <c r="A154" s="232" t="s">
        <v>590</v>
      </c>
      <c r="B154" t="s">
        <v>591</v>
      </c>
      <c r="C154">
        <v>0.0</v>
      </c>
      <c r="D154" t="s">
        <v>310</v>
      </c>
      <c r="E154" t="s">
        <v>311</v>
      </c>
    </row>
    <row r="155">
      <c r="A155" s="232" t="s">
        <v>592</v>
      </c>
      <c r="B155" t="s">
        <v>593</v>
      </c>
      <c r="C155">
        <v>0.0</v>
      </c>
      <c r="D155" t="s">
        <v>310</v>
      </c>
      <c r="E155" t="s">
        <v>311</v>
      </c>
    </row>
    <row r="156">
      <c r="A156" s="232" t="s">
        <v>594</v>
      </c>
      <c r="B156" t="s">
        <v>595</v>
      </c>
      <c r="C156">
        <v>0.0</v>
      </c>
      <c r="D156" t="s">
        <v>310</v>
      </c>
      <c r="E156" t="s">
        <v>311</v>
      </c>
    </row>
    <row r="157">
      <c r="A157" s="232" t="s">
        <v>596</v>
      </c>
      <c r="B157" t="s">
        <v>597</v>
      </c>
      <c r="C157">
        <v>0.0</v>
      </c>
      <c r="D157" t="s">
        <v>310</v>
      </c>
      <c r="E157" t="s">
        <v>311</v>
      </c>
    </row>
    <row r="158">
      <c r="A158" s="232" t="s">
        <v>598</v>
      </c>
      <c r="B158" t="s">
        <v>599</v>
      </c>
      <c r="C158">
        <v>0.0</v>
      </c>
      <c r="D158" t="s">
        <v>310</v>
      </c>
      <c r="E158" t="s">
        <v>311</v>
      </c>
    </row>
    <row r="159">
      <c r="A159" s="232" t="s">
        <v>600</v>
      </c>
      <c r="B159" t="s">
        <v>601</v>
      </c>
      <c r="C159">
        <v>0.0</v>
      </c>
      <c r="D159" t="s">
        <v>310</v>
      </c>
      <c r="E159" t="s">
        <v>311</v>
      </c>
    </row>
    <row r="160">
      <c r="A160" s="232" t="s">
        <v>602</v>
      </c>
      <c r="B160" t="s">
        <v>603</v>
      </c>
      <c r="C160">
        <v>2.0</v>
      </c>
      <c r="D160" t="s">
        <v>330</v>
      </c>
      <c r="E160" t="s">
        <v>311</v>
      </c>
    </row>
    <row r="161">
      <c r="A161" s="232" t="s">
        <v>604</v>
      </c>
      <c r="B161" t="s">
        <v>605</v>
      </c>
      <c r="C161">
        <v>17.0</v>
      </c>
      <c r="D161" t="s">
        <v>330</v>
      </c>
      <c r="E161" t="s">
        <v>565</v>
      </c>
    </row>
    <row r="162">
      <c r="A162" s="232" t="s">
        <v>606</v>
      </c>
      <c r="B162" t="s">
        <v>607</v>
      </c>
      <c r="C162">
        <v>0.0</v>
      </c>
      <c r="D162" t="s">
        <v>310</v>
      </c>
      <c r="E162" t="s">
        <v>311</v>
      </c>
    </row>
    <row r="163">
      <c r="A163" s="232" t="s">
        <v>608</v>
      </c>
      <c r="B163" t="s">
        <v>609</v>
      </c>
      <c r="C163">
        <v>0.0</v>
      </c>
      <c r="D163" t="s">
        <v>310</v>
      </c>
      <c r="E163" t="s">
        <v>311</v>
      </c>
    </row>
    <row r="164">
      <c r="A164" s="232" t="s">
        <v>610</v>
      </c>
      <c r="B164" t="s">
        <v>611</v>
      </c>
      <c r="C164">
        <v>0.0</v>
      </c>
      <c r="D164" t="s">
        <v>310</v>
      </c>
      <c r="E164" t="s">
        <v>311</v>
      </c>
    </row>
    <row r="165">
      <c r="A165" s="232" t="s">
        <v>612</v>
      </c>
      <c r="B165" t="s">
        <v>613</v>
      </c>
      <c r="C165">
        <v>0.0</v>
      </c>
      <c r="D165" t="s">
        <v>310</v>
      </c>
      <c r="E165" t="s">
        <v>311</v>
      </c>
    </row>
    <row r="166">
      <c r="A166" s="232" t="s">
        <v>614</v>
      </c>
      <c r="B166" t="s">
        <v>615</v>
      </c>
      <c r="C166">
        <v>0.0</v>
      </c>
      <c r="D166" t="s">
        <v>310</v>
      </c>
      <c r="E166" t="s">
        <v>311</v>
      </c>
    </row>
    <row r="167">
      <c r="A167" s="232" t="s">
        <v>616</v>
      </c>
      <c r="B167" t="s">
        <v>617</v>
      </c>
      <c r="C167">
        <v>0.0</v>
      </c>
      <c r="D167" t="s">
        <v>310</v>
      </c>
      <c r="E167" t="s">
        <v>311</v>
      </c>
    </row>
    <row r="168">
      <c r="A168" s="232" t="s">
        <v>618</v>
      </c>
      <c r="B168" t="s">
        <v>619</v>
      </c>
      <c r="C168">
        <v>0.0</v>
      </c>
      <c r="D168" t="s">
        <v>310</v>
      </c>
      <c r="E168" t="s">
        <v>311</v>
      </c>
    </row>
    <row r="169">
      <c r="A169" s="232" t="s">
        <v>620</v>
      </c>
      <c r="B169" t="s">
        <v>621</v>
      </c>
      <c r="C169">
        <v>0.0</v>
      </c>
      <c r="D169" t="s">
        <v>310</v>
      </c>
      <c r="E169" t="s">
        <v>311</v>
      </c>
    </row>
    <row r="170">
      <c r="A170" s="232" t="s">
        <v>622</v>
      </c>
      <c r="B170" t="s">
        <v>623</v>
      </c>
      <c r="C170">
        <v>0.0</v>
      </c>
      <c r="D170" t="s">
        <v>310</v>
      </c>
      <c r="E170" t="s">
        <v>311</v>
      </c>
    </row>
    <row r="171">
      <c r="A171" s="232" t="s">
        <v>624</v>
      </c>
      <c r="B171" t="s">
        <v>625</v>
      </c>
      <c r="C171">
        <v>0.0</v>
      </c>
      <c r="D171" t="s">
        <v>310</v>
      </c>
      <c r="E171" t="s">
        <v>311</v>
      </c>
    </row>
    <row r="172">
      <c r="A172" s="232" t="s">
        <v>626</v>
      </c>
      <c r="B172" t="s">
        <v>627</v>
      </c>
      <c r="C172">
        <v>0.0</v>
      </c>
      <c r="D172" t="s">
        <v>310</v>
      </c>
      <c r="E172" t="s">
        <v>311</v>
      </c>
    </row>
    <row r="173">
      <c r="A173" s="232" t="s">
        <v>628</v>
      </c>
      <c r="B173" t="s">
        <v>629</v>
      </c>
      <c r="C173">
        <v>0.0</v>
      </c>
      <c r="D173" t="s">
        <v>310</v>
      </c>
      <c r="E173" t="s">
        <v>311</v>
      </c>
    </row>
    <row r="174">
      <c r="A174" s="232" t="s">
        <v>630</v>
      </c>
      <c r="B174" t="s">
        <v>631</v>
      </c>
      <c r="C174">
        <v>0.0</v>
      </c>
      <c r="D174" t="s">
        <v>310</v>
      </c>
      <c r="E174" t="s">
        <v>311</v>
      </c>
    </row>
    <row r="175">
      <c r="A175" s="232" t="s">
        <v>632</v>
      </c>
      <c r="B175" t="s">
        <v>633</v>
      </c>
      <c r="C175">
        <v>0.0</v>
      </c>
      <c r="D175" t="s">
        <v>310</v>
      </c>
      <c r="E175" t="s">
        <v>311</v>
      </c>
    </row>
    <row r="176">
      <c r="A176" s="232" t="s">
        <v>634</v>
      </c>
      <c r="B176" t="s">
        <v>635</v>
      </c>
      <c r="C176">
        <v>0.0</v>
      </c>
      <c r="D176" t="s">
        <v>310</v>
      </c>
      <c r="E176" t="s">
        <v>311</v>
      </c>
    </row>
    <row r="177">
      <c r="A177" s="232" t="s">
        <v>636</v>
      </c>
      <c r="B177" t="s">
        <v>637</v>
      </c>
      <c r="C177">
        <v>0.0</v>
      </c>
      <c r="D177" t="s">
        <v>310</v>
      </c>
      <c r="E177" t="s">
        <v>311</v>
      </c>
    </row>
    <row r="178">
      <c r="A178" s="232" t="s">
        <v>638</v>
      </c>
      <c r="B178" t="s">
        <v>639</v>
      </c>
      <c r="C178">
        <v>0.0</v>
      </c>
      <c r="D178" t="s">
        <v>310</v>
      </c>
      <c r="E178" t="s">
        <v>311</v>
      </c>
    </row>
    <row r="179">
      <c r="A179" s="232" t="s">
        <v>640</v>
      </c>
      <c r="B179" t="s">
        <v>641</v>
      </c>
      <c r="C179">
        <v>0.0</v>
      </c>
      <c r="D179" t="s">
        <v>310</v>
      </c>
      <c r="E179" t="s">
        <v>311</v>
      </c>
    </row>
    <row r="180">
      <c r="A180" s="232" t="s">
        <v>642</v>
      </c>
      <c r="B180" t="s">
        <v>643</v>
      </c>
      <c r="C180">
        <v>0.0</v>
      </c>
      <c r="D180" t="s">
        <v>310</v>
      </c>
      <c r="E180" t="s">
        <v>311</v>
      </c>
    </row>
    <row r="181">
      <c r="A181" s="232" t="s">
        <v>644</v>
      </c>
      <c r="B181" t="s">
        <v>645</v>
      </c>
      <c r="C181">
        <v>0.0</v>
      </c>
      <c r="D181" t="s">
        <v>310</v>
      </c>
      <c r="E181" t="s">
        <v>311</v>
      </c>
    </row>
    <row r="182">
      <c r="A182" s="232" t="s">
        <v>646</v>
      </c>
      <c r="B182" t="s">
        <v>647</v>
      </c>
      <c r="C182">
        <v>0.0</v>
      </c>
      <c r="D182" t="s">
        <v>310</v>
      </c>
      <c r="E182" t="s">
        <v>311</v>
      </c>
    </row>
    <row r="183">
      <c r="A183" s="232" t="s">
        <v>648</v>
      </c>
      <c r="B183" t="s">
        <v>649</v>
      </c>
      <c r="C183">
        <v>0.0</v>
      </c>
      <c r="D183" t="s">
        <v>310</v>
      </c>
      <c r="E183" t="s">
        <v>311</v>
      </c>
    </row>
    <row r="184">
      <c r="A184" s="232" t="s">
        <v>650</v>
      </c>
      <c r="B184" t="s">
        <v>651</v>
      </c>
      <c r="C184">
        <v>0.0</v>
      </c>
      <c r="D184" t="s">
        <v>310</v>
      </c>
      <c r="E184" t="s">
        <v>311</v>
      </c>
    </row>
    <row r="185">
      <c r="A185" s="232" t="s">
        <v>652</v>
      </c>
      <c r="B185" t="s">
        <v>653</v>
      </c>
      <c r="C185">
        <v>0.0</v>
      </c>
      <c r="D185" t="s">
        <v>310</v>
      </c>
      <c r="E185" t="s">
        <v>311</v>
      </c>
    </row>
    <row r="186">
      <c r="A186" s="232" t="s">
        <v>654</v>
      </c>
      <c r="B186" t="s">
        <v>655</v>
      </c>
      <c r="C186">
        <v>0.0</v>
      </c>
      <c r="D186" t="s">
        <v>310</v>
      </c>
      <c r="E186" t="s">
        <v>311</v>
      </c>
    </row>
    <row r="187">
      <c r="A187" s="232" t="s">
        <v>656</v>
      </c>
      <c r="B187" t="s">
        <v>657</v>
      </c>
      <c r="C187">
        <v>0.0</v>
      </c>
      <c r="D187" t="s">
        <v>310</v>
      </c>
      <c r="E187" t="s">
        <v>311</v>
      </c>
    </row>
    <row r="188">
      <c r="A188" s="232" t="s">
        <v>658</v>
      </c>
      <c r="B188" t="s">
        <v>659</v>
      </c>
      <c r="C188">
        <v>0.0</v>
      </c>
      <c r="D188" t="s">
        <v>310</v>
      </c>
      <c r="E188" t="s">
        <v>311</v>
      </c>
    </row>
    <row r="189">
      <c r="A189" s="232" t="s">
        <v>660</v>
      </c>
      <c r="B189" t="s">
        <v>661</v>
      </c>
      <c r="C189">
        <v>0.0</v>
      </c>
      <c r="D189" t="s">
        <v>310</v>
      </c>
      <c r="E189" t="s">
        <v>311</v>
      </c>
    </row>
    <row r="190">
      <c r="A190" s="232" t="s">
        <v>662</v>
      </c>
      <c r="B190" t="s">
        <v>663</v>
      </c>
      <c r="C190">
        <v>0.0</v>
      </c>
      <c r="D190" t="s">
        <v>310</v>
      </c>
      <c r="E190" t="s">
        <v>311</v>
      </c>
    </row>
    <row r="191">
      <c r="A191" s="232" t="s">
        <v>664</v>
      </c>
      <c r="B191" t="s">
        <v>665</v>
      </c>
      <c r="C191">
        <v>0.0</v>
      </c>
      <c r="D191" t="s">
        <v>310</v>
      </c>
      <c r="E191" t="s">
        <v>311</v>
      </c>
    </row>
    <row r="192">
      <c r="A192" s="232" t="s">
        <v>666</v>
      </c>
      <c r="B192" t="s">
        <v>667</v>
      </c>
      <c r="C192">
        <v>0.0</v>
      </c>
      <c r="D192" t="s">
        <v>310</v>
      </c>
      <c r="E192" t="s">
        <v>311</v>
      </c>
    </row>
    <row r="193">
      <c r="A193" s="232" t="s">
        <v>668</v>
      </c>
      <c r="B193" t="s">
        <v>669</v>
      </c>
      <c r="C193">
        <v>0.0</v>
      </c>
      <c r="D193" t="s">
        <v>310</v>
      </c>
      <c r="E193" t="s">
        <v>311</v>
      </c>
    </row>
    <row r="194">
      <c r="A194" s="232" t="s">
        <v>670</v>
      </c>
      <c r="B194" t="s">
        <v>671</v>
      </c>
      <c r="C194">
        <v>0.0</v>
      </c>
      <c r="D194" t="s">
        <v>310</v>
      </c>
      <c r="E194" t="s">
        <v>311</v>
      </c>
    </row>
    <row r="195">
      <c r="A195" s="232" t="s">
        <v>672</v>
      </c>
      <c r="B195" t="s">
        <v>673</v>
      </c>
      <c r="C195">
        <v>2.0</v>
      </c>
      <c r="D195" t="s">
        <v>330</v>
      </c>
      <c r="E195" t="s">
        <v>311</v>
      </c>
    </row>
    <row r="196">
      <c r="A196" s="232" t="s">
        <v>674</v>
      </c>
      <c r="B196" t="s">
        <v>675</v>
      </c>
      <c r="C196">
        <v>0.0</v>
      </c>
      <c r="D196" t="s">
        <v>310</v>
      </c>
      <c r="E196" t="s">
        <v>311</v>
      </c>
    </row>
    <row r="197">
      <c r="A197" s="232" t="s">
        <v>676</v>
      </c>
      <c r="B197" t="s">
        <v>677</v>
      </c>
      <c r="C197">
        <v>0.0</v>
      </c>
      <c r="D197" t="s">
        <v>310</v>
      </c>
      <c r="E197" t="s">
        <v>311</v>
      </c>
    </row>
    <row r="198">
      <c r="A198" s="232" t="s">
        <v>678</v>
      </c>
      <c r="B198" t="s">
        <v>679</v>
      </c>
      <c r="C198">
        <v>0.0</v>
      </c>
      <c r="D198" t="s">
        <v>310</v>
      </c>
      <c r="E198" t="s">
        <v>311</v>
      </c>
    </row>
    <row r="199">
      <c r="A199" s="232" t="s">
        <v>680</v>
      </c>
      <c r="B199" t="s">
        <v>681</v>
      </c>
      <c r="C199">
        <v>0.0</v>
      </c>
      <c r="D199" t="s">
        <v>310</v>
      </c>
      <c r="E199" t="s">
        <v>311</v>
      </c>
    </row>
    <row r="200">
      <c r="A200" s="232" t="s">
        <v>682</v>
      </c>
      <c r="B200" t="s">
        <v>683</v>
      </c>
      <c r="C200">
        <v>0.0</v>
      </c>
      <c r="D200" t="s">
        <v>310</v>
      </c>
      <c r="E200" t="s">
        <v>311</v>
      </c>
    </row>
    <row r="201">
      <c r="A201" s="232" t="s">
        <v>684</v>
      </c>
      <c r="B201" t="s">
        <v>685</v>
      </c>
      <c r="C201">
        <v>0.0</v>
      </c>
      <c r="D201" t="s">
        <v>310</v>
      </c>
      <c r="E201" t="s">
        <v>311</v>
      </c>
    </row>
    <row r="202">
      <c r="A202" s="232" t="s">
        <v>686</v>
      </c>
      <c r="B202" t="s">
        <v>687</v>
      </c>
      <c r="C202">
        <v>0.0</v>
      </c>
      <c r="D202" t="s">
        <v>310</v>
      </c>
      <c r="E202" t="s">
        <v>311</v>
      </c>
    </row>
    <row r="203">
      <c r="A203" s="232" t="s">
        <v>688</v>
      </c>
      <c r="B203" t="s">
        <v>689</v>
      </c>
      <c r="C203">
        <v>0.0</v>
      </c>
      <c r="D203" t="s">
        <v>310</v>
      </c>
      <c r="E203" t="s">
        <v>311</v>
      </c>
    </row>
    <row r="204">
      <c r="A204" s="232" t="s">
        <v>690</v>
      </c>
      <c r="B204" t="s">
        <v>691</v>
      </c>
      <c r="C204">
        <v>0.0</v>
      </c>
      <c r="D204" t="s">
        <v>310</v>
      </c>
      <c r="E204" t="s">
        <v>311</v>
      </c>
    </row>
    <row r="205">
      <c r="A205" s="232" t="s">
        <v>692</v>
      </c>
      <c r="B205" t="s">
        <v>693</v>
      </c>
      <c r="C205">
        <v>0.0</v>
      </c>
      <c r="D205" t="s">
        <v>310</v>
      </c>
      <c r="E205" t="s">
        <v>311</v>
      </c>
    </row>
    <row r="206">
      <c r="A206" s="232" t="s">
        <v>694</v>
      </c>
      <c r="B206" t="s">
        <v>695</v>
      </c>
      <c r="C206">
        <v>0.0</v>
      </c>
      <c r="D206" t="s">
        <v>310</v>
      </c>
      <c r="E206" t="s">
        <v>311</v>
      </c>
    </row>
    <row r="207">
      <c r="A207" s="232" t="s">
        <v>696</v>
      </c>
      <c r="B207" t="s">
        <v>697</v>
      </c>
      <c r="C207">
        <v>0.0</v>
      </c>
      <c r="D207" t="s">
        <v>310</v>
      </c>
      <c r="E207" t="s">
        <v>311</v>
      </c>
    </row>
    <row r="208">
      <c r="A208" s="232" t="s">
        <v>698</v>
      </c>
      <c r="B208" t="s">
        <v>699</v>
      </c>
      <c r="C208">
        <v>0.0</v>
      </c>
      <c r="D208" t="s">
        <v>310</v>
      </c>
      <c r="E208" t="s">
        <v>311</v>
      </c>
    </row>
    <row r="209">
      <c r="A209" s="232" t="s">
        <v>700</v>
      </c>
      <c r="B209" t="s">
        <v>701</v>
      </c>
      <c r="C209">
        <v>0.0</v>
      </c>
      <c r="D209" t="s">
        <v>310</v>
      </c>
      <c r="E209" t="s">
        <v>311</v>
      </c>
    </row>
    <row r="210">
      <c r="A210" s="232" t="s">
        <v>702</v>
      </c>
      <c r="B210" t="s">
        <v>703</v>
      </c>
      <c r="C210">
        <v>0.0</v>
      </c>
      <c r="D210" t="s">
        <v>310</v>
      </c>
      <c r="E210" t="s">
        <v>311</v>
      </c>
    </row>
    <row r="211">
      <c r="A211" s="232" t="s">
        <v>704</v>
      </c>
      <c r="B211" t="s">
        <v>705</v>
      </c>
      <c r="C211">
        <v>0.0</v>
      </c>
      <c r="D211" t="s">
        <v>310</v>
      </c>
      <c r="E211" t="s">
        <v>311</v>
      </c>
    </row>
    <row r="212">
      <c r="A212" s="232" t="s">
        <v>706</v>
      </c>
      <c r="B212" t="s">
        <v>707</v>
      </c>
      <c r="C212">
        <v>0.0</v>
      </c>
      <c r="D212" t="s">
        <v>310</v>
      </c>
      <c r="E212" t="s">
        <v>311</v>
      </c>
    </row>
    <row r="213">
      <c r="A213" s="232" t="s">
        <v>708</v>
      </c>
      <c r="B213" t="s">
        <v>709</v>
      </c>
      <c r="C213">
        <v>0.0</v>
      </c>
      <c r="D213" t="s">
        <v>310</v>
      </c>
      <c r="E213" t="s">
        <v>311</v>
      </c>
    </row>
    <row r="214">
      <c r="A214" s="232" t="s">
        <v>710</v>
      </c>
      <c r="B214" t="s">
        <v>711</v>
      </c>
      <c r="C214">
        <v>0.0</v>
      </c>
      <c r="D214" t="s">
        <v>310</v>
      </c>
      <c r="E214" t="s">
        <v>311</v>
      </c>
    </row>
    <row r="215">
      <c r="A215" s="232" t="s">
        <v>712</v>
      </c>
      <c r="B215" t="s">
        <v>713</v>
      </c>
      <c r="C215">
        <v>0.0</v>
      </c>
      <c r="D215" t="s">
        <v>310</v>
      </c>
      <c r="E215" t="s">
        <v>311</v>
      </c>
    </row>
    <row r="216">
      <c r="A216" s="232" t="s">
        <v>714</v>
      </c>
      <c r="B216" t="s">
        <v>715</v>
      </c>
      <c r="C216">
        <v>0.0</v>
      </c>
      <c r="D216" t="s">
        <v>310</v>
      </c>
      <c r="E216" t="s">
        <v>311</v>
      </c>
    </row>
    <row r="217">
      <c r="A217" s="232" t="s">
        <v>716</v>
      </c>
      <c r="B217" t="s">
        <v>717</v>
      </c>
      <c r="C217">
        <v>0.0</v>
      </c>
      <c r="D217" t="s">
        <v>310</v>
      </c>
      <c r="E217" t="s">
        <v>311</v>
      </c>
    </row>
    <row r="218">
      <c r="A218" s="232" t="s">
        <v>718</v>
      </c>
      <c r="B218" t="s">
        <v>719</v>
      </c>
      <c r="C218">
        <v>0.0</v>
      </c>
      <c r="D218" t="s">
        <v>310</v>
      </c>
      <c r="E218" t="s">
        <v>311</v>
      </c>
    </row>
    <row r="219">
      <c r="A219" s="232" t="s">
        <v>720</v>
      </c>
      <c r="B219" t="s">
        <v>721</v>
      </c>
      <c r="C219">
        <v>0.0</v>
      </c>
      <c r="D219" t="s">
        <v>310</v>
      </c>
      <c r="E219" t="s">
        <v>311</v>
      </c>
    </row>
    <row r="220">
      <c r="A220" s="232" t="s">
        <v>722</v>
      </c>
      <c r="B220" t="s">
        <v>723</v>
      </c>
      <c r="C220">
        <v>0.0</v>
      </c>
      <c r="D220" t="s">
        <v>310</v>
      </c>
      <c r="E220" t="s">
        <v>311</v>
      </c>
    </row>
    <row r="221">
      <c r="A221" s="232" t="s">
        <v>724</v>
      </c>
      <c r="B221" t="s">
        <v>725</v>
      </c>
      <c r="C221">
        <v>0.0</v>
      </c>
      <c r="D221" t="s">
        <v>310</v>
      </c>
      <c r="E221" t="s">
        <v>311</v>
      </c>
    </row>
    <row r="222">
      <c r="A222" s="232" t="s">
        <v>726</v>
      </c>
      <c r="B222" t="s">
        <v>727</v>
      </c>
      <c r="C222">
        <v>0.0</v>
      </c>
      <c r="D222" t="s">
        <v>310</v>
      </c>
      <c r="E222" t="s">
        <v>311</v>
      </c>
    </row>
    <row r="223">
      <c r="A223" s="232" t="s">
        <v>728</v>
      </c>
      <c r="B223" t="s">
        <v>729</v>
      </c>
      <c r="C223">
        <v>0.0</v>
      </c>
      <c r="D223" t="s">
        <v>310</v>
      </c>
      <c r="E223" t="s">
        <v>311</v>
      </c>
    </row>
    <row r="224">
      <c r="A224" s="232" t="s">
        <v>730</v>
      </c>
      <c r="B224" t="s">
        <v>731</v>
      </c>
      <c r="C224">
        <v>0.0</v>
      </c>
      <c r="D224" t="s">
        <v>310</v>
      </c>
      <c r="E224" t="s">
        <v>311</v>
      </c>
    </row>
    <row r="225">
      <c r="A225" s="232" t="s">
        <v>732</v>
      </c>
      <c r="B225" t="s">
        <v>733</v>
      </c>
      <c r="C225">
        <v>0.0</v>
      </c>
      <c r="D225" t="s">
        <v>310</v>
      </c>
      <c r="E225" t="s">
        <v>311</v>
      </c>
    </row>
    <row r="226">
      <c r="A226" s="232" t="s">
        <v>734</v>
      </c>
      <c r="B226" t="s">
        <v>735</v>
      </c>
      <c r="C226">
        <v>0.0</v>
      </c>
      <c r="D226" t="s">
        <v>310</v>
      </c>
      <c r="E226" t="s">
        <v>311</v>
      </c>
    </row>
    <row r="227">
      <c r="A227" s="232" t="s">
        <v>736</v>
      </c>
      <c r="B227" t="s">
        <v>737</v>
      </c>
      <c r="C227">
        <v>0.0</v>
      </c>
      <c r="D227" t="s">
        <v>310</v>
      </c>
      <c r="E227" t="s">
        <v>311</v>
      </c>
    </row>
    <row r="228">
      <c r="A228" s="232" t="s">
        <v>738</v>
      </c>
      <c r="B228" t="s">
        <v>739</v>
      </c>
      <c r="C228">
        <v>0.0</v>
      </c>
      <c r="D228" t="s">
        <v>310</v>
      </c>
      <c r="E228" t="s">
        <v>311</v>
      </c>
    </row>
    <row r="229">
      <c r="A229" s="232" t="s">
        <v>740</v>
      </c>
      <c r="B229" t="s">
        <v>741</v>
      </c>
      <c r="C229">
        <v>0.0</v>
      </c>
      <c r="D229" t="s">
        <v>310</v>
      </c>
      <c r="E229" t="s">
        <v>311</v>
      </c>
    </row>
    <row r="230">
      <c r="A230" s="232" t="s">
        <v>742</v>
      </c>
      <c r="B230" t="s">
        <v>743</v>
      </c>
      <c r="C230">
        <v>0.0</v>
      </c>
      <c r="D230" t="s">
        <v>310</v>
      </c>
      <c r="E230" t="s">
        <v>311</v>
      </c>
    </row>
    <row r="231">
      <c r="A231" s="232" t="s">
        <v>744</v>
      </c>
      <c r="B231" t="s">
        <v>745</v>
      </c>
      <c r="C231">
        <v>0.0</v>
      </c>
      <c r="D231" t="s">
        <v>310</v>
      </c>
      <c r="E231" t="s">
        <v>311</v>
      </c>
    </row>
    <row r="232">
      <c r="A232" s="232" t="s">
        <v>746</v>
      </c>
      <c r="B232" t="s">
        <v>747</v>
      </c>
      <c r="C232">
        <v>0.0</v>
      </c>
      <c r="D232" t="s">
        <v>310</v>
      </c>
      <c r="E232" t="s">
        <v>311</v>
      </c>
    </row>
    <row r="233">
      <c r="A233" s="232" t="s">
        <v>748</v>
      </c>
      <c r="B233" t="s">
        <v>749</v>
      </c>
      <c r="C233">
        <v>0.0</v>
      </c>
      <c r="D233" t="s">
        <v>310</v>
      </c>
      <c r="E233" t="s">
        <v>311</v>
      </c>
    </row>
    <row r="234">
      <c r="A234" s="232" t="s">
        <v>750</v>
      </c>
      <c r="B234" t="s">
        <v>751</v>
      </c>
      <c r="C234">
        <v>0.0</v>
      </c>
      <c r="D234" t="s">
        <v>310</v>
      </c>
      <c r="E234" t="s">
        <v>311</v>
      </c>
    </row>
    <row r="235">
      <c r="A235" s="232" t="s">
        <v>752</v>
      </c>
      <c r="B235" t="s">
        <v>753</v>
      </c>
      <c r="C235">
        <v>0.0</v>
      </c>
      <c r="D235" t="s">
        <v>310</v>
      </c>
      <c r="E235" t="s">
        <v>311</v>
      </c>
    </row>
    <row r="236">
      <c r="A236" s="232" t="s">
        <v>754</v>
      </c>
      <c r="B236" t="s">
        <v>755</v>
      </c>
      <c r="C236">
        <v>0.0</v>
      </c>
      <c r="D236" t="s">
        <v>310</v>
      </c>
      <c r="E236" t="s">
        <v>311</v>
      </c>
    </row>
    <row r="237">
      <c r="A237" s="232" t="s">
        <v>756</v>
      </c>
      <c r="B237" t="s">
        <v>757</v>
      </c>
      <c r="C237">
        <v>0.0</v>
      </c>
      <c r="D237" t="s">
        <v>310</v>
      </c>
      <c r="E237" t="s">
        <v>311</v>
      </c>
    </row>
    <row r="238">
      <c r="A238" s="232" t="s">
        <v>758</v>
      </c>
      <c r="B238" t="s">
        <v>759</v>
      </c>
      <c r="C238">
        <v>0.0</v>
      </c>
      <c r="D238" t="s">
        <v>310</v>
      </c>
      <c r="E238" t="s">
        <v>311</v>
      </c>
    </row>
    <row r="239">
      <c r="A239" s="232" t="s">
        <v>760</v>
      </c>
      <c r="B239" t="s">
        <v>761</v>
      </c>
      <c r="C239">
        <v>0.0</v>
      </c>
      <c r="D239" t="s">
        <v>310</v>
      </c>
      <c r="E239" t="s">
        <v>311</v>
      </c>
    </row>
    <row r="240">
      <c r="A240" s="232" t="s">
        <v>762</v>
      </c>
      <c r="B240" t="s">
        <v>763</v>
      </c>
      <c r="C240">
        <v>0.0</v>
      </c>
      <c r="D240" t="s">
        <v>310</v>
      </c>
      <c r="E240" t="s">
        <v>311</v>
      </c>
    </row>
    <row r="241">
      <c r="A241" s="232" t="s">
        <v>764</v>
      </c>
      <c r="B241" t="s">
        <v>765</v>
      </c>
      <c r="C241">
        <v>0.0</v>
      </c>
      <c r="D241" t="s">
        <v>310</v>
      </c>
      <c r="E241" t="s">
        <v>311</v>
      </c>
    </row>
    <row r="242">
      <c r="A242" s="232" t="s">
        <v>766</v>
      </c>
      <c r="B242" t="s">
        <v>767</v>
      </c>
      <c r="C242">
        <v>0.0</v>
      </c>
      <c r="D242" t="s">
        <v>310</v>
      </c>
      <c r="E242" t="s">
        <v>311</v>
      </c>
    </row>
    <row r="243">
      <c r="A243" s="232" t="s">
        <v>768</v>
      </c>
      <c r="B243" t="s">
        <v>769</v>
      </c>
      <c r="C243">
        <v>0.0</v>
      </c>
      <c r="D243" t="s">
        <v>310</v>
      </c>
      <c r="E243" t="s">
        <v>311</v>
      </c>
    </row>
    <row r="244">
      <c r="A244" s="232" t="s">
        <v>770</v>
      </c>
      <c r="B244" t="s">
        <v>771</v>
      </c>
      <c r="C244">
        <v>0.0</v>
      </c>
      <c r="D244" t="s">
        <v>310</v>
      </c>
      <c r="E244" t="s">
        <v>311</v>
      </c>
    </row>
    <row r="245">
      <c r="A245" s="232" t="s">
        <v>772</v>
      </c>
      <c r="B245" t="s">
        <v>773</v>
      </c>
      <c r="C245">
        <v>0.0</v>
      </c>
      <c r="D245" t="s">
        <v>310</v>
      </c>
      <c r="E245" t="s">
        <v>311</v>
      </c>
    </row>
    <row r="246">
      <c r="A246" s="232" t="s">
        <v>774</v>
      </c>
      <c r="B246" t="s">
        <v>775</v>
      </c>
      <c r="C246">
        <v>0.0</v>
      </c>
      <c r="D246" t="s">
        <v>310</v>
      </c>
      <c r="E246" t="s">
        <v>311</v>
      </c>
    </row>
    <row r="247">
      <c r="A247" s="232" t="s">
        <v>776</v>
      </c>
      <c r="B247" t="s">
        <v>777</v>
      </c>
      <c r="C247">
        <v>0.0</v>
      </c>
      <c r="D247" t="s">
        <v>310</v>
      </c>
      <c r="E247" t="s">
        <v>311</v>
      </c>
    </row>
    <row r="248">
      <c r="A248" s="232" t="s">
        <v>778</v>
      </c>
      <c r="B248" t="s">
        <v>779</v>
      </c>
      <c r="C248">
        <v>0.0</v>
      </c>
      <c r="D248" t="s">
        <v>310</v>
      </c>
      <c r="E248" t="s">
        <v>311</v>
      </c>
    </row>
    <row r="249">
      <c r="A249" s="232" t="s">
        <v>780</v>
      </c>
      <c r="B249" t="s">
        <v>781</v>
      </c>
      <c r="C249">
        <v>0.0</v>
      </c>
      <c r="D249" t="s">
        <v>310</v>
      </c>
      <c r="E249" t="s">
        <v>311</v>
      </c>
    </row>
    <row r="250">
      <c r="A250" s="232" t="s">
        <v>782</v>
      </c>
      <c r="B250" t="s">
        <v>783</v>
      </c>
      <c r="C250">
        <v>0.0</v>
      </c>
      <c r="D250" t="s">
        <v>310</v>
      </c>
      <c r="E250" t="s">
        <v>311</v>
      </c>
    </row>
    <row r="251">
      <c r="A251" s="232" t="s">
        <v>784</v>
      </c>
      <c r="B251" t="s">
        <v>785</v>
      </c>
      <c r="C251">
        <v>0.0</v>
      </c>
      <c r="D251" t="s">
        <v>310</v>
      </c>
      <c r="E251" t="s">
        <v>311</v>
      </c>
    </row>
    <row r="252">
      <c r="A252" s="232" t="s">
        <v>786</v>
      </c>
      <c r="B252" t="s">
        <v>787</v>
      </c>
      <c r="C252">
        <v>0.0</v>
      </c>
      <c r="D252" t="s">
        <v>310</v>
      </c>
      <c r="E252" t="s">
        <v>311</v>
      </c>
    </row>
    <row r="253">
      <c r="A253" s="232" t="s">
        <v>788</v>
      </c>
      <c r="B253" t="s">
        <v>789</v>
      </c>
      <c r="C253">
        <v>0.0</v>
      </c>
      <c r="D253" t="s">
        <v>310</v>
      </c>
      <c r="E253" t="s">
        <v>311</v>
      </c>
    </row>
    <row r="254">
      <c r="A254" s="232" t="s">
        <v>790</v>
      </c>
      <c r="B254" t="s">
        <v>791</v>
      </c>
      <c r="C254">
        <v>8.0</v>
      </c>
      <c r="D254" t="s">
        <v>330</v>
      </c>
      <c r="E254" t="s">
        <v>565</v>
      </c>
    </row>
    <row r="255">
      <c r="A255" s="232" t="s">
        <v>792</v>
      </c>
      <c r="B255" t="s">
        <v>793</v>
      </c>
      <c r="C255">
        <v>0.0</v>
      </c>
      <c r="D255" t="s">
        <v>330</v>
      </c>
      <c r="E255" t="s">
        <v>565</v>
      </c>
    </row>
    <row r="256">
      <c r="A256" s="232" t="s">
        <v>794</v>
      </c>
      <c r="B256" t="s">
        <v>795</v>
      </c>
      <c r="C256">
        <v>0.0</v>
      </c>
      <c r="D256" t="s">
        <v>310</v>
      </c>
      <c r="E256" t="s">
        <v>311</v>
      </c>
    </row>
    <row r="257">
      <c r="A257" s="232" t="s">
        <v>796</v>
      </c>
      <c r="B257" t="s">
        <v>797</v>
      </c>
      <c r="C257">
        <v>0.0</v>
      </c>
      <c r="D257" t="s">
        <v>310</v>
      </c>
      <c r="E257" t="s">
        <v>311</v>
      </c>
    </row>
    <row r="258">
      <c r="A258" s="232" t="s">
        <v>798</v>
      </c>
      <c r="B258" t="s">
        <v>799</v>
      </c>
      <c r="C258">
        <v>0.0</v>
      </c>
      <c r="D258" t="s">
        <v>310</v>
      </c>
      <c r="E258" t="s">
        <v>311</v>
      </c>
    </row>
    <row r="259">
      <c r="A259" s="232" t="s">
        <v>800</v>
      </c>
      <c r="B259" t="s">
        <v>801</v>
      </c>
      <c r="C259">
        <v>0.0</v>
      </c>
      <c r="D259" t="s">
        <v>310</v>
      </c>
      <c r="E259" t="s">
        <v>311</v>
      </c>
    </row>
    <row r="260">
      <c r="A260" s="232">
        <v>37301.0</v>
      </c>
      <c r="B260" t="s">
        <v>802</v>
      </c>
      <c r="C260">
        <v>0.0</v>
      </c>
      <c r="D260" t="s">
        <v>310</v>
      </c>
      <c r="E260" t="s">
        <v>311</v>
      </c>
    </row>
    <row r="261">
      <c r="A261" s="232">
        <v>37327.0</v>
      </c>
      <c r="B261" t="s">
        <v>803</v>
      </c>
      <c r="C261">
        <v>38.0</v>
      </c>
      <c r="D261" t="s">
        <v>330</v>
      </c>
      <c r="E261" t="s">
        <v>311</v>
      </c>
    </row>
    <row r="262">
      <c r="A262" s="232">
        <v>37302.0</v>
      </c>
      <c r="B262" t="s">
        <v>804</v>
      </c>
      <c r="C262">
        <v>19.0</v>
      </c>
      <c r="D262" t="s">
        <v>330</v>
      </c>
      <c r="E262" t="s">
        <v>311</v>
      </c>
    </row>
    <row r="263">
      <c r="A263" s="232">
        <v>37303.0</v>
      </c>
      <c r="B263" t="s">
        <v>805</v>
      </c>
      <c r="C263">
        <v>0.0</v>
      </c>
      <c r="D263" t="s">
        <v>310</v>
      </c>
      <c r="E263" t="s">
        <v>311</v>
      </c>
    </row>
    <row r="264">
      <c r="A264" s="232">
        <v>37304.0</v>
      </c>
      <c r="B264" t="s">
        <v>806</v>
      </c>
      <c r="C264">
        <v>0.0</v>
      </c>
      <c r="D264" t="s">
        <v>310</v>
      </c>
      <c r="E264" t="s">
        <v>311</v>
      </c>
    </row>
    <row r="265">
      <c r="A265" s="232">
        <v>37305.0</v>
      </c>
      <c r="B265" t="s">
        <v>807</v>
      </c>
      <c r="C265">
        <v>0.0</v>
      </c>
      <c r="D265" t="s">
        <v>310</v>
      </c>
      <c r="E265" t="s">
        <v>311</v>
      </c>
    </row>
    <row r="266">
      <c r="A266" s="232">
        <v>37306.0</v>
      </c>
      <c r="B266" t="s">
        <v>808</v>
      </c>
      <c r="C266">
        <v>0.0</v>
      </c>
      <c r="D266" t="s">
        <v>310</v>
      </c>
      <c r="E266" t="s">
        <v>311</v>
      </c>
    </row>
    <row r="267">
      <c r="A267" s="232">
        <v>37307.0</v>
      </c>
      <c r="B267" t="s">
        <v>809</v>
      </c>
      <c r="C267">
        <v>23.0</v>
      </c>
      <c r="D267" t="s">
        <v>330</v>
      </c>
      <c r="E267" t="s">
        <v>311</v>
      </c>
    </row>
    <row r="268">
      <c r="A268" s="232">
        <v>37308.0</v>
      </c>
      <c r="B268" t="s">
        <v>810</v>
      </c>
      <c r="C268">
        <v>0.0</v>
      </c>
      <c r="D268" t="s">
        <v>310</v>
      </c>
      <c r="E268" t="s">
        <v>311</v>
      </c>
    </row>
    <row r="269">
      <c r="A269" s="232">
        <v>37309.0</v>
      </c>
      <c r="B269" t="s">
        <v>811</v>
      </c>
      <c r="C269">
        <v>0.0</v>
      </c>
      <c r="D269" t="s">
        <v>310</v>
      </c>
      <c r="E269" t="s">
        <v>311</v>
      </c>
    </row>
    <row r="270">
      <c r="A270" s="232">
        <v>37310.0</v>
      </c>
      <c r="B270" t="s">
        <v>812</v>
      </c>
      <c r="C270">
        <v>9.0</v>
      </c>
      <c r="D270" t="s">
        <v>330</v>
      </c>
      <c r="E270" t="s">
        <v>311</v>
      </c>
    </row>
    <row r="271">
      <c r="A271" s="232">
        <v>37311.0</v>
      </c>
      <c r="B271" t="s">
        <v>813</v>
      </c>
      <c r="C271">
        <v>0.0</v>
      </c>
      <c r="D271" t="s">
        <v>310</v>
      </c>
      <c r="E271" t="s">
        <v>311</v>
      </c>
    </row>
    <row r="272">
      <c r="A272" s="232">
        <v>37312.0</v>
      </c>
      <c r="B272" t="s">
        <v>814</v>
      </c>
      <c r="C272">
        <v>4.0</v>
      </c>
      <c r="D272" t="s">
        <v>330</v>
      </c>
      <c r="E272" t="s">
        <v>311</v>
      </c>
    </row>
    <row r="273">
      <c r="A273" s="232">
        <v>37313.0</v>
      </c>
      <c r="B273" t="s">
        <v>815</v>
      </c>
      <c r="C273">
        <v>0.0</v>
      </c>
      <c r="D273" t="s">
        <v>310</v>
      </c>
      <c r="E273" t="s">
        <v>311</v>
      </c>
    </row>
    <row r="274">
      <c r="A274" s="232">
        <v>37314.0</v>
      </c>
      <c r="B274" t="s">
        <v>816</v>
      </c>
      <c r="C274">
        <v>14.0</v>
      </c>
      <c r="D274" t="s">
        <v>330</v>
      </c>
      <c r="E274" t="s">
        <v>311</v>
      </c>
    </row>
    <row r="275">
      <c r="A275" s="232">
        <v>37315.0</v>
      </c>
      <c r="B275" t="s">
        <v>817</v>
      </c>
      <c r="C275">
        <v>0.0</v>
      </c>
      <c r="D275" t="s">
        <v>310</v>
      </c>
      <c r="E275" t="s">
        <v>311</v>
      </c>
    </row>
    <row r="276">
      <c r="A276" s="232">
        <v>37316.0</v>
      </c>
      <c r="B276" t="s">
        <v>818</v>
      </c>
      <c r="C276">
        <v>0.0</v>
      </c>
      <c r="D276" t="s">
        <v>310</v>
      </c>
      <c r="E276" t="s">
        <v>311</v>
      </c>
    </row>
    <row r="277">
      <c r="A277" s="232">
        <v>37317.0</v>
      </c>
      <c r="B277" t="s">
        <v>819</v>
      </c>
      <c r="C277">
        <v>3.0</v>
      </c>
      <c r="D277" t="s">
        <v>330</v>
      </c>
      <c r="E277" t="s">
        <v>311</v>
      </c>
    </row>
    <row r="278">
      <c r="A278" s="232">
        <v>37318.0</v>
      </c>
      <c r="B278" t="s">
        <v>820</v>
      </c>
      <c r="C278">
        <v>13.0</v>
      </c>
      <c r="D278" t="s">
        <v>330</v>
      </c>
      <c r="E278" t="s">
        <v>311</v>
      </c>
    </row>
    <row r="279">
      <c r="A279" s="232">
        <v>37319.0</v>
      </c>
      <c r="B279" t="s">
        <v>821</v>
      </c>
      <c r="C279">
        <v>0.0</v>
      </c>
      <c r="D279" t="s">
        <v>310</v>
      </c>
      <c r="E279" t="s">
        <v>311</v>
      </c>
    </row>
    <row r="280">
      <c r="A280" s="232">
        <v>37320.0</v>
      </c>
      <c r="B280" t="s">
        <v>822</v>
      </c>
      <c r="C280">
        <v>0.0</v>
      </c>
      <c r="D280" t="s">
        <v>310</v>
      </c>
      <c r="E280" t="s">
        <v>311</v>
      </c>
    </row>
    <row r="281">
      <c r="A281" s="232">
        <v>37321.0</v>
      </c>
      <c r="B281" t="s">
        <v>823</v>
      </c>
      <c r="C281">
        <v>43.0</v>
      </c>
      <c r="D281" t="s">
        <v>330</v>
      </c>
      <c r="E281" t="s">
        <v>311</v>
      </c>
    </row>
    <row r="282">
      <c r="A282" s="232">
        <v>37322.0</v>
      </c>
      <c r="B282" t="s">
        <v>824</v>
      </c>
      <c r="C282">
        <v>0.0</v>
      </c>
      <c r="D282" t="s">
        <v>310</v>
      </c>
      <c r="E282" t="s">
        <v>311</v>
      </c>
    </row>
    <row r="283">
      <c r="A283" s="232">
        <v>37323.0</v>
      </c>
      <c r="B283" t="s">
        <v>825</v>
      </c>
      <c r="C283">
        <v>0.0</v>
      </c>
      <c r="D283" t="s">
        <v>310</v>
      </c>
      <c r="E283" t="s">
        <v>311</v>
      </c>
    </row>
    <row r="284">
      <c r="A284" s="232">
        <v>37324.0</v>
      </c>
      <c r="B284" t="s">
        <v>826</v>
      </c>
      <c r="C284">
        <v>0.0</v>
      </c>
      <c r="D284" t="s">
        <v>310</v>
      </c>
      <c r="E284" t="s">
        <v>311</v>
      </c>
    </row>
    <row r="285">
      <c r="A285" s="232">
        <v>37325.0</v>
      </c>
      <c r="B285" t="s">
        <v>827</v>
      </c>
      <c r="C285">
        <v>0.0</v>
      </c>
      <c r="D285" t="s">
        <v>310</v>
      </c>
      <c r="E285" t="s">
        <v>311</v>
      </c>
    </row>
    <row r="286">
      <c r="A286" s="232">
        <v>37326.0</v>
      </c>
      <c r="B286" t="s">
        <v>828</v>
      </c>
      <c r="C286">
        <v>0.0</v>
      </c>
      <c r="D286" t="s">
        <v>310</v>
      </c>
      <c r="E286" t="s">
        <v>311</v>
      </c>
    </row>
    <row r="287">
      <c r="A287" s="232" t="s">
        <v>31</v>
      </c>
      <c r="B287" t="s">
        <v>30</v>
      </c>
      <c r="C287">
        <v>0.0</v>
      </c>
      <c r="D287" t="s">
        <v>310</v>
      </c>
      <c r="E287" t="s">
        <v>311</v>
      </c>
    </row>
    <row r="288">
      <c r="A288" s="232" t="s">
        <v>34</v>
      </c>
      <c r="B288" t="s">
        <v>33</v>
      </c>
      <c r="C288">
        <v>54.0</v>
      </c>
      <c r="D288" t="s">
        <v>330</v>
      </c>
      <c r="E288" t="s">
        <v>311</v>
      </c>
    </row>
    <row r="289">
      <c r="A289" s="232" t="s">
        <v>829</v>
      </c>
      <c r="B289" t="s">
        <v>830</v>
      </c>
      <c r="C289">
        <v>332.0</v>
      </c>
      <c r="D289" t="s">
        <v>330</v>
      </c>
      <c r="E289" t="s">
        <v>311</v>
      </c>
    </row>
    <row r="290">
      <c r="A290" s="232" t="s">
        <v>831</v>
      </c>
      <c r="B290" t="s">
        <v>832</v>
      </c>
      <c r="C290">
        <v>0.0</v>
      </c>
      <c r="D290" t="s">
        <v>310</v>
      </c>
      <c r="E290" t="s">
        <v>311</v>
      </c>
    </row>
    <row r="291">
      <c r="A291" s="232" t="s">
        <v>81</v>
      </c>
      <c r="B291" t="s">
        <v>80</v>
      </c>
      <c r="C291">
        <v>6152.0</v>
      </c>
      <c r="D291" t="s">
        <v>330</v>
      </c>
      <c r="E291" t="s">
        <v>311</v>
      </c>
    </row>
    <row r="292">
      <c r="A292" s="232" t="s">
        <v>89</v>
      </c>
      <c r="B292" t="s">
        <v>88</v>
      </c>
      <c r="C292">
        <v>3780.0</v>
      </c>
      <c r="D292" t="s">
        <v>330</v>
      </c>
      <c r="E292" t="s">
        <v>311</v>
      </c>
    </row>
    <row r="293">
      <c r="A293" s="232" t="s">
        <v>85</v>
      </c>
      <c r="B293" t="s">
        <v>84</v>
      </c>
      <c r="C293">
        <v>2062.0</v>
      </c>
      <c r="D293" t="s">
        <v>330</v>
      </c>
      <c r="E293" t="s">
        <v>311</v>
      </c>
    </row>
    <row r="294">
      <c r="A294" s="232" t="s">
        <v>87</v>
      </c>
      <c r="B294" t="s">
        <v>86</v>
      </c>
      <c r="C294">
        <v>5354.0</v>
      </c>
      <c r="D294" t="s">
        <v>330</v>
      </c>
      <c r="E294" t="s">
        <v>311</v>
      </c>
    </row>
    <row r="295">
      <c r="A295" s="232" t="s">
        <v>833</v>
      </c>
      <c r="B295" t="s">
        <v>834</v>
      </c>
      <c r="C295">
        <v>1.0</v>
      </c>
      <c r="D295" t="s">
        <v>310</v>
      </c>
      <c r="E295" t="s">
        <v>311</v>
      </c>
    </row>
    <row r="296">
      <c r="A296" s="232" t="s">
        <v>83</v>
      </c>
      <c r="B296" t="s">
        <v>82</v>
      </c>
      <c r="C296">
        <v>5655.0</v>
      </c>
      <c r="D296" t="s">
        <v>330</v>
      </c>
      <c r="E296" t="s">
        <v>311</v>
      </c>
    </row>
    <row r="297">
      <c r="A297" s="232" t="s">
        <v>91</v>
      </c>
      <c r="B297" t="s">
        <v>90</v>
      </c>
      <c r="C297">
        <v>5.0</v>
      </c>
      <c r="D297" t="s">
        <v>330</v>
      </c>
      <c r="E297" t="s">
        <v>311</v>
      </c>
    </row>
    <row r="298">
      <c r="A298" s="232" t="s">
        <v>835</v>
      </c>
      <c r="B298" t="s">
        <v>836</v>
      </c>
      <c r="C298">
        <v>0.0</v>
      </c>
      <c r="D298" t="s">
        <v>330</v>
      </c>
      <c r="E298" t="s">
        <v>311</v>
      </c>
    </row>
    <row r="299">
      <c r="A299" s="232" t="s">
        <v>837</v>
      </c>
      <c r="B299" t="s">
        <v>838</v>
      </c>
      <c r="C299">
        <v>0.0</v>
      </c>
      <c r="D299" t="s">
        <v>310</v>
      </c>
      <c r="E299" t="s">
        <v>311</v>
      </c>
    </row>
    <row r="300">
      <c r="A300" s="232" t="s">
        <v>47</v>
      </c>
      <c r="B300" t="s">
        <v>46</v>
      </c>
      <c r="C300">
        <v>0.0</v>
      </c>
      <c r="D300" t="s">
        <v>330</v>
      </c>
      <c r="E300" t="s">
        <v>311</v>
      </c>
    </row>
    <row r="301">
      <c r="A301" s="232" t="s">
        <v>839</v>
      </c>
      <c r="B301" t="s">
        <v>840</v>
      </c>
      <c r="C301">
        <v>0.0</v>
      </c>
      <c r="D301" t="s">
        <v>330</v>
      </c>
      <c r="E301" t="s">
        <v>311</v>
      </c>
    </row>
    <row r="302">
      <c r="A302" s="232" t="s">
        <v>841</v>
      </c>
      <c r="B302" t="s">
        <v>842</v>
      </c>
      <c r="C302">
        <v>0.0</v>
      </c>
      <c r="D302" t="s">
        <v>310</v>
      </c>
      <c r="E302" t="s">
        <v>311</v>
      </c>
    </row>
    <row r="303">
      <c r="A303" s="232" t="s">
        <v>36</v>
      </c>
      <c r="B303" t="s">
        <v>35</v>
      </c>
      <c r="C303">
        <v>879.0</v>
      </c>
      <c r="D303" t="s">
        <v>330</v>
      </c>
      <c r="E303" t="s">
        <v>311</v>
      </c>
    </row>
    <row r="304">
      <c r="A304" s="232" t="s">
        <v>38</v>
      </c>
      <c r="B304" t="s">
        <v>37</v>
      </c>
      <c r="C304">
        <v>666.0</v>
      </c>
      <c r="D304" t="s">
        <v>330</v>
      </c>
      <c r="E304" t="s">
        <v>311</v>
      </c>
    </row>
    <row r="305">
      <c r="A305" s="232" t="s">
        <v>843</v>
      </c>
      <c r="B305" t="s">
        <v>844</v>
      </c>
      <c r="C305">
        <v>0.0</v>
      </c>
      <c r="D305" t="s">
        <v>310</v>
      </c>
      <c r="E305" t="s">
        <v>311</v>
      </c>
    </row>
    <row r="306">
      <c r="A306" s="232" t="s">
        <v>40</v>
      </c>
      <c r="B306" t="s">
        <v>39</v>
      </c>
      <c r="C306">
        <v>769.0</v>
      </c>
      <c r="D306" t="s">
        <v>330</v>
      </c>
      <c r="E306" t="s">
        <v>311</v>
      </c>
    </row>
    <row r="307">
      <c r="A307" s="232" t="s">
        <v>42</v>
      </c>
      <c r="B307" t="s">
        <v>41</v>
      </c>
      <c r="C307">
        <v>1250.0</v>
      </c>
      <c r="D307" t="s">
        <v>330</v>
      </c>
      <c r="E307" t="s">
        <v>311</v>
      </c>
    </row>
    <row r="308">
      <c r="A308" s="232" t="s">
        <v>845</v>
      </c>
      <c r="B308" t="s">
        <v>846</v>
      </c>
      <c r="C308">
        <v>0.0</v>
      </c>
      <c r="D308" t="s">
        <v>310</v>
      </c>
      <c r="E308" t="s">
        <v>311</v>
      </c>
    </row>
    <row r="309">
      <c r="A309" s="232" t="s">
        <v>847</v>
      </c>
      <c r="B309" t="s">
        <v>848</v>
      </c>
      <c r="C309">
        <v>2.0</v>
      </c>
      <c r="D309" t="s">
        <v>330</v>
      </c>
      <c r="E309" t="s">
        <v>311</v>
      </c>
    </row>
    <row r="310">
      <c r="A310" s="232" t="s">
        <v>849</v>
      </c>
      <c r="B310" t="s">
        <v>850</v>
      </c>
      <c r="C310">
        <v>0.0</v>
      </c>
      <c r="D310" t="s">
        <v>310</v>
      </c>
      <c r="E310" t="s">
        <v>311</v>
      </c>
    </row>
    <row r="311">
      <c r="A311" s="232" t="s">
        <v>44</v>
      </c>
      <c r="B311" t="s">
        <v>43</v>
      </c>
      <c r="C311">
        <v>294.0</v>
      </c>
      <c r="D311" t="s">
        <v>330</v>
      </c>
      <c r="E311" t="s">
        <v>311</v>
      </c>
    </row>
    <row r="312">
      <c r="A312" s="232" t="s">
        <v>49</v>
      </c>
      <c r="B312" t="s">
        <v>48</v>
      </c>
      <c r="C312">
        <v>0.0</v>
      </c>
      <c r="D312" t="s">
        <v>330</v>
      </c>
      <c r="E312" t="s">
        <v>311</v>
      </c>
    </row>
    <row r="313">
      <c r="A313" s="232" t="s">
        <v>851</v>
      </c>
      <c r="B313" t="s">
        <v>852</v>
      </c>
      <c r="C313">
        <v>0.0</v>
      </c>
      <c r="D313" t="s">
        <v>330</v>
      </c>
      <c r="E313" t="s">
        <v>311</v>
      </c>
    </row>
    <row r="314">
      <c r="A314" s="232" t="s">
        <v>853</v>
      </c>
      <c r="B314" t="s">
        <v>854</v>
      </c>
      <c r="C314">
        <v>1.0</v>
      </c>
      <c r="D314" t="s">
        <v>330</v>
      </c>
      <c r="E314" t="s">
        <v>311</v>
      </c>
    </row>
    <row r="315">
      <c r="A315" s="232" t="s">
        <v>855</v>
      </c>
      <c r="B315" t="s">
        <v>856</v>
      </c>
      <c r="C315">
        <v>0.0</v>
      </c>
      <c r="D315" t="s">
        <v>330</v>
      </c>
      <c r="E315" t="s">
        <v>311</v>
      </c>
    </row>
    <row r="316">
      <c r="A316" s="232" t="s">
        <v>857</v>
      </c>
      <c r="B316" t="s">
        <v>858</v>
      </c>
      <c r="C316">
        <v>288.0</v>
      </c>
      <c r="D316" t="s">
        <v>330</v>
      </c>
      <c r="E316" t="s">
        <v>311</v>
      </c>
    </row>
    <row r="317">
      <c r="A317" s="232" t="s">
        <v>859</v>
      </c>
      <c r="B317" t="s">
        <v>860</v>
      </c>
      <c r="C317">
        <v>0.0</v>
      </c>
      <c r="D317" t="s">
        <v>310</v>
      </c>
      <c r="E317" t="s">
        <v>311</v>
      </c>
    </row>
    <row r="318">
      <c r="A318" s="232" t="s">
        <v>861</v>
      </c>
      <c r="B318" t="s">
        <v>862</v>
      </c>
      <c r="C318">
        <v>0.0</v>
      </c>
      <c r="D318" t="s">
        <v>310</v>
      </c>
      <c r="E318" t="s">
        <v>311</v>
      </c>
    </row>
    <row r="319">
      <c r="A319" s="232" t="s">
        <v>863</v>
      </c>
      <c r="B319" t="s">
        <v>864</v>
      </c>
      <c r="C319">
        <v>0.0</v>
      </c>
      <c r="D319" t="s">
        <v>310</v>
      </c>
      <c r="E319" t="s">
        <v>311</v>
      </c>
    </row>
    <row r="320">
      <c r="A320" s="232" t="s">
        <v>865</v>
      </c>
      <c r="B320" t="s">
        <v>866</v>
      </c>
      <c r="C320">
        <v>396.0</v>
      </c>
      <c r="D320" t="s">
        <v>330</v>
      </c>
      <c r="E320" t="s">
        <v>311</v>
      </c>
    </row>
    <row r="321">
      <c r="A321" s="232" t="s">
        <v>867</v>
      </c>
      <c r="B321" t="s">
        <v>868</v>
      </c>
      <c r="C321">
        <v>0.0</v>
      </c>
      <c r="D321" t="s">
        <v>310</v>
      </c>
      <c r="E321" t="s">
        <v>311</v>
      </c>
    </row>
    <row r="322">
      <c r="A322" s="232" t="s">
        <v>869</v>
      </c>
      <c r="B322" t="s">
        <v>870</v>
      </c>
      <c r="C322">
        <v>0.0</v>
      </c>
      <c r="D322" t="s">
        <v>310</v>
      </c>
      <c r="E322" t="s">
        <v>311</v>
      </c>
    </row>
    <row r="323">
      <c r="A323" s="232" t="s">
        <v>871</v>
      </c>
      <c r="B323" t="s">
        <v>872</v>
      </c>
      <c r="C323">
        <v>0.0</v>
      </c>
      <c r="D323" t="s">
        <v>310</v>
      </c>
      <c r="E323" t="s">
        <v>311</v>
      </c>
    </row>
    <row r="324">
      <c r="A324" s="232" t="s">
        <v>873</v>
      </c>
      <c r="B324" t="s">
        <v>874</v>
      </c>
      <c r="C324">
        <v>0.0</v>
      </c>
      <c r="D324" t="s">
        <v>310</v>
      </c>
      <c r="E324" t="s">
        <v>311</v>
      </c>
    </row>
    <row r="325">
      <c r="A325" s="232" t="s">
        <v>875</v>
      </c>
      <c r="B325" t="s">
        <v>876</v>
      </c>
      <c r="C325">
        <v>0.0</v>
      </c>
      <c r="D325" t="s">
        <v>310</v>
      </c>
      <c r="E325" t="s">
        <v>311</v>
      </c>
    </row>
    <row r="326">
      <c r="A326" s="232" t="s">
        <v>877</v>
      </c>
      <c r="B326" t="s">
        <v>878</v>
      </c>
      <c r="C326">
        <v>0.0</v>
      </c>
      <c r="D326" t="s">
        <v>310</v>
      </c>
      <c r="E326" t="s">
        <v>311</v>
      </c>
    </row>
    <row r="327">
      <c r="A327" s="232" t="s">
        <v>879</v>
      </c>
      <c r="B327" t="s">
        <v>880</v>
      </c>
      <c r="C327">
        <v>448.0</v>
      </c>
      <c r="D327" t="s">
        <v>330</v>
      </c>
      <c r="E327" t="s">
        <v>311</v>
      </c>
    </row>
    <row r="328">
      <c r="A328" s="232" t="s">
        <v>881</v>
      </c>
      <c r="B328" t="s">
        <v>882</v>
      </c>
      <c r="C328">
        <v>0.0</v>
      </c>
      <c r="D328" t="s">
        <v>310</v>
      </c>
      <c r="E328" t="s">
        <v>311</v>
      </c>
    </row>
    <row r="329">
      <c r="A329" s="232" t="s">
        <v>883</v>
      </c>
      <c r="B329" t="s">
        <v>884</v>
      </c>
      <c r="C329">
        <v>0.0</v>
      </c>
      <c r="D329" t="s">
        <v>310</v>
      </c>
      <c r="E329" t="s">
        <v>311</v>
      </c>
    </row>
    <row r="330">
      <c r="A330" s="232" t="s">
        <v>885</v>
      </c>
      <c r="B330" t="s">
        <v>886</v>
      </c>
      <c r="C330">
        <v>0.0</v>
      </c>
      <c r="D330" t="s">
        <v>310</v>
      </c>
      <c r="E330" t="s">
        <v>311</v>
      </c>
    </row>
    <row r="331">
      <c r="A331" s="232" t="s">
        <v>887</v>
      </c>
      <c r="B331" t="s">
        <v>888</v>
      </c>
      <c r="C331">
        <v>381.0</v>
      </c>
      <c r="D331" t="s">
        <v>330</v>
      </c>
      <c r="E331" t="s">
        <v>311</v>
      </c>
    </row>
    <row r="332">
      <c r="A332" s="232" t="s">
        <v>889</v>
      </c>
      <c r="B332" t="s">
        <v>890</v>
      </c>
      <c r="C332">
        <v>405.0</v>
      </c>
      <c r="D332" t="s">
        <v>330</v>
      </c>
      <c r="E332" t="s">
        <v>311</v>
      </c>
    </row>
    <row r="333">
      <c r="A333" s="232" t="s">
        <v>891</v>
      </c>
      <c r="B333" t="s">
        <v>892</v>
      </c>
      <c r="C333">
        <v>392.0</v>
      </c>
      <c r="D333" t="s">
        <v>330</v>
      </c>
      <c r="E333" t="s">
        <v>311</v>
      </c>
    </row>
    <row r="334">
      <c r="A334" s="232" t="s">
        <v>893</v>
      </c>
      <c r="B334" t="s">
        <v>894</v>
      </c>
      <c r="C334">
        <v>36.0</v>
      </c>
      <c r="D334" t="s">
        <v>330</v>
      </c>
      <c r="E334" t="s">
        <v>311</v>
      </c>
    </row>
    <row r="335">
      <c r="A335" s="232" t="s">
        <v>895</v>
      </c>
      <c r="B335" t="s">
        <v>896</v>
      </c>
      <c r="C335">
        <v>723.0</v>
      </c>
      <c r="D335" t="s">
        <v>330</v>
      </c>
      <c r="E335" t="s">
        <v>311</v>
      </c>
    </row>
    <row r="336">
      <c r="A336" s="232" t="s">
        <v>897</v>
      </c>
      <c r="B336" t="s">
        <v>898</v>
      </c>
      <c r="C336">
        <v>3.0</v>
      </c>
      <c r="D336" t="s">
        <v>330</v>
      </c>
      <c r="E336" t="s">
        <v>311</v>
      </c>
    </row>
    <row r="337">
      <c r="A337" s="232" t="s">
        <v>899</v>
      </c>
      <c r="B337" t="s">
        <v>900</v>
      </c>
      <c r="C337">
        <v>0.0</v>
      </c>
      <c r="D337" t="s">
        <v>330</v>
      </c>
      <c r="E337" t="s">
        <v>311</v>
      </c>
    </row>
    <row r="338">
      <c r="A338" s="232" t="s">
        <v>901</v>
      </c>
      <c r="B338" t="s">
        <v>902</v>
      </c>
      <c r="C338">
        <v>351.0</v>
      </c>
      <c r="D338" t="s">
        <v>330</v>
      </c>
      <c r="E338" t="s">
        <v>311</v>
      </c>
    </row>
    <row r="339">
      <c r="A339" s="232" t="s">
        <v>903</v>
      </c>
      <c r="B339" t="s">
        <v>904</v>
      </c>
      <c r="C339">
        <v>674.0</v>
      </c>
      <c r="D339" t="s">
        <v>330</v>
      </c>
      <c r="E339" t="s">
        <v>311</v>
      </c>
    </row>
    <row r="340">
      <c r="A340" s="232" t="s">
        <v>905</v>
      </c>
      <c r="B340" t="s">
        <v>906</v>
      </c>
      <c r="C340">
        <v>144.0</v>
      </c>
      <c r="D340" t="s">
        <v>330</v>
      </c>
      <c r="E340" t="s">
        <v>311</v>
      </c>
    </row>
    <row r="341">
      <c r="A341" s="232" t="s">
        <v>907</v>
      </c>
      <c r="B341" t="s">
        <v>908</v>
      </c>
      <c r="C341">
        <v>1033.0</v>
      </c>
      <c r="D341" t="s">
        <v>330</v>
      </c>
      <c r="E341" t="s">
        <v>311</v>
      </c>
    </row>
    <row r="342">
      <c r="A342" s="232" t="s">
        <v>909</v>
      </c>
      <c r="B342" t="s">
        <v>910</v>
      </c>
      <c r="C342">
        <v>0.0</v>
      </c>
      <c r="D342" t="s">
        <v>330</v>
      </c>
      <c r="E342" t="s">
        <v>311</v>
      </c>
    </row>
    <row r="343">
      <c r="A343" s="232" t="s">
        <v>911</v>
      </c>
      <c r="B343" t="s">
        <v>912</v>
      </c>
      <c r="C343">
        <v>67.0</v>
      </c>
      <c r="D343" t="s">
        <v>330</v>
      </c>
      <c r="E343" t="s">
        <v>311</v>
      </c>
    </row>
    <row r="344">
      <c r="A344" s="232" t="s">
        <v>913</v>
      </c>
      <c r="B344" t="s">
        <v>914</v>
      </c>
      <c r="C344">
        <v>0.0</v>
      </c>
      <c r="D344" t="s">
        <v>330</v>
      </c>
      <c r="E344" t="s">
        <v>565</v>
      </c>
    </row>
    <row r="345">
      <c r="A345" s="232" t="s">
        <v>915</v>
      </c>
      <c r="B345" t="s">
        <v>916</v>
      </c>
      <c r="C345">
        <v>0.0</v>
      </c>
      <c r="D345" t="s">
        <v>310</v>
      </c>
      <c r="E345" t="s">
        <v>311</v>
      </c>
    </row>
    <row r="346">
      <c r="A346" s="232" t="s">
        <v>917</v>
      </c>
      <c r="B346" t="s">
        <v>918</v>
      </c>
      <c r="C346">
        <v>0.0</v>
      </c>
      <c r="D346" t="s">
        <v>310</v>
      </c>
      <c r="E346" t="s">
        <v>311</v>
      </c>
    </row>
    <row r="347">
      <c r="A347" s="232" t="s">
        <v>919</v>
      </c>
      <c r="B347" t="s">
        <v>920</v>
      </c>
      <c r="C347">
        <v>0.0</v>
      </c>
      <c r="D347" t="s">
        <v>310</v>
      </c>
      <c r="E347" t="s">
        <v>311</v>
      </c>
    </row>
    <row r="348">
      <c r="A348" s="232" t="s">
        <v>921</v>
      </c>
      <c r="B348" t="s">
        <v>922</v>
      </c>
      <c r="C348">
        <v>0.0</v>
      </c>
      <c r="D348" t="s">
        <v>310</v>
      </c>
      <c r="E348" t="s">
        <v>311</v>
      </c>
    </row>
    <row r="349">
      <c r="A349" s="232" t="s">
        <v>923</v>
      </c>
      <c r="B349" t="s">
        <v>924</v>
      </c>
      <c r="C349">
        <v>60.0</v>
      </c>
      <c r="D349" t="s">
        <v>330</v>
      </c>
      <c r="E349" t="s">
        <v>311</v>
      </c>
    </row>
    <row r="350">
      <c r="A350" s="232" t="s">
        <v>925</v>
      </c>
      <c r="B350" t="s">
        <v>926</v>
      </c>
      <c r="C350">
        <v>475.0</v>
      </c>
      <c r="D350" t="s">
        <v>330</v>
      </c>
      <c r="E350" t="s">
        <v>311</v>
      </c>
    </row>
    <row r="351">
      <c r="A351" s="232" t="s">
        <v>927</v>
      </c>
      <c r="B351" t="s">
        <v>928</v>
      </c>
      <c r="C351">
        <v>200.0</v>
      </c>
      <c r="D351" t="s">
        <v>330</v>
      </c>
      <c r="E351" t="s">
        <v>311</v>
      </c>
    </row>
    <row r="352">
      <c r="A352" s="232" t="s">
        <v>929</v>
      </c>
      <c r="B352" t="s">
        <v>930</v>
      </c>
      <c r="C352">
        <v>461.0</v>
      </c>
      <c r="D352" t="s">
        <v>330</v>
      </c>
      <c r="E352" t="s">
        <v>311</v>
      </c>
    </row>
    <row r="353">
      <c r="A353" s="232" t="s">
        <v>931</v>
      </c>
      <c r="B353" t="s">
        <v>932</v>
      </c>
      <c r="C353">
        <v>0.0</v>
      </c>
      <c r="D353" t="s">
        <v>330</v>
      </c>
      <c r="E353" t="s">
        <v>311</v>
      </c>
    </row>
    <row r="354">
      <c r="A354" s="232" t="s">
        <v>933</v>
      </c>
      <c r="B354" t="s">
        <v>934</v>
      </c>
      <c r="C354">
        <v>0.0</v>
      </c>
      <c r="D354" t="s">
        <v>330</v>
      </c>
      <c r="E354" t="s">
        <v>311</v>
      </c>
    </row>
    <row r="355">
      <c r="A355" s="232" t="s">
        <v>935</v>
      </c>
      <c r="B355" t="s">
        <v>936</v>
      </c>
      <c r="C355">
        <v>0.0</v>
      </c>
      <c r="D355" t="s">
        <v>330</v>
      </c>
      <c r="E355" t="s">
        <v>311</v>
      </c>
    </row>
    <row r="356">
      <c r="A356" s="232" t="s">
        <v>937</v>
      </c>
      <c r="B356" t="s">
        <v>938</v>
      </c>
      <c r="C356">
        <v>0.0</v>
      </c>
      <c r="D356" t="s">
        <v>330</v>
      </c>
      <c r="E356" t="s">
        <v>311</v>
      </c>
    </row>
    <row r="357">
      <c r="A357" s="232" t="s">
        <v>939</v>
      </c>
      <c r="B357" t="s">
        <v>940</v>
      </c>
      <c r="C357">
        <v>0.0</v>
      </c>
      <c r="D357" t="s">
        <v>330</v>
      </c>
      <c r="E357" t="s">
        <v>311</v>
      </c>
    </row>
    <row r="358">
      <c r="A358" s="232" t="s">
        <v>941</v>
      </c>
      <c r="B358" t="s">
        <v>942</v>
      </c>
      <c r="C358">
        <v>0.0</v>
      </c>
      <c r="D358" t="s">
        <v>330</v>
      </c>
      <c r="E358" t="s">
        <v>311</v>
      </c>
    </row>
    <row r="359">
      <c r="A359" s="232" t="s">
        <v>943</v>
      </c>
      <c r="B359" t="s">
        <v>944</v>
      </c>
      <c r="C359">
        <v>0.0</v>
      </c>
      <c r="D359" t="s">
        <v>330</v>
      </c>
      <c r="E359" t="s">
        <v>311</v>
      </c>
    </row>
    <row r="360">
      <c r="A360" s="232" t="s">
        <v>945</v>
      </c>
      <c r="B360" t="s">
        <v>946</v>
      </c>
      <c r="C360">
        <v>0.0</v>
      </c>
      <c r="D360" t="s">
        <v>330</v>
      </c>
      <c r="E360" t="s">
        <v>311</v>
      </c>
    </row>
    <row r="361">
      <c r="A361" s="232" t="s">
        <v>947</v>
      </c>
      <c r="B361" t="s">
        <v>948</v>
      </c>
      <c r="C361">
        <v>462.0</v>
      </c>
      <c r="D361" t="s">
        <v>330</v>
      </c>
      <c r="E361" t="s">
        <v>311</v>
      </c>
    </row>
    <row r="362">
      <c r="A362" s="232" t="s">
        <v>949</v>
      </c>
      <c r="B362" t="s">
        <v>950</v>
      </c>
      <c r="C362">
        <v>336.0</v>
      </c>
      <c r="D362" t="s">
        <v>330</v>
      </c>
      <c r="E362" t="s">
        <v>311</v>
      </c>
    </row>
    <row r="363">
      <c r="A363" s="232" t="s">
        <v>951</v>
      </c>
      <c r="B363" t="s">
        <v>952</v>
      </c>
      <c r="C363">
        <v>204.0</v>
      </c>
      <c r="D363" t="s">
        <v>330</v>
      </c>
      <c r="E363" t="s">
        <v>311</v>
      </c>
    </row>
    <row r="364">
      <c r="A364" s="232" t="s">
        <v>953</v>
      </c>
      <c r="B364" t="s">
        <v>954</v>
      </c>
      <c r="C364">
        <v>500.0</v>
      </c>
      <c r="D364" t="s">
        <v>330</v>
      </c>
      <c r="E364" t="s">
        <v>311</v>
      </c>
    </row>
    <row r="365">
      <c r="A365" s="232" t="s">
        <v>955</v>
      </c>
      <c r="B365" t="s">
        <v>956</v>
      </c>
      <c r="C365">
        <v>60.0</v>
      </c>
      <c r="D365" t="s">
        <v>330</v>
      </c>
      <c r="E365" t="s">
        <v>311</v>
      </c>
    </row>
    <row r="366">
      <c r="A366" s="232" t="s">
        <v>957</v>
      </c>
      <c r="B366" t="s">
        <v>958</v>
      </c>
      <c r="C366">
        <v>316.0</v>
      </c>
      <c r="D366" t="s">
        <v>330</v>
      </c>
      <c r="E366" t="s">
        <v>311</v>
      </c>
    </row>
    <row r="367">
      <c r="A367" s="232" t="s">
        <v>959</v>
      </c>
      <c r="B367" t="s">
        <v>960</v>
      </c>
      <c r="C367">
        <v>60.0</v>
      </c>
      <c r="D367" t="s">
        <v>330</v>
      </c>
      <c r="E367" t="s">
        <v>311</v>
      </c>
    </row>
    <row r="368">
      <c r="A368" s="232" t="s">
        <v>961</v>
      </c>
      <c r="B368" t="s">
        <v>962</v>
      </c>
      <c r="C368">
        <v>209.0</v>
      </c>
      <c r="D368" t="s">
        <v>330</v>
      </c>
      <c r="E368" t="s">
        <v>311</v>
      </c>
    </row>
    <row r="369">
      <c r="A369" s="232" t="s">
        <v>963</v>
      </c>
      <c r="B369" t="s">
        <v>964</v>
      </c>
      <c r="C369">
        <v>316.0</v>
      </c>
      <c r="D369" t="s">
        <v>330</v>
      </c>
      <c r="E369" t="s">
        <v>311</v>
      </c>
    </row>
    <row r="370">
      <c r="A370" s="232" t="s">
        <v>965</v>
      </c>
      <c r="B370" t="s">
        <v>966</v>
      </c>
      <c r="C370">
        <v>651.0</v>
      </c>
      <c r="D370" t="s">
        <v>330</v>
      </c>
      <c r="E370" t="s">
        <v>311</v>
      </c>
    </row>
    <row r="371">
      <c r="A371" s="232" t="s">
        <v>967</v>
      </c>
      <c r="B371" t="s">
        <v>968</v>
      </c>
      <c r="C371">
        <v>64.0</v>
      </c>
      <c r="D371" t="s">
        <v>330</v>
      </c>
      <c r="E371" t="s">
        <v>311</v>
      </c>
    </row>
    <row r="372">
      <c r="A372" s="232" t="s">
        <v>969</v>
      </c>
      <c r="B372" t="s">
        <v>970</v>
      </c>
      <c r="C372">
        <v>480.0</v>
      </c>
      <c r="D372" t="s">
        <v>330</v>
      </c>
      <c r="E372" t="s">
        <v>311</v>
      </c>
    </row>
    <row r="373">
      <c r="A373" s="232" t="s">
        <v>971</v>
      </c>
      <c r="B373" t="s">
        <v>972</v>
      </c>
      <c r="C373">
        <v>1359.0</v>
      </c>
      <c r="D373" t="s">
        <v>330</v>
      </c>
      <c r="E373" t="s">
        <v>311</v>
      </c>
    </row>
    <row r="374">
      <c r="A374" s="232" t="s">
        <v>973</v>
      </c>
      <c r="B374" t="s">
        <v>974</v>
      </c>
      <c r="C374">
        <v>102.0</v>
      </c>
      <c r="D374" t="s">
        <v>330</v>
      </c>
      <c r="E374" t="s">
        <v>311</v>
      </c>
    </row>
    <row r="375">
      <c r="A375" s="232" t="s">
        <v>975</v>
      </c>
      <c r="B375" t="s">
        <v>976</v>
      </c>
      <c r="C375">
        <v>451.0</v>
      </c>
      <c r="D375" t="s">
        <v>330</v>
      </c>
      <c r="E375" t="s">
        <v>311</v>
      </c>
    </row>
    <row r="376">
      <c r="A376" s="232" t="s">
        <v>977</v>
      </c>
      <c r="B376" t="s">
        <v>978</v>
      </c>
      <c r="C376">
        <v>558.0</v>
      </c>
      <c r="D376" t="s">
        <v>330</v>
      </c>
      <c r="E376" t="s">
        <v>311</v>
      </c>
    </row>
    <row r="377">
      <c r="A377" s="232" t="s">
        <v>979</v>
      </c>
      <c r="B377" t="s">
        <v>980</v>
      </c>
      <c r="C377">
        <v>120.0</v>
      </c>
      <c r="D377" t="s">
        <v>330</v>
      </c>
      <c r="E377" t="s">
        <v>311</v>
      </c>
    </row>
    <row r="378">
      <c r="A378" s="232" t="s">
        <v>981</v>
      </c>
      <c r="B378" t="s">
        <v>982</v>
      </c>
      <c r="C378">
        <v>167.0</v>
      </c>
      <c r="D378" t="s">
        <v>330</v>
      </c>
      <c r="E378" t="s">
        <v>311</v>
      </c>
    </row>
    <row r="379">
      <c r="A379" s="232" t="s">
        <v>983</v>
      </c>
      <c r="B379" t="s">
        <v>984</v>
      </c>
      <c r="C379">
        <v>706.0</v>
      </c>
      <c r="D379" t="s">
        <v>330</v>
      </c>
      <c r="E379" t="s">
        <v>311</v>
      </c>
    </row>
    <row r="380">
      <c r="A380" s="232" t="s">
        <v>985</v>
      </c>
      <c r="B380" t="s">
        <v>986</v>
      </c>
      <c r="C380">
        <v>454.0</v>
      </c>
      <c r="D380" t="s">
        <v>330</v>
      </c>
      <c r="E380" t="s">
        <v>311</v>
      </c>
    </row>
    <row r="381">
      <c r="A381" s="232" t="s">
        <v>987</v>
      </c>
      <c r="B381" t="s">
        <v>988</v>
      </c>
      <c r="C381">
        <v>60.0</v>
      </c>
      <c r="D381" t="s">
        <v>330</v>
      </c>
      <c r="E381" t="s">
        <v>311</v>
      </c>
    </row>
    <row r="382">
      <c r="A382" s="232" t="s">
        <v>989</v>
      </c>
      <c r="B382" t="s">
        <v>990</v>
      </c>
      <c r="C382">
        <v>350.0</v>
      </c>
      <c r="D382" t="s">
        <v>330</v>
      </c>
      <c r="E382" t="s">
        <v>311</v>
      </c>
    </row>
    <row r="383">
      <c r="A383" s="232" t="s">
        <v>991</v>
      </c>
      <c r="B383" t="s">
        <v>992</v>
      </c>
      <c r="C383">
        <v>529.0</v>
      </c>
      <c r="D383" t="s">
        <v>330</v>
      </c>
      <c r="E383" t="s">
        <v>311</v>
      </c>
    </row>
    <row r="384">
      <c r="A384" s="232" t="s">
        <v>993</v>
      </c>
      <c r="B384" t="s">
        <v>994</v>
      </c>
      <c r="C384">
        <v>129.0</v>
      </c>
      <c r="D384" t="s">
        <v>330</v>
      </c>
      <c r="E384" t="s">
        <v>311</v>
      </c>
    </row>
    <row r="385">
      <c r="A385" s="232" t="s">
        <v>995</v>
      </c>
      <c r="B385" t="s">
        <v>996</v>
      </c>
      <c r="C385">
        <v>159.0</v>
      </c>
      <c r="D385" t="s">
        <v>330</v>
      </c>
      <c r="E385" t="s">
        <v>311</v>
      </c>
    </row>
    <row r="386">
      <c r="A386" s="232" t="s">
        <v>997</v>
      </c>
      <c r="B386" t="s">
        <v>998</v>
      </c>
      <c r="C386">
        <v>480.0</v>
      </c>
      <c r="D386" t="s">
        <v>330</v>
      </c>
      <c r="E386" t="s">
        <v>311</v>
      </c>
    </row>
    <row r="387">
      <c r="A387" s="232" t="s">
        <v>999</v>
      </c>
      <c r="B387" t="s">
        <v>1000</v>
      </c>
      <c r="C387">
        <v>302.0</v>
      </c>
      <c r="D387" t="s">
        <v>330</v>
      </c>
      <c r="E387" t="s">
        <v>311</v>
      </c>
    </row>
    <row r="388">
      <c r="A388" s="232" t="s">
        <v>1001</v>
      </c>
      <c r="B388" t="s">
        <v>1002</v>
      </c>
      <c r="C388">
        <v>330.0</v>
      </c>
      <c r="D388" t="s">
        <v>330</v>
      </c>
      <c r="E388" t="s">
        <v>311</v>
      </c>
    </row>
    <row r="389">
      <c r="A389" s="232" t="s">
        <v>1003</v>
      </c>
      <c r="B389" t="s">
        <v>1004</v>
      </c>
      <c r="C389">
        <v>58.0</v>
      </c>
      <c r="D389" t="s">
        <v>330</v>
      </c>
      <c r="E389" t="s">
        <v>311</v>
      </c>
    </row>
    <row r="390">
      <c r="A390" s="232" t="s">
        <v>1005</v>
      </c>
      <c r="B390" t="s">
        <v>1006</v>
      </c>
      <c r="C390">
        <v>161.0</v>
      </c>
      <c r="D390" t="s">
        <v>330</v>
      </c>
      <c r="E390" t="s">
        <v>311</v>
      </c>
    </row>
    <row r="391">
      <c r="A391" s="232" t="s">
        <v>1007</v>
      </c>
      <c r="B391" t="s">
        <v>1008</v>
      </c>
      <c r="C391">
        <v>544.0</v>
      </c>
      <c r="D391" t="s">
        <v>330</v>
      </c>
      <c r="E391" t="s">
        <v>311</v>
      </c>
    </row>
    <row r="392">
      <c r="A392" s="232" t="s">
        <v>1009</v>
      </c>
      <c r="B392" t="s">
        <v>1010</v>
      </c>
      <c r="C392">
        <v>187.0</v>
      </c>
      <c r="D392" t="s">
        <v>330</v>
      </c>
      <c r="E392" t="s">
        <v>311</v>
      </c>
    </row>
    <row r="393">
      <c r="A393" s="232" t="s">
        <v>1011</v>
      </c>
      <c r="B393" t="s">
        <v>1012</v>
      </c>
      <c r="C393">
        <v>482.0</v>
      </c>
      <c r="D393" t="s">
        <v>330</v>
      </c>
      <c r="E393" t="s">
        <v>311</v>
      </c>
    </row>
    <row r="394">
      <c r="A394" s="232" t="s">
        <v>1013</v>
      </c>
      <c r="B394" t="s">
        <v>1014</v>
      </c>
      <c r="C394">
        <v>459.0</v>
      </c>
      <c r="D394" t="s">
        <v>330</v>
      </c>
      <c r="E394" t="s">
        <v>311</v>
      </c>
    </row>
    <row r="395">
      <c r="A395" s="232" t="s">
        <v>1015</v>
      </c>
      <c r="B395" t="s">
        <v>1016</v>
      </c>
      <c r="C395">
        <v>309.0</v>
      </c>
      <c r="D395" t="s">
        <v>330</v>
      </c>
      <c r="E395" t="s">
        <v>311</v>
      </c>
    </row>
    <row r="396">
      <c r="A396" s="232" t="s">
        <v>1017</v>
      </c>
      <c r="B396" t="s">
        <v>1018</v>
      </c>
      <c r="C396">
        <v>625.0</v>
      </c>
      <c r="D396" t="s">
        <v>330</v>
      </c>
      <c r="E396" t="s">
        <v>311</v>
      </c>
    </row>
    <row r="397">
      <c r="A397" s="232" t="s">
        <v>1019</v>
      </c>
      <c r="B397" t="s">
        <v>1020</v>
      </c>
      <c r="C397">
        <v>300.0</v>
      </c>
      <c r="D397" t="s">
        <v>330</v>
      </c>
      <c r="E397" t="s">
        <v>311</v>
      </c>
    </row>
    <row r="398">
      <c r="A398" s="232" t="s">
        <v>1021</v>
      </c>
      <c r="B398" t="s">
        <v>1022</v>
      </c>
      <c r="C398">
        <v>488.0</v>
      </c>
      <c r="D398" t="s">
        <v>330</v>
      </c>
      <c r="E398" t="s">
        <v>311</v>
      </c>
    </row>
    <row r="399">
      <c r="A399" s="232" t="s">
        <v>1023</v>
      </c>
      <c r="B399" t="s">
        <v>1024</v>
      </c>
      <c r="C399">
        <v>149.0</v>
      </c>
      <c r="D399" t="s">
        <v>330</v>
      </c>
      <c r="E399" t="s">
        <v>311</v>
      </c>
    </row>
    <row r="400">
      <c r="A400" s="232" t="s">
        <v>1025</v>
      </c>
      <c r="B400" t="s">
        <v>1026</v>
      </c>
      <c r="C400">
        <v>541.0</v>
      </c>
      <c r="D400" t="s">
        <v>330</v>
      </c>
      <c r="E400" t="s">
        <v>311</v>
      </c>
    </row>
    <row r="401">
      <c r="A401" s="232" t="s">
        <v>1027</v>
      </c>
      <c r="B401" t="s">
        <v>1028</v>
      </c>
      <c r="C401">
        <v>399.0</v>
      </c>
      <c r="D401" t="s">
        <v>330</v>
      </c>
      <c r="E401" t="s">
        <v>311</v>
      </c>
    </row>
    <row r="402">
      <c r="A402" s="232" t="s">
        <v>1029</v>
      </c>
      <c r="B402" t="s">
        <v>1030</v>
      </c>
      <c r="C402">
        <v>390.0</v>
      </c>
      <c r="D402" t="s">
        <v>330</v>
      </c>
      <c r="E402" t="s">
        <v>311</v>
      </c>
    </row>
    <row r="403">
      <c r="A403" s="232" t="s">
        <v>1031</v>
      </c>
      <c r="B403" t="s">
        <v>1032</v>
      </c>
      <c r="C403">
        <v>529.0</v>
      </c>
      <c r="D403" t="s">
        <v>330</v>
      </c>
      <c r="E403" t="s">
        <v>311</v>
      </c>
    </row>
    <row r="404">
      <c r="A404" s="232" t="s">
        <v>1033</v>
      </c>
      <c r="B404" t="s">
        <v>1034</v>
      </c>
      <c r="C404">
        <v>240.0</v>
      </c>
      <c r="D404" t="s">
        <v>330</v>
      </c>
      <c r="E404" t="s">
        <v>311</v>
      </c>
    </row>
    <row r="405">
      <c r="A405" s="232" t="s">
        <v>1035</v>
      </c>
      <c r="B405" t="s">
        <v>1036</v>
      </c>
      <c r="C405">
        <v>0.0</v>
      </c>
      <c r="D405" t="s">
        <v>310</v>
      </c>
      <c r="E405" t="s">
        <v>311</v>
      </c>
    </row>
    <row r="406">
      <c r="A406" s="232" t="s">
        <v>1037</v>
      </c>
      <c r="B406" t="s">
        <v>1038</v>
      </c>
      <c r="C406">
        <v>3.0</v>
      </c>
      <c r="D406" t="s">
        <v>310</v>
      </c>
      <c r="E406" t="s">
        <v>311</v>
      </c>
    </row>
    <row r="407">
      <c r="A407" s="232" t="s">
        <v>1039</v>
      </c>
      <c r="B407" t="s">
        <v>1040</v>
      </c>
      <c r="C407">
        <v>0.0</v>
      </c>
      <c r="D407" t="s">
        <v>310</v>
      </c>
      <c r="E407" t="s">
        <v>311</v>
      </c>
    </row>
    <row r="408">
      <c r="A408" s="232" t="s">
        <v>1041</v>
      </c>
      <c r="B408" t="s">
        <v>1042</v>
      </c>
      <c r="C408">
        <v>0.0</v>
      </c>
      <c r="D408" t="s">
        <v>310</v>
      </c>
      <c r="E408" t="s">
        <v>311</v>
      </c>
    </row>
    <row r="409">
      <c r="A409" s="232" t="s">
        <v>1043</v>
      </c>
      <c r="B409" t="s">
        <v>1044</v>
      </c>
      <c r="C409">
        <v>0.0</v>
      </c>
      <c r="D409" t="s">
        <v>310</v>
      </c>
      <c r="E409" t="s">
        <v>311</v>
      </c>
    </row>
    <row r="410">
      <c r="A410" s="232" t="s">
        <v>1045</v>
      </c>
      <c r="B410" t="s">
        <v>1046</v>
      </c>
      <c r="C410">
        <v>0.0</v>
      </c>
      <c r="D410" t="s">
        <v>310</v>
      </c>
      <c r="E410" t="s">
        <v>311</v>
      </c>
    </row>
    <row r="411">
      <c r="A411" s="232" t="s">
        <v>1047</v>
      </c>
      <c r="B411" t="s">
        <v>1048</v>
      </c>
      <c r="C411">
        <v>0.0</v>
      </c>
      <c r="D411" t="s">
        <v>310</v>
      </c>
      <c r="E411" t="s">
        <v>311</v>
      </c>
    </row>
    <row r="412">
      <c r="A412" s="232" t="s">
        <v>1049</v>
      </c>
      <c r="B412" t="s">
        <v>1050</v>
      </c>
      <c r="C412">
        <v>0.0</v>
      </c>
      <c r="D412" t="s">
        <v>310</v>
      </c>
      <c r="E412" t="s">
        <v>311</v>
      </c>
    </row>
    <row r="413">
      <c r="A413" s="232" t="s">
        <v>1051</v>
      </c>
      <c r="B413" t="s">
        <v>1052</v>
      </c>
      <c r="C413">
        <v>0.0</v>
      </c>
      <c r="D413" t="s">
        <v>310</v>
      </c>
      <c r="E413" t="s">
        <v>311</v>
      </c>
    </row>
    <row r="414">
      <c r="A414" s="232" t="s">
        <v>1053</v>
      </c>
      <c r="B414" t="s">
        <v>1054</v>
      </c>
      <c r="C414">
        <v>0.0</v>
      </c>
      <c r="D414" t="s">
        <v>310</v>
      </c>
      <c r="E414" t="s">
        <v>311</v>
      </c>
    </row>
    <row r="415">
      <c r="A415" s="232" t="s">
        <v>1055</v>
      </c>
      <c r="B415" t="s">
        <v>1056</v>
      </c>
      <c r="C415">
        <v>0.0</v>
      </c>
      <c r="D415" t="s">
        <v>310</v>
      </c>
      <c r="E415" t="s">
        <v>311</v>
      </c>
    </row>
    <row r="416">
      <c r="A416" s="232" t="s">
        <v>1057</v>
      </c>
      <c r="B416" t="s">
        <v>1058</v>
      </c>
      <c r="C416">
        <v>0.0</v>
      </c>
      <c r="D416" t="s">
        <v>310</v>
      </c>
      <c r="E416" t="s">
        <v>311</v>
      </c>
    </row>
    <row r="417">
      <c r="A417" s="232" t="s">
        <v>1059</v>
      </c>
      <c r="B417" t="s">
        <v>1060</v>
      </c>
      <c r="C417">
        <v>0.0</v>
      </c>
      <c r="D417" t="s">
        <v>310</v>
      </c>
      <c r="E417" t="s">
        <v>311</v>
      </c>
    </row>
    <row r="418">
      <c r="A418" s="232" t="s">
        <v>1061</v>
      </c>
      <c r="B418" t="s">
        <v>1062</v>
      </c>
      <c r="C418">
        <v>-48.0</v>
      </c>
      <c r="D418" t="s">
        <v>330</v>
      </c>
      <c r="E418" t="s">
        <v>311</v>
      </c>
    </row>
    <row r="419">
      <c r="A419" s="232" t="s">
        <v>1063</v>
      </c>
      <c r="B419" t="s">
        <v>1064</v>
      </c>
      <c r="C419">
        <v>54.0</v>
      </c>
      <c r="D419" t="s">
        <v>330</v>
      </c>
      <c r="E419" t="s">
        <v>311</v>
      </c>
    </row>
    <row r="420">
      <c r="A420" s="232" t="s">
        <v>1065</v>
      </c>
      <c r="B420" t="s">
        <v>1066</v>
      </c>
      <c r="C420">
        <v>48.0</v>
      </c>
      <c r="D420" t="s">
        <v>330</v>
      </c>
      <c r="E420" t="s">
        <v>311</v>
      </c>
    </row>
    <row r="421">
      <c r="A421" s="232" t="s">
        <v>1067</v>
      </c>
      <c r="B421" t="s">
        <v>1068</v>
      </c>
      <c r="C421">
        <v>132.0</v>
      </c>
      <c r="D421" t="s">
        <v>330</v>
      </c>
      <c r="E421" t="s">
        <v>311</v>
      </c>
    </row>
    <row r="422">
      <c r="A422" s="232" t="s">
        <v>1069</v>
      </c>
      <c r="B422" t="s">
        <v>1070</v>
      </c>
      <c r="C422">
        <v>129.0</v>
      </c>
      <c r="D422" t="s">
        <v>330</v>
      </c>
      <c r="E422" t="s">
        <v>311</v>
      </c>
    </row>
    <row r="423">
      <c r="A423" s="232" t="s">
        <v>1071</v>
      </c>
      <c r="B423" t="s">
        <v>1072</v>
      </c>
      <c r="C423">
        <v>180.0</v>
      </c>
      <c r="D423" t="s">
        <v>330</v>
      </c>
      <c r="E423" t="s">
        <v>311</v>
      </c>
    </row>
    <row r="424">
      <c r="A424" s="232" t="s">
        <v>1073</v>
      </c>
      <c r="B424" t="s">
        <v>1074</v>
      </c>
      <c r="C424">
        <v>29.0</v>
      </c>
      <c r="D424" t="s">
        <v>330</v>
      </c>
      <c r="E424" t="s">
        <v>311</v>
      </c>
    </row>
    <row r="425">
      <c r="A425" s="232" t="s">
        <v>1075</v>
      </c>
      <c r="B425" t="s">
        <v>1076</v>
      </c>
      <c r="C425">
        <v>96.0</v>
      </c>
      <c r="D425" t="s">
        <v>330</v>
      </c>
      <c r="E425" t="s">
        <v>311</v>
      </c>
    </row>
    <row r="426">
      <c r="A426" s="232" t="s">
        <v>1077</v>
      </c>
      <c r="B426" t="s">
        <v>1078</v>
      </c>
      <c r="C426">
        <v>54.0</v>
      </c>
      <c r="D426" t="s">
        <v>330</v>
      </c>
      <c r="E426" t="s">
        <v>311</v>
      </c>
    </row>
    <row r="427">
      <c r="A427" s="232" t="s">
        <v>1079</v>
      </c>
      <c r="B427" t="s">
        <v>1080</v>
      </c>
      <c r="C427">
        <v>-12.0</v>
      </c>
      <c r="D427" t="s">
        <v>330</v>
      </c>
      <c r="E427" t="s">
        <v>311</v>
      </c>
    </row>
    <row r="428">
      <c r="A428" s="232" t="s">
        <v>1081</v>
      </c>
      <c r="B428" t="s">
        <v>1082</v>
      </c>
      <c r="C428">
        <v>114.0</v>
      </c>
      <c r="D428" t="s">
        <v>330</v>
      </c>
      <c r="E428" t="s">
        <v>311</v>
      </c>
    </row>
    <row r="429">
      <c r="A429" s="232" t="s">
        <v>1083</v>
      </c>
      <c r="B429" t="s">
        <v>1084</v>
      </c>
      <c r="C429">
        <v>48.0</v>
      </c>
      <c r="D429" t="s">
        <v>330</v>
      </c>
      <c r="E429" t="s">
        <v>311</v>
      </c>
    </row>
    <row r="430">
      <c r="A430" s="232" t="s">
        <v>1085</v>
      </c>
      <c r="B430" t="s">
        <v>1086</v>
      </c>
      <c r="C430">
        <v>214.0</v>
      </c>
      <c r="D430" t="s">
        <v>330</v>
      </c>
      <c r="E430" t="s">
        <v>311</v>
      </c>
    </row>
    <row r="431">
      <c r="A431" s="232" t="s">
        <v>1087</v>
      </c>
      <c r="B431" t="s">
        <v>1088</v>
      </c>
      <c r="C431">
        <v>228.0</v>
      </c>
      <c r="D431" t="s">
        <v>330</v>
      </c>
      <c r="E431" t="s">
        <v>311</v>
      </c>
    </row>
    <row r="432">
      <c r="A432" s="232" t="s">
        <v>1089</v>
      </c>
      <c r="B432" t="s">
        <v>1090</v>
      </c>
      <c r="C432">
        <v>258.0</v>
      </c>
      <c r="D432" t="s">
        <v>330</v>
      </c>
      <c r="E432" t="s">
        <v>311</v>
      </c>
    </row>
    <row r="433">
      <c r="A433" s="232" t="s">
        <v>1091</v>
      </c>
      <c r="B433" t="s">
        <v>1092</v>
      </c>
      <c r="C433">
        <v>111.0</v>
      </c>
      <c r="D433" t="s">
        <v>330</v>
      </c>
      <c r="E433" t="s">
        <v>311</v>
      </c>
    </row>
    <row r="434">
      <c r="A434" s="232" t="s">
        <v>1093</v>
      </c>
      <c r="B434" t="s">
        <v>1094</v>
      </c>
      <c r="C434">
        <v>119.0</v>
      </c>
      <c r="D434" t="s">
        <v>330</v>
      </c>
      <c r="E434" t="s">
        <v>311</v>
      </c>
    </row>
    <row r="435">
      <c r="A435" s="232" t="s">
        <v>1095</v>
      </c>
      <c r="B435" t="s">
        <v>1096</v>
      </c>
      <c r="C435">
        <v>0.0</v>
      </c>
      <c r="D435" t="s">
        <v>330</v>
      </c>
      <c r="E435" t="s">
        <v>311</v>
      </c>
    </row>
    <row r="436">
      <c r="A436" s="232" t="s">
        <v>1097</v>
      </c>
      <c r="B436" t="s">
        <v>1098</v>
      </c>
      <c r="C436">
        <v>0.0</v>
      </c>
      <c r="D436" t="s">
        <v>330</v>
      </c>
      <c r="E436" t="s">
        <v>311</v>
      </c>
    </row>
    <row r="437">
      <c r="A437" s="232" t="s">
        <v>1099</v>
      </c>
      <c r="B437" t="s">
        <v>1100</v>
      </c>
      <c r="C437">
        <v>0.0</v>
      </c>
      <c r="D437" t="s">
        <v>330</v>
      </c>
      <c r="E437" t="s">
        <v>311</v>
      </c>
    </row>
    <row r="438">
      <c r="A438" s="232" t="s">
        <v>1101</v>
      </c>
      <c r="B438" t="s">
        <v>1102</v>
      </c>
      <c r="C438">
        <v>153.0</v>
      </c>
      <c r="D438" t="s">
        <v>330</v>
      </c>
      <c r="E438" t="s">
        <v>311</v>
      </c>
    </row>
    <row r="439">
      <c r="A439" s="232" t="s">
        <v>1103</v>
      </c>
      <c r="B439" t="s">
        <v>1104</v>
      </c>
      <c r="C439">
        <v>51.0</v>
      </c>
      <c r="D439" t="s">
        <v>330</v>
      </c>
      <c r="E439" t="s">
        <v>311</v>
      </c>
    </row>
    <row r="440">
      <c r="A440" s="232" t="s">
        <v>1105</v>
      </c>
      <c r="B440" t="s">
        <v>1106</v>
      </c>
      <c r="C440">
        <v>0.0</v>
      </c>
      <c r="D440" t="s">
        <v>330</v>
      </c>
      <c r="E440" t="s">
        <v>311</v>
      </c>
    </row>
    <row r="441">
      <c r="A441" s="232" t="s">
        <v>1107</v>
      </c>
      <c r="B441" t="s">
        <v>1108</v>
      </c>
      <c r="C441">
        <v>144.0</v>
      </c>
      <c r="D441" t="s">
        <v>330</v>
      </c>
      <c r="E441" t="s">
        <v>311</v>
      </c>
    </row>
    <row r="442">
      <c r="A442" s="232" t="s">
        <v>1109</v>
      </c>
      <c r="B442" t="s">
        <v>1110</v>
      </c>
      <c r="C442">
        <v>0.0</v>
      </c>
      <c r="D442" t="s">
        <v>330</v>
      </c>
      <c r="E442" t="s">
        <v>311</v>
      </c>
    </row>
    <row r="443">
      <c r="A443" s="232" t="s">
        <v>1111</v>
      </c>
      <c r="B443" t="s">
        <v>1112</v>
      </c>
      <c r="C443">
        <v>0.0</v>
      </c>
      <c r="D443" t="s">
        <v>330</v>
      </c>
      <c r="E443" t="s">
        <v>311</v>
      </c>
    </row>
    <row r="444">
      <c r="A444" s="232" t="s">
        <v>1113</v>
      </c>
      <c r="B444" t="s">
        <v>1114</v>
      </c>
      <c r="C444">
        <v>0.0</v>
      </c>
      <c r="D444" t="s">
        <v>330</v>
      </c>
      <c r="E444" t="s">
        <v>311</v>
      </c>
    </row>
    <row r="445">
      <c r="A445" s="232" t="s">
        <v>1115</v>
      </c>
      <c r="B445" t="s">
        <v>1116</v>
      </c>
      <c r="C445">
        <v>0.0</v>
      </c>
      <c r="D445" t="s">
        <v>330</v>
      </c>
      <c r="E445" t="s">
        <v>311</v>
      </c>
    </row>
    <row r="446">
      <c r="A446" s="232" t="s">
        <v>1117</v>
      </c>
      <c r="B446" t="s">
        <v>1118</v>
      </c>
      <c r="C446">
        <v>0.0</v>
      </c>
      <c r="D446" t="s">
        <v>330</v>
      </c>
      <c r="E446" t="s">
        <v>311</v>
      </c>
    </row>
    <row r="447">
      <c r="A447" s="232" t="s">
        <v>1119</v>
      </c>
      <c r="B447" t="s">
        <v>1120</v>
      </c>
      <c r="C447">
        <v>167.0</v>
      </c>
      <c r="D447" t="s">
        <v>330</v>
      </c>
      <c r="E447" t="s">
        <v>311</v>
      </c>
    </row>
    <row r="448">
      <c r="A448" s="232" t="s">
        <v>1121</v>
      </c>
      <c r="B448" t="s">
        <v>1122</v>
      </c>
      <c r="C448">
        <v>60.0</v>
      </c>
      <c r="D448" t="s">
        <v>330</v>
      </c>
      <c r="E448" t="s">
        <v>311</v>
      </c>
    </row>
    <row r="449">
      <c r="A449" s="232" t="s">
        <v>1123</v>
      </c>
      <c r="B449" t="s">
        <v>1124</v>
      </c>
      <c r="C449">
        <v>-21.0</v>
      </c>
      <c r="D449" t="s">
        <v>330</v>
      </c>
      <c r="E449" t="s">
        <v>311</v>
      </c>
    </row>
    <row r="450">
      <c r="A450" s="232" t="s">
        <v>1125</v>
      </c>
      <c r="B450" t="s">
        <v>1126</v>
      </c>
      <c r="C450">
        <v>0.0</v>
      </c>
      <c r="D450" t="s">
        <v>330</v>
      </c>
      <c r="E450" t="s">
        <v>311</v>
      </c>
    </row>
    <row r="451">
      <c r="A451" s="232" t="s">
        <v>1127</v>
      </c>
      <c r="B451" t="s">
        <v>1128</v>
      </c>
      <c r="C451">
        <v>0.0</v>
      </c>
      <c r="D451" t="s">
        <v>330</v>
      </c>
      <c r="E451" t="s">
        <v>311</v>
      </c>
    </row>
    <row r="452">
      <c r="A452" s="232" t="s">
        <v>1129</v>
      </c>
      <c r="B452" t="s">
        <v>1130</v>
      </c>
      <c r="C452">
        <v>61.0</v>
      </c>
      <c r="D452" t="s">
        <v>330</v>
      </c>
      <c r="E452" t="s">
        <v>311</v>
      </c>
    </row>
    <row r="453">
      <c r="A453" s="232" t="s">
        <v>1131</v>
      </c>
      <c r="B453" t="s">
        <v>1132</v>
      </c>
      <c r="C453">
        <v>-1.0</v>
      </c>
      <c r="D453" t="s">
        <v>330</v>
      </c>
      <c r="E453" t="s">
        <v>311</v>
      </c>
    </row>
    <row r="454">
      <c r="A454" s="232" t="s">
        <v>1133</v>
      </c>
      <c r="B454" t="s">
        <v>1134</v>
      </c>
      <c r="C454">
        <v>52.0</v>
      </c>
      <c r="D454" t="s">
        <v>330</v>
      </c>
      <c r="E454" t="s">
        <v>565</v>
      </c>
    </row>
    <row r="455">
      <c r="A455" s="232" t="s">
        <v>1135</v>
      </c>
      <c r="B455" t="s">
        <v>1136</v>
      </c>
      <c r="C455">
        <v>6.0</v>
      </c>
      <c r="D455" t="s">
        <v>330</v>
      </c>
      <c r="E455" t="s">
        <v>565</v>
      </c>
    </row>
    <row r="456">
      <c r="A456" s="232" t="s">
        <v>1137</v>
      </c>
      <c r="B456" t="s">
        <v>1138</v>
      </c>
      <c r="C456">
        <v>0.0</v>
      </c>
      <c r="D456" t="s">
        <v>330</v>
      </c>
      <c r="E456" t="s">
        <v>565</v>
      </c>
    </row>
    <row r="457">
      <c r="A457" s="232" t="s">
        <v>1139</v>
      </c>
      <c r="B457" t="s">
        <v>1140</v>
      </c>
      <c r="C457">
        <v>4.0</v>
      </c>
      <c r="D457" t="s">
        <v>330</v>
      </c>
      <c r="E457" t="s">
        <v>565</v>
      </c>
    </row>
    <row r="458">
      <c r="A458" s="232" t="s">
        <v>1141</v>
      </c>
      <c r="B458" t="s">
        <v>1142</v>
      </c>
      <c r="C458">
        <v>180.0</v>
      </c>
      <c r="D458" t="s">
        <v>330</v>
      </c>
      <c r="E458" t="s">
        <v>565</v>
      </c>
    </row>
    <row r="459">
      <c r="A459" s="232" t="s">
        <v>1143</v>
      </c>
      <c r="B459" t="s">
        <v>1144</v>
      </c>
      <c r="C459">
        <v>78.0</v>
      </c>
      <c r="D459" t="s">
        <v>330</v>
      </c>
      <c r="E459" t="s">
        <v>565</v>
      </c>
    </row>
    <row r="460">
      <c r="A460" s="232" t="s">
        <v>1145</v>
      </c>
      <c r="B460" t="s">
        <v>1146</v>
      </c>
      <c r="C460">
        <v>5.0</v>
      </c>
      <c r="D460" t="s">
        <v>330</v>
      </c>
      <c r="E460" t="s">
        <v>565</v>
      </c>
    </row>
    <row r="461">
      <c r="A461" s="232" t="s">
        <v>1147</v>
      </c>
      <c r="B461" t="s">
        <v>1148</v>
      </c>
      <c r="C461">
        <v>192.0</v>
      </c>
      <c r="D461" t="s">
        <v>330</v>
      </c>
      <c r="E461" t="s">
        <v>565</v>
      </c>
    </row>
    <row r="462">
      <c r="A462" s="232" t="s">
        <v>1149</v>
      </c>
      <c r="B462" t="s">
        <v>1150</v>
      </c>
      <c r="C462">
        <v>6.0</v>
      </c>
      <c r="D462" t="s">
        <v>330</v>
      </c>
      <c r="E462" t="s">
        <v>565</v>
      </c>
    </row>
    <row r="463">
      <c r="A463" s="232" t="s">
        <v>1151</v>
      </c>
      <c r="B463" t="s">
        <v>1152</v>
      </c>
      <c r="C463">
        <v>0.0</v>
      </c>
      <c r="D463" t="s">
        <v>330</v>
      </c>
      <c r="E463" t="s">
        <v>565</v>
      </c>
    </row>
    <row r="464">
      <c r="A464" s="232" t="s">
        <v>1153</v>
      </c>
      <c r="B464" t="s">
        <v>1154</v>
      </c>
      <c r="C464">
        <v>30.0</v>
      </c>
      <c r="D464" t="s">
        <v>330</v>
      </c>
      <c r="E464" t="s">
        <v>565</v>
      </c>
    </row>
    <row r="465">
      <c r="A465" s="232" t="s">
        <v>1155</v>
      </c>
      <c r="B465" t="s">
        <v>1156</v>
      </c>
      <c r="C465">
        <v>78.0</v>
      </c>
      <c r="D465" t="s">
        <v>330</v>
      </c>
      <c r="E465" t="s">
        <v>565</v>
      </c>
    </row>
    <row r="466">
      <c r="A466" s="232" t="s">
        <v>1157</v>
      </c>
      <c r="B466" t="s">
        <v>1158</v>
      </c>
      <c r="C466">
        <v>0.0</v>
      </c>
      <c r="D466" t="s">
        <v>330</v>
      </c>
      <c r="E466" t="s">
        <v>565</v>
      </c>
    </row>
    <row r="467">
      <c r="A467" s="232" t="s">
        <v>1159</v>
      </c>
      <c r="B467" t="s">
        <v>1160</v>
      </c>
      <c r="C467">
        <v>0.0</v>
      </c>
      <c r="D467" t="s">
        <v>330</v>
      </c>
      <c r="E467" t="s">
        <v>565</v>
      </c>
    </row>
    <row r="468">
      <c r="A468" s="232" t="s">
        <v>1161</v>
      </c>
      <c r="B468" t="s">
        <v>1162</v>
      </c>
      <c r="C468">
        <v>0.0</v>
      </c>
      <c r="D468" t="s">
        <v>330</v>
      </c>
      <c r="E468" t="s">
        <v>565</v>
      </c>
    </row>
    <row r="469">
      <c r="A469" s="232" t="s">
        <v>1163</v>
      </c>
      <c r="B469" t="s">
        <v>1164</v>
      </c>
      <c r="C469">
        <v>36.0</v>
      </c>
      <c r="D469" t="s">
        <v>330</v>
      </c>
      <c r="E469" t="s">
        <v>565</v>
      </c>
    </row>
    <row r="470">
      <c r="A470" s="232" t="s">
        <v>1165</v>
      </c>
      <c r="B470" t="s">
        <v>1166</v>
      </c>
      <c r="C470">
        <v>22.0</v>
      </c>
      <c r="D470" t="s">
        <v>330</v>
      </c>
      <c r="E470" t="s">
        <v>565</v>
      </c>
    </row>
    <row r="471">
      <c r="A471" s="232" t="s">
        <v>1167</v>
      </c>
      <c r="B471" t="s">
        <v>1168</v>
      </c>
      <c r="C471">
        <v>12.0</v>
      </c>
      <c r="D471" t="s">
        <v>330</v>
      </c>
      <c r="E471" t="s">
        <v>565</v>
      </c>
    </row>
    <row r="472">
      <c r="A472" s="232" t="s">
        <v>1169</v>
      </c>
      <c r="B472" t="s">
        <v>1170</v>
      </c>
      <c r="C472">
        <v>216.0</v>
      </c>
      <c r="D472" t="s">
        <v>330</v>
      </c>
      <c r="E472" t="s">
        <v>565</v>
      </c>
    </row>
    <row r="473">
      <c r="A473" s="232" t="s">
        <v>1171</v>
      </c>
      <c r="B473" t="s">
        <v>1172</v>
      </c>
      <c r="C473">
        <v>144.0</v>
      </c>
      <c r="D473" t="s">
        <v>330</v>
      </c>
      <c r="E473" t="s">
        <v>565</v>
      </c>
    </row>
    <row r="474">
      <c r="A474" s="232" t="s">
        <v>1173</v>
      </c>
      <c r="B474" t="s">
        <v>1174</v>
      </c>
      <c r="C474">
        <v>312.0</v>
      </c>
      <c r="D474" t="s">
        <v>330</v>
      </c>
      <c r="E474" t="s">
        <v>565</v>
      </c>
    </row>
    <row r="475">
      <c r="A475" s="232" t="s">
        <v>1175</v>
      </c>
      <c r="B475" t="s">
        <v>1176</v>
      </c>
      <c r="C475">
        <v>222.0</v>
      </c>
      <c r="D475" t="s">
        <v>330</v>
      </c>
      <c r="E475" t="s">
        <v>565</v>
      </c>
    </row>
    <row r="476">
      <c r="A476" s="232" t="s">
        <v>1177</v>
      </c>
      <c r="B476" t="s">
        <v>1178</v>
      </c>
      <c r="C476">
        <v>96.0</v>
      </c>
      <c r="D476" t="s">
        <v>330</v>
      </c>
      <c r="E476" t="s">
        <v>565</v>
      </c>
    </row>
    <row r="477">
      <c r="A477" s="232" t="s">
        <v>1179</v>
      </c>
      <c r="B477" t="s">
        <v>1180</v>
      </c>
      <c r="C477">
        <v>22.0</v>
      </c>
      <c r="D477" t="s">
        <v>330</v>
      </c>
      <c r="E477" t="s">
        <v>565</v>
      </c>
    </row>
    <row r="478">
      <c r="A478" s="232" t="s">
        <v>1181</v>
      </c>
      <c r="B478" t="s">
        <v>1182</v>
      </c>
      <c r="C478">
        <v>192.0</v>
      </c>
      <c r="D478" t="s">
        <v>330</v>
      </c>
      <c r="E478" t="s">
        <v>565</v>
      </c>
    </row>
    <row r="479">
      <c r="A479" s="232" t="s">
        <v>1183</v>
      </c>
      <c r="B479" t="s">
        <v>1184</v>
      </c>
      <c r="C479">
        <v>168.0</v>
      </c>
      <c r="D479" t="s">
        <v>330</v>
      </c>
      <c r="E479" t="s">
        <v>565</v>
      </c>
    </row>
    <row r="480">
      <c r="A480" s="232" t="s">
        <v>1185</v>
      </c>
      <c r="B480" t="s">
        <v>1186</v>
      </c>
      <c r="C480">
        <v>156.0</v>
      </c>
      <c r="D480" t="s">
        <v>330</v>
      </c>
      <c r="E480" t="s">
        <v>565</v>
      </c>
    </row>
    <row r="481">
      <c r="A481" s="232" t="s">
        <v>1187</v>
      </c>
      <c r="B481" t="s">
        <v>1188</v>
      </c>
      <c r="C481">
        <v>83.0</v>
      </c>
      <c r="D481" t="s">
        <v>330</v>
      </c>
      <c r="E481" t="s">
        <v>565</v>
      </c>
    </row>
    <row r="482">
      <c r="A482" s="232" t="s">
        <v>1189</v>
      </c>
      <c r="B482" t="s">
        <v>1190</v>
      </c>
      <c r="C482">
        <v>72.0</v>
      </c>
      <c r="D482" t="s">
        <v>330</v>
      </c>
      <c r="E482" t="s">
        <v>565</v>
      </c>
    </row>
    <row r="483">
      <c r="A483" s="232" t="s">
        <v>1191</v>
      </c>
      <c r="B483" t="s">
        <v>1192</v>
      </c>
      <c r="C483">
        <v>270.0</v>
      </c>
      <c r="D483" t="s">
        <v>330</v>
      </c>
      <c r="E483" t="s">
        <v>565</v>
      </c>
    </row>
    <row r="484">
      <c r="A484" s="232" t="s">
        <v>1193</v>
      </c>
      <c r="B484" t="s">
        <v>1194</v>
      </c>
      <c r="C484">
        <v>120.0</v>
      </c>
      <c r="D484" t="s">
        <v>330</v>
      </c>
      <c r="E484" t="s">
        <v>565</v>
      </c>
    </row>
    <row r="485">
      <c r="A485" s="232" t="s">
        <v>1195</v>
      </c>
      <c r="B485" t="s">
        <v>1196</v>
      </c>
      <c r="C485">
        <v>24.0</v>
      </c>
      <c r="D485" t="s">
        <v>330</v>
      </c>
      <c r="E485" t="s">
        <v>565</v>
      </c>
    </row>
    <row r="486">
      <c r="A486" s="232" t="s">
        <v>1197</v>
      </c>
      <c r="B486" t="s">
        <v>1198</v>
      </c>
      <c r="C486">
        <v>240.0</v>
      </c>
      <c r="D486" t="s">
        <v>330</v>
      </c>
      <c r="E486" t="s">
        <v>565</v>
      </c>
    </row>
    <row r="487">
      <c r="A487" s="232" t="s">
        <v>1199</v>
      </c>
      <c r="B487" t="s">
        <v>1200</v>
      </c>
      <c r="C487">
        <v>276.0</v>
      </c>
      <c r="D487" t="s">
        <v>330</v>
      </c>
      <c r="E487" t="s">
        <v>565</v>
      </c>
    </row>
    <row r="488">
      <c r="A488" s="232" t="s">
        <v>1201</v>
      </c>
      <c r="B488" t="s">
        <v>1202</v>
      </c>
      <c r="C488">
        <v>107.0</v>
      </c>
      <c r="D488" t="s">
        <v>330</v>
      </c>
      <c r="E488" t="s">
        <v>565</v>
      </c>
    </row>
    <row r="489">
      <c r="A489" s="232" t="s">
        <v>1203</v>
      </c>
      <c r="B489" t="s">
        <v>1204</v>
      </c>
      <c r="C489">
        <v>0.0</v>
      </c>
      <c r="D489" t="s">
        <v>330</v>
      </c>
      <c r="E489" t="s">
        <v>311</v>
      </c>
    </row>
    <row r="490">
      <c r="A490" s="232" t="s">
        <v>1205</v>
      </c>
      <c r="B490" t="s">
        <v>1206</v>
      </c>
      <c r="C490">
        <v>0.0</v>
      </c>
      <c r="D490" t="s">
        <v>330</v>
      </c>
      <c r="E490" t="s">
        <v>565</v>
      </c>
    </row>
    <row r="491">
      <c r="B491" t="s">
        <v>1207</v>
      </c>
      <c r="C491">
        <v>0.0</v>
      </c>
      <c r="D491" t="s">
        <v>310</v>
      </c>
      <c r="E491" t="s">
        <v>1208</v>
      </c>
    </row>
    <row r="492">
      <c r="A492" s="232" t="s">
        <v>1209</v>
      </c>
      <c r="B492" t="s">
        <v>1210</v>
      </c>
      <c r="C492">
        <v>2.0</v>
      </c>
      <c r="D492" t="s">
        <v>330</v>
      </c>
      <c r="E492" t="s">
        <v>311</v>
      </c>
    </row>
    <row r="493">
      <c r="A493" s="232" t="s">
        <v>1211</v>
      </c>
      <c r="B493" t="s">
        <v>1212</v>
      </c>
      <c r="C493">
        <v>1.0</v>
      </c>
      <c r="D493" t="s">
        <v>330</v>
      </c>
      <c r="E493" t="s">
        <v>311</v>
      </c>
    </row>
    <row r="494">
      <c r="A494" s="232" t="s">
        <v>1213</v>
      </c>
      <c r="B494" t="s">
        <v>1214</v>
      </c>
      <c r="C494">
        <v>126.0</v>
      </c>
      <c r="D494" t="s">
        <v>330</v>
      </c>
      <c r="E494" t="s">
        <v>311</v>
      </c>
    </row>
    <row r="495">
      <c r="A495" s="232" t="s">
        <v>1215</v>
      </c>
      <c r="B495" t="s">
        <v>1216</v>
      </c>
      <c r="C495">
        <v>89.0</v>
      </c>
      <c r="D495" t="s">
        <v>330</v>
      </c>
      <c r="E495" t="s">
        <v>311</v>
      </c>
    </row>
    <row r="496">
      <c r="A496" s="232" t="s">
        <v>1217</v>
      </c>
      <c r="B496" t="s">
        <v>1218</v>
      </c>
      <c r="C496">
        <v>185.0</v>
      </c>
      <c r="D496" t="s">
        <v>330</v>
      </c>
      <c r="E496" t="s">
        <v>311</v>
      </c>
    </row>
    <row r="497">
      <c r="A497" s="232" t="s">
        <v>1219</v>
      </c>
      <c r="B497" t="s">
        <v>1220</v>
      </c>
      <c r="C497">
        <v>1110.0</v>
      </c>
      <c r="D497" t="s">
        <v>330</v>
      </c>
      <c r="E497" t="s">
        <v>311</v>
      </c>
    </row>
    <row r="498">
      <c r="A498" s="232" t="s">
        <v>1221</v>
      </c>
      <c r="B498" t="s">
        <v>1222</v>
      </c>
      <c r="C498">
        <v>245.0</v>
      </c>
      <c r="D498" t="s">
        <v>330</v>
      </c>
      <c r="E498" t="s">
        <v>311</v>
      </c>
    </row>
    <row r="499">
      <c r="A499" s="232" t="s">
        <v>1223</v>
      </c>
      <c r="B499" t="s">
        <v>1224</v>
      </c>
      <c r="C499">
        <v>62.0</v>
      </c>
      <c r="D499" t="s">
        <v>330</v>
      </c>
      <c r="E499" t="s">
        <v>311</v>
      </c>
    </row>
    <row r="500">
      <c r="A500" s="232" t="s">
        <v>1225</v>
      </c>
      <c r="B500" t="s">
        <v>1226</v>
      </c>
      <c r="C500">
        <v>113.0</v>
      </c>
      <c r="D500" t="s">
        <v>330</v>
      </c>
      <c r="E500" t="s">
        <v>311</v>
      </c>
    </row>
    <row r="501">
      <c r="A501" s="232" t="s">
        <v>1227</v>
      </c>
      <c r="B501" t="s">
        <v>1228</v>
      </c>
      <c r="C501">
        <v>144.0</v>
      </c>
      <c r="D501" t="s">
        <v>330</v>
      </c>
      <c r="E501" t="s">
        <v>311</v>
      </c>
    </row>
    <row r="502">
      <c r="A502" s="232" t="s">
        <v>1229</v>
      </c>
      <c r="B502" t="s">
        <v>1230</v>
      </c>
      <c r="C502">
        <v>200.0</v>
      </c>
      <c r="D502" t="s">
        <v>330</v>
      </c>
      <c r="E502" t="s">
        <v>311</v>
      </c>
    </row>
    <row r="503">
      <c r="A503" s="232" t="s">
        <v>1231</v>
      </c>
      <c r="B503" t="s">
        <v>1232</v>
      </c>
      <c r="C503">
        <v>292.0</v>
      </c>
      <c r="D503" t="s">
        <v>330</v>
      </c>
      <c r="E503" t="s">
        <v>311</v>
      </c>
    </row>
    <row r="504">
      <c r="A504" s="232" t="s">
        <v>1233</v>
      </c>
      <c r="B504" t="s">
        <v>1234</v>
      </c>
      <c r="C504">
        <v>220.0</v>
      </c>
      <c r="D504" t="s">
        <v>330</v>
      </c>
      <c r="E504" t="s">
        <v>311</v>
      </c>
    </row>
    <row r="505">
      <c r="A505" s="232" t="s">
        <v>1235</v>
      </c>
      <c r="B505" t="s">
        <v>1236</v>
      </c>
      <c r="C505">
        <v>121.0</v>
      </c>
      <c r="D505" t="s">
        <v>330</v>
      </c>
      <c r="E505" t="s">
        <v>311</v>
      </c>
    </row>
    <row r="506">
      <c r="A506" s="232" t="s">
        <v>1237</v>
      </c>
      <c r="B506" t="s">
        <v>1238</v>
      </c>
      <c r="C506">
        <v>150.0</v>
      </c>
      <c r="D506" t="s">
        <v>330</v>
      </c>
      <c r="E506" t="s">
        <v>311</v>
      </c>
    </row>
    <row r="507">
      <c r="A507" s="232" t="s">
        <v>1239</v>
      </c>
      <c r="B507" t="s">
        <v>1240</v>
      </c>
      <c r="C507">
        <v>92.0</v>
      </c>
      <c r="D507" t="s">
        <v>330</v>
      </c>
      <c r="E507" t="s">
        <v>311</v>
      </c>
    </row>
    <row r="508">
      <c r="A508" s="232" t="s">
        <v>1241</v>
      </c>
      <c r="B508" t="s">
        <v>1242</v>
      </c>
      <c r="C508">
        <v>182.0</v>
      </c>
      <c r="D508" t="s">
        <v>330</v>
      </c>
      <c r="E508" t="s">
        <v>311</v>
      </c>
    </row>
    <row r="509">
      <c r="A509" s="232" t="s">
        <v>1243</v>
      </c>
      <c r="B509" t="s">
        <v>1244</v>
      </c>
      <c r="C509">
        <v>113.0</v>
      </c>
      <c r="D509" t="s">
        <v>330</v>
      </c>
      <c r="E509" t="s">
        <v>311</v>
      </c>
    </row>
    <row r="510">
      <c r="A510" s="232" t="s">
        <v>1245</v>
      </c>
      <c r="B510" t="s">
        <v>1246</v>
      </c>
      <c r="C510">
        <v>158.0</v>
      </c>
      <c r="D510" t="s">
        <v>330</v>
      </c>
      <c r="E510" t="s">
        <v>311</v>
      </c>
    </row>
    <row r="511">
      <c r="A511" s="232" t="s">
        <v>1247</v>
      </c>
      <c r="B511" t="s">
        <v>1248</v>
      </c>
      <c r="C511">
        <v>158.0</v>
      </c>
      <c r="D511" t="s">
        <v>330</v>
      </c>
      <c r="E511" t="s">
        <v>311</v>
      </c>
    </row>
    <row r="512">
      <c r="A512" s="232" t="s">
        <v>1249</v>
      </c>
      <c r="B512" t="s">
        <v>1250</v>
      </c>
      <c r="C512">
        <v>99.0</v>
      </c>
      <c r="D512" t="s">
        <v>330</v>
      </c>
      <c r="E512" t="s">
        <v>311</v>
      </c>
    </row>
    <row r="513">
      <c r="A513" s="232" t="s">
        <v>1251</v>
      </c>
      <c r="B513" t="s">
        <v>1252</v>
      </c>
      <c r="C513">
        <v>214.0</v>
      </c>
      <c r="D513" t="s">
        <v>330</v>
      </c>
      <c r="E513" t="s">
        <v>311</v>
      </c>
    </row>
    <row r="514">
      <c r="A514" s="232" t="s">
        <v>1253</v>
      </c>
      <c r="B514" t="s">
        <v>1254</v>
      </c>
      <c r="C514">
        <v>119.0</v>
      </c>
      <c r="D514" t="s">
        <v>330</v>
      </c>
      <c r="E514" t="s">
        <v>311</v>
      </c>
    </row>
    <row r="515">
      <c r="A515" s="232" t="s">
        <v>1255</v>
      </c>
      <c r="B515" t="s">
        <v>1256</v>
      </c>
      <c r="C515">
        <v>1103.0</v>
      </c>
      <c r="D515" t="s">
        <v>330</v>
      </c>
      <c r="E515" t="s">
        <v>311</v>
      </c>
    </row>
    <row r="516">
      <c r="A516" s="232" t="s">
        <v>1257</v>
      </c>
      <c r="B516" t="s">
        <v>1258</v>
      </c>
      <c r="C516">
        <v>101.0</v>
      </c>
      <c r="D516" t="s">
        <v>330</v>
      </c>
      <c r="E516" t="s">
        <v>311</v>
      </c>
    </row>
    <row r="517">
      <c r="A517" s="232" t="s">
        <v>1259</v>
      </c>
      <c r="B517" t="s">
        <v>1260</v>
      </c>
      <c r="C517">
        <v>218.0</v>
      </c>
      <c r="D517" t="s">
        <v>330</v>
      </c>
      <c r="E517" t="s">
        <v>311</v>
      </c>
    </row>
    <row r="518">
      <c r="A518" s="232" t="s">
        <v>1261</v>
      </c>
      <c r="B518" t="s">
        <v>1262</v>
      </c>
      <c r="C518">
        <v>19.0</v>
      </c>
      <c r="D518" t="s">
        <v>330</v>
      </c>
      <c r="E518" t="s">
        <v>311</v>
      </c>
    </row>
    <row r="519">
      <c r="A519" s="232" t="s">
        <v>1263</v>
      </c>
      <c r="B519" t="s">
        <v>1264</v>
      </c>
      <c r="C519">
        <v>193.0</v>
      </c>
      <c r="D519" t="s">
        <v>330</v>
      </c>
      <c r="E519" t="s">
        <v>311</v>
      </c>
    </row>
    <row r="520">
      <c r="A520" s="232" t="s">
        <v>1265</v>
      </c>
      <c r="B520" t="s">
        <v>1266</v>
      </c>
      <c r="C520">
        <v>155.0</v>
      </c>
      <c r="D520" t="s">
        <v>330</v>
      </c>
      <c r="E520" t="s">
        <v>311</v>
      </c>
    </row>
    <row r="521">
      <c r="A521" s="232" t="s">
        <v>1207</v>
      </c>
      <c r="B521" t="s">
        <v>1267</v>
      </c>
      <c r="C521">
        <v>93.0</v>
      </c>
      <c r="D521" t="s">
        <v>330</v>
      </c>
      <c r="E521" t="s">
        <v>311</v>
      </c>
    </row>
    <row r="522">
      <c r="A522" s="232" t="s">
        <v>1268</v>
      </c>
      <c r="B522" t="s">
        <v>1269</v>
      </c>
      <c r="C522">
        <v>233.0</v>
      </c>
      <c r="D522" t="s">
        <v>330</v>
      </c>
      <c r="E522" t="s">
        <v>311</v>
      </c>
    </row>
    <row r="523">
      <c r="A523" s="232" t="s">
        <v>1270</v>
      </c>
      <c r="B523" t="s">
        <v>1271</v>
      </c>
      <c r="C523">
        <v>263.0</v>
      </c>
      <c r="D523" t="s">
        <v>330</v>
      </c>
      <c r="E523" t="s">
        <v>311</v>
      </c>
    </row>
    <row r="524">
      <c r="A524" s="232" t="s">
        <v>1272</v>
      </c>
      <c r="B524" t="s">
        <v>1273</v>
      </c>
      <c r="C524">
        <v>1074.0</v>
      </c>
      <c r="D524" t="s">
        <v>330</v>
      </c>
      <c r="E524" t="s">
        <v>311</v>
      </c>
    </row>
    <row r="525">
      <c r="A525" s="232" t="s">
        <v>1274</v>
      </c>
      <c r="B525" t="s">
        <v>1275</v>
      </c>
      <c r="C525">
        <v>292.0</v>
      </c>
      <c r="D525" t="s">
        <v>330</v>
      </c>
      <c r="E525" t="s">
        <v>311</v>
      </c>
    </row>
    <row r="526">
      <c r="A526" s="232" t="s">
        <v>1276</v>
      </c>
      <c r="B526" t="s">
        <v>1277</v>
      </c>
      <c r="C526">
        <v>180.0</v>
      </c>
      <c r="D526" t="s">
        <v>330</v>
      </c>
      <c r="E526" t="s">
        <v>311</v>
      </c>
    </row>
    <row r="527">
      <c r="A527" s="232" t="s">
        <v>1278</v>
      </c>
      <c r="B527" t="s">
        <v>1279</v>
      </c>
      <c r="C527">
        <v>201.0</v>
      </c>
      <c r="D527" t="s">
        <v>330</v>
      </c>
      <c r="E527" t="s">
        <v>311</v>
      </c>
    </row>
    <row r="528">
      <c r="A528" s="232" t="s">
        <v>1280</v>
      </c>
      <c r="B528" t="s">
        <v>1281</v>
      </c>
      <c r="C528">
        <v>175.0</v>
      </c>
      <c r="D528" t="s">
        <v>330</v>
      </c>
      <c r="E528" t="s">
        <v>311</v>
      </c>
    </row>
    <row r="529">
      <c r="A529" s="232" t="s">
        <v>1282</v>
      </c>
      <c r="B529" t="s">
        <v>1283</v>
      </c>
      <c r="C529">
        <v>165.0</v>
      </c>
      <c r="D529" t="s">
        <v>330</v>
      </c>
      <c r="E529" t="s">
        <v>311</v>
      </c>
    </row>
    <row r="530">
      <c r="A530" s="232" t="s">
        <v>1284</v>
      </c>
      <c r="B530" t="s">
        <v>1285</v>
      </c>
      <c r="C530">
        <v>205.0</v>
      </c>
      <c r="D530" t="s">
        <v>330</v>
      </c>
      <c r="E530" t="s">
        <v>311</v>
      </c>
    </row>
    <row r="531">
      <c r="A531" s="232" t="s">
        <v>1286</v>
      </c>
      <c r="B531" t="s">
        <v>1287</v>
      </c>
      <c r="C531">
        <v>49.0</v>
      </c>
      <c r="D531" t="s">
        <v>330</v>
      </c>
      <c r="E531" t="s">
        <v>311</v>
      </c>
    </row>
    <row r="532">
      <c r="A532" s="232" t="s">
        <v>1288</v>
      </c>
      <c r="B532" t="s">
        <v>1289</v>
      </c>
      <c r="C532">
        <v>-3.0</v>
      </c>
      <c r="D532" t="s">
        <v>330</v>
      </c>
      <c r="E532" t="s">
        <v>311</v>
      </c>
    </row>
    <row r="533">
      <c r="A533" s="232" t="s">
        <v>1290</v>
      </c>
      <c r="B533" t="s">
        <v>1291</v>
      </c>
      <c r="C533">
        <v>-1.0</v>
      </c>
      <c r="D533" t="s">
        <v>330</v>
      </c>
      <c r="E533" t="s">
        <v>311</v>
      </c>
    </row>
    <row r="534">
      <c r="A534" s="232" t="s">
        <v>1292</v>
      </c>
      <c r="B534" t="s">
        <v>1293</v>
      </c>
      <c r="C534">
        <v>0.0</v>
      </c>
      <c r="D534" t="s">
        <v>310</v>
      </c>
      <c r="E534" t="s">
        <v>311</v>
      </c>
    </row>
    <row r="535">
      <c r="A535" s="232" t="s">
        <v>1294</v>
      </c>
      <c r="B535" t="s">
        <v>1295</v>
      </c>
      <c r="C535">
        <v>0.0</v>
      </c>
      <c r="D535" t="s">
        <v>310</v>
      </c>
      <c r="E535" t="s">
        <v>311</v>
      </c>
    </row>
    <row r="536">
      <c r="A536" s="232" t="s">
        <v>1296</v>
      </c>
      <c r="B536" t="s">
        <v>1297</v>
      </c>
      <c r="C536">
        <v>147.0</v>
      </c>
      <c r="D536" t="s">
        <v>330</v>
      </c>
      <c r="E536" t="s">
        <v>311</v>
      </c>
    </row>
    <row r="537">
      <c r="A537" s="232" t="s">
        <v>1298</v>
      </c>
      <c r="B537" t="s">
        <v>1299</v>
      </c>
      <c r="C537">
        <v>306.0</v>
      </c>
      <c r="D537" t="s">
        <v>330</v>
      </c>
      <c r="E537" t="s">
        <v>311</v>
      </c>
    </row>
    <row r="538">
      <c r="A538" s="232" t="s">
        <v>1300</v>
      </c>
      <c r="B538" t="s">
        <v>1301</v>
      </c>
      <c r="C538">
        <v>322.0</v>
      </c>
      <c r="D538" t="s">
        <v>330</v>
      </c>
      <c r="E538" t="s">
        <v>311</v>
      </c>
    </row>
    <row r="539">
      <c r="A539" s="232" t="s">
        <v>1302</v>
      </c>
      <c r="B539" t="s">
        <v>1303</v>
      </c>
      <c r="C539">
        <v>0.0</v>
      </c>
      <c r="D539" t="s">
        <v>310</v>
      </c>
      <c r="E539" t="s">
        <v>311</v>
      </c>
    </row>
    <row r="540">
      <c r="A540" s="232" t="s">
        <v>1304</v>
      </c>
      <c r="B540" t="s">
        <v>1305</v>
      </c>
      <c r="C540">
        <v>12.0</v>
      </c>
      <c r="D540" t="s">
        <v>330</v>
      </c>
      <c r="E540" t="s">
        <v>311</v>
      </c>
    </row>
    <row r="541">
      <c r="A541" s="232" t="s">
        <v>1306</v>
      </c>
      <c r="B541" t="s">
        <v>1307</v>
      </c>
      <c r="C541">
        <v>0.0</v>
      </c>
      <c r="D541" t="s">
        <v>310</v>
      </c>
      <c r="E541" t="s">
        <v>311</v>
      </c>
    </row>
    <row r="542">
      <c r="A542" s="232" t="s">
        <v>1308</v>
      </c>
      <c r="B542" t="s">
        <v>1309</v>
      </c>
      <c r="C542">
        <v>0.0</v>
      </c>
      <c r="D542" t="s">
        <v>310</v>
      </c>
      <c r="E542" t="s">
        <v>311</v>
      </c>
    </row>
    <row r="543">
      <c r="A543" s="232" t="s">
        <v>1310</v>
      </c>
      <c r="B543" t="s">
        <v>1311</v>
      </c>
      <c r="C543">
        <v>0.0</v>
      </c>
      <c r="D543" t="s">
        <v>310</v>
      </c>
      <c r="E543" t="s">
        <v>311</v>
      </c>
    </row>
    <row r="544">
      <c r="A544" s="232" t="s">
        <v>1312</v>
      </c>
      <c r="B544" t="s">
        <v>1313</v>
      </c>
      <c r="C544">
        <v>66.0</v>
      </c>
      <c r="D544" t="s">
        <v>330</v>
      </c>
      <c r="E544" t="s">
        <v>311</v>
      </c>
    </row>
    <row r="545">
      <c r="A545" s="232" t="s">
        <v>1314</v>
      </c>
      <c r="B545" t="s">
        <v>1315</v>
      </c>
      <c r="C545">
        <v>200.0</v>
      </c>
      <c r="D545" t="s">
        <v>330</v>
      </c>
      <c r="E545" t="s">
        <v>311</v>
      </c>
    </row>
    <row r="546">
      <c r="A546" s="232" t="s">
        <v>1316</v>
      </c>
      <c r="B546" t="s">
        <v>1317</v>
      </c>
      <c r="C546">
        <v>0.0</v>
      </c>
      <c r="D546" t="s">
        <v>310</v>
      </c>
      <c r="E546" t="s">
        <v>311</v>
      </c>
    </row>
    <row r="547">
      <c r="A547" s="232" t="s">
        <v>1318</v>
      </c>
      <c r="B547" t="s">
        <v>1319</v>
      </c>
      <c r="C547">
        <v>0.0</v>
      </c>
      <c r="D547" t="s">
        <v>330</v>
      </c>
      <c r="E547" t="s">
        <v>311</v>
      </c>
    </row>
    <row r="548">
      <c r="A548" s="232" t="s">
        <v>1320</v>
      </c>
      <c r="B548" t="s">
        <v>1321</v>
      </c>
      <c r="C548">
        <v>369.0</v>
      </c>
      <c r="D548" t="s">
        <v>330</v>
      </c>
      <c r="E548" t="s">
        <v>311</v>
      </c>
    </row>
    <row r="549">
      <c r="A549" s="232" t="s">
        <v>1322</v>
      </c>
      <c r="B549" t="s">
        <v>1323</v>
      </c>
      <c r="C549">
        <v>746.0</v>
      </c>
      <c r="D549" t="s">
        <v>330</v>
      </c>
      <c r="E549" t="s">
        <v>311</v>
      </c>
    </row>
    <row r="550">
      <c r="A550" s="232" t="s">
        <v>1324</v>
      </c>
      <c r="B550" t="s">
        <v>1325</v>
      </c>
      <c r="C550">
        <v>749.0</v>
      </c>
      <c r="D550" t="s">
        <v>330</v>
      </c>
      <c r="E550" t="s">
        <v>311</v>
      </c>
    </row>
    <row r="551">
      <c r="A551" s="232" t="s">
        <v>1326</v>
      </c>
      <c r="B551" t="s">
        <v>1327</v>
      </c>
      <c r="C551">
        <v>688.0</v>
      </c>
      <c r="D551" t="s">
        <v>330</v>
      </c>
      <c r="E551" t="s">
        <v>311</v>
      </c>
    </row>
    <row r="552">
      <c r="A552" s="232" t="s">
        <v>1328</v>
      </c>
      <c r="B552" t="s">
        <v>1329</v>
      </c>
      <c r="C552">
        <v>406.0</v>
      </c>
      <c r="D552" t="s">
        <v>330</v>
      </c>
      <c r="E552" t="s">
        <v>311</v>
      </c>
    </row>
    <row r="553">
      <c r="A553" s="232" t="s">
        <v>1330</v>
      </c>
      <c r="B553" t="s">
        <v>1331</v>
      </c>
      <c r="C553">
        <v>541.0</v>
      </c>
      <c r="D553" t="s">
        <v>330</v>
      </c>
      <c r="E553" t="s">
        <v>311</v>
      </c>
    </row>
    <row r="554">
      <c r="A554" s="232" t="s">
        <v>1332</v>
      </c>
      <c r="B554" t="s">
        <v>1333</v>
      </c>
      <c r="C554">
        <v>6.0</v>
      </c>
      <c r="D554" t="s">
        <v>310</v>
      </c>
      <c r="E554" t="s">
        <v>311</v>
      </c>
    </row>
    <row r="555">
      <c r="A555" s="232" t="s">
        <v>1334</v>
      </c>
      <c r="B555" t="s">
        <v>1335</v>
      </c>
      <c r="C555">
        <v>102.0</v>
      </c>
      <c r="D555" t="s">
        <v>330</v>
      </c>
      <c r="E555" t="s">
        <v>311</v>
      </c>
    </row>
    <row r="556">
      <c r="A556" s="232" t="s">
        <v>1336</v>
      </c>
      <c r="B556" t="s">
        <v>1337</v>
      </c>
      <c r="C556">
        <v>0.0</v>
      </c>
      <c r="D556" t="s">
        <v>330</v>
      </c>
      <c r="E556" t="s">
        <v>311</v>
      </c>
    </row>
    <row r="557">
      <c r="A557" s="232" t="s">
        <v>1338</v>
      </c>
      <c r="B557" t="s">
        <v>1339</v>
      </c>
      <c r="C557">
        <v>71.0</v>
      </c>
      <c r="D557" t="s">
        <v>330</v>
      </c>
      <c r="E557" t="s">
        <v>311</v>
      </c>
    </row>
    <row r="558">
      <c r="A558" s="232" t="s">
        <v>1340</v>
      </c>
      <c r="B558" t="s">
        <v>1341</v>
      </c>
      <c r="C558">
        <v>0.0</v>
      </c>
      <c r="D558" t="s">
        <v>310</v>
      </c>
      <c r="E558" t="s">
        <v>311</v>
      </c>
    </row>
    <row r="559">
      <c r="A559" s="232" t="s">
        <v>1342</v>
      </c>
      <c r="B559" t="s">
        <v>1343</v>
      </c>
      <c r="C559">
        <v>6.0</v>
      </c>
      <c r="D559" t="s">
        <v>310</v>
      </c>
      <c r="E559" t="s">
        <v>311</v>
      </c>
    </row>
    <row r="560">
      <c r="A560" s="232" t="s">
        <v>1344</v>
      </c>
      <c r="B560" t="s">
        <v>1345</v>
      </c>
      <c r="C560">
        <v>0.0</v>
      </c>
      <c r="D560" t="s">
        <v>310</v>
      </c>
      <c r="E560" t="s">
        <v>311</v>
      </c>
    </row>
    <row r="561">
      <c r="A561" s="232" t="s">
        <v>1346</v>
      </c>
      <c r="B561" t="s">
        <v>1347</v>
      </c>
      <c r="C561">
        <v>6.0</v>
      </c>
      <c r="D561" t="s">
        <v>310</v>
      </c>
      <c r="E561" t="s">
        <v>311</v>
      </c>
    </row>
    <row r="562">
      <c r="A562" s="232" t="s">
        <v>1348</v>
      </c>
      <c r="B562" t="s">
        <v>1349</v>
      </c>
      <c r="C562">
        <v>3.0</v>
      </c>
      <c r="D562" t="s">
        <v>330</v>
      </c>
      <c r="E562" t="s">
        <v>311</v>
      </c>
    </row>
    <row r="563">
      <c r="A563" s="232" t="s">
        <v>1350</v>
      </c>
      <c r="B563" t="s">
        <v>1351</v>
      </c>
      <c r="C563">
        <v>0.0</v>
      </c>
      <c r="D563" t="s">
        <v>310</v>
      </c>
      <c r="E563" t="s">
        <v>311</v>
      </c>
    </row>
    <row r="564">
      <c r="A564" s="232" t="s">
        <v>1352</v>
      </c>
      <c r="B564" t="s">
        <v>1353</v>
      </c>
      <c r="C564">
        <v>0.0</v>
      </c>
      <c r="D564" t="s">
        <v>310</v>
      </c>
      <c r="E564" t="s">
        <v>311</v>
      </c>
    </row>
    <row r="565">
      <c r="A565" s="232" t="s">
        <v>1354</v>
      </c>
      <c r="B565" t="s">
        <v>1355</v>
      </c>
      <c r="C565">
        <v>0.0</v>
      </c>
      <c r="D565" t="s">
        <v>330</v>
      </c>
      <c r="E565" t="s">
        <v>311</v>
      </c>
    </row>
    <row r="566">
      <c r="A566" s="232" t="s">
        <v>1356</v>
      </c>
      <c r="B566" t="s">
        <v>1357</v>
      </c>
      <c r="C566">
        <v>0.0</v>
      </c>
      <c r="D566" t="s">
        <v>310</v>
      </c>
      <c r="E566" t="s">
        <v>311</v>
      </c>
    </row>
    <row r="567">
      <c r="A567" s="232" t="s">
        <v>1358</v>
      </c>
      <c r="B567" t="s">
        <v>1359</v>
      </c>
      <c r="C567">
        <v>446.0</v>
      </c>
      <c r="D567" t="s">
        <v>330</v>
      </c>
      <c r="E567" t="s">
        <v>311</v>
      </c>
    </row>
    <row r="568">
      <c r="A568" s="232" t="s">
        <v>1360</v>
      </c>
      <c r="B568" t="s">
        <v>1361</v>
      </c>
      <c r="C568">
        <v>421.0</v>
      </c>
      <c r="D568" t="s">
        <v>330</v>
      </c>
      <c r="E568" t="s">
        <v>311</v>
      </c>
    </row>
    <row r="569">
      <c r="A569" s="232" t="s">
        <v>1362</v>
      </c>
      <c r="B569" t="s">
        <v>1363</v>
      </c>
      <c r="C569">
        <v>475.0</v>
      </c>
      <c r="D569" t="s">
        <v>330</v>
      </c>
      <c r="E569" t="s">
        <v>311</v>
      </c>
    </row>
    <row r="570">
      <c r="A570" s="232" t="s">
        <v>1364</v>
      </c>
      <c r="B570" t="s">
        <v>1365</v>
      </c>
      <c r="C570">
        <v>0.0</v>
      </c>
      <c r="D570" t="s">
        <v>330</v>
      </c>
      <c r="E570" t="s">
        <v>311</v>
      </c>
    </row>
    <row r="571">
      <c r="A571" s="232" t="s">
        <v>1366</v>
      </c>
      <c r="B571" t="s">
        <v>1367</v>
      </c>
      <c r="C571">
        <v>18.0</v>
      </c>
      <c r="D571" t="s">
        <v>330</v>
      </c>
      <c r="E571" t="s">
        <v>311</v>
      </c>
    </row>
    <row r="572">
      <c r="A572" s="232" t="s">
        <v>1368</v>
      </c>
      <c r="B572" t="s">
        <v>1369</v>
      </c>
      <c r="C572">
        <v>515.0</v>
      </c>
      <c r="D572" t="s">
        <v>330</v>
      </c>
      <c r="E572" t="s">
        <v>311</v>
      </c>
    </row>
    <row r="573">
      <c r="A573" s="232" t="s">
        <v>1370</v>
      </c>
      <c r="B573" t="s">
        <v>1371</v>
      </c>
      <c r="C573">
        <v>0.0</v>
      </c>
      <c r="D573" t="s">
        <v>310</v>
      </c>
      <c r="E573" t="s">
        <v>311</v>
      </c>
    </row>
    <row r="574">
      <c r="A574" s="232" t="s">
        <v>1372</v>
      </c>
      <c r="B574" t="s">
        <v>1373</v>
      </c>
      <c r="C574">
        <v>0.0</v>
      </c>
      <c r="D574" t="s">
        <v>330</v>
      </c>
      <c r="E574" t="s">
        <v>311</v>
      </c>
    </row>
    <row r="575">
      <c r="A575" s="232" t="s">
        <v>1374</v>
      </c>
      <c r="B575" t="s">
        <v>1375</v>
      </c>
      <c r="C575">
        <v>145.0</v>
      </c>
      <c r="D575" t="s">
        <v>330</v>
      </c>
      <c r="E575" t="s">
        <v>311</v>
      </c>
    </row>
    <row r="576">
      <c r="A576" s="232" t="s">
        <v>1376</v>
      </c>
      <c r="B576" t="s">
        <v>1377</v>
      </c>
      <c r="C576">
        <v>220.0</v>
      </c>
      <c r="D576" t="s">
        <v>330</v>
      </c>
      <c r="E576" t="s">
        <v>311</v>
      </c>
    </row>
    <row r="577">
      <c r="A577" s="232" t="s">
        <v>1378</v>
      </c>
      <c r="B577" t="s">
        <v>1379</v>
      </c>
      <c r="C577">
        <v>449.0</v>
      </c>
      <c r="D577" t="s">
        <v>330</v>
      </c>
      <c r="E577" t="s">
        <v>311</v>
      </c>
    </row>
    <row r="578">
      <c r="A578" s="232" t="s">
        <v>1380</v>
      </c>
      <c r="B578" t="s">
        <v>1381</v>
      </c>
      <c r="C578">
        <v>0.0</v>
      </c>
      <c r="D578" t="s">
        <v>330</v>
      </c>
      <c r="E578" t="s">
        <v>311</v>
      </c>
    </row>
    <row r="579">
      <c r="A579" s="232" t="s">
        <v>1382</v>
      </c>
      <c r="B579" t="s">
        <v>1383</v>
      </c>
      <c r="C579">
        <v>0.0</v>
      </c>
      <c r="D579" t="s">
        <v>310</v>
      </c>
      <c r="E579" t="s">
        <v>311</v>
      </c>
    </row>
    <row r="580">
      <c r="A580" s="232" t="s">
        <v>1384</v>
      </c>
      <c r="B580" t="s">
        <v>1385</v>
      </c>
      <c r="C580">
        <v>0.0</v>
      </c>
      <c r="D580" t="s">
        <v>310</v>
      </c>
      <c r="E580" t="s">
        <v>311</v>
      </c>
    </row>
    <row r="581">
      <c r="B581" t="s">
        <v>1386</v>
      </c>
      <c r="C581">
        <v>0.0</v>
      </c>
      <c r="D581" t="s">
        <v>310</v>
      </c>
      <c r="E581" t="s">
        <v>1208</v>
      </c>
    </row>
    <row r="582">
      <c r="A582" s="232" t="s">
        <v>1387</v>
      </c>
      <c r="B582" t="s">
        <v>1388</v>
      </c>
      <c r="C582">
        <v>0.0</v>
      </c>
      <c r="D582" t="s">
        <v>310</v>
      </c>
      <c r="E582" t="s">
        <v>311</v>
      </c>
    </row>
    <row r="583">
      <c r="A583" s="232" t="s">
        <v>1389</v>
      </c>
      <c r="B583" t="s">
        <v>1390</v>
      </c>
      <c r="C583">
        <v>0.0</v>
      </c>
      <c r="D583" t="s">
        <v>330</v>
      </c>
      <c r="E583" t="s">
        <v>311</v>
      </c>
    </row>
    <row r="584">
      <c r="A584" s="232" t="s">
        <v>1391</v>
      </c>
      <c r="B584" t="s">
        <v>1392</v>
      </c>
      <c r="C584">
        <v>2.0</v>
      </c>
      <c r="D584" t="s">
        <v>330</v>
      </c>
      <c r="E584" t="s">
        <v>311</v>
      </c>
    </row>
    <row r="585">
      <c r="A585" s="232" t="s">
        <v>1393</v>
      </c>
      <c r="B585" t="s">
        <v>1394</v>
      </c>
      <c r="C585">
        <v>0.0</v>
      </c>
      <c r="D585" t="s">
        <v>330</v>
      </c>
      <c r="E585" t="s">
        <v>311</v>
      </c>
    </row>
    <row r="586">
      <c r="A586" s="232" t="s">
        <v>1395</v>
      </c>
      <c r="B586" t="s">
        <v>1396</v>
      </c>
      <c r="C586">
        <v>32.0</v>
      </c>
      <c r="D586" t="s">
        <v>330</v>
      </c>
      <c r="E586" t="s">
        <v>311</v>
      </c>
    </row>
    <row r="587">
      <c r="A587" s="232" t="s">
        <v>1397</v>
      </c>
      <c r="B587" t="s">
        <v>1398</v>
      </c>
      <c r="C587">
        <v>1.0</v>
      </c>
      <c r="D587" t="s">
        <v>330</v>
      </c>
      <c r="E587" t="s">
        <v>565</v>
      </c>
    </row>
    <row r="588">
      <c r="A588" s="232" t="s">
        <v>1399</v>
      </c>
      <c r="B588" t="s">
        <v>1400</v>
      </c>
      <c r="C588">
        <v>0.0</v>
      </c>
      <c r="D588" t="s">
        <v>310</v>
      </c>
      <c r="E588" t="s">
        <v>311</v>
      </c>
    </row>
    <row r="589">
      <c r="A589" s="232" t="s">
        <v>1401</v>
      </c>
      <c r="B589" t="s">
        <v>1402</v>
      </c>
      <c r="C589">
        <v>564.0</v>
      </c>
      <c r="D589" t="s">
        <v>330</v>
      </c>
      <c r="E589" t="s">
        <v>565</v>
      </c>
    </row>
    <row r="590">
      <c r="A590" s="232" t="s">
        <v>1403</v>
      </c>
      <c r="B590" t="s">
        <v>1404</v>
      </c>
      <c r="C590">
        <v>252.0</v>
      </c>
      <c r="D590" t="s">
        <v>330</v>
      </c>
      <c r="E590" t="s">
        <v>565</v>
      </c>
    </row>
    <row r="591">
      <c r="A591" s="232" t="s">
        <v>1405</v>
      </c>
      <c r="B591" t="s">
        <v>1406</v>
      </c>
      <c r="C591">
        <v>0.0</v>
      </c>
      <c r="D591" t="s">
        <v>310</v>
      </c>
      <c r="E591" t="s">
        <v>311</v>
      </c>
    </row>
    <row r="592">
      <c r="A592" s="232" t="s">
        <v>1407</v>
      </c>
      <c r="B592" t="s">
        <v>1408</v>
      </c>
      <c r="C592">
        <v>0.0</v>
      </c>
      <c r="D592" t="s">
        <v>310</v>
      </c>
      <c r="E592" t="s">
        <v>311</v>
      </c>
    </row>
    <row r="593">
      <c r="A593" s="232" t="s">
        <v>1409</v>
      </c>
      <c r="B593" t="s">
        <v>1410</v>
      </c>
      <c r="C593">
        <v>854.0</v>
      </c>
      <c r="D593" t="s">
        <v>330</v>
      </c>
      <c r="E593" t="s">
        <v>311</v>
      </c>
    </row>
    <row r="594">
      <c r="A594" s="232" t="s">
        <v>1411</v>
      </c>
      <c r="B594" t="s">
        <v>1412</v>
      </c>
      <c r="C594">
        <v>800.0</v>
      </c>
      <c r="D594" t="s">
        <v>330</v>
      </c>
      <c r="E594" t="s">
        <v>311</v>
      </c>
    </row>
    <row r="595">
      <c r="A595" s="232" t="s">
        <v>1413</v>
      </c>
      <c r="B595" t="s">
        <v>1414</v>
      </c>
      <c r="C595">
        <v>22.232</v>
      </c>
      <c r="D595" t="s">
        <v>330</v>
      </c>
      <c r="E595" t="s">
        <v>311</v>
      </c>
    </row>
    <row r="596">
      <c r="A596" s="232" t="s">
        <v>1415</v>
      </c>
      <c r="B596" t="s">
        <v>1416</v>
      </c>
      <c r="C596">
        <v>0.0</v>
      </c>
      <c r="D596" t="s">
        <v>330</v>
      </c>
      <c r="E596" t="s">
        <v>311</v>
      </c>
    </row>
    <row r="597">
      <c r="A597" s="232" t="s">
        <v>1417</v>
      </c>
      <c r="B597" t="s">
        <v>1418</v>
      </c>
      <c r="C597">
        <v>300.0</v>
      </c>
      <c r="D597" t="s">
        <v>330</v>
      </c>
      <c r="E597" t="s">
        <v>311</v>
      </c>
    </row>
    <row r="598">
      <c r="A598" s="232" t="s">
        <v>1419</v>
      </c>
      <c r="B598" t="s">
        <v>1420</v>
      </c>
      <c r="C598">
        <v>728.97</v>
      </c>
      <c r="D598" t="s">
        <v>330</v>
      </c>
      <c r="E598" t="s">
        <v>311</v>
      </c>
    </row>
    <row r="599">
      <c r="A599" s="232" t="s">
        <v>1421</v>
      </c>
      <c r="B599" t="s">
        <v>1422</v>
      </c>
      <c r="C599">
        <v>277.97</v>
      </c>
      <c r="D599" t="s">
        <v>330</v>
      </c>
      <c r="E599" t="s">
        <v>311</v>
      </c>
    </row>
    <row r="600">
      <c r="A600" s="232" t="s">
        <v>1423</v>
      </c>
      <c r="B600" t="s">
        <v>1424</v>
      </c>
      <c r="C600">
        <v>0.0</v>
      </c>
      <c r="D600" t="s">
        <v>330</v>
      </c>
      <c r="E600" t="s">
        <v>311</v>
      </c>
    </row>
    <row r="601">
      <c r="A601" s="232" t="s">
        <v>1425</v>
      </c>
      <c r="B601" t="s">
        <v>1426</v>
      </c>
      <c r="C601">
        <v>401.233</v>
      </c>
      <c r="D601" t="s">
        <v>330</v>
      </c>
      <c r="E601" t="s">
        <v>311</v>
      </c>
    </row>
    <row r="602">
      <c r="A602" s="232" t="s">
        <v>1427</v>
      </c>
      <c r="B602" t="s">
        <v>1428</v>
      </c>
      <c r="C602">
        <v>292.728</v>
      </c>
      <c r="D602" t="s">
        <v>330</v>
      </c>
      <c r="E602" t="s">
        <v>311</v>
      </c>
    </row>
    <row r="603">
      <c r="A603" s="232" t="s">
        <v>1429</v>
      </c>
      <c r="B603" t="s">
        <v>1430</v>
      </c>
      <c r="C603">
        <v>0.0</v>
      </c>
      <c r="D603" t="s">
        <v>330</v>
      </c>
      <c r="E603" t="s">
        <v>311</v>
      </c>
    </row>
    <row r="604">
      <c r="A604" s="232" t="s">
        <v>1431</v>
      </c>
      <c r="B604" t="s">
        <v>1432</v>
      </c>
      <c r="C604">
        <v>0.0</v>
      </c>
      <c r="D604" t="s">
        <v>330</v>
      </c>
      <c r="E604" t="s">
        <v>311</v>
      </c>
    </row>
    <row r="605">
      <c r="A605" s="232" t="s">
        <v>1433</v>
      </c>
      <c r="B605" t="s">
        <v>1434</v>
      </c>
      <c r="C605">
        <v>400.0</v>
      </c>
      <c r="D605" t="s">
        <v>330</v>
      </c>
      <c r="E605" t="s">
        <v>311</v>
      </c>
    </row>
    <row r="606">
      <c r="A606" s="232" t="s">
        <v>1435</v>
      </c>
      <c r="B606" t="s">
        <v>1436</v>
      </c>
      <c r="C606">
        <v>275.0</v>
      </c>
      <c r="D606" t="s">
        <v>330</v>
      </c>
      <c r="E606" t="s">
        <v>311</v>
      </c>
    </row>
    <row r="607">
      <c r="A607" s="232" t="s">
        <v>1437</v>
      </c>
      <c r="B607" t="s">
        <v>1438</v>
      </c>
      <c r="C607">
        <v>200.0</v>
      </c>
      <c r="D607" t="s">
        <v>330</v>
      </c>
      <c r="E607" t="s">
        <v>311</v>
      </c>
    </row>
    <row r="608">
      <c r="A608" s="232" t="s">
        <v>1439</v>
      </c>
      <c r="B608" t="s">
        <v>1440</v>
      </c>
      <c r="C608">
        <v>0.0</v>
      </c>
      <c r="D608" t="s">
        <v>310</v>
      </c>
      <c r="E608" t="s">
        <v>311</v>
      </c>
    </row>
    <row r="609">
      <c r="A609" s="232" t="s">
        <v>1441</v>
      </c>
      <c r="B609" t="s">
        <v>1442</v>
      </c>
      <c r="C609">
        <v>0.0</v>
      </c>
      <c r="D609" t="s">
        <v>310</v>
      </c>
      <c r="E609" t="s">
        <v>311</v>
      </c>
    </row>
    <row r="610">
      <c r="A610" s="232" t="s">
        <v>1443</v>
      </c>
      <c r="B610" t="s">
        <v>1444</v>
      </c>
      <c r="C610">
        <v>0.0</v>
      </c>
      <c r="D610" t="s">
        <v>310</v>
      </c>
      <c r="E610" t="s">
        <v>311</v>
      </c>
    </row>
    <row r="611">
      <c r="A611" s="232" t="s">
        <v>1445</v>
      </c>
      <c r="B611" t="s">
        <v>1446</v>
      </c>
      <c r="C611">
        <v>787.0</v>
      </c>
      <c r="D611" t="s">
        <v>330</v>
      </c>
      <c r="E611" t="s">
        <v>311</v>
      </c>
    </row>
    <row r="612">
      <c r="A612" s="232" t="s">
        <v>1447</v>
      </c>
      <c r="B612" t="s">
        <v>1448</v>
      </c>
      <c r="C612">
        <v>646.0</v>
      </c>
      <c r="D612" t="s">
        <v>330</v>
      </c>
      <c r="E612" t="s">
        <v>311</v>
      </c>
    </row>
    <row r="613">
      <c r="A613" s="232" t="s">
        <v>1449</v>
      </c>
      <c r="B613" t="s">
        <v>1450</v>
      </c>
      <c r="C613">
        <v>904.0</v>
      </c>
      <c r="D613" t="s">
        <v>330</v>
      </c>
      <c r="E613" t="s">
        <v>311</v>
      </c>
    </row>
    <row r="614">
      <c r="A614" s="232" t="s">
        <v>1451</v>
      </c>
      <c r="B614" t="s">
        <v>1452</v>
      </c>
      <c r="C614">
        <v>567.0</v>
      </c>
      <c r="D614" t="s">
        <v>330</v>
      </c>
      <c r="E614" t="s">
        <v>311</v>
      </c>
    </row>
    <row r="615">
      <c r="A615" s="232" t="s">
        <v>1453</v>
      </c>
      <c r="B615" t="s">
        <v>1454</v>
      </c>
      <c r="C615">
        <v>445.0</v>
      </c>
      <c r="D615" t="s">
        <v>330</v>
      </c>
      <c r="E615" t="s">
        <v>311</v>
      </c>
    </row>
    <row r="616">
      <c r="A616" s="232" t="s">
        <v>1455</v>
      </c>
      <c r="B616" t="s">
        <v>1456</v>
      </c>
      <c r="C616">
        <v>964.0</v>
      </c>
      <c r="D616" t="s">
        <v>330</v>
      </c>
      <c r="E616" t="s">
        <v>311</v>
      </c>
    </row>
    <row r="617">
      <c r="A617" s="232" t="s">
        <v>1457</v>
      </c>
      <c r="B617" t="s">
        <v>1458</v>
      </c>
      <c r="C617">
        <v>574.0</v>
      </c>
      <c r="D617" t="s">
        <v>330</v>
      </c>
      <c r="E617" t="s">
        <v>311</v>
      </c>
    </row>
    <row r="618">
      <c r="A618" s="232" t="s">
        <v>1459</v>
      </c>
      <c r="B618" t="s">
        <v>1460</v>
      </c>
      <c r="C618">
        <v>0.0</v>
      </c>
      <c r="D618" t="s">
        <v>310</v>
      </c>
      <c r="E618" t="s">
        <v>311</v>
      </c>
    </row>
    <row r="619">
      <c r="A619" s="232" t="s">
        <v>1461</v>
      </c>
      <c r="B619" t="s">
        <v>1462</v>
      </c>
      <c r="C619">
        <v>377.0</v>
      </c>
      <c r="D619" t="s">
        <v>330</v>
      </c>
      <c r="E619" t="s">
        <v>311</v>
      </c>
    </row>
    <row r="620">
      <c r="A620" s="232" t="s">
        <v>1463</v>
      </c>
      <c r="B620" t="s">
        <v>1464</v>
      </c>
      <c r="C620">
        <v>0.0</v>
      </c>
      <c r="D620" t="s">
        <v>310</v>
      </c>
      <c r="E620" t="s">
        <v>311</v>
      </c>
    </row>
    <row r="621">
      <c r="A621" s="232" t="s">
        <v>1465</v>
      </c>
      <c r="B621" t="s">
        <v>1466</v>
      </c>
      <c r="C621">
        <v>357.0</v>
      </c>
      <c r="D621" t="s">
        <v>330</v>
      </c>
      <c r="E621" t="s">
        <v>311</v>
      </c>
    </row>
    <row r="622">
      <c r="A622" s="232" t="s">
        <v>1467</v>
      </c>
      <c r="B622" t="s">
        <v>1468</v>
      </c>
      <c r="C622">
        <v>94.0</v>
      </c>
      <c r="D622" t="s">
        <v>330</v>
      </c>
      <c r="E622" t="s">
        <v>311</v>
      </c>
    </row>
    <row r="623">
      <c r="A623" s="232" t="s">
        <v>1469</v>
      </c>
      <c r="B623" t="s">
        <v>1470</v>
      </c>
      <c r="C623">
        <v>1.0</v>
      </c>
      <c r="D623" t="s">
        <v>330</v>
      </c>
      <c r="E623" t="s">
        <v>311</v>
      </c>
    </row>
    <row r="624">
      <c r="A624" s="232" t="s">
        <v>1471</v>
      </c>
      <c r="B624" t="s">
        <v>1472</v>
      </c>
      <c r="C624">
        <v>261.0</v>
      </c>
      <c r="D624" t="s">
        <v>330</v>
      </c>
      <c r="E624" t="s">
        <v>311</v>
      </c>
    </row>
    <row r="625">
      <c r="A625" s="232" t="s">
        <v>1473</v>
      </c>
      <c r="B625" t="s">
        <v>1474</v>
      </c>
      <c r="C625">
        <v>0.0</v>
      </c>
      <c r="D625" t="s">
        <v>310</v>
      </c>
      <c r="E625" t="s">
        <v>311</v>
      </c>
    </row>
    <row r="626">
      <c r="A626" s="232" t="s">
        <v>1475</v>
      </c>
      <c r="B626" t="s">
        <v>1476</v>
      </c>
      <c r="C626">
        <v>311.0</v>
      </c>
      <c r="D626" t="s">
        <v>330</v>
      </c>
      <c r="E626" t="s">
        <v>311</v>
      </c>
    </row>
    <row r="627">
      <c r="A627" s="232" t="s">
        <v>1477</v>
      </c>
      <c r="B627" t="s">
        <v>1478</v>
      </c>
      <c r="C627">
        <v>1.0</v>
      </c>
      <c r="D627" t="s">
        <v>330</v>
      </c>
      <c r="E627" t="s">
        <v>311</v>
      </c>
    </row>
    <row r="628">
      <c r="A628" s="232" t="s">
        <v>1479</v>
      </c>
      <c r="B628" t="s">
        <v>1480</v>
      </c>
      <c r="C628">
        <v>0.0</v>
      </c>
      <c r="D628" t="s">
        <v>310</v>
      </c>
      <c r="E628" t="s">
        <v>311</v>
      </c>
    </row>
    <row r="629">
      <c r="A629" s="232" t="s">
        <v>1481</v>
      </c>
      <c r="B629" t="s">
        <v>1482</v>
      </c>
      <c r="C629">
        <v>0.0</v>
      </c>
      <c r="D629" t="s">
        <v>310</v>
      </c>
      <c r="E629" t="s">
        <v>311</v>
      </c>
    </row>
    <row r="630">
      <c r="A630" s="232" t="s">
        <v>1483</v>
      </c>
      <c r="B630" t="s">
        <v>1484</v>
      </c>
      <c r="C630">
        <v>0.0</v>
      </c>
      <c r="D630" t="s">
        <v>310</v>
      </c>
      <c r="E630" t="s">
        <v>311</v>
      </c>
    </row>
    <row r="631">
      <c r="A631" s="232" t="s">
        <v>1485</v>
      </c>
      <c r="B631" t="s">
        <v>1486</v>
      </c>
      <c r="C631">
        <v>0.0</v>
      </c>
      <c r="D631" t="s">
        <v>310</v>
      </c>
      <c r="E631" t="s">
        <v>311</v>
      </c>
    </row>
    <row r="632">
      <c r="A632" s="232" t="s">
        <v>1487</v>
      </c>
      <c r="B632" t="s">
        <v>1488</v>
      </c>
      <c r="C632">
        <v>0.0</v>
      </c>
      <c r="D632" t="s">
        <v>310</v>
      </c>
      <c r="E632" t="s">
        <v>311</v>
      </c>
    </row>
    <row r="633">
      <c r="A633" s="232" t="s">
        <v>1489</v>
      </c>
      <c r="B633" t="s">
        <v>1490</v>
      </c>
      <c r="C633">
        <v>0.0</v>
      </c>
      <c r="D633" t="s">
        <v>310</v>
      </c>
      <c r="E633" t="s">
        <v>311</v>
      </c>
    </row>
    <row r="634">
      <c r="A634" s="232" t="s">
        <v>1491</v>
      </c>
      <c r="B634" t="s">
        <v>1492</v>
      </c>
      <c r="C634">
        <v>0.0</v>
      </c>
      <c r="D634" t="s">
        <v>310</v>
      </c>
      <c r="E634" t="s">
        <v>311</v>
      </c>
    </row>
    <row r="635">
      <c r="A635" s="232" t="s">
        <v>1493</v>
      </c>
      <c r="B635" t="s">
        <v>1494</v>
      </c>
      <c r="C635">
        <v>0.0</v>
      </c>
      <c r="D635" t="s">
        <v>310</v>
      </c>
      <c r="E635" t="s">
        <v>311</v>
      </c>
    </row>
    <row r="636">
      <c r="A636" s="232" t="s">
        <v>1495</v>
      </c>
      <c r="B636" t="s">
        <v>1496</v>
      </c>
      <c r="C636">
        <v>0.0</v>
      </c>
      <c r="D636" t="s">
        <v>310</v>
      </c>
      <c r="E636" t="s">
        <v>311</v>
      </c>
    </row>
    <row r="637">
      <c r="A637" s="232" t="s">
        <v>1497</v>
      </c>
      <c r="B637" t="s">
        <v>1498</v>
      </c>
      <c r="C637">
        <v>0.0</v>
      </c>
      <c r="D637" t="s">
        <v>330</v>
      </c>
      <c r="E637" t="s">
        <v>311</v>
      </c>
    </row>
    <row r="638">
      <c r="A638" s="232" t="s">
        <v>1499</v>
      </c>
      <c r="B638" t="s">
        <v>1500</v>
      </c>
      <c r="C638">
        <v>0.0</v>
      </c>
      <c r="D638" t="s">
        <v>310</v>
      </c>
      <c r="E638" t="s">
        <v>311</v>
      </c>
    </row>
    <row r="639">
      <c r="A639" s="232" t="s">
        <v>1501</v>
      </c>
      <c r="B639" t="s">
        <v>1502</v>
      </c>
      <c r="C639">
        <v>12.0</v>
      </c>
      <c r="D639" t="s">
        <v>330</v>
      </c>
      <c r="E639" t="s">
        <v>565</v>
      </c>
    </row>
    <row r="640">
      <c r="A640" s="232" t="s">
        <v>1503</v>
      </c>
      <c r="B640" t="s">
        <v>1504</v>
      </c>
      <c r="C640">
        <v>108.0</v>
      </c>
      <c r="D640" t="s">
        <v>330</v>
      </c>
      <c r="E640" t="s">
        <v>565</v>
      </c>
    </row>
    <row r="641">
      <c r="A641" s="232" t="s">
        <v>1505</v>
      </c>
      <c r="B641" t="s">
        <v>1506</v>
      </c>
      <c r="C641">
        <v>930.0</v>
      </c>
      <c r="D641" t="s">
        <v>330</v>
      </c>
      <c r="E641" t="s">
        <v>311</v>
      </c>
    </row>
    <row r="642">
      <c r="A642" s="232" t="s">
        <v>1507</v>
      </c>
      <c r="B642" t="s">
        <v>1508</v>
      </c>
      <c r="C642">
        <v>0.0</v>
      </c>
      <c r="D642" t="s">
        <v>310</v>
      </c>
      <c r="E642" t="s">
        <v>311</v>
      </c>
    </row>
    <row r="643">
      <c r="A643" s="232" t="s">
        <v>1509</v>
      </c>
      <c r="B643" t="s">
        <v>1510</v>
      </c>
      <c r="C643">
        <v>0.0</v>
      </c>
      <c r="D643" t="s">
        <v>310</v>
      </c>
      <c r="E643" t="s">
        <v>311</v>
      </c>
    </row>
    <row r="644">
      <c r="A644" s="232" t="s">
        <v>1511</v>
      </c>
      <c r="B644" t="s">
        <v>1512</v>
      </c>
      <c r="C644">
        <v>0.0</v>
      </c>
      <c r="D644" t="s">
        <v>310</v>
      </c>
      <c r="E644" t="s">
        <v>311</v>
      </c>
    </row>
    <row r="645">
      <c r="A645" s="232" t="s">
        <v>1513</v>
      </c>
      <c r="B645" t="s">
        <v>1514</v>
      </c>
      <c r="C645">
        <v>0.0</v>
      </c>
      <c r="D645" t="s">
        <v>310</v>
      </c>
      <c r="E645" t="s">
        <v>311</v>
      </c>
    </row>
    <row r="646">
      <c r="A646" s="232" t="s">
        <v>1515</v>
      </c>
      <c r="B646" t="s">
        <v>1516</v>
      </c>
      <c r="C646">
        <v>0.0</v>
      </c>
      <c r="D646" t="s">
        <v>310</v>
      </c>
      <c r="E646" t="s">
        <v>311</v>
      </c>
    </row>
    <row r="647">
      <c r="A647" s="232" t="s">
        <v>1517</v>
      </c>
      <c r="B647" t="s">
        <v>1518</v>
      </c>
      <c r="C647">
        <v>0.0</v>
      </c>
      <c r="D647" t="s">
        <v>310</v>
      </c>
      <c r="E647" t="s">
        <v>311</v>
      </c>
    </row>
    <row r="648">
      <c r="A648" s="232" t="s">
        <v>1519</v>
      </c>
      <c r="B648" t="s">
        <v>1520</v>
      </c>
      <c r="C648">
        <v>0.0</v>
      </c>
      <c r="D648" t="s">
        <v>310</v>
      </c>
      <c r="E648" t="s">
        <v>311</v>
      </c>
    </row>
    <row r="649">
      <c r="A649" s="232" t="s">
        <v>1521</v>
      </c>
      <c r="B649" t="s">
        <v>1522</v>
      </c>
      <c r="C649">
        <v>0.0</v>
      </c>
      <c r="D649" t="s">
        <v>310</v>
      </c>
      <c r="E649" t="s">
        <v>311</v>
      </c>
    </row>
    <row r="650">
      <c r="A650" s="232" t="s">
        <v>1523</v>
      </c>
      <c r="B650" t="s">
        <v>1524</v>
      </c>
      <c r="C650">
        <v>0.0</v>
      </c>
      <c r="D650" t="s">
        <v>310</v>
      </c>
      <c r="E650" t="s">
        <v>311</v>
      </c>
    </row>
    <row r="651">
      <c r="A651" s="232" t="s">
        <v>1525</v>
      </c>
      <c r="B651" t="s">
        <v>1526</v>
      </c>
      <c r="C651">
        <v>0.0</v>
      </c>
      <c r="D651" t="s">
        <v>310</v>
      </c>
      <c r="E651" t="s">
        <v>311</v>
      </c>
    </row>
    <row r="652">
      <c r="A652" s="232" t="s">
        <v>1527</v>
      </c>
      <c r="B652" t="s">
        <v>1528</v>
      </c>
      <c r="C652">
        <v>0.0</v>
      </c>
      <c r="D652" t="s">
        <v>310</v>
      </c>
      <c r="E652" t="s">
        <v>311</v>
      </c>
    </row>
    <row r="653">
      <c r="A653" s="232" t="s">
        <v>1529</v>
      </c>
      <c r="B653" t="s">
        <v>1530</v>
      </c>
      <c r="C653">
        <v>0.0</v>
      </c>
      <c r="D653" t="s">
        <v>310</v>
      </c>
      <c r="E653" t="s">
        <v>311</v>
      </c>
    </row>
    <row r="654">
      <c r="A654" s="232" t="s">
        <v>1531</v>
      </c>
      <c r="B654" t="s">
        <v>1532</v>
      </c>
      <c r="C654">
        <v>0.0</v>
      </c>
      <c r="D654" t="s">
        <v>310</v>
      </c>
      <c r="E654" t="s">
        <v>311</v>
      </c>
    </row>
    <row r="655">
      <c r="A655" s="232" t="s">
        <v>1533</v>
      </c>
      <c r="B655" t="s">
        <v>1534</v>
      </c>
      <c r="C655">
        <v>0.0</v>
      </c>
      <c r="D655" t="s">
        <v>310</v>
      </c>
      <c r="E655" t="s">
        <v>311</v>
      </c>
    </row>
    <row r="656">
      <c r="A656" s="232" t="s">
        <v>1535</v>
      </c>
      <c r="B656" t="s">
        <v>1536</v>
      </c>
      <c r="C656">
        <v>0.0</v>
      </c>
      <c r="D656" t="s">
        <v>310</v>
      </c>
      <c r="E656" t="s">
        <v>311</v>
      </c>
    </row>
    <row r="657">
      <c r="A657" s="232" t="s">
        <v>1537</v>
      </c>
      <c r="B657" t="s">
        <v>1538</v>
      </c>
      <c r="C657">
        <v>0.0</v>
      </c>
      <c r="D657" t="s">
        <v>310</v>
      </c>
      <c r="E657" t="s">
        <v>311</v>
      </c>
    </row>
    <row r="658">
      <c r="A658" s="232" t="s">
        <v>1539</v>
      </c>
      <c r="B658" t="s">
        <v>1540</v>
      </c>
      <c r="C658">
        <v>0.0</v>
      </c>
      <c r="D658" t="s">
        <v>310</v>
      </c>
      <c r="E658" t="s">
        <v>311</v>
      </c>
    </row>
    <row r="659">
      <c r="A659" s="232" t="s">
        <v>1541</v>
      </c>
      <c r="B659" t="s">
        <v>1542</v>
      </c>
      <c r="C659">
        <v>0.0</v>
      </c>
      <c r="D659" t="s">
        <v>310</v>
      </c>
      <c r="E659" t="s">
        <v>311</v>
      </c>
    </row>
    <row r="660">
      <c r="A660" s="232" t="s">
        <v>1543</v>
      </c>
      <c r="B660" t="s">
        <v>1544</v>
      </c>
      <c r="C660">
        <v>0.0</v>
      </c>
      <c r="D660" t="s">
        <v>310</v>
      </c>
      <c r="E660" t="s">
        <v>311</v>
      </c>
    </row>
    <row r="661">
      <c r="A661" s="232" t="s">
        <v>1545</v>
      </c>
      <c r="B661" t="s">
        <v>1546</v>
      </c>
      <c r="C661">
        <v>0.0</v>
      </c>
      <c r="D661" t="s">
        <v>310</v>
      </c>
      <c r="E661" t="s">
        <v>311</v>
      </c>
    </row>
    <row r="662">
      <c r="A662" s="232" t="s">
        <v>1547</v>
      </c>
      <c r="B662" t="s">
        <v>1548</v>
      </c>
      <c r="C662">
        <v>0.0</v>
      </c>
      <c r="D662" t="s">
        <v>310</v>
      </c>
      <c r="E662" t="s">
        <v>311</v>
      </c>
    </row>
    <row r="663">
      <c r="A663" s="232" t="s">
        <v>1549</v>
      </c>
      <c r="B663" t="s">
        <v>1550</v>
      </c>
      <c r="C663">
        <v>0.0</v>
      </c>
      <c r="D663" t="s">
        <v>310</v>
      </c>
      <c r="E663" t="s">
        <v>311</v>
      </c>
    </row>
    <row r="664">
      <c r="A664" s="232" t="s">
        <v>1551</v>
      </c>
      <c r="B664" t="s">
        <v>1552</v>
      </c>
      <c r="C664">
        <v>0.0</v>
      </c>
      <c r="D664" t="s">
        <v>310</v>
      </c>
      <c r="E664" t="s">
        <v>311</v>
      </c>
    </row>
    <row r="665">
      <c r="A665" s="232" t="s">
        <v>1553</v>
      </c>
      <c r="B665" t="s">
        <v>1554</v>
      </c>
      <c r="C665">
        <v>0.0</v>
      </c>
      <c r="D665" t="s">
        <v>310</v>
      </c>
      <c r="E665" t="s">
        <v>311</v>
      </c>
    </row>
    <row r="666">
      <c r="A666" s="232" t="s">
        <v>1555</v>
      </c>
      <c r="B666" t="s">
        <v>1556</v>
      </c>
      <c r="C666">
        <v>0.0</v>
      </c>
      <c r="D666" t="s">
        <v>310</v>
      </c>
      <c r="E666" t="s">
        <v>311</v>
      </c>
    </row>
    <row r="667">
      <c r="A667" s="232" t="s">
        <v>1557</v>
      </c>
      <c r="B667" t="s">
        <v>1558</v>
      </c>
      <c r="C667">
        <v>0.0</v>
      </c>
      <c r="D667" t="s">
        <v>310</v>
      </c>
      <c r="E667" t="s">
        <v>311</v>
      </c>
    </row>
    <row r="668">
      <c r="A668" s="232" t="s">
        <v>1559</v>
      </c>
      <c r="B668" t="s">
        <v>1560</v>
      </c>
      <c r="C668">
        <v>0.0</v>
      </c>
      <c r="D668" t="s">
        <v>310</v>
      </c>
      <c r="E668" t="s">
        <v>311</v>
      </c>
    </row>
    <row r="669">
      <c r="A669" s="232" t="s">
        <v>1561</v>
      </c>
      <c r="B669" t="s">
        <v>1562</v>
      </c>
      <c r="C669">
        <v>0.0</v>
      </c>
      <c r="D669" t="s">
        <v>310</v>
      </c>
      <c r="E669" t="s">
        <v>311</v>
      </c>
    </row>
    <row r="670">
      <c r="A670" s="232" t="s">
        <v>1563</v>
      </c>
      <c r="B670" t="s">
        <v>1564</v>
      </c>
      <c r="C670">
        <v>0.0</v>
      </c>
      <c r="D670" t="s">
        <v>310</v>
      </c>
      <c r="E670" t="s">
        <v>311</v>
      </c>
    </row>
    <row r="671">
      <c r="A671" s="232" t="s">
        <v>1565</v>
      </c>
      <c r="B671" t="s">
        <v>1566</v>
      </c>
      <c r="C671">
        <v>0.0</v>
      </c>
      <c r="D671" t="s">
        <v>310</v>
      </c>
      <c r="E671" t="s">
        <v>311</v>
      </c>
    </row>
    <row r="672">
      <c r="A672" s="232" t="s">
        <v>1567</v>
      </c>
      <c r="B672" t="s">
        <v>1568</v>
      </c>
      <c r="C672">
        <v>0.0</v>
      </c>
      <c r="D672" t="s">
        <v>310</v>
      </c>
      <c r="E672" t="s">
        <v>311</v>
      </c>
    </row>
    <row r="673">
      <c r="A673" s="232" t="s">
        <v>1569</v>
      </c>
      <c r="B673" t="s">
        <v>1570</v>
      </c>
      <c r="C673">
        <v>0.0</v>
      </c>
      <c r="D673" t="s">
        <v>310</v>
      </c>
      <c r="E673" t="s">
        <v>311</v>
      </c>
    </row>
    <row r="674">
      <c r="A674" s="232" t="s">
        <v>1571</v>
      </c>
      <c r="B674" t="s">
        <v>1572</v>
      </c>
      <c r="C674">
        <v>0.0</v>
      </c>
      <c r="D674" t="s">
        <v>310</v>
      </c>
      <c r="E674" t="s">
        <v>311</v>
      </c>
    </row>
    <row r="675">
      <c r="A675" s="232" t="s">
        <v>1573</v>
      </c>
      <c r="B675" t="s">
        <v>1574</v>
      </c>
      <c r="C675">
        <v>0.0</v>
      </c>
      <c r="D675" t="s">
        <v>310</v>
      </c>
      <c r="E675" t="s">
        <v>311</v>
      </c>
    </row>
    <row r="676">
      <c r="A676" s="232" t="s">
        <v>1575</v>
      </c>
      <c r="B676" t="s">
        <v>1576</v>
      </c>
      <c r="C676">
        <v>0.0</v>
      </c>
      <c r="D676" t="s">
        <v>310</v>
      </c>
      <c r="E676" t="s">
        <v>311</v>
      </c>
    </row>
    <row r="677">
      <c r="A677" s="232" t="s">
        <v>1577</v>
      </c>
      <c r="B677" t="s">
        <v>1578</v>
      </c>
      <c r="C677">
        <v>0.0</v>
      </c>
      <c r="D677" t="s">
        <v>310</v>
      </c>
      <c r="E677" t="s">
        <v>311</v>
      </c>
    </row>
    <row r="678">
      <c r="A678" s="232" t="s">
        <v>1579</v>
      </c>
      <c r="B678" t="s">
        <v>1580</v>
      </c>
      <c r="C678">
        <v>0.0</v>
      </c>
      <c r="D678" t="s">
        <v>310</v>
      </c>
      <c r="E678" t="s">
        <v>311</v>
      </c>
    </row>
    <row r="679">
      <c r="A679" s="232" t="s">
        <v>1581</v>
      </c>
      <c r="B679" t="s">
        <v>1582</v>
      </c>
      <c r="C679">
        <v>0.0</v>
      </c>
      <c r="D679" t="s">
        <v>310</v>
      </c>
      <c r="E679" t="s">
        <v>311</v>
      </c>
    </row>
    <row r="680">
      <c r="A680" s="232" t="s">
        <v>1583</v>
      </c>
      <c r="B680" t="s">
        <v>1584</v>
      </c>
      <c r="C680">
        <v>0.0</v>
      </c>
      <c r="D680" t="s">
        <v>310</v>
      </c>
      <c r="E680" t="s">
        <v>311</v>
      </c>
    </row>
    <row r="681">
      <c r="A681" s="232" t="s">
        <v>1585</v>
      </c>
      <c r="B681" t="s">
        <v>1586</v>
      </c>
      <c r="C681">
        <v>0.0</v>
      </c>
      <c r="D681" t="s">
        <v>310</v>
      </c>
      <c r="E681" t="s">
        <v>311</v>
      </c>
    </row>
    <row r="682">
      <c r="A682" s="232" t="s">
        <v>1587</v>
      </c>
      <c r="B682" t="s">
        <v>1588</v>
      </c>
      <c r="C682">
        <v>0.0</v>
      </c>
      <c r="D682" t="s">
        <v>310</v>
      </c>
      <c r="E682" t="s">
        <v>311</v>
      </c>
    </row>
    <row r="683">
      <c r="A683" s="232" t="s">
        <v>1589</v>
      </c>
      <c r="B683" t="s">
        <v>1590</v>
      </c>
      <c r="C683">
        <v>0.0</v>
      </c>
      <c r="D683" t="s">
        <v>310</v>
      </c>
      <c r="E683" t="s">
        <v>311</v>
      </c>
    </row>
    <row r="684">
      <c r="A684" s="232" t="s">
        <v>1591</v>
      </c>
      <c r="B684" t="s">
        <v>1592</v>
      </c>
      <c r="C684">
        <v>0.0</v>
      </c>
      <c r="D684" t="s">
        <v>310</v>
      </c>
      <c r="E684" t="s">
        <v>311</v>
      </c>
    </row>
    <row r="685">
      <c r="A685" s="232" t="s">
        <v>1593</v>
      </c>
      <c r="B685" t="s">
        <v>1594</v>
      </c>
      <c r="C685">
        <v>0.0</v>
      </c>
      <c r="D685" t="s">
        <v>310</v>
      </c>
      <c r="E685" t="s">
        <v>311</v>
      </c>
    </row>
    <row r="686">
      <c r="A686" s="232" t="s">
        <v>1595</v>
      </c>
      <c r="B686" t="s">
        <v>1596</v>
      </c>
      <c r="C686">
        <v>0.0</v>
      </c>
      <c r="D686" t="s">
        <v>310</v>
      </c>
      <c r="E686" t="s">
        <v>311</v>
      </c>
    </row>
    <row r="687">
      <c r="A687" s="232" t="s">
        <v>1597</v>
      </c>
      <c r="B687" t="s">
        <v>1598</v>
      </c>
      <c r="C687">
        <v>0.0</v>
      </c>
      <c r="D687" t="s">
        <v>310</v>
      </c>
      <c r="E687" t="s">
        <v>311</v>
      </c>
    </row>
    <row r="688">
      <c r="A688" s="232" t="s">
        <v>1599</v>
      </c>
      <c r="B688" t="s">
        <v>1600</v>
      </c>
      <c r="C688">
        <v>0.0</v>
      </c>
      <c r="D688" t="s">
        <v>310</v>
      </c>
      <c r="E688" t="s">
        <v>311</v>
      </c>
    </row>
    <row r="689">
      <c r="A689" s="232" t="s">
        <v>1601</v>
      </c>
      <c r="B689" t="s">
        <v>1602</v>
      </c>
      <c r="C689">
        <v>0.0</v>
      </c>
      <c r="D689" t="s">
        <v>310</v>
      </c>
      <c r="E689" t="s">
        <v>311</v>
      </c>
    </row>
    <row r="690">
      <c r="A690" s="232" t="s">
        <v>1603</v>
      </c>
      <c r="B690" t="s">
        <v>1604</v>
      </c>
      <c r="C690">
        <v>0.0</v>
      </c>
      <c r="D690" t="s">
        <v>310</v>
      </c>
      <c r="E690" t="s">
        <v>311</v>
      </c>
    </row>
    <row r="691">
      <c r="A691" s="232" t="s">
        <v>1605</v>
      </c>
      <c r="B691" t="s">
        <v>1606</v>
      </c>
      <c r="C691">
        <v>0.0</v>
      </c>
      <c r="D691" t="s">
        <v>310</v>
      </c>
      <c r="E691" t="s">
        <v>311</v>
      </c>
    </row>
    <row r="692">
      <c r="A692" s="232" t="s">
        <v>1607</v>
      </c>
      <c r="B692" t="s">
        <v>1608</v>
      </c>
      <c r="C692">
        <v>0.0</v>
      </c>
      <c r="D692" t="s">
        <v>310</v>
      </c>
      <c r="E692" t="s">
        <v>311</v>
      </c>
    </row>
    <row r="693">
      <c r="A693" s="232" t="s">
        <v>1609</v>
      </c>
      <c r="B693" t="s">
        <v>1610</v>
      </c>
      <c r="C693">
        <v>0.0</v>
      </c>
      <c r="D693" t="s">
        <v>310</v>
      </c>
      <c r="E693" t="s">
        <v>311</v>
      </c>
    </row>
    <row r="694">
      <c r="A694" s="232" t="s">
        <v>1611</v>
      </c>
      <c r="B694" t="s">
        <v>1612</v>
      </c>
      <c r="C694">
        <v>0.0</v>
      </c>
      <c r="D694" t="s">
        <v>310</v>
      </c>
      <c r="E694" t="s">
        <v>311</v>
      </c>
    </row>
    <row r="695">
      <c r="A695" s="232" t="s">
        <v>1613</v>
      </c>
      <c r="B695" t="s">
        <v>1614</v>
      </c>
      <c r="C695">
        <v>0.0</v>
      </c>
      <c r="D695" t="s">
        <v>310</v>
      </c>
      <c r="E695" t="s">
        <v>311</v>
      </c>
    </row>
    <row r="696">
      <c r="A696" s="232" t="s">
        <v>1615</v>
      </c>
      <c r="B696" t="s">
        <v>1616</v>
      </c>
      <c r="C696">
        <v>0.0</v>
      </c>
      <c r="D696" t="s">
        <v>310</v>
      </c>
      <c r="E696" t="s">
        <v>311</v>
      </c>
    </row>
    <row r="697">
      <c r="A697" s="232" t="s">
        <v>1617</v>
      </c>
      <c r="B697" t="s">
        <v>1618</v>
      </c>
      <c r="C697">
        <v>0.0</v>
      </c>
      <c r="D697" t="s">
        <v>310</v>
      </c>
      <c r="E697" t="s">
        <v>311</v>
      </c>
    </row>
    <row r="698">
      <c r="A698" s="232" t="s">
        <v>1619</v>
      </c>
      <c r="B698" t="s">
        <v>1620</v>
      </c>
      <c r="C698">
        <v>0.0</v>
      </c>
      <c r="D698" t="s">
        <v>310</v>
      </c>
      <c r="E698" t="s">
        <v>311</v>
      </c>
    </row>
    <row r="699">
      <c r="A699" s="232" t="s">
        <v>1621</v>
      </c>
      <c r="B699" t="s">
        <v>1622</v>
      </c>
      <c r="C699">
        <v>0.0</v>
      </c>
      <c r="D699" t="s">
        <v>310</v>
      </c>
      <c r="E699" t="s">
        <v>311</v>
      </c>
    </row>
    <row r="700">
      <c r="A700" s="232" t="s">
        <v>1623</v>
      </c>
      <c r="B700" t="s">
        <v>1624</v>
      </c>
      <c r="C700">
        <v>0.0</v>
      </c>
      <c r="D700" t="s">
        <v>310</v>
      </c>
      <c r="E700" t="s">
        <v>311</v>
      </c>
    </row>
    <row r="701">
      <c r="A701" s="232" t="s">
        <v>1625</v>
      </c>
      <c r="B701" t="s">
        <v>1626</v>
      </c>
      <c r="C701">
        <v>0.0</v>
      </c>
      <c r="D701" t="s">
        <v>310</v>
      </c>
      <c r="E701" t="s">
        <v>311</v>
      </c>
    </row>
    <row r="702">
      <c r="A702" s="232" t="s">
        <v>1627</v>
      </c>
      <c r="B702" t="s">
        <v>1628</v>
      </c>
      <c r="C702">
        <v>0.0</v>
      </c>
      <c r="D702" t="s">
        <v>310</v>
      </c>
      <c r="E702" t="s">
        <v>311</v>
      </c>
    </row>
    <row r="703">
      <c r="A703" s="232" t="s">
        <v>1629</v>
      </c>
      <c r="B703" t="s">
        <v>1630</v>
      </c>
      <c r="C703">
        <v>0.0</v>
      </c>
      <c r="D703" t="s">
        <v>310</v>
      </c>
      <c r="E703" t="s">
        <v>311</v>
      </c>
    </row>
    <row r="704">
      <c r="A704" s="232" t="s">
        <v>1631</v>
      </c>
      <c r="B704" t="s">
        <v>1632</v>
      </c>
      <c r="C704">
        <v>0.0</v>
      </c>
      <c r="D704" t="s">
        <v>310</v>
      </c>
      <c r="E704" t="s">
        <v>311</v>
      </c>
    </row>
    <row r="705">
      <c r="A705" s="232" t="s">
        <v>1633</v>
      </c>
      <c r="B705" t="s">
        <v>1634</v>
      </c>
      <c r="C705">
        <v>0.0</v>
      </c>
      <c r="D705" t="s">
        <v>310</v>
      </c>
      <c r="E705" t="s">
        <v>311</v>
      </c>
    </row>
    <row r="706">
      <c r="A706" s="232" t="s">
        <v>1635</v>
      </c>
      <c r="B706" t="s">
        <v>1636</v>
      </c>
      <c r="C706">
        <v>0.0</v>
      </c>
      <c r="D706" t="s">
        <v>310</v>
      </c>
      <c r="E706" t="s">
        <v>311</v>
      </c>
    </row>
    <row r="707">
      <c r="A707" s="232" t="s">
        <v>1637</v>
      </c>
      <c r="B707" t="s">
        <v>1638</v>
      </c>
      <c r="C707">
        <v>0.0</v>
      </c>
      <c r="D707" t="s">
        <v>310</v>
      </c>
      <c r="E707" t="s">
        <v>311</v>
      </c>
    </row>
    <row r="708">
      <c r="A708" s="232" t="s">
        <v>1639</v>
      </c>
      <c r="B708" t="s">
        <v>1640</v>
      </c>
      <c r="C708">
        <v>0.0</v>
      </c>
      <c r="D708" t="s">
        <v>310</v>
      </c>
      <c r="E708" t="s">
        <v>311</v>
      </c>
    </row>
    <row r="709">
      <c r="A709" s="232" t="s">
        <v>1641</v>
      </c>
      <c r="B709" t="s">
        <v>1642</v>
      </c>
      <c r="C709">
        <v>0.0</v>
      </c>
      <c r="D709" t="s">
        <v>310</v>
      </c>
      <c r="E709" t="s">
        <v>311</v>
      </c>
    </row>
    <row r="710">
      <c r="A710" s="232" t="s">
        <v>1643</v>
      </c>
      <c r="B710" t="s">
        <v>1644</v>
      </c>
      <c r="C710">
        <v>0.0</v>
      </c>
      <c r="D710" t="s">
        <v>310</v>
      </c>
      <c r="E710" t="s">
        <v>311</v>
      </c>
    </row>
    <row r="711">
      <c r="A711" s="232" t="s">
        <v>1645</v>
      </c>
      <c r="B711" t="s">
        <v>1646</v>
      </c>
      <c r="C711">
        <v>0.0</v>
      </c>
      <c r="D711" t="s">
        <v>310</v>
      </c>
      <c r="E711" t="s">
        <v>311</v>
      </c>
    </row>
    <row r="712">
      <c r="A712" s="232" t="s">
        <v>1647</v>
      </c>
      <c r="B712" t="s">
        <v>1648</v>
      </c>
      <c r="C712">
        <v>0.0</v>
      </c>
      <c r="D712" t="s">
        <v>310</v>
      </c>
      <c r="E712" t="s">
        <v>311</v>
      </c>
    </row>
    <row r="713">
      <c r="A713" s="232" t="s">
        <v>1649</v>
      </c>
      <c r="B713" t="s">
        <v>1650</v>
      </c>
      <c r="C713">
        <v>0.0</v>
      </c>
      <c r="D713" t="s">
        <v>310</v>
      </c>
      <c r="E713" t="s">
        <v>311</v>
      </c>
    </row>
    <row r="714">
      <c r="A714" s="232" t="s">
        <v>1651</v>
      </c>
      <c r="B714" t="s">
        <v>1652</v>
      </c>
      <c r="C714">
        <v>0.0</v>
      </c>
      <c r="D714" t="s">
        <v>310</v>
      </c>
      <c r="E714" t="s">
        <v>311</v>
      </c>
    </row>
    <row r="715">
      <c r="A715" s="232" t="s">
        <v>1653</v>
      </c>
      <c r="B715" t="s">
        <v>1654</v>
      </c>
      <c r="C715">
        <v>0.0</v>
      </c>
      <c r="D715" t="s">
        <v>310</v>
      </c>
      <c r="E715" t="s">
        <v>311</v>
      </c>
    </row>
    <row r="716">
      <c r="A716" s="232" t="s">
        <v>1655</v>
      </c>
      <c r="B716" t="s">
        <v>1656</v>
      </c>
      <c r="C716">
        <v>0.0</v>
      </c>
      <c r="D716" t="s">
        <v>310</v>
      </c>
      <c r="E716" t="s">
        <v>311</v>
      </c>
    </row>
    <row r="717">
      <c r="A717" s="232" t="s">
        <v>1657</v>
      </c>
      <c r="B717" t="s">
        <v>1658</v>
      </c>
      <c r="C717">
        <v>0.0</v>
      </c>
      <c r="D717" t="s">
        <v>310</v>
      </c>
      <c r="E717" t="s">
        <v>311</v>
      </c>
    </row>
    <row r="718">
      <c r="A718" s="232" t="s">
        <v>1659</v>
      </c>
      <c r="B718" t="s">
        <v>1660</v>
      </c>
      <c r="C718">
        <v>0.0</v>
      </c>
      <c r="D718" t="s">
        <v>310</v>
      </c>
      <c r="E718" t="s">
        <v>311</v>
      </c>
    </row>
    <row r="719">
      <c r="A719" s="232" t="s">
        <v>1661</v>
      </c>
      <c r="B719" t="s">
        <v>1662</v>
      </c>
      <c r="C719">
        <v>0.0</v>
      </c>
      <c r="D719" t="s">
        <v>310</v>
      </c>
      <c r="E719" t="s">
        <v>311</v>
      </c>
    </row>
    <row r="720">
      <c r="A720" s="232" t="s">
        <v>1663</v>
      </c>
      <c r="B720" t="s">
        <v>1664</v>
      </c>
      <c r="C720">
        <v>88.0</v>
      </c>
      <c r="D720" t="s">
        <v>330</v>
      </c>
      <c r="E720" t="s">
        <v>311</v>
      </c>
    </row>
    <row r="721">
      <c r="A721" s="232" t="s">
        <v>1665</v>
      </c>
      <c r="B721" t="s">
        <v>1666</v>
      </c>
      <c r="C721">
        <v>0.0</v>
      </c>
      <c r="D721" t="s">
        <v>330</v>
      </c>
      <c r="E721" t="s">
        <v>311</v>
      </c>
    </row>
    <row r="722">
      <c r="A722" s="232" t="s">
        <v>1667</v>
      </c>
      <c r="B722" t="s">
        <v>1668</v>
      </c>
      <c r="C722">
        <v>0.0</v>
      </c>
      <c r="D722" t="s">
        <v>310</v>
      </c>
      <c r="E722" t="s">
        <v>311</v>
      </c>
    </row>
    <row r="723">
      <c r="A723" s="232" t="s">
        <v>1669</v>
      </c>
      <c r="B723" t="s">
        <v>1670</v>
      </c>
      <c r="C723">
        <v>0.0</v>
      </c>
      <c r="D723" t="s">
        <v>310</v>
      </c>
      <c r="E723" t="s">
        <v>311</v>
      </c>
    </row>
    <row r="724">
      <c r="A724" s="232" t="s">
        <v>1671</v>
      </c>
      <c r="B724" t="s">
        <v>1672</v>
      </c>
      <c r="C724">
        <v>0.0</v>
      </c>
      <c r="D724" t="s">
        <v>310</v>
      </c>
      <c r="E724" t="s">
        <v>311</v>
      </c>
    </row>
    <row r="725">
      <c r="A725" s="232" t="s">
        <v>1673</v>
      </c>
      <c r="B725" t="s">
        <v>1674</v>
      </c>
      <c r="C725">
        <v>0.0</v>
      </c>
      <c r="D725" t="s">
        <v>310</v>
      </c>
      <c r="E725" t="s">
        <v>311</v>
      </c>
    </row>
    <row r="726">
      <c r="A726" s="232">
        <v>35306.0</v>
      </c>
      <c r="B726" t="s">
        <v>1675</v>
      </c>
      <c r="C726">
        <v>0.0</v>
      </c>
      <c r="D726" t="s">
        <v>310</v>
      </c>
      <c r="E726" t="s">
        <v>311</v>
      </c>
    </row>
    <row r="727">
      <c r="A727" s="232">
        <v>35302.0</v>
      </c>
      <c r="B727" t="s">
        <v>1676</v>
      </c>
      <c r="C727">
        <v>0.0</v>
      </c>
      <c r="D727" t="s">
        <v>310</v>
      </c>
      <c r="E727" t="s">
        <v>311</v>
      </c>
    </row>
    <row r="728">
      <c r="A728" s="232">
        <v>35301.0</v>
      </c>
      <c r="B728" t="s">
        <v>1677</v>
      </c>
      <c r="C728">
        <v>0.0</v>
      </c>
      <c r="D728" t="s">
        <v>310</v>
      </c>
      <c r="E728" t="s">
        <v>311</v>
      </c>
    </row>
    <row r="729">
      <c r="A729" s="232">
        <v>35305.0</v>
      </c>
      <c r="B729" t="s">
        <v>1678</v>
      </c>
      <c r="C729">
        <v>0.0</v>
      </c>
      <c r="D729" t="s">
        <v>310</v>
      </c>
      <c r="E729" t="s">
        <v>311</v>
      </c>
    </row>
    <row r="730">
      <c r="A730" s="232">
        <v>35304.0</v>
      </c>
      <c r="B730" t="s">
        <v>1679</v>
      </c>
      <c r="C730">
        <v>0.0</v>
      </c>
      <c r="D730" t="s">
        <v>310</v>
      </c>
      <c r="E730" t="s">
        <v>311</v>
      </c>
    </row>
    <row r="731">
      <c r="A731" s="232">
        <v>35303.0</v>
      </c>
      <c r="B731" t="s">
        <v>1680</v>
      </c>
      <c r="C731">
        <v>0.0</v>
      </c>
      <c r="D731" t="s">
        <v>310</v>
      </c>
      <c r="E731" t="s">
        <v>311</v>
      </c>
    </row>
    <row r="732">
      <c r="A732" s="232" t="s">
        <v>1681</v>
      </c>
      <c r="B732" t="s">
        <v>1682</v>
      </c>
      <c r="C732">
        <v>0.0</v>
      </c>
      <c r="D732" t="s">
        <v>310</v>
      </c>
      <c r="E732" t="s">
        <v>311</v>
      </c>
    </row>
    <row r="733">
      <c r="A733" s="232" t="s">
        <v>1683</v>
      </c>
      <c r="B733" t="s">
        <v>1684</v>
      </c>
      <c r="C733">
        <v>317.0</v>
      </c>
      <c r="D733" t="s">
        <v>330</v>
      </c>
      <c r="E733" t="s">
        <v>311</v>
      </c>
    </row>
    <row r="734">
      <c r="A734" s="232" t="s">
        <v>1685</v>
      </c>
      <c r="B734" t="s">
        <v>1686</v>
      </c>
      <c r="C734">
        <v>603.0</v>
      </c>
      <c r="D734" t="s">
        <v>330</v>
      </c>
      <c r="E734" t="s">
        <v>311</v>
      </c>
    </row>
    <row r="735">
      <c r="A735" s="232" t="s">
        <v>1687</v>
      </c>
      <c r="B735" t="s">
        <v>1688</v>
      </c>
      <c r="C735">
        <v>112.0</v>
      </c>
      <c r="D735" t="s">
        <v>330</v>
      </c>
      <c r="E735" t="s">
        <v>311</v>
      </c>
    </row>
    <row r="736">
      <c r="A736" s="232" t="s">
        <v>1689</v>
      </c>
      <c r="B736" t="s">
        <v>1690</v>
      </c>
      <c r="C736">
        <v>0.0</v>
      </c>
      <c r="D736" t="s">
        <v>310</v>
      </c>
      <c r="E736" t="s">
        <v>311</v>
      </c>
    </row>
    <row r="737">
      <c r="A737" s="232" t="s">
        <v>1691</v>
      </c>
      <c r="B737" t="s">
        <v>1692</v>
      </c>
      <c r="C737">
        <v>0.0</v>
      </c>
      <c r="D737" t="s">
        <v>310</v>
      </c>
      <c r="E737" t="s">
        <v>311</v>
      </c>
    </row>
    <row r="738">
      <c r="A738" s="232" t="s">
        <v>1693</v>
      </c>
      <c r="B738" t="s">
        <v>1694</v>
      </c>
      <c r="C738">
        <v>172.0</v>
      </c>
      <c r="D738" t="s">
        <v>330</v>
      </c>
      <c r="E738" t="s">
        <v>311</v>
      </c>
    </row>
    <row r="739">
      <c r="A739" s="232" t="s">
        <v>1695</v>
      </c>
      <c r="B739" t="s">
        <v>1696</v>
      </c>
      <c r="C739">
        <v>169.0</v>
      </c>
      <c r="D739" t="s">
        <v>330</v>
      </c>
      <c r="E739" t="s">
        <v>311</v>
      </c>
    </row>
    <row r="740">
      <c r="A740" s="232" t="s">
        <v>1697</v>
      </c>
      <c r="B740" t="s">
        <v>1698</v>
      </c>
      <c r="C740">
        <v>455.0</v>
      </c>
      <c r="D740" t="s">
        <v>330</v>
      </c>
      <c r="E740" t="s">
        <v>311</v>
      </c>
    </row>
    <row r="741">
      <c r="A741" s="232" t="s">
        <v>1699</v>
      </c>
      <c r="B741" t="s">
        <v>1700</v>
      </c>
      <c r="C741">
        <v>224.0</v>
      </c>
      <c r="D741" t="s">
        <v>330</v>
      </c>
      <c r="E741" t="s">
        <v>311</v>
      </c>
    </row>
    <row r="742">
      <c r="A742" s="232" t="s">
        <v>1701</v>
      </c>
      <c r="B742" t="s">
        <v>1702</v>
      </c>
      <c r="C742">
        <v>280.0</v>
      </c>
      <c r="D742" t="s">
        <v>330</v>
      </c>
      <c r="E742" t="s">
        <v>311</v>
      </c>
    </row>
    <row r="743">
      <c r="A743" s="232" t="s">
        <v>1703</v>
      </c>
      <c r="B743" t="s">
        <v>1704</v>
      </c>
      <c r="C743">
        <v>390.0</v>
      </c>
      <c r="D743" t="s">
        <v>330</v>
      </c>
      <c r="E743" t="s">
        <v>311</v>
      </c>
    </row>
    <row r="744">
      <c r="A744" s="232" t="s">
        <v>1705</v>
      </c>
      <c r="B744" t="s">
        <v>1706</v>
      </c>
      <c r="C744">
        <v>125.0</v>
      </c>
      <c r="D744" t="s">
        <v>330</v>
      </c>
      <c r="E744" t="s">
        <v>311</v>
      </c>
    </row>
    <row r="745">
      <c r="A745" s="232" t="s">
        <v>1707</v>
      </c>
      <c r="B745" t="s">
        <v>1708</v>
      </c>
      <c r="C745">
        <v>74.0</v>
      </c>
      <c r="D745" t="s">
        <v>330</v>
      </c>
      <c r="E745" t="s">
        <v>311</v>
      </c>
    </row>
    <row r="746">
      <c r="A746" s="232" t="s">
        <v>1709</v>
      </c>
      <c r="B746" t="s">
        <v>1710</v>
      </c>
      <c r="C746">
        <v>63.0</v>
      </c>
      <c r="D746" t="s">
        <v>330</v>
      </c>
      <c r="E746" t="s">
        <v>311</v>
      </c>
    </row>
    <row r="747">
      <c r="A747" s="232" t="s">
        <v>1711</v>
      </c>
      <c r="B747" t="s">
        <v>1712</v>
      </c>
      <c r="C747">
        <v>0.0</v>
      </c>
      <c r="D747" t="s">
        <v>330</v>
      </c>
      <c r="E747" t="s">
        <v>311</v>
      </c>
    </row>
    <row r="748">
      <c r="A748" s="232" t="s">
        <v>1713</v>
      </c>
      <c r="B748" t="s">
        <v>1714</v>
      </c>
      <c r="C748">
        <v>0.0</v>
      </c>
      <c r="D748" t="s">
        <v>310</v>
      </c>
      <c r="E748" t="s">
        <v>311</v>
      </c>
    </row>
    <row r="749">
      <c r="A749" s="232" t="s">
        <v>1715</v>
      </c>
      <c r="B749" t="s">
        <v>1716</v>
      </c>
      <c r="C749">
        <v>148.0</v>
      </c>
      <c r="D749" t="s">
        <v>330</v>
      </c>
      <c r="E749" t="s">
        <v>311</v>
      </c>
    </row>
    <row r="750">
      <c r="A750" s="232" t="s">
        <v>1717</v>
      </c>
      <c r="B750" t="s">
        <v>1718</v>
      </c>
      <c r="C750">
        <v>423.0</v>
      </c>
      <c r="D750" t="s">
        <v>330</v>
      </c>
      <c r="E750" t="s">
        <v>311</v>
      </c>
    </row>
    <row r="751">
      <c r="A751" s="232" t="s">
        <v>1719</v>
      </c>
      <c r="B751" t="s">
        <v>1720</v>
      </c>
      <c r="C751">
        <v>0.0</v>
      </c>
      <c r="D751" t="s">
        <v>310</v>
      </c>
      <c r="E751" t="s">
        <v>311</v>
      </c>
    </row>
    <row r="752">
      <c r="A752" s="232" t="s">
        <v>1721</v>
      </c>
      <c r="B752" t="s">
        <v>1722</v>
      </c>
      <c r="C752">
        <v>0.0</v>
      </c>
      <c r="D752" t="s">
        <v>310</v>
      </c>
      <c r="E752" t="s">
        <v>311</v>
      </c>
    </row>
    <row r="753">
      <c r="A753" s="232" t="s">
        <v>1723</v>
      </c>
      <c r="B753" t="s">
        <v>1724</v>
      </c>
      <c r="C753">
        <v>0.0</v>
      </c>
      <c r="D753" t="s">
        <v>310</v>
      </c>
      <c r="E753" t="s">
        <v>311</v>
      </c>
    </row>
    <row r="754">
      <c r="A754" s="232" t="s">
        <v>1725</v>
      </c>
      <c r="B754" t="s">
        <v>1726</v>
      </c>
      <c r="C754">
        <v>15.0</v>
      </c>
      <c r="D754" t="s">
        <v>330</v>
      </c>
      <c r="E754" t="s">
        <v>311</v>
      </c>
    </row>
    <row r="755">
      <c r="A755" s="232" t="s">
        <v>1727</v>
      </c>
      <c r="B755" t="s">
        <v>1728</v>
      </c>
      <c r="C755">
        <v>0.0</v>
      </c>
      <c r="D755" t="s">
        <v>310</v>
      </c>
      <c r="E755" t="s">
        <v>311</v>
      </c>
    </row>
    <row r="756">
      <c r="A756" s="232" t="s">
        <v>1729</v>
      </c>
      <c r="B756" t="s">
        <v>1730</v>
      </c>
      <c r="C756">
        <v>0.0</v>
      </c>
      <c r="D756" t="s">
        <v>310</v>
      </c>
      <c r="E756" t="s">
        <v>311</v>
      </c>
    </row>
    <row r="757">
      <c r="A757" s="232" t="s">
        <v>1731</v>
      </c>
      <c r="B757" t="s">
        <v>1732</v>
      </c>
      <c r="C757">
        <v>129.0</v>
      </c>
      <c r="D757" t="s">
        <v>330</v>
      </c>
      <c r="E757" t="s">
        <v>311</v>
      </c>
    </row>
    <row r="758">
      <c r="A758" s="232" t="s">
        <v>1733</v>
      </c>
      <c r="B758" t="s">
        <v>1734</v>
      </c>
      <c r="C758">
        <v>0.0</v>
      </c>
      <c r="D758" t="s">
        <v>310</v>
      </c>
      <c r="E758" t="s">
        <v>311</v>
      </c>
    </row>
    <row r="759">
      <c r="A759" s="232" t="s">
        <v>1735</v>
      </c>
      <c r="B759" t="s">
        <v>1736</v>
      </c>
      <c r="C759">
        <v>0.0</v>
      </c>
      <c r="D759" t="s">
        <v>310</v>
      </c>
      <c r="E759" t="s">
        <v>311</v>
      </c>
    </row>
    <row r="760">
      <c r="A760" s="232" t="s">
        <v>1737</v>
      </c>
      <c r="B760" t="s">
        <v>1738</v>
      </c>
      <c r="C760">
        <v>0.0</v>
      </c>
      <c r="D760" t="s">
        <v>310</v>
      </c>
      <c r="E760" t="s">
        <v>311</v>
      </c>
    </row>
    <row r="761">
      <c r="A761" s="232" t="s">
        <v>1739</v>
      </c>
      <c r="B761" t="s">
        <v>1740</v>
      </c>
      <c r="C761">
        <v>448.0</v>
      </c>
      <c r="D761" t="s">
        <v>330</v>
      </c>
      <c r="E761" t="s">
        <v>311</v>
      </c>
    </row>
    <row r="762">
      <c r="A762" s="232" t="s">
        <v>1741</v>
      </c>
      <c r="B762" t="s">
        <v>1742</v>
      </c>
      <c r="C762">
        <v>0.0</v>
      </c>
      <c r="D762" t="s">
        <v>310</v>
      </c>
      <c r="E762" t="s">
        <v>311</v>
      </c>
    </row>
    <row r="763">
      <c r="A763" s="232" t="s">
        <v>1743</v>
      </c>
      <c r="B763" t="s">
        <v>1744</v>
      </c>
      <c r="C763">
        <v>288.0</v>
      </c>
      <c r="D763" t="s">
        <v>330</v>
      </c>
      <c r="E763" t="s">
        <v>311</v>
      </c>
    </row>
    <row r="764">
      <c r="A764" s="232" t="s">
        <v>1745</v>
      </c>
      <c r="B764" t="s">
        <v>1746</v>
      </c>
      <c r="C764">
        <v>188.0</v>
      </c>
      <c r="D764" t="s">
        <v>330</v>
      </c>
      <c r="E764" t="s">
        <v>311</v>
      </c>
    </row>
    <row r="765">
      <c r="A765" s="232" t="s">
        <v>1747</v>
      </c>
      <c r="B765" t="s">
        <v>1748</v>
      </c>
      <c r="C765">
        <v>0.0</v>
      </c>
      <c r="D765" t="s">
        <v>310</v>
      </c>
      <c r="E765" t="s">
        <v>311</v>
      </c>
    </row>
    <row r="766">
      <c r="A766" s="232" t="s">
        <v>1749</v>
      </c>
      <c r="B766" t="s">
        <v>1750</v>
      </c>
      <c r="C766">
        <v>0.0</v>
      </c>
      <c r="D766" t="s">
        <v>310</v>
      </c>
      <c r="E766" t="s">
        <v>311</v>
      </c>
    </row>
    <row r="767">
      <c r="A767" s="232" t="s">
        <v>1751</v>
      </c>
      <c r="B767" t="s">
        <v>1752</v>
      </c>
      <c r="C767">
        <v>205.0</v>
      </c>
      <c r="D767" t="s">
        <v>330</v>
      </c>
      <c r="E767" t="s">
        <v>311</v>
      </c>
    </row>
    <row r="768">
      <c r="A768" s="232" t="s">
        <v>1753</v>
      </c>
      <c r="B768" t="s">
        <v>1754</v>
      </c>
      <c r="C768">
        <v>138.0</v>
      </c>
      <c r="D768" t="s">
        <v>330</v>
      </c>
      <c r="E768" t="s">
        <v>311</v>
      </c>
    </row>
    <row r="769">
      <c r="A769" s="232" t="s">
        <v>1755</v>
      </c>
      <c r="B769" t="s">
        <v>1756</v>
      </c>
      <c r="C769">
        <v>540.0</v>
      </c>
      <c r="D769" t="s">
        <v>330</v>
      </c>
      <c r="E769" t="s">
        <v>311</v>
      </c>
    </row>
    <row r="770">
      <c r="A770" s="232" t="s">
        <v>1757</v>
      </c>
      <c r="B770" t="s">
        <v>1758</v>
      </c>
      <c r="C770">
        <v>288.0</v>
      </c>
      <c r="D770" t="s">
        <v>330</v>
      </c>
      <c r="E770" t="s">
        <v>311</v>
      </c>
    </row>
    <row r="771">
      <c r="A771" s="232" t="s">
        <v>1759</v>
      </c>
      <c r="B771" t="s">
        <v>1760</v>
      </c>
      <c r="C771">
        <v>0.0</v>
      </c>
      <c r="D771" t="s">
        <v>310</v>
      </c>
      <c r="E771" t="s">
        <v>311</v>
      </c>
    </row>
    <row r="772">
      <c r="A772" s="232" t="s">
        <v>1761</v>
      </c>
      <c r="B772" t="s">
        <v>1762</v>
      </c>
      <c r="C772">
        <v>0.0</v>
      </c>
      <c r="D772" t="s">
        <v>310</v>
      </c>
      <c r="E772" t="s">
        <v>311</v>
      </c>
    </row>
    <row r="773">
      <c r="A773" s="232" t="s">
        <v>1763</v>
      </c>
      <c r="B773" t="s">
        <v>1764</v>
      </c>
      <c r="C773">
        <v>322.0</v>
      </c>
      <c r="D773" t="s">
        <v>330</v>
      </c>
      <c r="E773" t="s">
        <v>311</v>
      </c>
    </row>
    <row r="774">
      <c r="A774" s="232" t="s">
        <v>1765</v>
      </c>
      <c r="B774" t="s">
        <v>1766</v>
      </c>
      <c r="C774">
        <v>7.0</v>
      </c>
      <c r="D774" t="s">
        <v>330</v>
      </c>
      <c r="E774" t="s">
        <v>311</v>
      </c>
    </row>
    <row r="775">
      <c r="A775" s="232" t="s">
        <v>1767</v>
      </c>
      <c r="B775" t="s">
        <v>1768</v>
      </c>
      <c r="C775">
        <v>0.0</v>
      </c>
      <c r="D775" t="s">
        <v>310</v>
      </c>
      <c r="E775" t="s">
        <v>311</v>
      </c>
    </row>
    <row r="776">
      <c r="A776" s="232" t="s">
        <v>1769</v>
      </c>
      <c r="B776" t="s">
        <v>1770</v>
      </c>
      <c r="C776">
        <v>0.0</v>
      </c>
      <c r="D776" t="s">
        <v>310</v>
      </c>
      <c r="E776" t="s">
        <v>311</v>
      </c>
    </row>
    <row r="777">
      <c r="A777" s="232" t="s">
        <v>1771</v>
      </c>
      <c r="B777" t="s">
        <v>1772</v>
      </c>
      <c r="C777">
        <v>0.0</v>
      </c>
      <c r="D777" t="s">
        <v>310</v>
      </c>
      <c r="E777" t="s">
        <v>311</v>
      </c>
    </row>
    <row r="778">
      <c r="A778" s="232" t="s">
        <v>1773</v>
      </c>
      <c r="B778" t="s">
        <v>1774</v>
      </c>
      <c r="C778">
        <v>0.0</v>
      </c>
      <c r="D778" t="s">
        <v>310</v>
      </c>
      <c r="E778" t="s">
        <v>311</v>
      </c>
    </row>
    <row r="779">
      <c r="A779" s="232" t="s">
        <v>1775</v>
      </c>
      <c r="B779" t="s">
        <v>1776</v>
      </c>
      <c r="C779">
        <v>0.0</v>
      </c>
      <c r="D779" t="s">
        <v>310</v>
      </c>
      <c r="E779" t="s">
        <v>311</v>
      </c>
    </row>
    <row r="780">
      <c r="A780" s="232" t="s">
        <v>1777</v>
      </c>
      <c r="B780" t="s">
        <v>1778</v>
      </c>
      <c r="C780">
        <v>18.0</v>
      </c>
      <c r="D780" t="s">
        <v>330</v>
      </c>
      <c r="E780" t="s">
        <v>311</v>
      </c>
    </row>
    <row r="781">
      <c r="A781" s="232" t="s">
        <v>1779</v>
      </c>
      <c r="B781" t="s">
        <v>1780</v>
      </c>
      <c r="C781">
        <v>0.0</v>
      </c>
      <c r="D781" t="s">
        <v>310</v>
      </c>
      <c r="E781" t="s">
        <v>311</v>
      </c>
    </row>
    <row r="782">
      <c r="A782" s="232" t="s">
        <v>1781</v>
      </c>
      <c r="B782" t="s">
        <v>1782</v>
      </c>
      <c r="C782">
        <v>0.0</v>
      </c>
      <c r="D782" t="s">
        <v>310</v>
      </c>
      <c r="E782" t="s">
        <v>311</v>
      </c>
    </row>
    <row r="783">
      <c r="A783" s="232" t="s">
        <v>1783</v>
      </c>
      <c r="B783" t="s">
        <v>1784</v>
      </c>
      <c r="C783">
        <v>0.0</v>
      </c>
      <c r="D783" t="s">
        <v>310</v>
      </c>
      <c r="E783" t="s">
        <v>311</v>
      </c>
    </row>
    <row r="784">
      <c r="A784" s="232" t="s">
        <v>1785</v>
      </c>
      <c r="B784" t="s">
        <v>1786</v>
      </c>
      <c r="C784">
        <v>0.0</v>
      </c>
      <c r="D784" t="s">
        <v>310</v>
      </c>
      <c r="E784" t="s">
        <v>311</v>
      </c>
    </row>
    <row r="785">
      <c r="A785" s="232" t="s">
        <v>1787</v>
      </c>
      <c r="B785" t="s">
        <v>1788</v>
      </c>
      <c r="C785">
        <v>0.0</v>
      </c>
      <c r="D785" t="s">
        <v>310</v>
      </c>
      <c r="E785" t="s">
        <v>311</v>
      </c>
    </row>
    <row r="786">
      <c r="A786" s="232" t="s">
        <v>1789</v>
      </c>
      <c r="B786" t="s">
        <v>1790</v>
      </c>
      <c r="C786">
        <v>0.0</v>
      </c>
      <c r="D786" t="s">
        <v>310</v>
      </c>
      <c r="E786" t="s">
        <v>311</v>
      </c>
    </row>
    <row r="787">
      <c r="A787" s="232" t="s">
        <v>1791</v>
      </c>
      <c r="B787" t="s">
        <v>1792</v>
      </c>
      <c r="C787">
        <v>0.0</v>
      </c>
      <c r="D787" t="s">
        <v>310</v>
      </c>
      <c r="E787" t="s">
        <v>311</v>
      </c>
    </row>
    <row r="788">
      <c r="A788" s="232" t="s">
        <v>1793</v>
      </c>
      <c r="B788" t="s">
        <v>1794</v>
      </c>
      <c r="C788">
        <v>0.0</v>
      </c>
      <c r="D788" t="s">
        <v>310</v>
      </c>
      <c r="E788" t="s">
        <v>311</v>
      </c>
    </row>
    <row r="789">
      <c r="A789" s="232" t="s">
        <v>1795</v>
      </c>
      <c r="B789" t="s">
        <v>1796</v>
      </c>
      <c r="C789">
        <v>0.0</v>
      </c>
      <c r="D789" t="s">
        <v>310</v>
      </c>
      <c r="E789" t="s">
        <v>311</v>
      </c>
    </row>
    <row r="790">
      <c r="A790" s="232" t="s">
        <v>1797</v>
      </c>
      <c r="B790" t="s">
        <v>1798</v>
      </c>
      <c r="C790">
        <v>0.0</v>
      </c>
      <c r="D790" t="s">
        <v>310</v>
      </c>
      <c r="E790" t="s">
        <v>311</v>
      </c>
    </row>
    <row r="791">
      <c r="A791" s="232" t="s">
        <v>1799</v>
      </c>
      <c r="B791" t="s">
        <v>1800</v>
      </c>
      <c r="C791">
        <v>0.0</v>
      </c>
      <c r="D791" t="s">
        <v>330</v>
      </c>
      <c r="E791" t="s">
        <v>565</v>
      </c>
    </row>
    <row r="792">
      <c r="A792" s="232" t="s">
        <v>1801</v>
      </c>
      <c r="B792" t="s">
        <v>1802</v>
      </c>
      <c r="C792">
        <v>0.0</v>
      </c>
      <c r="D792" t="s">
        <v>330</v>
      </c>
      <c r="E792" t="s">
        <v>565</v>
      </c>
    </row>
    <row r="793">
      <c r="A793" s="232" t="s">
        <v>1803</v>
      </c>
      <c r="B793" t="s">
        <v>1804</v>
      </c>
      <c r="C793">
        <v>0.0</v>
      </c>
      <c r="D793" t="s">
        <v>330</v>
      </c>
      <c r="E793" t="s">
        <v>565</v>
      </c>
    </row>
    <row r="794">
      <c r="A794" s="232" t="s">
        <v>1805</v>
      </c>
      <c r="B794" t="s">
        <v>1806</v>
      </c>
      <c r="C794">
        <v>0.0</v>
      </c>
      <c r="D794" t="s">
        <v>330</v>
      </c>
      <c r="E794" t="s">
        <v>565</v>
      </c>
    </row>
    <row r="795">
      <c r="A795" s="232" t="s">
        <v>1807</v>
      </c>
      <c r="B795" t="s">
        <v>1808</v>
      </c>
      <c r="C795">
        <v>0.0</v>
      </c>
      <c r="D795" t="s">
        <v>330</v>
      </c>
      <c r="E795" t="s">
        <v>565</v>
      </c>
    </row>
    <row r="796">
      <c r="A796" s="232" t="s">
        <v>1809</v>
      </c>
      <c r="B796" t="s">
        <v>1810</v>
      </c>
      <c r="C796">
        <v>0.0</v>
      </c>
      <c r="D796" t="s">
        <v>330</v>
      </c>
      <c r="E796" t="s">
        <v>565</v>
      </c>
    </row>
    <row r="797">
      <c r="A797" s="232" t="s">
        <v>1811</v>
      </c>
      <c r="B797" t="s">
        <v>1812</v>
      </c>
      <c r="C797">
        <v>0.0</v>
      </c>
      <c r="D797" t="s">
        <v>330</v>
      </c>
      <c r="E797" t="s">
        <v>565</v>
      </c>
    </row>
    <row r="798">
      <c r="A798" s="232" t="s">
        <v>1813</v>
      </c>
      <c r="B798" t="s">
        <v>1814</v>
      </c>
      <c r="C798">
        <v>0.0</v>
      </c>
      <c r="D798" t="s">
        <v>310</v>
      </c>
      <c r="E798" t="s">
        <v>311</v>
      </c>
    </row>
    <row r="799">
      <c r="A799" s="232" t="s">
        <v>1815</v>
      </c>
      <c r="B799" t="s">
        <v>1816</v>
      </c>
      <c r="C799">
        <v>0.0</v>
      </c>
      <c r="D799" t="s">
        <v>310</v>
      </c>
      <c r="E799" t="s">
        <v>311</v>
      </c>
    </row>
    <row r="800">
      <c r="A800" s="232" t="s">
        <v>1817</v>
      </c>
      <c r="B800" t="s">
        <v>1818</v>
      </c>
      <c r="C800">
        <v>0.0</v>
      </c>
      <c r="D800" t="s">
        <v>310</v>
      </c>
      <c r="E800" t="s">
        <v>311</v>
      </c>
    </row>
    <row r="801">
      <c r="A801" s="232" t="s">
        <v>1819</v>
      </c>
      <c r="B801" t="s">
        <v>1820</v>
      </c>
      <c r="C801">
        <v>0.0</v>
      </c>
      <c r="D801" t="s">
        <v>310</v>
      </c>
      <c r="E801" t="s">
        <v>311</v>
      </c>
    </row>
    <row r="802">
      <c r="A802" s="232">
        <v>34801.0</v>
      </c>
      <c r="B802" t="s">
        <v>1821</v>
      </c>
      <c r="C802">
        <v>0.0</v>
      </c>
      <c r="D802" t="s">
        <v>310</v>
      </c>
      <c r="E802" t="s">
        <v>311</v>
      </c>
    </row>
    <row r="803">
      <c r="A803" s="232">
        <v>34802.0</v>
      </c>
      <c r="B803" t="s">
        <v>1822</v>
      </c>
      <c r="C803">
        <v>0.0</v>
      </c>
      <c r="D803" t="s">
        <v>310</v>
      </c>
      <c r="E803" t="s">
        <v>311</v>
      </c>
    </row>
    <row r="804">
      <c r="A804" s="232">
        <v>34803.0</v>
      </c>
      <c r="B804" t="s">
        <v>1823</v>
      </c>
      <c r="C804">
        <v>0.0</v>
      </c>
      <c r="D804" t="s">
        <v>310</v>
      </c>
      <c r="E804" t="s">
        <v>311</v>
      </c>
    </row>
    <row r="805">
      <c r="A805" s="232">
        <v>34804.0</v>
      </c>
      <c r="B805" t="s">
        <v>1824</v>
      </c>
      <c r="C805">
        <v>0.0</v>
      </c>
      <c r="D805" t="s">
        <v>310</v>
      </c>
      <c r="E805" t="s">
        <v>311</v>
      </c>
    </row>
    <row r="806">
      <c r="A806" s="232" t="s">
        <v>1825</v>
      </c>
      <c r="B806" t="s">
        <v>1826</v>
      </c>
      <c r="C806">
        <v>181.0</v>
      </c>
      <c r="D806" t="s">
        <v>310</v>
      </c>
      <c r="E806" t="s">
        <v>311</v>
      </c>
    </row>
    <row r="807">
      <c r="A807" s="232" t="s">
        <v>1827</v>
      </c>
      <c r="B807" t="s">
        <v>1828</v>
      </c>
      <c r="C807">
        <v>0.0</v>
      </c>
      <c r="D807" t="s">
        <v>310</v>
      </c>
      <c r="E807" t="s">
        <v>1208</v>
      </c>
    </row>
    <row r="808">
      <c r="A808" s="232">
        <v>92601.0</v>
      </c>
      <c r="B808" t="s">
        <v>1829</v>
      </c>
      <c r="C808">
        <v>0.0</v>
      </c>
      <c r="D808" t="s">
        <v>310</v>
      </c>
      <c r="E808" t="s">
        <v>311</v>
      </c>
    </row>
    <row r="809">
      <c r="A809" s="232">
        <v>92602.0</v>
      </c>
      <c r="B809" t="s">
        <v>1830</v>
      </c>
      <c r="C809">
        <v>0.0</v>
      </c>
      <c r="D809" t="s">
        <v>310</v>
      </c>
      <c r="E809" t="s">
        <v>311</v>
      </c>
    </row>
    <row r="810">
      <c r="A810" s="232">
        <v>92603.0</v>
      </c>
      <c r="B810" t="s">
        <v>1831</v>
      </c>
      <c r="C810">
        <v>0.0</v>
      </c>
      <c r="D810" t="s">
        <v>310</v>
      </c>
      <c r="E810" t="s">
        <v>311</v>
      </c>
    </row>
    <row r="811">
      <c r="A811" s="232">
        <v>92604.0</v>
      </c>
      <c r="B811" t="s">
        <v>1832</v>
      </c>
      <c r="C811">
        <v>0.0</v>
      </c>
      <c r="D811" t="s">
        <v>310</v>
      </c>
      <c r="E811" t="s">
        <v>311</v>
      </c>
    </row>
    <row r="812">
      <c r="A812" s="232">
        <v>92605.0</v>
      </c>
      <c r="B812" t="s">
        <v>1833</v>
      </c>
      <c r="C812">
        <v>0.0</v>
      </c>
      <c r="D812" t="s">
        <v>310</v>
      </c>
      <c r="E812" t="s">
        <v>311</v>
      </c>
    </row>
    <row r="813">
      <c r="A813" s="232">
        <v>92606.0</v>
      </c>
      <c r="B813" t="s">
        <v>1834</v>
      </c>
      <c r="C813">
        <v>0.0</v>
      </c>
      <c r="D813" t="s">
        <v>310</v>
      </c>
      <c r="E813" t="s">
        <v>311</v>
      </c>
    </row>
    <row r="814">
      <c r="A814" s="232">
        <v>92607.0</v>
      </c>
      <c r="B814" t="s">
        <v>1835</v>
      </c>
      <c r="C814">
        <v>0.0</v>
      </c>
      <c r="D814" t="s">
        <v>310</v>
      </c>
      <c r="E814" t="s">
        <v>311</v>
      </c>
    </row>
    <row r="815">
      <c r="A815" s="232">
        <v>92608.0</v>
      </c>
      <c r="B815" t="s">
        <v>1836</v>
      </c>
      <c r="C815">
        <v>0.0</v>
      </c>
      <c r="D815" t="s">
        <v>310</v>
      </c>
      <c r="E815" t="s">
        <v>311</v>
      </c>
    </row>
    <row r="816">
      <c r="A816" s="232">
        <v>92609.0</v>
      </c>
      <c r="B816" t="s">
        <v>1837</v>
      </c>
      <c r="C816">
        <v>0.0</v>
      </c>
      <c r="D816" t="s">
        <v>310</v>
      </c>
      <c r="E816" t="s">
        <v>311</v>
      </c>
    </row>
    <row r="817">
      <c r="A817" s="232">
        <v>92610.0</v>
      </c>
      <c r="B817" t="s">
        <v>1838</v>
      </c>
      <c r="C817">
        <v>0.0</v>
      </c>
      <c r="D817" t="s">
        <v>310</v>
      </c>
      <c r="E817" t="s">
        <v>311</v>
      </c>
    </row>
    <row r="818">
      <c r="A818" s="232">
        <v>92611.0</v>
      </c>
      <c r="B818" t="s">
        <v>1839</v>
      </c>
      <c r="C818">
        <v>0.0</v>
      </c>
      <c r="D818" t="s">
        <v>310</v>
      </c>
      <c r="E818" t="s">
        <v>311</v>
      </c>
    </row>
    <row r="819">
      <c r="A819" s="232">
        <v>92612.0</v>
      </c>
      <c r="B819" t="s">
        <v>1840</v>
      </c>
      <c r="C819">
        <v>0.0</v>
      </c>
      <c r="D819" t="s">
        <v>310</v>
      </c>
      <c r="E819" t="s">
        <v>311</v>
      </c>
    </row>
    <row r="820">
      <c r="A820" s="232">
        <v>92613.0</v>
      </c>
      <c r="B820" t="s">
        <v>1841</v>
      </c>
      <c r="C820">
        <v>0.0</v>
      </c>
      <c r="D820" t="s">
        <v>310</v>
      </c>
      <c r="E820" t="s">
        <v>311</v>
      </c>
    </row>
    <row r="821">
      <c r="A821" s="232">
        <v>92614.0</v>
      </c>
      <c r="B821" t="s">
        <v>1842</v>
      </c>
      <c r="C821">
        <v>0.0</v>
      </c>
      <c r="D821" t="s">
        <v>310</v>
      </c>
      <c r="E821" t="s">
        <v>311</v>
      </c>
    </row>
    <row r="822">
      <c r="A822" s="232">
        <v>92615.0</v>
      </c>
      <c r="B822" t="s">
        <v>1843</v>
      </c>
      <c r="C822">
        <v>0.0</v>
      </c>
      <c r="D822" t="s">
        <v>310</v>
      </c>
      <c r="E822" t="s">
        <v>311</v>
      </c>
    </row>
    <row r="823">
      <c r="A823" s="232">
        <v>92616.0</v>
      </c>
      <c r="B823" t="s">
        <v>1844</v>
      </c>
      <c r="C823">
        <v>0.0</v>
      </c>
      <c r="D823" t="s">
        <v>310</v>
      </c>
      <c r="E823" t="s">
        <v>311</v>
      </c>
    </row>
    <row r="824">
      <c r="A824" s="232">
        <v>92618.0</v>
      </c>
      <c r="B824" t="s">
        <v>1845</v>
      </c>
      <c r="C824">
        <v>0.0</v>
      </c>
      <c r="D824" t="s">
        <v>310</v>
      </c>
      <c r="E824" t="s">
        <v>311</v>
      </c>
    </row>
    <row r="825">
      <c r="A825" s="232">
        <v>92619.0</v>
      </c>
      <c r="B825" t="s">
        <v>1846</v>
      </c>
      <c r="C825">
        <v>0.0</v>
      </c>
      <c r="D825" t="s">
        <v>310</v>
      </c>
      <c r="E825" t="s">
        <v>311</v>
      </c>
    </row>
    <row r="826">
      <c r="A826" s="232">
        <v>92620.0</v>
      </c>
      <c r="B826" t="s">
        <v>1847</v>
      </c>
      <c r="C826">
        <v>0.0</v>
      </c>
      <c r="D826" t="s">
        <v>310</v>
      </c>
      <c r="E826" t="s">
        <v>311</v>
      </c>
    </row>
    <row r="827">
      <c r="A827" s="232">
        <v>92621.0</v>
      </c>
      <c r="B827" t="s">
        <v>1848</v>
      </c>
      <c r="C827">
        <v>0.0</v>
      </c>
      <c r="D827" t="s">
        <v>310</v>
      </c>
      <c r="E827" t="s">
        <v>311</v>
      </c>
    </row>
    <row r="828">
      <c r="A828" s="232">
        <v>92622.0</v>
      </c>
      <c r="B828" t="s">
        <v>1849</v>
      </c>
      <c r="C828">
        <v>0.0</v>
      </c>
      <c r="D828" t="s">
        <v>310</v>
      </c>
      <c r="E828" t="s">
        <v>311</v>
      </c>
    </row>
    <row r="829">
      <c r="A829" s="232">
        <v>92623.0</v>
      </c>
      <c r="B829" t="s">
        <v>1850</v>
      </c>
      <c r="C829">
        <v>0.0</v>
      </c>
      <c r="D829" t="s">
        <v>310</v>
      </c>
      <c r="E829" t="s">
        <v>311</v>
      </c>
    </row>
    <row r="830">
      <c r="A830" s="232">
        <v>92625.0</v>
      </c>
      <c r="B830" t="s">
        <v>1851</v>
      </c>
      <c r="C830">
        <v>0.0</v>
      </c>
      <c r="D830" t="s">
        <v>310</v>
      </c>
      <c r="E830" t="s">
        <v>311</v>
      </c>
    </row>
    <row r="831">
      <c r="A831" s="232">
        <v>92626.0</v>
      </c>
      <c r="B831" t="s">
        <v>1852</v>
      </c>
      <c r="C831">
        <v>0.0</v>
      </c>
      <c r="D831" t="s">
        <v>310</v>
      </c>
      <c r="E831" t="s">
        <v>311</v>
      </c>
    </row>
    <row r="832">
      <c r="A832" s="232" t="s">
        <v>1853</v>
      </c>
      <c r="B832" t="s">
        <v>1854</v>
      </c>
      <c r="C832">
        <v>0.0</v>
      </c>
      <c r="D832" t="s">
        <v>310</v>
      </c>
      <c r="E832" t="s">
        <v>311</v>
      </c>
    </row>
    <row r="833">
      <c r="A833" s="232" t="s">
        <v>1855</v>
      </c>
      <c r="B833" t="s">
        <v>1856</v>
      </c>
      <c r="C833">
        <v>465.0</v>
      </c>
      <c r="D833" t="s">
        <v>330</v>
      </c>
      <c r="E833" t="s">
        <v>311</v>
      </c>
    </row>
    <row r="834">
      <c r="A834" s="232" t="s">
        <v>1857</v>
      </c>
      <c r="B834" t="s">
        <v>1858</v>
      </c>
      <c r="C834">
        <v>354.0</v>
      </c>
      <c r="D834" t="s">
        <v>330</v>
      </c>
      <c r="E834" t="s">
        <v>311</v>
      </c>
    </row>
    <row r="835">
      <c r="A835" s="232" t="s">
        <v>1859</v>
      </c>
      <c r="B835" t="s">
        <v>1860</v>
      </c>
      <c r="C835">
        <v>204.0</v>
      </c>
      <c r="D835" t="s">
        <v>330</v>
      </c>
      <c r="E835" t="s">
        <v>311</v>
      </c>
    </row>
    <row r="836">
      <c r="A836" s="232" t="s">
        <v>1861</v>
      </c>
      <c r="B836" t="s">
        <v>1862</v>
      </c>
      <c r="C836">
        <v>360.0</v>
      </c>
      <c r="D836" t="s">
        <v>330</v>
      </c>
      <c r="E836" t="s">
        <v>311</v>
      </c>
    </row>
    <row r="837">
      <c r="A837" s="232" t="s">
        <v>1863</v>
      </c>
      <c r="B837" t="s">
        <v>1864</v>
      </c>
      <c r="C837">
        <v>192.0</v>
      </c>
      <c r="D837" t="s">
        <v>330</v>
      </c>
      <c r="E837" t="s">
        <v>311</v>
      </c>
    </row>
    <row r="838">
      <c r="A838" s="232" t="s">
        <v>1865</v>
      </c>
      <c r="B838" t="s">
        <v>1866</v>
      </c>
      <c r="C838">
        <v>90.0</v>
      </c>
      <c r="D838" t="s">
        <v>330</v>
      </c>
      <c r="E838" t="s">
        <v>311</v>
      </c>
    </row>
    <row r="839">
      <c r="A839" s="232" t="s">
        <v>1867</v>
      </c>
      <c r="B839" t="s">
        <v>1868</v>
      </c>
      <c r="C839">
        <v>0.0</v>
      </c>
      <c r="D839" t="s">
        <v>310</v>
      </c>
      <c r="E839" t="s">
        <v>311</v>
      </c>
    </row>
    <row r="840">
      <c r="A840" s="232" t="s">
        <v>1869</v>
      </c>
      <c r="B840" t="s">
        <v>1870</v>
      </c>
      <c r="C840">
        <v>0.0</v>
      </c>
      <c r="D840" t="s">
        <v>310</v>
      </c>
      <c r="E840" t="s">
        <v>311</v>
      </c>
    </row>
    <row r="841">
      <c r="A841" s="232" t="s">
        <v>1871</v>
      </c>
      <c r="B841" t="s">
        <v>1872</v>
      </c>
      <c r="C841">
        <v>204.0</v>
      </c>
      <c r="D841" t="s">
        <v>330</v>
      </c>
      <c r="E841" t="s">
        <v>311</v>
      </c>
    </row>
    <row r="842">
      <c r="A842" s="232" t="s">
        <v>1873</v>
      </c>
      <c r="B842" t="s">
        <v>1874</v>
      </c>
      <c r="C842">
        <v>0.0</v>
      </c>
      <c r="D842" t="s">
        <v>310</v>
      </c>
      <c r="E842" t="s">
        <v>311</v>
      </c>
    </row>
    <row r="843">
      <c r="A843" s="232" t="s">
        <v>1875</v>
      </c>
      <c r="B843" t="s">
        <v>1876</v>
      </c>
      <c r="C843">
        <v>0.0</v>
      </c>
      <c r="D843" t="s">
        <v>310</v>
      </c>
      <c r="E843" t="s">
        <v>311</v>
      </c>
    </row>
    <row r="844">
      <c r="A844" s="232" t="s">
        <v>1877</v>
      </c>
      <c r="B844" t="s">
        <v>1878</v>
      </c>
      <c r="C844">
        <v>276.0</v>
      </c>
      <c r="D844" t="s">
        <v>330</v>
      </c>
      <c r="E844" t="s">
        <v>311</v>
      </c>
    </row>
    <row r="845">
      <c r="A845" s="232" t="s">
        <v>1879</v>
      </c>
      <c r="B845" t="s">
        <v>1880</v>
      </c>
      <c r="C845">
        <v>0.0</v>
      </c>
      <c r="D845" t="s">
        <v>310</v>
      </c>
      <c r="E845" t="s">
        <v>311</v>
      </c>
    </row>
    <row r="846">
      <c r="A846" s="232" t="s">
        <v>1881</v>
      </c>
      <c r="B846" t="s">
        <v>1882</v>
      </c>
      <c r="C846">
        <v>0.0</v>
      </c>
      <c r="D846" t="s">
        <v>310</v>
      </c>
      <c r="E846" t="s">
        <v>311</v>
      </c>
    </row>
    <row r="847">
      <c r="A847" s="232" t="s">
        <v>1883</v>
      </c>
      <c r="B847" t="s">
        <v>1884</v>
      </c>
      <c r="C847">
        <v>-1.0</v>
      </c>
      <c r="D847" t="s">
        <v>330</v>
      </c>
      <c r="E847" t="s">
        <v>311</v>
      </c>
    </row>
    <row r="848">
      <c r="A848" s="232">
        <v>4301.0</v>
      </c>
      <c r="B848" t="s">
        <v>1885</v>
      </c>
      <c r="C848">
        <v>0.0</v>
      </c>
      <c r="D848" t="s">
        <v>310</v>
      </c>
      <c r="E848" t="s">
        <v>311</v>
      </c>
    </row>
    <row r="849">
      <c r="A849" s="232">
        <v>4302.0</v>
      </c>
      <c r="B849" t="s">
        <v>1886</v>
      </c>
      <c r="C849">
        <v>0.0</v>
      </c>
      <c r="D849" t="s">
        <v>310</v>
      </c>
      <c r="E849" t="s">
        <v>311</v>
      </c>
    </row>
    <row r="850">
      <c r="A850" s="232">
        <v>4303.0</v>
      </c>
      <c r="B850" t="s">
        <v>1887</v>
      </c>
      <c r="C850">
        <v>0.0</v>
      </c>
      <c r="D850" t="s">
        <v>310</v>
      </c>
      <c r="E850" t="s">
        <v>311</v>
      </c>
    </row>
    <row r="851">
      <c r="A851" s="232">
        <v>4305.0</v>
      </c>
      <c r="B851" t="s">
        <v>1888</v>
      </c>
      <c r="C851">
        <v>0.0</v>
      </c>
      <c r="D851" t="s">
        <v>310</v>
      </c>
      <c r="E851" t="s">
        <v>311</v>
      </c>
    </row>
    <row r="852">
      <c r="A852" s="232">
        <v>4304.0</v>
      </c>
      <c r="B852" t="s">
        <v>1889</v>
      </c>
      <c r="C852">
        <v>0.0</v>
      </c>
      <c r="D852" t="s">
        <v>310</v>
      </c>
      <c r="E852" t="s">
        <v>311</v>
      </c>
    </row>
    <row r="853">
      <c r="A853" s="232">
        <v>4306.0</v>
      </c>
      <c r="B853" t="s">
        <v>1890</v>
      </c>
      <c r="C853">
        <v>0.0</v>
      </c>
      <c r="D853" t="s">
        <v>310</v>
      </c>
      <c r="E853" t="s">
        <v>311</v>
      </c>
    </row>
    <row r="854">
      <c r="A854" s="232" t="s">
        <v>1891</v>
      </c>
      <c r="B854" t="s">
        <v>1892</v>
      </c>
      <c r="C854">
        <v>0.0</v>
      </c>
      <c r="D854" t="s">
        <v>310</v>
      </c>
      <c r="E854" t="s">
        <v>311</v>
      </c>
    </row>
    <row r="855">
      <c r="A855" s="232" t="s">
        <v>1893</v>
      </c>
      <c r="B855" t="s">
        <v>1894</v>
      </c>
      <c r="C855">
        <v>0.0</v>
      </c>
      <c r="D855" t="s">
        <v>310</v>
      </c>
      <c r="E855" t="s">
        <v>311</v>
      </c>
    </row>
    <row r="856">
      <c r="A856" s="232">
        <v>96801.0</v>
      </c>
      <c r="B856" t="s">
        <v>1895</v>
      </c>
      <c r="C856">
        <v>0.0</v>
      </c>
      <c r="D856" t="s">
        <v>310</v>
      </c>
      <c r="E856" t="s">
        <v>311</v>
      </c>
    </row>
    <row r="857">
      <c r="A857" s="232">
        <v>96803.0</v>
      </c>
      <c r="B857" t="s">
        <v>1896</v>
      </c>
      <c r="C857">
        <v>0.0</v>
      </c>
      <c r="D857" t="s">
        <v>310</v>
      </c>
      <c r="E857" t="s">
        <v>311</v>
      </c>
    </row>
    <row r="858">
      <c r="A858" s="232">
        <v>96802.0</v>
      </c>
      <c r="B858" t="s">
        <v>1897</v>
      </c>
      <c r="C858">
        <v>0.0</v>
      </c>
      <c r="D858" t="s">
        <v>310</v>
      </c>
      <c r="E858" t="s">
        <v>311</v>
      </c>
    </row>
    <row r="859">
      <c r="A859" s="232">
        <v>96805.0</v>
      </c>
      <c r="B859" t="s">
        <v>1898</v>
      </c>
      <c r="C859">
        <v>0.0</v>
      </c>
      <c r="D859" t="s">
        <v>310</v>
      </c>
      <c r="E859" t="s">
        <v>311</v>
      </c>
    </row>
    <row r="860">
      <c r="A860" s="232">
        <v>96804.0</v>
      </c>
      <c r="B860" t="s">
        <v>1899</v>
      </c>
      <c r="C860">
        <v>0.0</v>
      </c>
      <c r="D860" t="s">
        <v>310</v>
      </c>
      <c r="E860" t="s">
        <v>311</v>
      </c>
    </row>
    <row r="861">
      <c r="A861" s="232">
        <v>96806.0</v>
      </c>
      <c r="B861" t="s">
        <v>1900</v>
      </c>
      <c r="C861">
        <v>0.0</v>
      </c>
      <c r="D861" t="s">
        <v>310</v>
      </c>
      <c r="E861" t="s">
        <v>311</v>
      </c>
    </row>
    <row r="862">
      <c r="A862" s="232" t="s">
        <v>1901</v>
      </c>
      <c r="B862" t="s">
        <v>1902</v>
      </c>
      <c r="C862">
        <v>0.0</v>
      </c>
      <c r="D862" t="s">
        <v>310</v>
      </c>
      <c r="E862" t="s">
        <v>311</v>
      </c>
    </row>
    <row r="863">
      <c r="A863" s="232" t="s">
        <v>1903</v>
      </c>
      <c r="B863" t="s">
        <v>1904</v>
      </c>
      <c r="C863">
        <v>0.0</v>
      </c>
      <c r="D863" t="s">
        <v>310</v>
      </c>
      <c r="E863" t="s">
        <v>311</v>
      </c>
    </row>
    <row r="864">
      <c r="A864" s="232" t="s">
        <v>1905</v>
      </c>
      <c r="B864" t="s">
        <v>1906</v>
      </c>
      <c r="C864">
        <v>0.0</v>
      </c>
      <c r="D864" t="s">
        <v>310</v>
      </c>
      <c r="E864" t="s">
        <v>311</v>
      </c>
    </row>
    <row r="865">
      <c r="A865" s="232" t="s">
        <v>1907</v>
      </c>
      <c r="B865" t="s">
        <v>1908</v>
      </c>
      <c r="C865">
        <v>0.0</v>
      </c>
      <c r="D865" t="s">
        <v>330</v>
      </c>
      <c r="E865" t="s">
        <v>311</v>
      </c>
    </row>
    <row r="866">
      <c r="B866" t="s">
        <v>1909</v>
      </c>
      <c r="C866">
        <v>0.0</v>
      </c>
      <c r="D866" t="s">
        <v>310</v>
      </c>
      <c r="E866" t="s">
        <v>1208</v>
      </c>
    </row>
    <row r="867">
      <c r="A867" s="232">
        <v>43332.0</v>
      </c>
      <c r="B867" t="s">
        <v>1910</v>
      </c>
      <c r="C867">
        <v>0.0</v>
      </c>
      <c r="D867" t="s">
        <v>330</v>
      </c>
      <c r="E867" t="s">
        <v>311</v>
      </c>
    </row>
    <row r="868">
      <c r="A868" s="232">
        <v>43301.0</v>
      </c>
      <c r="B868" t="s">
        <v>1911</v>
      </c>
      <c r="C868">
        <v>0.0</v>
      </c>
      <c r="D868" t="s">
        <v>330</v>
      </c>
      <c r="E868" t="s">
        <v>311</v>
      </c>
    </row>
    <row r="869">
      <c r="A869" s="232">
        <v>43302.0</v>
      </c>
      <c r="B869" t="s">
        <v>1912</v>
      </c>
      <c r="C869">
        <v>0.0</v>
      </c>
      <c r="D869" t="s">
        <v>330</v>
      </c>
      <c r="E869" t="s">
        <v>311</v>
      </c>
    </row>
    <row r="870">
      <c r="A870" s="232">
        <v>43303.0</v>
      </c>
      <c r="B870" t="s">
        <v>1913</v>
      </c>
      <c r="C870">
        <v>0.0</v>
      </c>
      <c r="D870" t="s">
        <v>310</v>
      </c>
      <c r="E870" t="s">
        <v>311</v>
      </c>
    </row>
    <row r="871">
      <c r="A871" s="232">
        <v>43304.0</v>
      </c>
      <c r="B871" t="s">
        <v>1914</v>
      </c>
      <c r="C871">
        <v>0.0</v>
      </c>
      <c r="D871" t="s">
        <v>310</v>
      </c>
      <c r="E871" t="s">
        <v>311</v>
      </c>
    </row>
    <row r="872">
      <c r="A872" s="232">
        <v>992432.0</v>
      </c>
      <c r="B872" t="s">
        <v>1915</v>
      </c>
      <c r="C872">
        <v>297.0</v>
      </c>
      <c r="D872" t="s">
        <v>330</v>
      </c>
      <c r="E872" t="s">
        <v>311</v>
      </c>
    </row>
    <row r="873">
      <c r="A873" s="232">
        <v>992431.0</v>
      </c>
      <c r="B873" t="s">
        <v>1916</v>
      </c>
      <c r="C873">
        <v>335.0</v>
      </c>
      <c r="D873" t="s">
        <v>330</v>
      </c>
      <c r="E873" t="s">
        <v>311</v>
      </c>
    </row>
    <row r="874">
      <c r="A874" s="232">
        <v>41201.0</v>
      </c>
      <c r="B874" t="s">
        <v>1917</v>
      </c>
      <c r="C874">
        <v>0.0</v>
      </c>
      <c r="D874" t="s">
        <v>330</v>
      </c>
      <c r="E874" t="s">
        <v>311</v>
      </c>
    </row>
    <row r="875">
      <c r="A875" s="232">
        <v>41202.0</v>
      </c>
      <c r="B875" t="s">
        <v>1918</v>
      </c>
      <c r="C875">
        <v>0.0</v>
      </c>
      <c r="D875" t="s">
        <v>330</v>
      </c>
      <c r="E875" t="s">
        <v>311</v>
      </c>
    </row>
    <row r="876">
      <c r="A876" s="232">
        <v>41233.0</v>
      </c>
      <c r="B876" t="s">
        <v>1919</v>
      </c>
      <c r="C876">
        <v>0.0</v>
      </c>
      <c r="D876" t="s">
        <v>330</v>
      </c>
      <c r="E876" t="s">
        <v>311</v>
      </c>
    </row>
    <row r="877">
      <c r="A877" s="232">
        <v>41234.0</v>
      </c>
      <c r="B877" t="s">
        <v>1920</v>
      </c>
      <c r="C877">
        <v>0.0</v>
      </c>
      <c r="D877" t="s">
        <v>330</v>
      </c>
      <c r="E877" t="s">
        <v>311</v>
      </c>
    </row>
    <row r="878">
      <c r="A878" s="232">
        <v>41205.0</v>
      </c>
      <c r="B878" t="s">
        <v>1921</v>
      </c>
      <c r="C878">
        <v>0.0</v>
      </c>
      <c r="D878" t="s">
        <v>330</v>
      </c>
      <c r="E878" t="s">
        <v>311</v>
      </c>
    </row>
    <row r="879">
      <c r="A879" s="232">
        <v>41203.0</v>
      </c>
      <c r="B879" t="s">
        <v>1922</v>
      </c>
      <c r="C879">
        <v>0.0</v>
      </c>
      <c r="D879" t="s">
        <v>310</v>
      </c>
      <c r="E879" t="s">
        <v>311</v>
      </c>
    </row>
    <row r="880">
      <c r="A880" s="232">
        <v>41204.0</v>
      </c>
      <c r="B880" t="s">
        <v>1923</v>
      </c>
      <c r="C880">
        <v>0.0</v>
      </c>
      <c r="D880" t="s">
        <v>310</v>
      </c>
      <c r="E880" t="s">
        <v>311</v>
      </c>
    </row>
    <row r="881">
      <c r="A881" s="232" t="s">
        <v>1924</v>
      </c>
      <c r="B881" t="s">
        <v>1925</v>
      </c>
      <c r="C881">
        <v>0.0</v>
      </c>
      <c r="D881" t="s">
        <v>310</v>
      </c>
      <c r="E881" t="s">
        <v>311</v>
      </c>
    </row>
    <row r="882">
      <c r="A882" s="232" t="s">
        <v>1926</v>
      </c>
      <c r="B882" t="s">
        <v>1927</v>
      </c>
      <c r="C882">
        <v>0.0</v>
      </c>
      <c r="D882" t="s">
        <v>310</v>
      </c>
      <c r="E882" t="s">
        <v>311</v>
      </c>
    </row>
    <row r="883">
      <c r="A883" s="232">
        <v>79602.0</v>
      </c>
      <c r="B883" t="s">
        <v>1928</v>
      </c>
      <c r="C883">
        <v>96.0</v>
      </c>
      <c r="D883" t="s">
        <v>330</v>
      </c>
      <c r="E883" t="s">
        <v>311</v>
      </c>
    </row>
    <row r="884">
      <c r="A884" s="232">
        <v>79605.0</v>
      </c>
      <c r="B884" t="s">
        <v>1929</v>
      </c>
      <c r="C884">
        <v>93.0</v>
      </c>
      <c r="D884" t="s">
        <v>330</v>
      </c>
      <c r="E884" t="s">
        <v>311</v>
      </c>
    </row>
    <row r="885">
      <c r="A885" s="232">
        <v>79603.0</v>
      </c>
      <c r="B885" t="s">
        <v>1930</v>
      </c>
      <c r="C885">
        <v>95.0</v>
      </c>
      <c r="D885" t="s">
        <v>330</v>
      </c>
      <c r="E885" t="s">
        <v>311</v>
      </c>
    </row>
    <row r="886">
      <c r="A886" s="232">
        <v>79604.0</v>
      </c>
      <c r="B886" t="s">
        <v>1931</v>
      </c>
      <c r="C886">
        <v>0.0</v>
      </c>
      <c r="D886" t="s">
        <v>330</v>
      </c>
      <c r="E886" t="s">
        <v>311</v>
      </c>
    </row>
    <row r="887">
      <c r="A887" s="232">
        <v>79606.0</v>
      </c>
      <c r="B887" t="s">
        <v>1932</v>
      </c>
      <c r="C887">
        <v>100.0</v>
      </c>
      <c r="D887" t="s">
        <v>330</v>
      </c>
      <c r="E887" t="s">
        <v>311</v>
      </c>
    </row>
    <row r="888">
      <c r="A888" s="232">
        <v>79601.0</v>
      </c>
      <c r="B888" t="s">
        <v>1933</v>
      </c>
      <c r="C888">
        <v>124.0</v>
      </c>
      <c r="D888" t="s">
        <v>330</v>
      </c>
      <c r="E888" t="s">
        <v>311</v>
      </c>
    </row>
    <row r="889">
      <c r="A889" s="232" t="s">
        <v>1934</v>
      </c>
      <c r="B889" t="s">
        <v>1935</v>
      </c>
      <c r="C889">
        <v>125.0</v>
      </c>
      <c r="D889" t="s">
        <v>330</v>
      </c>
      <c r="E889" t="s">
        <v>311</v>
      </c>
    </row>
    <row r="890">
      <c r="A890" s="232" t="s">
        <v>1936</v>
      </c>
      <c r="B890" t="s">
        <v>1937</v>
      </c>
      <c r="C890">
        <v>1.0</v>
      </c>
      <c r="D890" t="s">
        <v>330</v>
      </c>
      <c r="E890" t="s">
        <v>565</v>
      </c>
    </row>
    <row r="891">
      <c r="A891" s="232">
        <v>40601.0</v>
      </c>
      <c r="B891" t="s">
        <v>1938</v>
      </c>
      <c r="C891">
        <v>0.0</v>
      </c>
      <c r="D891" t="s">
        <v>310</v>
      </c>
      <c r="E891" t="s">
        <v>311</v>
      </c>
    </row>
    <row r="892">
      <c r="A892" s="232">
        <v>40602.0</v>
      </c>
      <c r="B892" t="s">
        <v>1939</v>
      </c>
      <c r="C892">
        <v>0.0</v>
      </c>
      <c r="D892" t="s">
        <v>310</v>
      </c>
      <c r="E892" t="s">
        <v>311</v>
      </c>
    </row>
    <row r="893">
      <c r="A893" s="232">
        <v>40603.0</v>
      </c>
      <c r="B893" t="s">
        <v>1940</v>
      </c>
      <c r="C893">
        <v>0.0</v>
      </c>
      <c r="D893" t="s">
        <v>310</v>
      </c>
      <c r="E893" t="s">
        <v>311</v>
      </c>
    </row>
    <row r="894">
      <c r="A894" s="232">
        <v>40604.0</v>
      </c>
      <c r="B894" t="s">
        <v>1941</v>
      </c>
      <c r="C894">
        <v>0.0</v>
      </c>
      <c r="D894" t="s">
        <v>310</v>
      </c>
      <c r="E894" t="s">
        <v>311</v>
      </c>
    </row>
    <row r="895">
      <c r="A895" s="232" t="s">
        <v>1942</v>
      </c>
      <c r="B895" t="s">
        <v>1943</v>
      </c>
      <c r="C895">
        <v>0.0</v>
      </c>
      <c r="D895" t="s">
        <v>310</v>
      </c>
      <c r="E895" t="s">
        <v>311</v>
      </c>
    </row>
    <row r="896">
      <c r="A896" s="232" t="s">
        <v>1944</v>
      </c>
      <c r="B896" t="s">
        <v>1945</v>
      </c>
      <c r="C896">
        <v>0.0</v>
      </c>
      <c r="D896" t="s">
        <v>310</v>
      </c>
      <c r="E896" t="s">
        <v>311</v>
      </c>
    </row>
    <row r="897">
      <c r="A897" s="232">
        <v>43203.0</v>
      </c>
      <c r="B897" t="s">
        <v>1946</v>
      </c>
      <c r="C897">
        <v>0.0</v>
      </c>
      <c r="D897" t="s">
        <v>330</v>
      </c>
      <c r="E897" t="s">
        <v>311</v>
      </c>
    </row>
    <row r="898">
      <c r="A898" s="232">
        <v>43232.0</v>
      </c>
      <c r="B898" t="s">
        <v>1947</v>
      </c>
      <c r="C898">
        <v>27.0</v>
      </c>
      <c r="D898" t="s">
        <v>330</v>
      </c>
      <c r="E898" t="s">
        <v>311</v>
      </c>
    </row>
    <row r="899">
      <c r="A899" s="232">
        <v>43206.0</v>
      </c>
      <c r="B899" t="s">
        <v>1948</v>
      </c>
      <c r="C899">
        <v>0.0</v>
      </c>
      <c r="D899" t="s">
        <v>310</v>
      </c>
      <c r="E899" t="s">
        <v>311</v>
      </c>
    </row>
    <row r="900">
      <c r="A900" s="232">
        <v>43234.0</v>
      </c>
      <c r="B900" t="s">
        <v>1949</v>
      </c>
      <c r="C900">
        <v>0.0</v>
      </c>
      <c r="D900" t="s">
        <v>310</v>
      </c>
      <c r="E900" t="s">
        <v>311</v>
      </c>
    </row>
    <row r="901">
      <c r="A901" s="232">
        <v>43215.0</v>
      </c>
      <c r="B901" t="s">
        <v>1950</v>
      </c>
      <c r="C901">
        <v>0.0</v>
      </c>
      <c r="D901" t="s">
        <v>310</v>
      </c>
      <c r="E901" t="s">
        <v>311</v>
      </c>
    </row>
    <row r="902">
      <c r="A902" s="232">
        <v>43213.0</v>
      </c>
      <c r="B902" t="s">
        <v>1951</v>
      </c>
      <c r="C902">
        <v>45.0</v>
      </c>
      <c r="D902" t="s">
        <v>330</v>
      </c>
      <c r="E902" t="s">
        <v>311</v>
      </c>
    </row>
    <row r="903">
      <c r="A903" s="232">
        <v>43212.0</v>
      </c>
      <c r="B903" t="s">
        <v>1952</v>
      </c>
      <c r="C903">
        <v>0.0</v>
      </c>
      <c r="D903" t="s">
        <v>310</v>
      </c>
      <c r="E903" t="s">
        <v>311</v>
      </c>
    </row>
    <row r="904">
      <c r="A904" s="232">
        <v>43245.0</v>
      </c>
      <c r="B904" t="s">
        <v>1953</v>
      </c>
      <c r="C904">
        <v>0.0</v>
      </c>
      <c r="D904" t="s">
        <v>310</v>
      </c>
      <c r="E904" t="s">
        <v>311</v>
      </c>
    </row>
    <row r="905">
      <c r="A905" s="232">
        <v>43205.0</v>
      </c>
      <c r="B905" t="s">
        <v>1954</v>
      </c>
      <c r="C905">
        <v>0.0</v>
      </c>
      <c r="D905" t="s">
        <v>310</v>
      </c>
      <c r="E905" t="s">
        <v>311</v>
      </c>
    </row>
    <row r="906">
      <c r="A906" s="232">
        <v>43204.0</v>
      </c>
      <c r="B906" t="s">
        <v>1955</v>
      </c>
      <c r="C906">
        <v>58.0</v>
      </c>
      <c r="D906" t="s">
        <v>330</v>
      </c>
      <c r="E906" t="s">
        <v>311</v>
      </c>
    </row>
    <row r="907">
      <c r="A907" s="232">
        <v>43201.0</v>
      </c>
      <c r="B907" t="s">
        <v>1956</v>
      </c>
      <c r="C907">
        <v>0.0</v>
      </c>
      <c r="D907" t="s">
        <v>330</v>
      </c>
      <c r="E907" t="s">
        <v>311</v>
      </c>
    </row>
    <row r="908">
      <c r="A908" s="232" t="s">
        <v>1957</v>
      </c>
      <c r="B908" t="s">
        <v>1958</v>
      </c>
      <c r="C908">
        <v>0.0</v>
      </c>
      <c r="D908" t="s">
        <v>310</v>
      </c>
      <c r="E908" t="s">
        <v>311</v>
      </c>
    </row>
    <row r="909">
      <c r="A909" s="232">
        <v>40902.0</v>
      </c>
      <c r="B909" t="s">
        <v>1959</v>
      </c>
      <c r="C909">
        <v>0.0</v>
      </c>
      <c r="D909" t="s">
        <v>310</v>
      </c>
      <c r="E909" t="s">
        <v>311</v>
      </c>
    </row>
    <row r="910">
      <c r="A910" s="232">
        <v>40904.0</v>
      </c>
      <c r="B910" t="s">
        <v>1960</v>
      </c>
      <c r="C910">
        <v>6.0</v>
      </c>
      <c r="D910" t="s">
        <v>330</v>
      </c>
      <c r="E910" t="s">
        <v>311</v>
      </c>
    </row>
    <row r="911">
      <c r="A911" s="232">
        <v>40903.0</v>
      </c>
      <c r="B911" t="s">
        <v>1961</v>
      </c>
      <c r="C911">
        <v>0.0</v>
      </c>
      <c r="D911" t="s">
        <v>310</v>
      </c>
      <c r="E911" t="s">
        <v>311</v>
      </c>
    </row>
    <row r="912">
      <c r="A912" s="232">
        <v>40901.0</v>
      </c>
      <c r="B912" t="s">
        <v>1962</v>
      </c>
      <c r="C912">
        <v>0.0</v>
      </c>
      <c r="D912" t="s">
        <v>310</v>
      </c>
      <c r="E912" t="s">
        <v>311</v>
      </c>
    </row>
    <row r="913">
      <c r="A913" s="232">
        <v>40905.0</v>
      </c>
      <c r="B913" t="s">
        <v>1963</v>
      </c>
      <c r="C913">
        <v>0.0</v>
      </c>
      <c r="D913" t="s">
        <v>310</v>
      </c>
      <c r="E913" t="s">
        <v>311</v>
      </c>
    </row>
    <row r="914">
      <c r="A914" s="232" t="s">
        <v>1964</v>
      </c>
      <c r="B914" t="s">
        <v>1965</v>
      </c>
      <c r="C914">
        <v>0.0</v>
      </c>
      <c r="D914" t="s">
        <v>310</v>
      </c>
      <c r="E914" t="s">
        <v>311</v>
      </c>
    </row>
    <row r="915">
      <c r="A915" s="232" t="s">
        <v>1966</v>
      </c>
      <c r="B915" t="s">
        <v>1967</v>
      </c>
      <c r="C915">
        <v>0.0</v>
      </c>
      <c r="D915" t="s">
        <v>310</v>
      </c>
      <c r="E915" t="s">
        <v>311</v>
      </c>
    </row>
    <row r="916">
      <c r="A916" s="232">
        <v>43110.0</v>
      </c>
      <c r="B916" t="s">
        <v>1968</v>
      </c>
      <c r="C916">
        <v>6.0</v>
      </c>
      <c r="D916" t="s">
        <v>330</v>
      </c>
      <c r="E916" t="s">
        <v>311</v>
      </c>
    </row>
    <row r="917">
      <c r="A917" s="232">
        <v>43133.0</v>
      </c>
      <c r="B917" t="s">
        <v>1969</v>
      </c>
      <c r="C917">
        <v>42.0</v>
      </c>
      <c r="D917" t="s">
        <v>330</v>
      </c>
      <c r="E917" t="s">
        <v>311</v>
      </c>
    </row>
    <row r="918">
      <c r="A918" s="232">
        <v>43150.0</v>
      </c>
      <c r="B918" t="s">
        <v>1970</v>
      </c>
      <c r="C918">
        <v>66.0</v>
      </c>
      <c r="D918" t="s">
        <v>330</v>
      </c>
      <c r="E918" t="s">
        <v>311</v>
      </c>
    </row>
    <row r="919">
      <c r="A919" s="232">
        <v>43134.0</v>
      </c>
      <c r="B919" t="s">
        <v>1971</v>
      </c>
      <c r="C919">
        <v>45.0</v>
      </c>
      <c r="D919" t="s">
        <v>330</v>
      </c>
      <c r="E919" t="s">
        <v>311</v>
      </c>
    </row>
    <row r="920">
      <c r="A920" s="232">
        <v>43145.0</v>
      </c>
      <c r="B920" t="s">
        <v>1972</v>
      </c>
      <c r="C920">
        <v>91.0</v>
      </c>
      <c r="D920" t="s">
        <v>330</v>
      </c>
      <c r="E920" t="s">
        <v>311</v>
      </c>
    </row>
    <row r="921">
      <c r="A921" s="232">
        <v>43108.0</v>
      </c>
      <c r="B921" t="s">
        <v>1973</v>
      </c>
      <c r="C921">
        <v>0.0</v>
      </c>
      <c r="D921" t="s">
        <v>310</v>
      </c>
      <c r="E921" t="s">
        <v>311</v>
      </c>
    </row>
    <row r="922">
      <c r="A922" s="232">
        <v>43111.0</v>
      </c>
      <c r="B922" t="s">
        <v>1974</v>
      </c>
      <c r="C922">
        <v>81.0</v>
      </c>
      <c r="D922" t="s">
        <v>330</v>
      </c>
      <c r="E922" t="s">
        <v>311</v>
      </c>
    </row>
    <row r="923">
      <c r="A923" s="232">
        <v>43101.0</v>
      </c>
      <c r="B923" t="s">
        <v>1975</v>
      </c>
      <c r="C923">
        <v>104.0</v>
      </c>
      <c r="D923" t="s">
        <v>330</v>
      </c>
      <c r="E923" t="s">
        <v>311</v>
      </c>
    </row>
    <row r="924">
      <c r="A924" s="232">
        <v>43103.0</v>
      </c>
      <c r="B924" t="s">
        <v>1976</v>
      </c>
      <c r="C924">
        <v>0.0</v>
      </c>
      <c r="D924" t="s">
        <v>310</v>
      </c>
      <c r="E924" t="s">
        <v>311</v>
      </c>
    </row>
    <row r="925">
      <c r="A925" s="232">
        <v>43106.0</v>
      </c>
      <c r="B925" t="s">
        <v>1977</v>
      </c>
      <c r="C925">
        <v>36.0</v>
      </c>
      <c r="D925" t="s">
        <v>330</v>
      </c>
      <c r="E925" t="s">
        <v>311</v>
      </c>
    </row>
    <row r="926">
      <c r="A926" s="232">
        <v>43105.0</v>
      </c>
      <c r="B926" t="s">
        <v>1978</v>
      </c>
      <c r="C926">
        <v>78.0</v>
      </c>
      <c r="D926" t="s">
        <v>330</v>
      </c>
      <c r="E926" t="s">
        <v>311</v>
      </c>
    </row>
    <row r="927">
      <c r="A927" s="232">
        <v>43104.0</v>
      </c>
      <c r="B927" t="s">
        <v>1979</v>
      </c>
      <c r="C927">
        <v>42.0</v>
      </c>
      <c r="D927" t="s">
        <v>330</v>
      </c>
      <c r="E927" t="s">
        <v>311</v>
      </c>
    </row>
    <row r="928">
      <c r="A928" s="232">
        <v>43112.0</v>
      </c>
      <c r="B928" t="s">
        <v>1980</v>
      </c>
      <c r="C928">
        <v>161.0</v>
      </c>
      <c r="D928" t="s">
        <v>330</v>
      </c>
      <c r="E928" t="s">
        <v>311</v>
      </c>
    </row>
    <row r="929">
      <c r="A929" s="232">
        <v>43107.0</v>
      </c>
      <c r="B929" t="s">
        <v>1981</v>
      </c>
      <c r="C929">
        <v>105.0</v>
      </c>
      <c r="D929" t="s">
        <v>330</v>
      </c>
      <c r="E929" t="s">
        <v>311</v>
      </c>
    </row>
    <row r="930">
      <c r="A930" s="232" t="s">
        <v>1982</v>
      </c>
      <c r="B930" t="s">
        <v>1983</v>
      </c>
      <c r="C930">
        <v>0.0</v>
      </c>
      <c r="D930" t="s">
        <v>310</v>
      </c>
      <c r="E930" t="s">
        <v>311</v>
      </c>
    </row>
    <row r="931">
      <c r="A931" s="232">
        <v>40701.0</v>
      </c>
      <c r="B931" t="s">
        <v>1984</v>
      </c>
      <c r="C931">
        <v>0.0</v>
      </c>
      <c r="D931" t="s">
        <v>330</v>
      </c>
      <c r="E931" t="s">
        <v>311</v>
      </c>
    </row>
    <row r="932">
      <c r="A932" s="232">
        <v>40732.0</v>
      </c>
      <c r="B932" t="s">
        <v>1985</v>
      </c>
      <c r="C932">
        <v>0.0</v>
      </c>
      <c r="D932" t="s">
        <v>310</v>
      </c>
      <c r="E932" t="s">
        <v>311</v>
      </c>
    </row>
    <row r="933">
      <c r="A933" s="232">
        <v>40702.0</v>
      </c>
      <c r="B933" t="s">
        <v>1986</v>
      </c>
      <c r="C933">
        <v>0.0</v>
      </c>
      <c r="D933" t="s">
        <v>330</v>
      </c>
      <c r="E933" t="s">
        <v>311</v>
      </c>
    </row>
    <row r="934">
      <c r="A934" s="232">
        <v>40734.0</v>
      </c>
      <c r="B934" t="s">
        <v>1987</v>
      </c>
      <c r="C934">
        <v>0.0</v>
      </c>
      <c r="D934" t="s">
        <v>310</v>
      </c>
      <c r="E934" t="s">
        <v>311</v>
      </c>
    </row>
    <row r="935">
      <c r="A935" s="232">
        <v>40735.0</v>
      </c>
      <c r="B935" t="s">
        <v>1988</v>
      </c>
      <c r="C935">
        <v>0.0</v>
      </c>
      <c r="D935" t="s">
        <v>310</v>
      </c>
      <c r="E935" t="s">
        <v>311</v>
      </c>
    </row>
    <row r="936">
      <c r="A936" s="232">
        <v>40706.0</v>
      </c>
      <c r="B936" t="s">
        <v>1989</v>
      </c>
      <c r="C936">
        <v>0.0</v>
      </c>
      <c r="D936" t="s">
        <v>310</v>
      </c>
      <c r="E936" t="s">
        <v>311</v>
      </c>
    </row>
    <row r="937">
      <c r="A937" s="232">
        <v>40708.0</v>
      </c>
      <c r="B937" t="s">
        <v>1990</v>
      </c>
      <c r="C937">
        <v>0.0</v>
      </c>
      <c r="D937" t="s">
        <v>310</v>
      </c>
      <c r="E937" t="s">
        <v>311</v>
      </c>
    </row>
    <row r="938">
      <c r="A938" s="232">
        <v>40746.0</v>
      </c>
      <c r="B938" t="s">
        <v>1991</v>
      </c>
      <c r="C938">
        <v>0.0</v>
      </c>
      <c r="D938" t="s">
        <v>310</v>
      </c>
      <c r="E938" t="s">
        <v>311</v>
      </c>
    </row>
    <row r="939">
      <c r="A939" s="232">
        <v>40703.0</v>
      </c>
      <c r="B939" t="s">
        <v>1992</v>
      </c>
      <c r="C939">
        <v>0.0</v>
      </c>
      <c r="D939" t="s">
        <v>310</v>
      </c>
      <c r="E939" t="s">
        <v>311</v>
      </c>
    </row>
    <row r="940">
      <c r="A940" s="232">
        <v>40704.0</v>
      </c>
      <c r="B940" t="s">
        <v>1993</v>
      </c>
      <c r="C940">
        <v>0.0</v>
      </c>
      <c r="D940" t="s">
        <v>310</v>
      </c>
      <c r="E940" t="s">
        <v>311</v>
      </c>
    </row>
    <row r="941">
      <c r="A941" s="232">
        <v>40707.0</v>
      </c>
      <c r="B941" t="s">
        <v>1994</v>
      </c>
      <c r="C941">
        <v>0.0</v>
      </c>
      <c r="D941" t="s">
        <v>310</v>
      </c>
      <c r="E941" t="s">
        <v>311</v>
      </c>
    </row>
    <row r="942">
      <c r="A942" s="232">
        <v>40705.0</v>
      </c>
      <c r="B942" t="s">
        <v>1995</v>
      </c>
      <c r="C942">
        <v>0.0</v>
      </c>
      <c r="D942" t="s">
        <v>310</v>
      </c>
      <c r="E942" t="s">
        <v>311</v>
      </c>
    </row>
    <row r="943">
      <c r="A943" s="232" t="s">
        <v>1996</v>
      </c>
      <c r="B943" t="s">
        <v>1997</v>
      </c>
      <c r="C943">
        <v>0.0</v>
      </c>
      <c r="D943" t="s">
        <v>310</v>
      </c>
      <c r="E943" t="s">
        <v>311</v>
      </c>
    </row>
    <row r="944">
      <c r="A944" s="232" t="s">
        <v>1998</v>
      </c>
      <c r="B944" t="s">
        <v>1999</v>
      </c>
      <c r="C944">
        <v>0.0</v>
      </c>
      <c r="D944" t="s">
        <v>310</v>
      </c>
      <c r="E944" t="s">
        <v>311</v>
      </c>
    </row>
    <row r="945">
      <c r="A945" s="232">
        <v>43190.0</v>
      </c>
      <c r="B945" t="s">
        <v>2000</v>
      </c>
      <c r="C945">
        <v>0.0</v>
      </c>
      <c r="D945" t="s">
        <v>330</v>
      </c>
      <c r="E945" t="s">
        <v>311</v>
      </c>
    </row>
    <row r="946">
      <c r="A946" s="232" t="s">
        <v>2001</v>
      </c>
      <c r="B946" t="s">
        <v>2002</v>
      </c>
      <c r="C946">
        <v>0.0</v>
      </c>
      <c r="D946" t="s">
        <v>330</v>
      </c>
      <c r="E946" t="s">
        <v>311</v>
      </c>
    </row>
    <row r="947">
      <c r="A947" s="232">
        <v>53822.0</v>
      </c>
      <c r="B947" t="s">
        <v>2003</v>
      </c>
      <c r="C947">
        <v>0.0</v>
      </c>
      <c r="D947" t="s">
        <v>310</v>
      </c>
      <c r="E947" t="s">
        <v>311</v>
      </c>
    </row>
    <row r="948">
      <c r="A948" s="232">
        <v>53833.0</v>
      </c>
      <c r="B948" t="s">
        <v>2004</v>
      </c>
      <c r="C948">
        <v>21.0</v>
      </c>
      <c r="D948" t="s">
        <v>330</v>
      </c>
      <c r="E948" t="s">
        <v>311</v>
      </c>
    </row>
    <row r="949">
      <c r="A949" s="232">
        <v>53834.0</v>
      </c>
      <c r="B949" t="s">
        <v>2005</v>
      </c>
      <c r="C949">
        <v>65.0</v>
      </c>
      <c r="D949" t="s">
        <v>330</v>
      </c>
      <c r="E949" t="s">
        <v>311</v>
      </c>
    </row>
    <row r="950">
      <c r="A950" s="232">
        <v>53845.0</v>
      </c>
      <c r="B950" t="s">
        <v>2006</v>
      </c>
      <c r="C950">
        <v>87.0</v>
      </c>
      <c r="D950" t="s">
        <v>330</v>
      </c>
      <c r="E950" t="s">
        <v>311</v>
      </c>
    </row>
    <row r="951">
      <c r="A951" s="232">
        <v>53852.0</v>
      </c>
      <c r="B951" t="s">
        <v>2007</v>
      </c>
      <c r="C951">
        <v>6.0</v>
      </c>
      <c r="D951" t="s">
        <v>330</v>
      </c>
      <c r="E951" t="s">
        <v>311</v>
      </c>
    </row>
    <row r="952">
      <c r="A952" s="232" t="s">
        <v>2008</v>
      </c>
      <c r="B952" t="s">
        <v>2009</v>
      </c>
      <c r="C952">
        <v>1.0</v>
      </c>
      <c r="D952" t="s">
        <v>330</v>
      </c>
      <c r="E952" t="s">
        <v>311</v>
      </c>
    </row>
    <row r="953">
      <c r="A953" s="232">
        <v>40501.0</v>
      </c>
      <c r="B953" t="s">
        <v>2010</v>
      </c>
      <c r="C953">
        <v>0.0</v>
      </c>
      <c r="D953" t="s">
        <v>330</v>
      </c>
      <c r="E953" t="s">
        <v>311</v>
      </c>
    </row>
    <row r="954">
      <c r="A954" s="232">
        <v>40502.0</v>
      </c>
      <c r="B954" t="s">
        <v>2011</v>
      </c>
      <c r="C954">
        <v>0.0</v>
      </c>
      <c r="D954" t="s">
        <v>330</v>
      </c>
      <c r="E954" t="s">
        <v>311</v>
      </c>
    </row>
    <row r="955">
      <c r="A955" s="232">
        <v>40533.0</v>
      </c>
      <c r="B955" t="s">
        <v>2012</v>
      </c>
      <c r="C955">
        <v>10.0</v>
      </c>
      <c r="D955" t="s">
        <v>330</v>
      </c>
      <c r="E955" t="s">
        <v>311</v>
      </c>
    </row>
    <row r="956">
      <c r="A956" s="232">
        <v>40534.0</v>
      </c>
      <c r="B956" t="s">
        <v>2013</v>
      </c>
      <c r="C956">
        <v>0.0</v>
      </c>
      <c r="D956" t="s">
        <v>330</v>
      </c>
      <c r="E956" t="s">
        <v>311</v>
      </c>
    </row>
    <row r="957">
      <c r="A957" s="232">
        <v>40523.0</v>
      </c>
      <c r="B957" t="s">
        <v>2014</v>
      </c>
      <c r="C957">
        <v>0.0</v>
      </c>
      <c r="D957" t="s">
        <v>330</v>
      </c>
      <c r="E957" t="s">
        <v>311</v>
      </c>
    </row>
    <row r="958">
      <c r="A958" s="232">
        <v>40504.0</v>
      </c>
      <c r="B958" t="s">
        <v>2015</v>
      </c>
      <c r="C958">
        <v>0.0</v>
      </c>
      <c r="D958" t="s">
        <v>310</v>
      </c>
      <c r="E958" t="s">
        <v>311</v>
      </c>
    </row>
    <row r="959">
      <c r="A959" s="232">
        <v>40503.0</v>
      </c>
      <c r="B959" t="s">
        <v>2016</v>
      </c>
      <c r="C959">
        <v>0.0</v>
      </c>
      <c r="D959" t="s">
        <v>310</v>
      </c>
      <c r="E959" t="s">
        <v>311</v>
      </c>
    </row>
    <row r="960">
      <c r="A960" s="232" t="s">
        <v>2017</v>
      </c>
      <c r="B960" t="s">
        <v>2018</v>
      </c>
      <c r="C960">
        <v>0.0</v>
      </c>
      <c r="D960" t="s">
        <v>310</v>
      </c>
      <c r="E960" t="s">
        <v>311</v>
      </c>
    </row>
    <row r="961">
      <c r="A961" s="232" t="s">
        <v>2019</v>
      </c>
      <c r="B961" t="s">
        <v>2020</v>
      </c>
      <c r="C961">
        <v>1.0</v>
      </c>
      <c r="D961" t="s">
        <v>330</v>
      </c>
      <c r="E961" t="s">
        <v>311</v>
      </c>
    </row>
    <row r="962">
      <c r="A962" s="232">
        <v>43010.0</v>
      </c>
      <c r="B962" t="s">
        <v>2021</v>
      </c>
      <c r="C962">
        <v>0.0</v>
      </c>
      <c r="D962" t="s">
        <v>330</v>
      </c>
      <c r="E962" t="s">
        <v>311</v>
      </c>
    </row>
    <row r="963">
      <c r="A963" s="232">
        <v>43032.0</v>
      </c>
      <c r="B963" t="s">
        <v>2022</v>
      </c>
      <c r="C963">
        <v>127.0</v>
      </c>
      <c r="D963" t="s">
        <v>330</v>
      </c>
      <c r="E963" t="s">
        <v>311</v>
      </c>
    </row>
    <row r="964">
      <c r="A964" s="232">
        <v>43011.0</v>
      </c>
      <c r="B964" t="s">
        <v>2023</v>
      </c>
      <c r="C964">
        <v>0.0</v>
      </c>
      <c r="D964" t="s">
        <v>310</v>
      </c>
      <c r="E964" t="s">
        <v>311</v>
      </c>
    </row>
    <row r="965">
      <c r="A965" s="232">
        <v>43033.0</v>
      </c>
      <c r="B965" t="s">
        <v>2024</v>
      </c>
      <c r="C965">
        <v>133.0</v>
      </c>
      <c r="D965" t="s">
        <v>330</v>
      </c>
      <c r="E965" t="s">
        <v>311</v>
      </c>
    </row>
    <row r="966">
      <c r="A966" s="232">
        <v>43034.0</v>
      </c>
      <c r="B966" t="s">
        <v>2025</v>
      </c>
      <c r="C966">
        <v>145.0</v>
      </c>
      <c r="D966" t="s">
        <v>330</v>
      </c>
      <c r="E966" t="s">
        <v>311</v>
      </c>
    </row>
    <row r="967">
      <c r="A967" s="232">
        <v>43008.0</v>
      </c>
      <c r="B967" t="s">
        <v>2026</v>
      </c>
      <c r="C967">
        <v>0.0</v>
      </c>
      <c r="D967" t="s">
        <v>310</v>
      </c>
      <c r="E967" t="s">
        <v>311</v>
      </c>
    </row>
    <row r="968">
      <c r="A968" s="232">
        <v>43001.0</v>
      </c>
      <c r="B968" t="s">
        <v>2027</v>
      </c>
      <c r="C968">
        <v>1.0</v>
      </c>
      <c r="D968" t="s">
        <v>330</v>
      </c>
      <c r="E968" t="s">
        <v>311</v>
      </c>
    </row>
    <row r="969">
      <c r="A969" s="232">
        <v>43003.0</v>
      </c>
      <c r="B969" t="s">
        <v>2028</v>
      </c>
      <c r="C969">
        <v>143.0</v>
      </c>
      <c r="D969" t="s">
        <v>330</v>
      </c>
      <c r="E969" t="s">
        <v>311</v>
      </c>
    </row>
    <row r="970">
      <c r="A970" s="232">
        <v>43006.0</v>
      </c>
      <c r="B970" t="s">
        <v>2029</v>
      </c>
      <c r="C970">
        <v>0.0</v>
      </c>
      <c r="D970" t="s">
        <v>310</v>
      </c>
      <c r="E970" t="s">
        <v>311</v>
      </c>
    </row>
    <row r="971">
      <c r="A971" s="232">
        <v>43004.0</v>
      </c>
      <c r="B971" t="s">
        <v>2030</v>
      </c>
      <c r="C971">
        <v>148.0</v>
      </c>
      <c r="D971" t="s">
        <v>330</v>
      </c>
      <c r="E971" t="s">
        <v>311</v>
      </c>
    </row>
    <row r="972">
      <c r="A972" s="232">
        <v>43012.0</v>
      </c>
      <c r="B972" t="s">
        <v>2031</v>
      </c>
      <c r="C972">
        <v>36.0</v>
      </c>
      <c r="D972" t="s">
        <v>330</v>
      </c>
      <c r="E972" t="s">
        <v>311</v>
      </c>
    </row>
    <row r="973">
      <c r="A973" s="232" t="s">
        <v>2032</v>
      </c>
      <c r="B973" t="s">
        <v>2033</v>
      </c>
      <c r="C973">
        <v>0.0</v>
      </c>
      <c r="D973" t="s">
        <v>330</v>
      </c>
      <c r="E973" t="s">
        <v>311</v>
      </c>
    </row>
    <row r="974">
      <c r="A974" s="232" t="s">
        <v>2034</v>
      </c>
      <c r="B974" t="s">
        <v>2035</v>
      </c>
      <c r="C974">
        <v>0.0</v>
      </c>
      <c r="D974" t="s">
        <v>330</v>
      </c>
      <c r="E974" t="s">
        <v>311</v>
      </c>
    </row>
    <row r="975">
      <c r="A975" s="232">
        <v>992412.0</v>
      </c>
      <c r="B975" t="s">
        <v>2036</v>
      </c>
      <c r="C975">
        <v>40.0</v>
      </c>
      <c r="D975" t="s">
        <v>310</v>
      </c>
      <c r="E975" t="s">
        <v>311</v>
      </c>
    </row>
    <row r="976">
      <c r="A976" s="232">
        <v>992401.0</v>
      </c>
      <c r="B976" t="s">
        <v>2037</v>
      </c>
      <c r="C976">
        <v>160.0</v>
      </c>
      <c r="D976" t="s">
        <v>310</v>
      </c>
      <c r="E976" t="s">
        <v>311</v>
      </c>
    </row>
    <row r="977">
      <c r="A977" s="232">
        <v>41101.0</v>
      </c>
      <c r="B977" t="s">
        <v>2038</v>
      </c>
      <c r="C977">
        <v>0.0</v>
      </c>
      <c r="D977" t="s">
        <v>310</v>
      </c>
      <c r="E977" t="s">
        <v>311</v>
      </c>
    </row>
    <row r="978">
      <c r="A978" s="232">
        <v>41103.0</v>
      </c>
      <c r="B978" t="s">
        <v>2039</v>
      </c>
      <c r="C978">
        <v>99.0</v>
      </c>
      <c r="D978" t="s">
        <v>330</v>
      </c>
      <c r="E978" t="s">
        <v>311</v>
      </c>
    </row>
    <row r="979">
      <c r="A979" s="232">
        <v>41102.0</v>
      </c>
      <c r="B979" t="s">
        <v>2040</v>
      </c>
      <c r="C979">
        <v>60.0</v>
      </c>
      <c r="D979" t="s">
        <v>330</v>
      </c>
      <c r="E979" t="s">
        <v>311</v>
      </c>
    </row>
    <row r="980">
      <c r="A980" s="232">
        <v>41104.0</v>
      </c>
      <c r="B980" t="s">
        <v>2041</v>
      </c>
      <c r="C980">
        <v>0.0</v>
      </c>
      <c r="D980" t="s">
        <v>310</v>
      </c>
      <c r="E980" t="s">
        <v>311</v>
      </c>
    </row>
    <row r="981">
      <c r="A981" s="232" t="s">
        <v>2042</v>
      </c>
      <c r="B981" t="s">
        <v>2043</v>
      </c>
      <c r="C981">
        <v>48.0</v>
      </c>
      <c r="D981" t="s">
        <v>330</v>
      </c>
      <c r="E981" t="s">
        <v>311</v>
      </c>
    </row>
    <row r="982">
      <c r="A982" s="232" t="s">
        <v>2044</v>
      </c>
      <c r="B982" t="s">
        <v>2045</v>
      </c>
      <c r="C982">
        <v>0.0</v>
      </c>
      <c r="D982" t="s">
        <v>330</v>
      </c>
      <c r="E982" t="s">
        <v>311</v>
      </c>
    </row>
    <row r="983">
      <c r="A983" s="232">
        <v>41001.0</v>
      </c>
      <c r="B983" t="s">
        <v>2046</v>
      </c>
      <c r="C983">
        <v>24.0</v>
      </c>
      <c r="D983" t="s">
        <v>330</v>
      </c>
      <c r="E983" t="s">
        <v>311</v>
      </c>
    </row>
    <row r="984">
      <c r="A984" s="232">
        <v>41002.0</v>
      </c>
      <c r="B984" t="s">
        <v>2047</v>
      </c>
      <c r="C984">
        <v>5.0</v>
      </c>
      <c r="D984" t="s">
        <v>330</v>
      </c>
      <c r="E984" t="s">
        <v>311</v>
      </c>
    </row>
    <row r="985">
      <c r="A985" s="232">
        <v>41005.0</v>
      </c>
      <c r="B985" t="s">
        <v>2048</v>
      </c>
      <c r="C985">
        <v>0.0</v>
      </c>
      <c r="D985" t="s">
        <v>310</v>
      </c>
      <c r="E985" t="s">
        <v>311</v>
      </c>
    </row>
    <row r="986">
      <c r="A986" s="232">
        <v>41034.0</v>
      </c>
      <c r="B986" t="s">
        <v>2049</v>
      </c>
      <c r="C986">
        <v>53.0</v>
      </c>
      <c r="D986" t="s">
        <v>330</v>
      </c>
      <c r="E986" t="s">
        <v>311</v>
      </c>
    </row>
    <row r="987">
      <c r="A987" s="232">
        <v>41023.0</v>
      </c>
      <c r="B987" t="s">
        <v>2050</v>
      </c>
      <c r="C987">
        <v>8.0</v>
      </c>
      <c r="D987" t="s">
        <v>330</v>
      </c>
      <c r="E987" t="s">
        <v>311</v>
      </c>
    </row>
    <row r="988">
      <c r="A988" s="232">
        <v>41004.0</v>
      </c>
      <c r="B988" t="s">
        <v>2051</v>
      </c>
      <c r="C988">
        <v>0.0</v>
      </c>
      <c r="D988" t="s">
        <v>310</v>
      </c>
      <c r="E988" t="s">
        <v>311</v>
      </c>
    </row>
    <row r="989">
      <c r="A989" s="232">
        <v>41003.0</v>
      </c>
      <c r="B989" t="s">
        <v>2052</v>
      </c>
      <c r="C989">
        <v>0.0</v>
      </c>
      <c r="D989" t="s">
        <v>310</v>
      </c>
      <c r="E989" t="s">
        <v>311</v>
      </c>
    </row>
    <row r="990">
      <c r="A990" s="232" t="s">
        <v>2053</v>
      </c>
      <c r="B990" t="s">
        <v>2054</v>
      </c>
      <c r="C990">
        <v>0.0</v>
      </c>
      <c r="D990" t="s">
        <v>310</v>
      </c>
      <c r="E990" t="s">
        <v>311</v>
      </c>
    </row>
    <row r="991">
      <c r="A991" s="232" t="s">
        <v>2055</v>
      </c>
      <c r="B991" t="s">
        <v>2056</v>
      </c>
      <c r="C991">
        <v>21.0</v>
      </c>
      <c r="D991" t="s">
        <v>310</v>
      </c>
      <c r="E991" t="s">
        <v>311</v>
      </c>
    </row>
    <row r="992">
      <c r="A992" s="232" t="s">
        <v>2057</v>
      </c>
      <c r="B992" t="s">
        <v>2058</v>
      </c>
      <c r="C992">
        <v>0.0</v>
      </c>
      <c r="D992" t="s">
        <v>330</v>
      </c>
      <c r="E992" t="s">
        <v>311</v>
      </c>
    </row>
    <row r="993">
      <c r="A993" s="232" t="s">
        <v>2059</v>
      </c>
      <c r="B993" t="s">
        <v>2060</v>
      </c>
      <c r="C993">
        <v>0.0</v>
      </c>
      <c r="D993" t="s">
        <v>330</v>
      </c>
      <c r="E993" t="s">
        <v>311</v>
      </c>
    </row>
    <row r="994">
      <c r="A994" s="232" t="s">
        <v>2061</v>
      </c>
      <c r="B994" t="s">
        <v>2062</v>
      </c>
      <c r="C994">
        <v>29.0</v>
      </c>
      <c r="D994" t="s">
        <v>330</v>
      </c>
      <c r="E994" t="s">
        <v>311</v>
      </c>
    </row>
    <row r="995">
      <c r="A995" s="232" t="s">
        <v>2063</v>
      </c>
      <c r="B995" t="s">
        <v>2064</v>
      </c>
      <c r="C995">
        <v>162.0</v>
      </c>
      <c r="D995" t="s">
        <v>330</v>
      </c>
      <c r="E995" t="s">
        <v>311</v>
      </c>
    </row>
    <row r="996">
      <c r="A996" s="232" t="s">
        <v>2065</v>
      </c>
      <c r="B996" t="s">
        <v>2066</v>
      </c>
      <c r="C996">
        <v>0.0</v>
      </c>
      <c r="D996" t="s">
        <v>330</v>
      </c>
      <c r="E996" t="s">
        <v>311</v>
      </c>
    </row>
    <row r="997">
      <c r="A997" s="232" t="s">
        <v>2067</v>
      </c>
      <c r="B997" t="s">
        <v>2068</v>
      </c>
      <c r="C997">
        <v>22.0</v>
      </c>
      <c r="D997" t="s">
        <v>330</v>
      </c>
      <c r="E997" t="s">
        <v>311</v>
      </c>
    </row>
    <row r="998">
      <c r="A998" s="232" t="s">
        <v>2069</v>
      </c>
      <c r="B998" t="s">
        <v>2070</v>
      </c>
      <c r="C998">
        <v>947.0</v>
      </c>
      <c r="D998" t="s">
        <v>330</v>
      </c>
      <c r="E998" t="s">
        <v>311</v>
      </c>
    </row>
    <row r="999">
      <c r="A999" s="232" t="s">
        <v>2071</v>
      </c>
      <c r="B999" t="s">
        <v>2072</v>
      </c>
      <c r="C999">
        <v>114.0</v>
      </c>
      <c r="D999" t="s">
        <v>330</v>
      </c>
      <c r="E999" t="s">
        <v>565</v>
      </c>
    </row>
    <row r="1000">
      <c r="A1000" s="232" t="s">
        <v>2073</v>
      </c>
      <c r="B1000" t="s">
        <v>2074</v>
      </c>
      <c r="C1000">
        <v>0.0</v>
      </c>
      <c r="D1000" t="s">
        <v>310</v>
      </c>
      <c r="E1000" t="s">
        <v>311</v>
      </c>
    </row>
    <row r="1001">
      <c r="A1001" s="232" t="s">
        <v>2075</v>
      </c>
      <c r="B1001" t="s">
        <v>2076</v>
      </c>
      <c r="C1001">
        <v>0.0</v>
      </c>
      <c r="D1001" t="s">
        <v>310</v>
      </c>
      <c r="E1001" t="s">
        <v>311</v>
      </c>
    </row>
    <row r="1002">
      <c r="A1002" s="232" t="s">
        <v>2077</v>
      </c>
      <c r="B1002" t="s">
        <v>2078</v>
      </c>
      <c r="C1002">
        <v>0.0</v>
      </c>
      <c r="D1002" t="s">
        <v>310</v>
      </c>
      <c r="E1002" t="s">
        <v>311</v>
      </c>
    </row>
    <row r="1003">
      <c r="A1003" s="232" t="s">
        <v>2079</v>
      </c>
      <c r="B1003" t="s">
        <v>2080</v>
      </c>
      <c r="C1003">
        <v>588.0</v>
      </c>
      <c r="D1003" t="s">
        <v>330</v>
      </c>
      <c r="E1003" t="s">
        <v>565</v>
      </c>
    </row>
    <row r="1004">
      <c r="A1004" s="232" t="s">
        <v>2081</v>
      </c>
      <c r="B1004" t="s">
        <v>2082</v>
      </c>
      <c r="C1004">
        <v>344.0</v>
      </c>
      <c r="D1004" t="s">
        <v>330</v>
      </c>
      <c r="E1004" t="s">
        <v>565</v>
      </c>
    </row>
    <row r="1005">
      <c r="A1005" s="232">
        <v>78360.0</v>
      </c>
      <c r="B1005" t="s">
        <v>2083</v>
      </c>
      <c r="C1005">
        <v>0.0</v>
      </c>
      <c r="D1005" t="s">
        <v>310</v>
      </c>
      <c r="E1005" t="s">
        <v>311</v>
      </c>
    </row>
    <row r="1006">
      <c r="A1006" s="232">
        <v>78798.0</v>
      </c>
      <c r="B1006" t="s">
        <v>2084</v>
      </c>
      <c r="C1006">
        <v>0.0</v>
      </c>
      <c r="D1006" t="s">
        <v>310</v>
      </c>
      <c r="E1006" t="s">
        <v>311</v>
      </c>
    </row>
    <row r="1007">
      <c r="A1007" s="232" t="s">
        <v>2085</v>
      </c>
      <c r="B1007" t="s">
        <v>2086</v>
      </c>
      <c r="C1007">
        <v>0.0</v>
      </c>
      <c r="D1007" t="s">
        <v>330</v>
      </c>
      <c r="E1007" t="s">
        <v>311</v>
      </c>
    </row>
    <row r="1008">
      <c r="A1008" s="232" t="s">
        <v>2087</v>
      </c>
      <c r="B1008" t="s">
        <v>2088</v>
      </c>
      <c r="C1008">
        <v>1000.0</v>
      </c>
      <c r="D1008" t="s">
        <v>330</v>
      </c>
      <c r="E1008" t="s">
        <v>311</v>
      </c>
    </row>
    <row r="1009">
      <c r="A1009" s="232" t="s">
        <v>2089</v>
      </c>
      <c r="B1009" t="s">
        <v>2090</v>
      </c>
      <c r="C1009">
        <v>2000.0</v>
      </c>
      <c r="D1009" t="s">
        <v>330</v>
      </c>
      <c r="E1009" t="s">
        <v>311</v>
      </c>
    </row>
    <row r="1010">
      <c r="A1010" s="232" t="s">
        <v>2091</v>
      </c>
      <c r="B1010" t="s">
        <v>2092</v>
      </c>
      <c r="C1010">
        <v>0.0</v>
      </c>
      <c r="D1010" t="s">
        <v>330</v>
      </c>
      <c r="E1010" t="s">
        <v>311</v>
      </c>
    </row>
    <row r="1011">
      <c r="A1011" s="232" t="s">
        <v>2093</v>
      </c>
      <c r="B1011" t="s">
        <v>2094</v>
      </c>
      <c r="C1011">
        <v>0.0</v>
      </c>
      <c r="D1011" t="s">
        <v>310</v>
      </c>
      <c r="E1011" t="s">
        <v>311</v>
      </c>
    </row>
    <row r="1012">
      <c r="A1012" s="232" t="s">
        <v>2095</v>
      </c>
      <c r="B1012" t="s">
        <v>2096</v>
      </c>
      <c r="C1012">
        <v>0.0</v>
      </c>
      <c r="D1012" t="s">
        <v>310</v>
      </c>
      <c r="E1012" t="s">
        <v>311</v>
      </c>
    </row>
    <row r="1013">
      <c r="A1013" s="232" t="s">
        <v>2097</v>
      </c>
      <c r="B1013" t="s">
        <v>2098</v>
      </c>
      <c r="C1013">
        <v>0.0</v>
      </c>
      <c r="D1013" t="s">
        <v>310</v>
      </c>
      <c r="E1013" t="s">
        <v>311</v>
      </c>
    </row>
    <row r="1014">
      <c r="A1014" s="232" t="s">
        <v>2099</v>
      </c>
      <c r="B1014" t="s">
        <v>2100</v>
      </c>
      <c r="C1014">
        <v>0.0</v>
      </c>
      <c r="D1014" t="s">
        <v>310</v>
      </c>
      <c r="E1014" t="s">
        <v>311</v>
      </c>
    </row>
    <row r="1015">
      <c r="A1015" s="232" t="s">
        <v>2101</v>
      </c>
      <c r="B1015" t="s">
        <v>2102</v>
      </c>
      <c r="C1015">
        <v>0.0</v>
      </c>
      <c r="D1015" t="s">
        <v>310</v>
      </c>
      <c r="E1015" t="s">
        <v>311</v>
      </c>
    </row>
    <row r="1016">
      <c r="A1016" s="232" t="s">
        <v>2103</v>
      </c>
      <c r="B1016" t="s">
        <v>2104</v>
      </c>
      <c r="C1016">
        <v>0.0</v>
      </c>
      <c r="D1016" t="s">
        <v>310</v>
      </c>
      <c r="E1016" t="s">
        <v>311</v>
      </c>
    </row>
    <row r="1017">
      <c r="A1017" s="232" t="s">
        <v>2105</v>
      </c>
      <c r="B1017" t="s">
        <v>2106</v>
      </c>
      <c r="C1017">
        <v>336.0</v>
      </c>
      <c r="D1017" t="s">
        <v>330</v>
      </c>
      <c r="E1017" t="s">
        <v>565</v>
      </c>
    </row>
    <row r="1018">
      <c r="A1018" s="232">
        <v>96001.0</v>
      </c>
      <c r="B1018" t="s">
        <v>2107</v>
      </c>
      <c r="C1018">
        <v>0.0</v>
      </c>
      <c r="D1018" t="s">
        <v>310</v>
      </c>
      <c r="E1018" t="s">
        <v>311</v>
      </c>
    </row>
    <row r="1019">
      <c r="A1019" s="232">
        <v>96002.0</v>
      </c>
      <c r="B1019" t="s">
        <v>2108</v>
      </c>
      <c r="C1019">
        <v>0.0</v>
      </c>
      <c r="D1019" t="s">
        <v>310</v>
      </c>
      <c r="E1019" t="s">
        <v>311</v>
      </c>
    </row>
    <row r="1020">
      <c r="A1020" s="232">
        <v>96005.0</v>
      </c>
      <c r="B1020" t="s">
        <v>2109</v>
      </c>
      <c r="C1020">
        <v>0.0</v>
      </c>
      <c r="D1020" t="s">
        <v>310</v>
      </c>
      <c r="E1020" t="s">
        <v>311</v>
      </c>
    </row>
    <row r="1021">
      <c r="A1021" s="232" t="s">
        <v>2110</v>
      </c>
      <c r="B1021" t="s">
        <v>2111</v>
      </c>
      <c r="C1021">
        <v>0.0</v>
      </c>
      <c r="D1021" t="s">
        <v>310</v>
      </c>
      <c r="E1021" t="s">
        <v>311</v>
      </c>
    </row>
    <row r="1022">
      <c r="A1022" s="232">
        <v>96003.0</v>
      </c>
      <c r="B1022" t="s">
        <v>2112</v>
      </c>
      <c r="C1022">
        <v>0.0</v>
      </c>
      <c r="D1022" t="s">
        <v>310</v>
      </c>
      <c r="E1022" t="s">
        <v>311</v>
      </c>
    </row>
    <row r="1023">
      <c r="A1023" s="232">
        <v>96004.0</v>
      </c>
      <c r="B1023" t="s">
        <v>2113</v>
      </c>
      <c r="C1023">
        <v>0.0</v>
      </c>
      <c r="D1023" t="s">
        <v>310</v>
      </c>
      <c r="E1023" t="s">
        <v>311</v>
      </c>
    </row>
    <row r="1024">
      <c r="A1024" s="232" t="s">
        <v>2114</v>
      </c>
      <c r="B1024" t="s">
        <v>2115</v>
      </c>
      <c r="C1024">
        <v>0.0</v>
      </c>
      <c r="D1024" t="s">
        <v>310</v>
      </c>
      <c r="E1024" t="s">
        <v>311</v>
      </c>
    </row>
    <row r="1025">
      <c r="A1025" s="232" t="s">
        <v>2116</v>
      </c>
      <c r="B1025" t="s">
        <v>2117</v>
      </c>
      <c r="C1025">
        <v>875.0</v>
      </c>
      <c r="D1025" t="s">
        <v>330</v>
      </c>
      <c r="E1025" t="s">
        <v>311</v>
      </c>
    </row>
    <row r="1026">
      <c r="A1026" s="232" t="s">
        <v>2118</v>
      </c>
      <c r="B1026" t="s">
        <v>2119</v>
      </c>
      <c r="C1026">
        <v>920.0</v>
      </c>
      <c r="D1026" t="s">
        <v>330</v>
      </c>
      <c r="E1026" t="s">
        <v>311</v>
      </c>
    </row>
    <row r="1027">
      <c r="A1027" s="232" t="s">
        <v>2120</v>
      </c>
      <c r="B1027" t="s">
        <v>2121</v>
      </c>
      <c r="C1027">
        <v>0.0</v>
      </c>
      <c r="D1027" t="s">
        <v>330</v>
      </c>
      <c r="E1027" t="s">
        <v>311</v>
      </c>
    </row>
    <row r="1028">
      <c r="A1028" s="232" t="s">
        <v>2122</v>
      </c>
      <c r="B1028" t="s">
        <v>2123</v>
      </c>
      <c r="C1028">
        <v>0.0</v>
      </c>
      <c r="D1028" t="s">
        <v>330</v>
      </c>
      <c r="E1028" t="s">
        <v>311</v>
      </c>
    </row>
    <row r="1029">
      <c r="A1029" s="232" t="s">
        <v>2124</v>
      </c>
      <c r="B1029" t="s">
        <v>2125</v>
      </c>
      <c r="C1029">
        <v>0.0</v>
      </c>
      <c r="D1029" t="s">
        <v>310</v>
      </c>
      <c r="E1029" t="s">
        <v>311</v>
      </c>
    </row>
    <row r="1030">
      <c r="A1030" s="232" t="s">
        <v>2126</v>
      </c>
      <c r="B1030" t="s">
        <v>2127</v>
      </c>
      <c r="C1030">
        <v>582.0</v>
      </c>
      <c r="D1030" t="s">
        <v>330</v>
      </c>
      <c r="E1030" t="s">
        <v>565</v>
      </c>
    </row>
    <row r="1031">
      <c r="A1031" s="232" t="s">
        <v>2128</v>
      </c>
      <c r="B1031" t="s">
        <v>2129</v>
      </c>
      <c r="C1031">
        <v>570.0</v>
      </c>
      <c r="D1031" t="s">
        <v>330</v>
      </c>
      <c r="E1031" t="s">
        <v>565</v>
      </c>
    </row>
    <row r="1032">
      <c r="A1032" s="232" t="s">
        <v>2130</v>
      </c>
      <c r="B1032" t="s">
        <v>2131</v>
      </c>
      <c r="C1032">
        <v>0.0</v>
      </c>
      <c r="D1032" t="s">
        <v>310</v>
      </c>
      <c r="E1032" t="s">
        <v>311</v>
      </c>
    </row>
    <row r="1033">
      <c r="A1033" s="232" t="s">
        <v>2132</v>
      </c>
      <c r="B1033" t="s">
        <v>2133</v>
      </c>
      <c r="C1033">
        <v>396.0</v>
      </c>
      <c r="D1033" t="s">
        <v>330</v>
      </c>
      <c r="E1033" t="s">
        <v>311</v>
      </c>
    </row>
    <row r="1034">
      <c r="A1034" s="232" t="s">
        <v>2134</v>
      </c>
      <c r="B1034" t="s">
        <v>2135</v>
      </c>
      <c r="C1034">
        <v>350.0</v>
      </c>
      <c r="D1034" t="s">
        <v>330</v>
      </c>
      <c r="E1034" t="s">
        <v>311</v>
      </c>
    </row>
    <row r="1035">
      <c r="A1035" s="232" t="s">
        <v>2136</v>
      </c>
      <c r="B1035" t="s">
        <v>2137</v>
      </c>
      <c r="C1035">
        <v>0.0</v>
      </c>
      <c r="D1035" t="s">
        <v>310</v>
      </c>
      <c r="E1035" t="s">
        <v>311</v>
      </c>
    </row>
    <row r="1036">
      <c r="A1036" s="232" t="s">
        <v>2138</v>
      </c>
      <c r="B1036" t="s">
        <v>2139</v>
      </c>
      <c r="C1036">
        <v>0.0</v>
      </c>
      <c r="D1036" t="s">
        <v>310</v>
      </c>
      <c r="E1036" t="s">
        <v>311</v>
      </c>
    </row>
    <row r="1037">
      <c r="A1037" s="232" t="s">
        <v>2140</v>
      </c>
      <c r="B1037" t="s">
        <v>2141</v>
      </c>
      <c r="C1037">
        <v>0.0</v>
      </c>
      <c r="D1037" t="s">
        <v>310</v>
      </c>
      <c r="E1037" t="s">
        <v>311</v>
      </c>
    </row>
    <row r="1038">
      <c r="A1038" s="232" t="s">
        <v>2142</v>
      </c>
      <c r="B1038" t="s">
        <v>2143</v>
      </c>
      <c r="C1038">
        <v>0.0</v>
      </c>
      <c r="D1038" t="s">
        <v>330</v>
      </c>
      <c r="E1038" t="s">
        <v>311</v>
      </c>
    </row>
    <row r="1039">
      <c r="A1039" s="232" t="s">
        <v>2144</v>
      </c>
      <c r="B1039" t="s">
        <v>2145</v>
      </c>
      <c r="C1039">
        <v>0.0</v>
      </c>
      <c r="D1039" t="s">
        <v>310</v>
      </c>
      <c r="E1039" t="s">
        <v>311</v>
      </c>
    </row>
    <row r="1040">
      <c r="A1040" s="232" t="s">
        <v>2146</v>
      </c>
      <c r="B1040" t="s">
        <v>2147</v>
      </c>
      <c r="C1040">
        <v>0.0</v>
      </c>
      <c r="D1040" t="s">
        <v>310</v>
      </c>
      <c r="E1040" t="s">
        <v>311</v>
      </c>
    </row>
    <row r="1041">
      <c r="A1041" s="232" t="s">
        <v>2148</v>
      </c>
      <c r="B1041" t="s">
        <v>2149</v>
      </c>
      <c r="C1041">
        <v>0.0</v>
      </c>
      <c r="D1041" t="s">
        <v>310</v>
      </c>
      <c r="E1041" t="s">
        <v>311</v>
      </c>
    </row>
    <row r="1042">
      <c r="A1042" s="232" t="s">
        <v>2150</v>
      </c>
      <c r="B1042" t="s">
        <v>2151</v>
      </c>
      <c r="C1042">
        <v>0.0</v>
      </c>
      <c r="D1042" t="s">
        <v>310</v>
      </c>
      <c r="E1042" t="s">
        <v>311</v>
      </c>
    </row>
    <row r="1043">
      <c r="A1043" s="232" t="s">
        <v>2152</v>
      </c>
      <c r="B1043" t="s">
        <v>2153</v>
      </c>
      <c r="C1043">
        <v>3937.0</v>
      </c>
      <c r="D1043" t="s">
        <v>330</v>
      </c>
      <c r="E1043" t="s">
        <v>311</v>
      </c>
    </row>
    <row r="1044">
      <c r="A1044" s="232" t="s">
        <v>2154</v>
      </c>
      <c r="B1044" t="s">
        <v>2155</v>
      </c>
      <c r="C1044">
        <v>1620.0</v>
      </c>
      <c r="D1044" t="s">
        <v>330</v>
      </c>
      <c r="E1044" t="s">
        <v>311</v>
      </c>
    </row>
    <row r="1045">
      <c r="A1045" s="232" t="s">
        <v>2156</v>
      </c>
      <c r="B1045" t="s">
        <v>2157</v>
      </c>
      <c r="C1045">
        <v>-3.0</v>
      </c>
      <c r="D1045" t="s">
        <v>330</v>
      </c>
      <c r="E1045" t="s">
        <v>311</v>
      </c>
    </row>
    <row r="1046">
      <c r="A1046" s="232" t="s">
        <v>2158</v>
      </c>
      <c r="B1046" t="s">
        <v>2159</v>
      </c>
      <c r="C1046">
        <v>2.0</v>
      </c>
      <c r="D1046" t="s">
        <v>330</v>
      </c>
      <c r="E1046" t="s">
        <v>311</v>
      </c>
    </row>
    <row r="1047">
      <c r="A1047" s="232" t="s">
        <v>2160</v>
      </c>
      <c r="B1047" t="s">
        <v>2161</v>
      </c>
      <c r="C1047">
        <v>276.0</v>
      </c>
      <c r="D1047" t="s">
        <v>330</v>
      </c>
      <c r="E1047" t="s">
        <v>311</v>
      </c>
    </row>
    <row r="1048">
      <c r="A1048" s="232" t="s">
        <v>2162</v>
      </c>
      <c r="B1048" t="s">
        <v>2163</v>
      </c>
      <c r="C1048">
        <v>63.0</v>
      </c>
      <c r="D1048" t="s">
        <v>330</v>
      </c>
      <c r="E1048" t="s">
        <v>311</v>
      </c>
    </row>
    <row r="1049">
      <c r="A1049" s="232" t="s">
        <v>2164</v>
      </c>
      <c r="B1049" t="s">
        <v>2165</v>
      </c>
      <c r="C1049">
        <v>0.0</v>
      </c>
      <c r="D1049" t="s">
        <v>310</v>
      </c>
      <c r="E1049" t="s">
        <v>311</v>
      </c>
    </row>
    <row r="1050">
      <c r="A1050" s="232" t="s">
        <v>2166</v>
      </c>
      <c r="B1050" t="s">
        <v>2167</v>
      </c>
      <c r="C1050">
        <v>276.0</v>
      </c>
      <c r="D1050" t="s">
        <v>330</v>
      </c>
      <c r="E1050" t="s">
        <v>311</v>
      </c>
    </row>
    <row r="1051">
      <c r="A1051" s="232" t="s">
        <v>2168</v>
      </c>
      <c r="B1051" t="s">
        <v>2169</v>
      </c>
      <c r="C1051">
        <v>568.0</v>
      </c>
      <c r="D1051" t="s">
        <v>330</v>
      </c>
      <c r="E1051" t="s">
        <v>565</v>
      </c>
    </row>
    <row r="1052">
      <c r="A1052" s="232" t="s">
        <v>2170</v>
      </c>
      <c r="B1052" t="s">
        <v>2171</v>
      </c>
      <c r="C1052">
        <v>512.0</v>
      </c>
      <c r="D1052" t="s">
        <v>330</v>
      </c>
      <c r="E1052" t="s">
        <v>565</v>
      </c>
    </row>
    <row r="1053">
      <c r="A1053" s="232" t="s">
        <v>2172</v>
      </c>
      <c r="B1053" t="s">
        <v>2173</v>
      </c>
      <c r="C1053">
        <v>0.0</v>
      </c>
      <c r="D1053" t="s">
        <v>330</v>
      </c>
      <c r="E1053" t="s">
        <v>311</v>
      </c>
    </row>
    <row r="1054">
      <c r="A1054" s="232" t="s">
        <v>2174</v>
      </c>
      <c r="B1054" t="s">
        <v>2175</v>
      </c>
      <c r="C1054">
        <v>348.0</v>
      </c>
      <c r="D1054" t="s">
        <v>330</v>
      </c>
      <c r="E1054" t="s">
        <v>565</v>
      </c>
    </row>
    <row r="1055">
      <c r="A1055" s="232" t="s">
        <v>2176</v>
      </c>
      <c r="B1055" t="s">
        <v>2177</v>
      </c>
      <c r="C1055">
        <v>630.0</v>
      </c>
      <c r="D1055" t="s">
        <v>330</v>
      </c>
      <c r="E1055" t="s">
        <v>565</v>
      </c>
    </row>
    <row r="1056">
      <c r="A1056" s="232" t="s">
        <v>2178</v>
      </c>
      <c r="B1056" t="s">
        <v>2179</v>
      </c>
      <c r="C1056">
        <v>168.0</v>
      </c>
      <c r="D1056" t="s">
        <v>330</v>
      </c>
      <c r="E1056" t="s">
        <v>565</v>
      </c>
    </row>
    <row r="1057">
      <c r="A1057" s="232" t="s">
        <v>2180</v>
      </c>
      <c r="B1057" t="s">
        <v>2181</v>
      </c>
      <c r="C1057">
        <v>0.0</v>
      </c>
      <c r="D1057" t="s">
        <v>310</v>
      </c>
      <c r="E1057" t="s">
        <v>311</v>
      </c>
    </row>
    <row r="1058">
      <c r="A1058" s="232" t="s">
        <v>2182</v>
      </c>
      <c r="B1058" t="s">
        <v>2183</v>
      </c>
      <c r="C1058">
        <v>0.0</v>
      </c>
      <c r="D1058" t="s">
        <v>310</v>
      </c>
      <c r="E1058" t="s">
        <v>311</v>
      </c>
    </row>
    <row r="1059">
      <c r="A1059" s="232" t="s">
        <v>2184</v>
      </c>
      <c r="B1059" t="s">
        <v>2185</v>
      </c>
      <c r="C1059">
        <v>0.0</v>
      </c>
      <c r="D1059" t="s">
        <v>310</v>
      </c>
      <c r="E1059" t="s">
        <v>311</v>
      </c>
    </row>
    <row r="1060">
      <c r="A1060" s="232" t="s">
        <v>2186</v>
      </c>
      <c r="B1060" t="s">
        <v>2187</v>
      </c>
      <c r="C1060">
        <v>0.0</v>
      </c>
      <c r="D1060" t="s">
        <v>310</v>
      </c>
      <c r="E1060" t="s">
        <v>311</v>
      </c>
    </row>
    <row r="1061">
      <c r="A1061" s="232" t="s">
        <v>2188</v>
      </c>
      <c r="B1061" t="s">
        <v>2189</v>
      </c>
      <c r="C1061">
        <v>0.0</v>
      </c>
      <c r="D1061" t="s">
        <v>310</v>
      </c>
      <c r="E1061" t="s">
        <v>311</v>
      </c>
    </row>
    <row r="1062">
      <c r="A1062" s="232" t="s">
        <v>2190</v>
      </c>
      <c r="B1062" t="s">
        <v>2191</v>
      </c>
      <c r="C1062">
        <v>0.0</v>
      </c>
      <c r="D1062" t="s">
        <v>310</v>
      </c>
      <c r="E1062" t="s">
        <v>311</v>
      </c>
    </row>
    <row r="1063">
      <c r="A1063" s="232" t="s">
        <v>2192</v>
      </c>
      <c r="B1063" t="s">
        <v>2193</v>
      </c>
      <c r="C1063">
        <v>0.0</v>
      </c>
      <c r="D1063" t="s">
        <v>310</v>
      </c>
      <c r="E1063" t="s">
        <v>311</v>
      </c>
    </row>
    <row r="1064">
      <c r="A1064" s="232" t="s">
        <v>2194</v>
      </c>
      <c r="B1064" t="s">
        <v>2195</v>
      </c>
      <c r="C1064">
        <v>-1.0</v>
      </c>
      <c r="D1064" t="s">
        <v>310</v>
      </c>
      <c r="E1064" t="s">
        <v>311</v>
      </c>
    </row>
    <row r="1065">
      <c r="A1065" s="232" t="s">
        <v>2196</v>
      </c>
      <c r="B1065" t="s">
        <v>2197</v>
      </c>
      <c r="C1065">
        <v>0.0</v>
      </c>
      <c r="D1065" t="s">
        <v>310</v>
      </c>
      <c r="E1065" t="s">
        <v>311</v>
      </c>
    </row>
    <row r="1066">
      <c r="A1066" s="232" t="s">
        <v>2198</v>
      </c>
      <c r="B1066" t="s">
        <v>2199</v>
      </c>
      <c r="C1066">
        <v>0.0</v>
      </c>
      <c r="D1066" t="s">
        <v>310</v>
      </c>
      <c r="E1066" t="s">
        <v>311</v>
      </c>
    </row>
    <row r="1067">
      <c r="A1067" s="232" t="s">
        <v>2200</v>
      </c>
      <c r="B1067" t="s">
        <v>2201</v>
      </c>
      <c r="C1067">
        <v>0.0</v>
      </c>
      <c r="D1067" t="s">
        <v>310</v>
      </c>
      <c r="E1067" t="s">
        <v>311</v>
      </c>
    </row>
    <row r="1068">
      <c r="A1068" s="232" t="s">
        <v>2202</v>
      </c>
      <c r="B1068" t="s">
        <v>2203</v>
      </c>
      <c r="C1068">
        <v>0.0</v>
      </c>
      <c r="D1068" t="s">
        <v>310</v>
      </c>
      <c r="E1068" t="s">
        <v>311</v>
      </c>
    </row>
    <row r="1069">
      <c r="A1069" s="232" t="s">
        <v>2204</v>
      </c>
      <c r="B1069" t="s">
        <v>2205</v>
      </c>
      <c r="C1069">
        <v>0.0</v>
      </c>
      <c r="D1069" t="s">
        <v>310</v>
      </c>
      <c r="E1069" t="s">
        <v>311</v>
      </c>
    </row>
    <row r="1070">
      <c r="A1070" s="232" t="s">
        <v>2206</v>
      </c>
      <c r="B1070" t="s">
        <v>2207</v>
      </c>
      <c r="C1070">
        <v>0.0</v>
      </c>
      <c r="D1070" t="s">
        <v>310</v>
      </c>
      <c r="E1070" t="s">
        <v>311</v>
      </c>
    </row>
    <row r="1071">
      <c r="A1071" s="232" t="s">
        <v>2208</v>
      </c>
      <c r="B1071" t="s">
        <v>2209</v>
      </c>
      <c r="C1071">
        <v>1.0</v>
      </c>
      <c r="D1071" t="s">
        <v>330</v>
      </c>
      <c r="E1071" t="s">
        <v>311</v>
      </c>
    </row>
    <row r="1072">
      <c r="A1072" s="232" t="s">
        <v>2210</v>
      </c>
      <c r="B1072" t="s">
        <v>2211</v>
      </c>
      <c r="C1072">
        <v>24.0</v>
      </c>
      <c r="D1072" t="s">
        <v>330</v>
      </c>
      <c r="E1072" t="s">
        <v>311</v>
      </c>
    </row>
    <row r="1073">
      <c r="A1073" s="232" t="s">
        <v>2212</v>
      </c>
      <c r="B1073" t="s">
        <v>2213</v>
      </c>
      <c r="C1073">
        <v>0.0</v>
      </c>
      <c r="D1073" t="s">
        <v>310</v>
      </c>
      <c r="E1073" t="s">
        <v>311</v>
      </c>
    </row>
    <row r="1074">
      <c r="A1074" s="232" t="s">
        <v>2214</v>
      </c>
      <c r="B1074" t="s">
        <v>2215</v>
      </c>
      <c r="C1074">
        <v>0.0</v>
      </c>
      <c r="D1074" t="s">
        <v>310</v>
      </c>
      <c r="E1074" t="s">
        <v>311</v>
      </c>
    </row>
    <row r="1075">
      <c r="A1075" s="232" t="s">
        <v>2216</v>
      </c>
      <c r="B1075" t="s">
        <v>2217</v>
      </c>
      <c r="C1075">
        <v>0.0</v>
      </c>
      <c r="D1075" t="s">
        <v>310</v>
      </c>
      <c r="E1075" t="s">
        <v>311</v>
      </c>
    </row>
    <row r="1076">
      <c r="A1076" s="232" t="s">
        <v>2218</v>
      </c>
      <c r="B1076" t="s">
        <v>2219</v>
      </c>
      <c r="C1076">
        <v>0.0</v>
      </c>
      <c r="D1076" t="s">
        <v>310</v>
      </c>
      <c r="E1076" t="s">
        <v>311</v>
      </c>
    </row>
    <row r="1077">
      <c r="A1077" s="232" t="s">
        <v>2220</v>
      </c>
      <c r="B1077" t="s">
        <v>2221</v>
      </c>
      <c r="C1077">
        <v>0.0</v>
      </c>
      <c r="D1077" t="s">
        <v>310</v>
      </c>
      <c r="E1077" t="s">
        <v>311</v>
      </c>
    </row>
    <row r="1078">
      <c r="A1078" s="232" t="s">
        <v>2222</v>
      </c>
      <c r="B1078" t="s">
        <v>2223</v>
      </c>
      <c r="C1078">
        <v>0.0</v>
      </c>
      <c r="D1078" t="s">
        <v>310</v>
      </c>
      <c r="E1078" t="s">
        <v>311</v>
      </c>
    </row>
    <row r="1079">
      <c r="A1079" s="232" t="s">
        <v>2224</v>
      </c>
      <c r="B1079" t="s">
        <v>2225</v>
      </c>
      <c r="C1079">
        <v>0.0</v>
      </c>
      <c r="D1079" t="s">
        <v>310</v>
      </c>
      <c r="E1079" t="s">
        <v>311</v>
      </c>
    </row>
    <row r="1080">
      <c r="A1080" s="232" t="s">
        <v>2226</v>
      </c>
      <c r="B1080" t="s">
        <v>2227</v>
      </c>
      <c r="C1080">
        <v>0.0</v>
      </c>
      <c r="D1080" t="s">
        <v>310</v>
      </c>
      <c r="E1080" t="s">
        <v>311</v>
      </c>
    </row>
    <row r="1081">
      <c r="A1081" s="232" t="s">
        <v>2228</v>
      </c>
      <c r="B1081" t="s">
        <v>2229</v>
      </c>
      <c r="C1081">
        <v>9.0</v>
      </c>
      <c r="D1081" t="s">
        <v>330</v>
      </c>
      <c r="E1081" t="s">
        <v>311</v>
      </c>
    </row>
    <row r="1082">
      <c r="A1082" s="232" t="s">
        <v>2230</v>
      </c>
      <c r="B1082" t="s">
        <v>2231</v>
      </c>
      <c r="C1082">
        <v>18.0</v>
      </c>
      <c r="D1082" t="s">
        <v>330</v>
      </c>
      <c r="E1082" t="s">
        <v>311</v>
      </c>
    </row>
    <row r="1083">
      <c r="A1083" s="232" t="s">
        <v>2232</v>
      </c>
      <c r="B1083" t="s">
        <v>2233</v>
      </c>
      <c r="C1083">
        <v>0.0</v>
      </c>
      <c r="D1083" t="s">
        <v>310</v>
      </c>
      <c r="E1083" t="s">
        <v>311</v>
      </c>
    </row>
    <row r="1084">
      <c r="A1084" s="232" t="s">
        <v>2234</v>
      </c>
      <c r="B1084" t="s">
        <v>2235</v>
      </c>
      <c r="C1084">
        <v>0.0</v>
      </c>
      <c r="D1084" t="s">
        <v>310</v>
      </c>
      <c r="E1084" t="s">
        <v>311</v>
      </c>
    </row>
    <row r="1085">
      <c r="A1085" s="232" t="s">
        <v>2236</v>
      </c>
      <c r="B1085" t="s">
        <v>2237</v>
      </c>
      <c r="C1085">
        <v>0.0</v>
      </c>
      <c r="D1085" t="s">
        <v>310</v>
      </c>
      <c r="E1085" t="s">
        <v>311</v>
      </c>
    </row>
    <row r="1086">
      <c r="A1086" s="232" t="s">
        <v>2238</v>
      </c>
      <c r="B1086" t="s">
        <v>2239</v>
      </c>
      <c r="C1086">
        <v>0.0</v>
      </c>
      <c r="D1086" t="s">
        <v>310</v>
      </c>
      <c r="E1086" t="s">
        <v>311</v>
      </c>
    </row>
    <row r="1087">
      <c r="A1087" s="232" t="s">
        <v>2240</v>
      </c>
      <c r="B1087" t="s">
        <v>2241</v>
      </c>
      <c r="C1087">
        <v>0.0</v>
      </c>
      <c r="D1087" t="s">
        <v>310</v>
      </c>
      <c r="E1087" t="s">
        <v>311</v>
      </c>
    </row>
    <row r="1088">
      <c r="A1088" s="232" t="s">
        <v>2242</v>
      </c>
      <c r="B1088" t="s">
        <v>2243</v>
      </c>
      <c r="C1088">
        <v>5.0</v>
      </c>
      <c r="D1088" t="s">
        <v>330</v>
      </c>
      <c r="E1088" t="s">
        <v>311</v>
      </c>
    </row>
    <row r="1089">
      <c r="A1089" s="232" t="s">
        <v>2244</v>
      </c>
      <c r="B1089" t="s">
        <v>2245</v>
      </c>
      <c r="C1089">
        <v>3.0</v>
      </c>
      <c r="D1089" t="s">
        <v>330</v>
      </c>
      <c r="E1089" t="s">
        <v>311</v>
      </c>
    </row>
    <row r="1090">
      <c r="A1090" s="232" t="s">
        <v>2246</v>
      </c>
      <c r="B1090" t="s">
        <v>2247</v>
      </c>
      <c r="C1090">
        <v>0.0</v>
      </c>
      <c r="D1090" t="s">
        <v>310</v>
      </c>
      <c r="E1090" t="s">
        <v>311</v>
      </c>
    </row>
    <row r="1091">
      <c r="A1091" s="232" t="s">
        <v>2248</v>
      </c>
      <c r="B1091" t="s">
        <v>2249</v>
      </c>
      <c r="C1091">
        <v>0.0</v>
      </c>
      <c r="D1091" t="s">
        <v>310</v>
      </c>
      <c r="E1091" t="s">
        <v>311</v>
      </c>
    </row>
    <row r="1092">
      <c r="A1092" s="232" t="s">
        <v>2250</v>
      </c>
      <c r="B1092" t="s">
        <v>2251</v>
      </c>
      <c r="C1092">
        <v>37.0</v>
      </c>
      <c r="D1092" t="s">
        <v>330</v>
      </c>
      <c r="E1092" t="s">
        <v>311</v>
      </c>
    </row>
    <row r="1093">
      <c r="A1093" s="232" t="s">
        <v>2252</v>
      </c>
      <c r="B1093" t="s">
        <v>2253</v>
      </c>
      <c r="C1093">
        <v>0.0</v>
      </c>
      <c r="D1093" t="s">
        <v>310</v>
      </c>
      <c r="E1093" t="s">
        <v>311</v>
      </c>
    </row>
    <row r="1094">
      <c r="A1094" s="232" t="s">
        <v>2254</v>
      </c>
      <c r="B1094" t="s">
        <v>2255</v>
      </c>
      <c r="C1094">
        <v>0.0</v>
      </c>
      <c r="D1094" t="s">
        <v>310</v>
      </c>
      <c r="E1094" t="s">
        <v>311</v>
      </c>
    </row>
    <row r="1095">
      <c r="A1095" s="232" t="s">
        <v>2256</v>
      </c>
      <c r="B1095" t="s">
        <v>2257</v>
      </c>
      <c r="C1095">
        <v>0.0</v>
      </c>
      <c r="D1095" t="s">
        <v>310</v>
      </c>
      <c r="E1095" t="s">
        <v>311</v>
      </c>
    </row>
    <row r="1096">
      <c r="A1096" s="232" t="s">
        <v>2258</v>
      </c>
      <c r="B1096" t="s">
        <v>2259</v>
      </c>
      <c r="C1096">
        <v>0.0</v>
      </c>
      <c r="D1096" t="s">
        <v>310</v>
      </c>
      <c r="E1096" t="s">
        <v>311</v>
      </c>
    </row>
    <row r="1097">
      <c r="A1097" s="232" t="s">
        <v>2260</v>
      </c>
      <c r="B1097" t="s">
        <v>2261</v>
      </c>
      <c r="C1097">
        <v>0.0</v>
      </c>
      <c r="D1097" t="s">
        <v>310</v>
      </c>
      <c r="E1097" t="s">
        <v>311</v>
      </c>
    </row>
    <row r="1098">
      <c r="A1098" s="232" t="s">
        <v>2262</v>
      </c>
      <c r="B1098" t="s">
        <v>2263</v>
      </c>
      <c r="C1098">
        <v>4.0</v>
      </c>
      <c r="D1098" t="s">
        <v>330</v>
      </c>
      <c r="E1098" t="s">
        <v>311</v>
      </c>
    </row>
    <row r="1099">
      <c r="A1099" s="232" t="s">
        <v>2264</v>
      </c>
      <c r="B1099" t="s">
        <v>2265</v>
      </c>
      <c r="C1099">
        <v>1.0</v>
      </c>
      <c r="D1099" t="s">
        <v>330</v>
      </c>
      <c r="E1099" t="s">
        <v>311</v>
      </c>
    </row>
    <row r="1100">
      <c r="A1100" s="232" t="s">
        <v>2266</v>
      </c>
      <c r="B1100" t="s">
        <v>2267</v>
      </c>
      <c r="C1100">
        <v>0.0</v>
      </c>
      <c r="D1100" t="s">
        <v>310</v>
      </c>
      <c r="E1100" t="s">
        <v>311</v>
      </c>
    </row>
    <row r="1101">
      <c r="A1101" s="232" t="s">
        <v>2268</v>
      </c>
      <c r="B1101" t="s">
        <v>2269</v>
      </c>
      <c r="C1101">
        <v>26.0</v>
      </c>
      <c r="D1101" t="s">
        <v>330</v>
      </c>
      <c r="E1101" t="s">
        <v>311</v>
      </c>
    </row>
    <row r="1102">
      <c r="A1102" s="232" t="s">
        <v>2270</v>
      </c>
      <c r="B1102" t="s">
        <v>2271</v>
      </c>
      <c r="C1102">
        <v>17.0</v>
      </c>
      <c r="D1102" t="s">
        <v>330</v>
      </c>
      <c r="E1102" t="s">
        <v>311</v>
      </c>
    </row>
    <row r="1103">
      <c r="A1103" s="232" t="s">
        <v>2272</v>
      </c>
      <c r="B1103" t="s">
        <v>2273</v>
      </c>
      <c r="C1103">
        <v>0.0</v>
      </c>
      <c r="D1103" t="s">
        <v>310</v>
      </c>
      <c r="E1103" t="s">
        <v>311</v>
      </c>
    </row>
    <row r="1104">
      <c r="A1104" s="232" t="s">
        <v>2274</v>
      </c>
      <c r="B1104" t="s">
        <v>2275</v>
      </c>
      <c r="C1104">
        <v>0.0</v>
      </c>
      <c r="D1104" t="s">
        <v>310</v>
      </c>
      <c r="E1104" t="s">
        <v>311</v>
      </c>
    </row>
    <row r="1105">
      <c r="A1105" s="232" t="s">
        <v>2276</v>
      </c>
      <c r="B1105" t="s">
        <v>2277</v>
      </c>
      <c r="C1105">
        <v>2.0</v>
      </c>
      <c r="D1105" t="s">
        <v>330</v>
      </c>
      <c r="E1105" t="s">
        <v>311</v>
      </c>
    </row>
    <row r="1106">
      <c r="A1106" s="232" t="s">
        <v>2278</v>
      </c>
      <c r="B1106" t="s">
        <v>2279</v>
      </c>
      <c r="C1106">
        <v>0.0</v>
      </c>
      <c r="D1106" t="s">
        <v>310</v>
      </c>
      <c r="E1106" t="s">
        <v>311</v>
      </c>
    </row>
    <row r="1107">
      <c r="A1107" s="232" t="s">
        <v>2280</v>
      </c>
      <c r="B1107" t="s">
        <v>2281</v>
      </c>
      <c r="C1107">
        <v>0.0</v>
      </c>
      <c r="D1107" t="s">
        <v>310</v>
      </c>
      <c r="E1107" t="s">
        <v>311</v>
      </c>
    </row>
    <row r="1108">
      <c r="A1108" s="232" t="s">
        <v>2282</v>
      </c>
      <c r="B1108" t="s">
        <v>2283</v>
      </c>
      <c r="C1108">
        <v>0.0</v>
      </c>
      <c r="D1108" t="s">
        <v>310</v>
      </c>
      <c r="E1108" t="s">
        <v>311</v>
      </c>
    </row>
    <row r="1109">
      <c r="A1109" s="232" t="s">
        <v>2284</v>
      </c>
      <c r="B1109" t="s">
        <v>2285</v>
      </c>
      <c r="C1109">
        <v>0.0</v>
      </c>
      <c r="D1109" t="s">
        <v>310</v>
      </c>
      <c r="E1109" t="s">
        <v>311</v>
      </c>
    </row>
    <row r="1110">
      <c r="A1110" s="232" t="s">
        <v>2286</v>
      </c>
      <c r="B1110" t="s">
        <v>2287</v>
      </c>
      <c r="C1110">
        <v>0.0</v>
      </c>
      <c r="D1110" t="s">
        <v>310</v>
      </c>
      <c r="E1110" t="s">
        <v>311</v>
      </c>
    </row>
    <row r="1111">
      <c r="A1111" s="232" t="s">
        <v>2288</v>
      </c>
      <c r="B1111" t="s">
        <v>2289</v>
      </c>
      <c r="C1111">
        <v>3.0</v>
      </c>
      <c r="D1111" t="s">
        <v>330</v>
      </c>
      <c r="E1111" t="s">
        <v>311</v>
      </c>
    </row>
    <row r="1112">
      <c r="A1112" s="232" t="s">
        <v>2290</v>
      </c>
      <c r="B1112" t="s">
        <v>2291</v>
      </c>
      <c r="C1112">
        <v>2.0</v>
      </c>
      <c r="D1112" t="s">
        <v>330</v>
      </c>
      <c r="E1112" t="s">
        <v>311</v>
      </c>
    </row>
    <row r="1113">
      <c r="A1113" s="232" t="s">
        <v>2292</v>
      </c>
      <c r="B1113" t="s">
        <v>2293</v>
      </c>
      <c r="C1113">
        <v>0.0</v>
      </c>
      <c r="D1113" t="s">
        <v>310</v>
      </c>
      <c r="E1113" t="s">
        <v>311</v>
      </c>
    </row>
    <row r="1114">
      <c r="A1114" s="232" t="s">
        <v>2294</v>
      </c>
      <c r="B1114" t="s">
        <v>2295</v>
      </c>
      <c r="C1114">
        <v>0.0</v>
      </c>
      <c r="D1114" t="s">
        <v>310</v>
      </c>
      <c r="E1114" t="s">
        <v>311</v>
      </c>
    </row>
    <row r="1115">
      <c r="A1115" s="232" t="s">
        <v>2296</v>
      </c>
      <c r="B1115" t="s">
        <v>2297</v>
      </c>
      <c r="C1115">
        <v>0.0</v>
      </c>
      <c r="D1115" t="s">
        <v>310</v>
      </c>
      <c r="E1115" t="s">
        <v>311</v>
      </c>
    </row>
    <row r="1116">
      <c r="A1116" s="232" t="s">
        <v>2298</v>
      </c>
      <c r="B1116" t="s">
        <v>2299</v>
      </c>
      <c r="C1116">
        <v>1.0</v>
      </c>
      <c r="D1116" t="s">
        <v>330</v>
      </c>
      <c r="E1116" t="s">
        <v>311</v>
      </c>
    </row>
    <row r="1117">
      <c r="A1117" s="232" t="s">
        <v>2300</v>
      </c>
      <c r="B1117" t="s">
        <v>2301</v>
      </c>
      <c r="C1117">
        <v>0.0</v>
      </c>
      <c r="D1117" t="s">
        <v>310</v>
      </c>
      <c r="E1117" t="s">
        <v>311</v>
      </c>
    </row>
    <row r="1118">
      <c r="A1118" s="232" t="s">
        <v>2302</v>
      </c>
      <c r="B1118" t="s">
        <v>2303</v>
      </c>
      <c r="C1118">
        <v>0.0</v>
      </c>
      <c r="D1118" t="s">
        <v>310</v>
      </c>
      <c r="E1118" t="s">
        <v>311</v>
      </c>
    </row>
    <row r="1119">
      <c r="A1119" s="232" t="s">
        <v>2304</v>
      </c>
      <c r="B1119" t="s">
        <v>2305</v>
      </c>
      <c r="C1119">
        <v>0.0</v>
      </c>
      <c r="D1119" t="s">
        <v>310</v>
      </c>
      <c r="E1119" t="s">
        <v>311</v>
      </c>
    </row>
    <row r="1120">
      <c r="A1120" s="232" t="s">
        <v>2306</v>
      </c>
      <c r="B1120" t="s">
        <v>2307</v>
      </c>
      <c r="C1120">
        <v>2.0</v>
      </c>
      <c r="D1120" t="s">
        <v>330</v>
      </c>
      <c r="E1120" t="s">
        <v>311</v>
      </c>
    </row>
    <row r="1121">
      <c r="A1121" s="232" t="s">
        <v>2308</v>
      </c>
      <c r="B1121" t="s">
        <v>2309</v>
      </c>
      <c r="C1121">
        <v>9.0</v>
      </c>
      <c r="D1121" t="s">
        <v>330</v>
      </c>
      <c r="E1121" t="s">
        <v>311</v>
      </c>
    </row>
    <row r="1122">
      <c r="A1122" s="232" t="s">
        <v>2310</v>
      </c>
      <c r="B1122" t="s">
        <v>2311</v>
      </c>
      <c r="C1122">
        <v>6.0</v>
      </c>
      <c r="D1122" t="s">
        <v>330</v>
      </c>
      <c r="E1122" t="s">
        <v>311</v>
      </c>
    </row>
    <row r="1123">
      <c r="A1123" s="232" t="s">
        <v>2312</v>
      </c>
      <c r="B1123" t="s">
        <v>2313</v>
      </c>
      <c r="C1123">
        <v>0.0</v>
      </c>
      <c r="D1123" t="s">
        <v>310</v>
      </c>
      <c r="E1123" t="s">
        <v>311</v>
      </c>
    </row>
    <row r="1124">
      <c r="A1124" s="232" t="s">
        <v>2314</v>
      </c>
      <c r="B1124" t="s">
        <v>2315</v>
      </c>
      <c r="C1124">
        <v>0.0</v>
      </c>
      <c r="D1124" t="s">
        <v>310</v>
      </c>
      <c r="E1124" t="s">
        <v>311</v>
      </c>
    </row>
    <row r="1125">
      <c r="A1125" s="232" t="s">
        <v>2316</v>
      </c>
      <c r="B1125" t="s">
        <v>2317</v>
      </c>
      <c r="C1125">
        <v>0.0</v>
      </c>
      <c r="D1125" t="s">
        <v>310</v>
      </c>
      <c r="E1125" t="s">
        <v>311</v>
      </c>
    </row>
    <row r="1126">
      <c r="A1126" s="232" t="s">
        <v>2318</v>
      </c>
      <c r="B1126" t="s">
        <v>2319</v>
      </c>
      <c r="C1126">
        <v>0.0</v>
      </c>
      <c r="D1126" t="s">
        <v>310</v>
      </c>
      <c r="E1126" t="s">
        <v>311</v>
      </c>
    </row>
    <row r="1127">
      <c r="A1127" s="232" t="s">
        <v>2320</v>
      </c>
      <c r="B1127" t="s">
        <v>2321</v>
      </c>
      <c r="C1127">
        <v>0.0</v>
      </c>
      <c r="D1127" t="s">
        <v>310</v>
      </c>
      <c r="E1127" t="s">
        <v>311</v>
      </c>
    </row>
    <row r="1128">
      <c r="A1128" s="232" t="s">
        <v>2322</v>
      </c>
      <c r="B1128" t="s">
        <v>2323</v>
      </c>
      <c r="C1128">
        <v>2.0</v>
      </c>
      <c r="D1128" t="s">
        <v>330</v>
      </c>
      <c r="E1128" t="s">
        <v>311</v>
      </c>
    </row>
    <row r="1129">
      <c r="A1129" s="232" t="s">
        <v>2324</v>
      </c>
      <c r="B1129" t="s">
        <v>2325</v>
      </c>
      <c r="C1129">
        <v>4.0</v>
      </c>
      <c r="D1129" t="s">
        <v>330</v>
      </c>
      <c r="E1129" t="s">
        <v>311</v>
      </c>
    </row>
    <row r="1130">
      <c r="A1130" s="232" t="s">
        <v>2326</v>
      </c>
      <c r="B1130" t="s">
        <v>2327</v>
      </c>
      <c r="C1130">
        <v>6.0</v>
      </c>
      <c r="D1130" t="s">
        <v>330</v>
      </c>
      <c r="E1130" t="s">
        <v>311</v>
      </c>
    </row>
    <row r="1131">
      <c r="A1131" s="232" t="s">
        <v>2328</v>
      </c>
      <c r="B1131" t="s">
        <v>2329</v>
      </c>
      <c r="C1131">
        <v>9.0</v>
      </c>
      <c r="D1131" t="s">
        <v>330</v>
      </c>
      <c r="E1131" t="s">
        <v>311</v>
      </c>
    </row>
    <row r="1132">
      <c r="A1132" s="232" t="s">
        <v>2330</v>
      </c>
      <c r="B1132" t="s">
        <v>2331</v>
      </c>
      <c r="C1132">
        <v>0.0</v>
      </c>
      <c r="D1132" t="s">
        <v>310</v>
      </c>
      <c r="E1132" t="s">
        <v>311</v>
      </c>
    </row>
    <row r="1133">
      <c r="A1133" s="232" t="s">
        <v>2332</v>
      </c>
      <c r="B1133" t="s">
        <v>2333</v>
      </c>
      <c r="C1133">
        <v>0.0</v>
      </c>
      <c r="D1133" t="s">
        <v>310</v>
      </c>
      <c r="E1133" t="s">
        <v>311</v>
      </c>
    </row>
    <row r="1134">
      <c r="A1134" s="232" t="s">
        <v>2334</v>
      </c>
      <c r="B1134" t="s">
        <v>2335</v>
      </c>
      <c r="C1134">
        <v>0.0</v>
      </c>
      <c r="D1134" t="s">
        <v>310</v>
      </c>
      <c r="E1134" t="s">
        <v>311</v>
      </c>
    </row>
    <row r="1135">
      <c r="A1135" s="232" t="s">
        <v>2336</v>
      </c>
      <c r="B1135" t="s">
        <v>2337</v>
      </c>
      <c r="C1135">
        <v>0.0</v>
      </c>
      <c r="D1135" t="s">
        <v>310</v>
      </c>
      <c r="E1135" t="s">
        <v>311</v>
      </c>
    </row>
    <row r="1136">
      <c r="A1136" s="232" t="s">
        <v>2338</v>
      </c>
      <c r="B1136" t="s">
        <v>2339</v>
      </c>
      <c r="C1136">
        <v>0.0</v>
      </c>
      <c r="D1136" t="s">
        <v>310</v>
      </c>
      <c r="E1136" t="s">
        <v>311</v>
      </c>
    </row>
    <row r="1137">
      <c r="A1137" s="232" t="s">
        <v>2340</v>
      </c>
      <c r="B1137" t="s">
        <v>2341</v>
      </c>
      <c r="C1137">
        <v>0.0</v>
      </c>
      <c r="D1137" t="s">
        <v>310</v>
      </c>
      <c r="E1137" t="s">
        <v>311</v>
      </c>
    </row>
    <row r="1138">
      <c r="A1138" s="232" t="s">
        <v>2342</v>
      </c>
      <c r="B1138" t="s">
        <v>2343</v>
      </c>
      <c r="C1138">
        <v>0.0</v>
      </c>
      <c r="D1138" t="s">
        <v>310</v>
      </c>
      <c r="E1138" t="s">
        <v>311</v>
      </c>
    </row>
    <row r="1139">
      <c r="A1139" s="232" t="s">
        <v>2344</v>
      </c>
      <c r="B1139" t="s">
        <v>2345</v>
      </c>
      <c r="C1139">
        <v>36.0</v>
      </c>
      <c r="D1139" t="s">
        <v>330</v>
      </c>
      <c r="E1139" t="s">
        <v>565</v>
      </c>
    </row>
    <row r="1140">
      <c r="A1140" s="232" t="s">
        <v>2346</v>
      </c>
      <c r="B1140" t="s">
        <v>2347</v>
      </c>
      <c r="C1140">
        <v>1089.0</v>
      </c>
      <c r="D1140" t="s">
        <v>310</v>
      </c>
      <c r="E1140" t="s">
        <v>311</v>
      </c>
    </row>
    <row r="1141">
      <c r="A1141" s="232" t="s">
        <v>2348</v>
      </c>
      <c r="B1141" t="s">
        <v>2349</v>
      </c>
      <c r="C1141">
        <v>64.0</v>
      </c>
      <c r="D1141" t="s">
        <v>330</v>
      </c>
      <c r="E1141" t="s">
        <v>565</v>
      </c>
    </row>
    <row r="1142">
      <c r="A1142" s="232" t="s">
        <v>2350</v>
      </c>
      <c r="B1142" t="s">
        <v>2351</v>
      </c>
      <c r="C1142">
        <v>0.0</v>
      </c>
      <c r="D1142" t="s">
        <v>310</v>
      </c>
      <c r="E1142" t="s">
        <v>311</v>
      </c>
    </row>
    <row r="1143">
      <c r="A1143" s="232" t="s">
        <v>2352</v>
      </c>
      <c r="B1143" t="s">
        <v>2353</v>
      </c>
      <c r="C1143">
        <v>0.0</v>
      </c>
      <c r="D1143" t="s">
        <v>310</v>
      </c>
      <c r="E1143" t="s">
        <v>311</v>
      </c>
    </row>
    <row r="1144">
      <c r="A1144" s="232" t="s">
        <v>2354</v>
      </c>
      <c r="B1144" t="s">
        <v>2355</v>
      </c>
      <c r="C1144">
        <v>228.0</v>
      </c>
      <c r="D1144" t="s">
        <v>330</v>
      </c>
      <c r="E1144" t="s">
        <v>311</v>
      </c>
    </row>
    <row r="1145">
      <c r="A1145" s="232" t="s">
        <v>2356</v>
      </c>
      <c r="B1145" t="s">
        <v>2357</v>
      </c>
      <c r="C1145">
        <v>60.0</v>
      </c>
      <c r="D1145" t="s">
        <v>330</v>
      </c>
      <c r="E1145" t="s">
        <v>311</v>
      </c>
    </row>
    <row r="1146">
      <c r="A1146" s="232" t="s">
        <v>2358</v>
      </c>
      <c r="B1146" t="s">
        <v>2359</v>
      </c>
      <c r="C1146">
        <v>0.0</v>
      </c>
      <c r="D1146" t="s">
        <v>310</v>
      </c>
      <c r="E1146" t="s">
        <v>311</v>
      </c>
    </row>
    <row r="1147">
      <c r="A1147" s="232" t="s">
        <v>2360</v>
      </c>
      <c r="B1147" t="s">
        <v>2361</v>
      </c>
      <c r="C1147">
        <v>90.0</v>
      </c>
      <c r="D1147" t="s">
        <v>330</v>
      </c>
      <c r="E1147" t="s">
        <v>311</v>
      </c>
    </row>
    <row r="1148">
      <c r="A1148" s="232" t="s">
        <v>2362</v>
      </c>
      <c r="B1148" t="s">
        <v>2363</v>
      </c>
      <c r="C1148">
        <v>0.0</v>
      </c>
      <c r="D1148" t="s">
        <v>310</v>
      </c>
      <c r="E1148" t="s">
        <v>311</v>
      </c>
    </row>
    <row r="1149">
      <c r="A1149" s="232" t="s">
        <v>2364</v>
      </c>
      <c r="B1149" t="s">
        <v>2365</v>
      </c>
      <c r="C1149">
        <v>330.0</v>
      </c>
      <c r="D1149" t="s">
        <v>330</v>
      </c>
      <c r="E1149" t="s">
        <v>311</v>
      </c>
    </row>
    <row r="1150">
      <c r="A1150" s="232" t="s">
        <v>2366</v>
      </c>
      <c r="B1150" t="s">
        <v>2367</v>
      </c>
      <c r="C1150">
        <v>30.0</v>
      </c>
      <c r="D1150" t="s">
        <v>330</v>
      </c>
      <c r="E1150" t="s">
        <v>311</v>
      </c>
    </row>
    <row r="1151">
      <c r="A1151" s="232" t="s">
        <v>2368</v>
      </c>
      <c r="B1151" t="s">
        <v>2369</v>
      </c>
      <c r="C1151">
        <v>1.0</v>
      </c>
      <c r="D1151" t="s">
        <v>310</v>
      </c>
      <c r="E1151" t="s">
        <v>311</v>
      </c>
    </row>
    <row r="1152">
      <c r="A1152" s="232" t="s">
        <v>2370</v>
      </c>
      <c r="B1152" t="s">
        <v>2371</v>
      </c>
      <c r="C1152">
        <v>835.0</v>
      </c>
      <c r="D1152" t="s">
        <v>330</v>
      </c>
      <c r="E1152" t="s">
        <v>311</v>
      </c>
    </row>
    <row r="1153">
      <c r="A1153" s="232" t="s">
        <v>2372</v>
      </c>
      <c r="B1153" t="s">
        <v>2373</v>
      </c>
      <c r="C1153">
        <v>840.0</v>
      </c>
      <c r="D1153" t="s">
        <v>330</v>
      </c>
      <c r="E1153" t="s">
        <v>311</v>
      </c>
    </row>
    <row r="1154">
      <c r="A1154" s="232" t="s">
        <v>2374</v>
      </c>
      <c r="B1154" t="s">
        <v>2375</v>
      </c>
      <c r="C1154">
        <v>785.0</v>
      </c>
      <c r="D1154" t="s">
        <v>330</v>
      </c>
      <c r="E1154" t="s">
        <v>311</v>
      </c>
    </row>
    <row r="1155">
      <c r="A1155" s="232" t="s">
        <v>2376</v>
      </c>
      <c r="B1155" t="s">
        <v>2377</v>
      </c>
      <c r="C1155">
        <v>799.0</v>
      </c>
      <c r="D1155" t="s">
        <v>330</v>
      </c>
      <c r="E1155" t="s">
        <v>311</v>
      </c>
    </row>
    <row r="1156">
      <c r="A1156" s="232" t="s">
        <v>2378</v>
      </c>
      <c r="B1156" t="s">
        <v>2379</v>
      </c>
      <c r="C1156">
        <v>821.0</v>
      </c>
      <c r="D1156" t="s">
        <v>330</v>
      </c>
      <c r="E1156" t="s">
        <v>311</v>
      </c>
    </row>
    <row r="1157">
      <c r="A1157" s="232" t="s">
        <v>2380</v>
      </c>
      <c r="B1157" t="s">
        <v>2381</v>
      </c>
      <c r="C1157">
        <v>845.0</v>
      </c>
      <c r="D1157" t="s">
        <v>330</v>
      </c>
      <c r="E1157" t="s">
        <v>311</v>
      </c>
    </row>
    <row r="1158">
      <c r="A1158" s="232" t="s">
        <v>2382</v>
      </c>
      <c r="B1158" t="s">
        <v>2383</v>
      </c>
      <c r="C1158">
        <v>927.0</v>
      </c>
      <c r="D1158" t="s">
        <v>330</v>
      </c>
      <c r="E1158" t="s">
        <v>311</v>
      </c>
    </row>
    <row r="1159">
      <c r="A1159" s="232" t="s">
        <v>2384</v>
      </c>
      <c r="B1159" t="s">
        <v>2385</v>
      </c>
      <c r="C1159">
        <v>17.0</v>
      </c>
      <c r="D1159" t="s">
        <v>330</v>
      </c>
      <c r="E1159" t="s">
        <v>565</v>
      </c>
    </row>
    <row r="1160">
      <c r="A1160" s="232" t="s">
        <v>2386</v>
      </c>
      <c r="B1160" t="s">
        <v>2387</v>
      </c>
      <c r="C1160">
        <v>3.0</v>
      </c>
      <c r="D1160" t="s">
        <v>330</v>
      </c>
      <c r="E1160" t="s">
        <v>311</v>
      </c>
    </row>
    <row r="1161">
      <c r="A1161" s="232" t="s">
        <v>2388</v>
      </c>
      <c r="B1161" t="s">
        <v>2389</v>
      </c>
      <c r="C1161">
        <v>162.0</v>
      </c>
      <c r="D1161" t="s">
        <v>330</v>
      </c>
      <c r="E1161" t="s">
        <v>311</v>
      </c>
    </row>
    <row r="1162">
      <c r="A1162" s="232" t="s">
        <v>2390</v>
      </c>
      <c r="B1162" t="s">
        <v>2391</v>
      </c>
      <c r="C1162">
        <v>0.0</v>
      </c>
      <c r="D1162" t="s">
        <v>330</v>
      </c>
      <c r="E1162" t="s">
        <v>311</v>
      </c>
    </row>
    <row r="1163">
      <c r="A1163" s="232">
        <v>26414.0</v>
      </c>
      <c r="B1163" t="s">
        <v>2392</v>
      </c>
      <c r="C1163">
        <v>0.0</v>
      </c>
      <c r="D1163" t="s">
        <v>310</v>
      </c>
      <c r="E1163" t="s">
        <v>311</v>
      </c>
    </row>
    <row r="1164">
      <c r="A1164" s="232">
        <v>30049.0</v>
      </c>
      <c r="B1164" t="s">
        <v>2393</v>
      </c>
      <c r="C1164">
        <v>0.0</v>
      </c>
      <c r="D1164" t="s">
        <v>310</v>
      </c>
      <c r="E1164" t="s">
        <v>311</v>
      </c>
    </row>
    <row r="1165">
      <c r="A1165" s="232" t="s">
        <v>2394</v>
      </c>
      <c r="B1165" t="s">
        <v>2395</v>
      </c>
      <c r="C1165">
        <v>0.0</v>
      </c>
      <c r="D1165" t="s">
        <v>310</v>
      </c>
      <c r="E1165" t="s">
        <v>311</v>
      </c>
    </row>
    <row r="1166">
      <c r="A1166" s="232" t="s">
        <v>2396</v>
      </c>
      <c r="B1166" t="s">
        <v>2397</v>
      </c>
      <c r="C1166">
        <v>0.0</v>
      </c>
      <c r="D1166" t="s">
        <v>310</v>
      </c>
      <c r="E1166" t="s">
        <v>311</v>
      </c>
    </row>
    <row r="1167">
      <c r="A1167" s="232" t="s">
        <v>2398</v>
      </c>
      <c r="B1167" t="s">
        <v>2399</v>
      </c>
      <c r="C1167">
        <v>0.0</v>
      </c>
      <c r="D1167" t="s">
        <v>310</v>
      </c>
      <c r="E1167" t="s">
        <v>311</v>
      </c>
    </row>
    <row r="1168">
      <c r="A1168" s="232" t="s">
        <v>2400</v>
      </c>
      <c r="B1168" t="s">
        <v>2401</v>
      </c>
      <c r="C1168">
        <v>0.0</v>
      </c>
      <c r="D1168" t="s">
        <v>310</v>
      </c>
      <c r="E1168" t="s">
        <v>311</v>
      </c>
    </row>
    <row r="1169">
      <c r="A1169" s="232" t="s">
        <v>2402</v>
      </c>
      <c r="B1169" t="s">
        <v>2403</v>
      </c>
      <c r="C1169">
        <v>0.0</v>
      </c>
      <c r="D1169" t="s">
        <v>310</v>
      </c>
      <c r="E1169" t="s">
        <v>311</v>
      </c>
    </row>
    <row r="1170">
      <c r="A1170" s="232" t="s">
        <v>2404</v>
      </c>
      <c r="B1170" t="s">
        <v>2405</v>
      </c>
      <c r="C1170">
        <v>0.0</v>
      </c>
      <c r="D1170" t="s">
        <v>310</v>
      </c>
      <c r="E1170" t="s">
        <v>311</v>
      </c>
    </row>
    <row r="1171">
      <c r="A1171" s="232" t="s">
        <v>2406</v>
      </c>
      <c r="B1171" t="s">
        <v>2407</v>
      </c>
      <c r="C1171">
        <v>0.0</v>
      </c>
      <c r="D1171" t="s">
        <v>310</v>
      </c>
      <c r="E1171" t="s">
        <v>311</v>
      </c>
    </row>
    <row r="1172">
      <c r="A1172" s="232" t="s">
        <v>2408</v>
      </c>
      <c r="B1172" t="s">
        <v>2409</v>
      </c>
      <c r="C1172">
        <v>0.0</v>
      </c>
      <c r="D1172" t="s">
        <v>310</v>
      </c>
      <c r="E1172" t="s">
        <v>311</v>
      </c>
    </row>
    <row r="1173">
      <c r="A1173" s="232" t="s">
        <v>2410</v>
      </c>
      <c r="B1173" t="s">
        <v>2411</v>
      </c>
      <c r="C1173">
        <v>0.0</v>
      </c>
      <c r="D1173" t="s">
        <v>310</v>
      </c>
      <c r="E1173" t="s">
        <v>311</v>
      </c>
    </row>
    <row r="1174">
      <c r="A1174" s="232" t="s">
        <v>2412</v>
      </c>
      <c r="B1174" t="s">
        <v>2413</v>
      </c>
      <c r="C1174">
        <v>0.0</v>
      </c>
      <c r="D1174" t="s">
        <v>310</v>
      </c>
      <c r="E1174" t="s">
        <v>311</v>
      </c>
    </row>
    <row r="1175">
      <c r="A1175" s="232" t="s">
        <v>2414</v>
      </c>
      <c r="B1175" t="s">
        <v>2415</v>
      </c>
      <c r="C1175">
        <v>0.0</v>
      </c>
      <c r="D1175" t="s">
        <v>310</v>
      </c>
      <c r="E1175" t="s">
        <v>311</v>
      </c>
    </row>
    <row r="1176">
      <c r="A1176" s="232" t="s">
        <v>2416</v>
      </c>
      <c r="B1176" t="s">
        <v>2417</v>
      </c>
      <c r="C1176">
        <v>0.0</v>
      </c>
      <c r="D1176" t="s">
        <v>310</v>
      </c>
      <c r="E1176" t="s">
        <v>311</v>
      </c>
    </row>
    <row r="1177">
      <c r="A1177" s="232" t="s">
        <v>2418</v>
      </c>
      <c r="B1177" t="s">
        <v>2419</v>
      </c>
      <c r="C1177">
        <v>0.0</v>
      </c>
      <c r="D1177" t="s">
        <v>310</v>
      </c>
      <c r="E1177" t="s">
        <v>311</v>
      </c>
    </row>
    <row r="1178">
      <c r="A1178" s="232" t="s">
        <v>2420</v>
      </c>
      <c r="B1178" t="s">
        <v>2421</v>
      </c>
      <c r="C1178">
        <v>0.0</v>
      </c>
      <c r="D1178" t="s">
        <v>310</v>
      </c>
      <c r="E1178" t="s">
        <v>311</v>
      </c>
    </row>
    <row r="1179">
      <c r="A1179" s="232" t="s">
        <v>2422</v>
      </c>
      <c r="B1179" t="s">
        <v>2423</v>
      </c>
      <c r="C1179">
        <v>0.0</v>
      </c>
      <c r="D1179" t="s">
        <v>310</v>
      </c>
      <c r="E1179" t="s">
        <v>311</v>
      </c>
    </row>
    <row r="1180">
      <c r="A1180" s="232">
        <v>9992.0</v>
      </c>
      <c r="B1180" t="s">
        <v>2424</v>
      </c>
      <c r="C1180">
        <v>0.0</v>
      </c>
      <c r="D1180" t="s">
        <v>310</v>
      </c>
      <c r="E1180" t="s">
        <v>311</v>
      </c>
    </row>
    <row r="1181">
      <c r="A1181" s="232" t="s">
        <v>2425</v>
      </c>
      <c r="B1181" t="s">
        <v>2426</v>
      </c>
      <c r="C1181">
        <v>0.0</v>
      </c>
      <c r="D1181" t="s">
        <v>310</v>
      </c>
      <c r="E1181" t="s">
        <v>311</v>
      </c>
    </row>
    <row r="1182">
      <c r="A1182" s="232" t="s">
        <v>2427</v>
      </c>
      <c r="B1182" t="s">
        <v>2428</v>
      </c>
      <c r="C1182">
        <v>0.0</v>
      </c>
      <c r="D1182" t="s">
        <v>310</v>
      </c>
      <c r="E1182" t="s">
        <v>311</v>
      </c>
    </row>
    <row r="1183">
      <c r="A1183" s="232" t="s">
        <v>2429</v>
      </c>
      <c r="B1183" t="s">
        <v>2430</v>
      </c>
      <c r="C1183">
        <v>0.0</v>
      </c>
      <c r="D1183" t="s">
        <v>310</v>
      </c>
      <c r="E1183" t="s">
        <v>311</v>
      </c>
    </row>
    <row r="1184">
      <c r="A1184" s="232" t="s">
        <v>2431</v>
      </c>
      <c r="B1184" t="s">
        <v>2432</v>
      </c>
      <c r="C1184">
        <v>0.0</v>
      </c>
      <c r="D1184" t="s">
        <v>310</v>
      </c>
      <c r="E1184" t="s">
        <v>311</v>
      </c>
    </row>
    <row r="1185">
      <c r="A1185" s="232" t="s">
        <v>2433</v>
      </c>
      <c r="B1185" t="s">
        <v>2434</v>
      </c>
      <c r="C1185">
        <v>0.0</v>
      </c>
      <c r="D1185" t="s">
        <v>310</v>
      </c>
      <c r="E1185" t="s">
        <v>311</v>
      </c>
    </row>
    <row r="1186">
      <c r="A1186" s="232" t="s">
        <v>2435</v>
      </c>
      <c r="B1186" t="s">
        <v>2436</v>
      </c>
      <c r="C1186">
        <v>78.0</v>
      </c>
      <c r="D1186" t="s">
        <v>330</v>
      </c>
      <c r="E1186" t="s">
        <v>311</v>
      </c>
    </row>
    <row r="1187">
      <c r="A1187" s="232" t="s">
        <v>2437</v>
      </c>
      <c r="B1187" t="s">
        <v>2438</v>
      </c>
      <c r="C1187">
        <v>0.0</v>
      </c>
      <c r="D1187" t="s">
        <v>310</v>
      </c>
      <c r="E1187" t="s">
        <v>311</v>
      </c>
    </row>
    <row r="1188">
      <c r="A1188" s="232" t="s">
        <v>2439</v>
      </c>
      <c r="B1188" t="s">
        <v>2440</v>
      </c>
      <c r="C1188">
        <v>0.0</v>
      </c>
      <c r="D1188" t="s">
        <v>310</v>
      </c>
      <c r="E1188" t="s">
        <v>311</v>
      </c>
    </row>
    <row r="1189">
      <c r="A1189" s="232" t="s">
        <v>2441</v>
      </c>
      <c r="B1189" t="s">
        <v>2442</v>
      </c>
      <c r="C1189">
        <v>0.0</v>
      </c>
      <c r="D1189" t="s">
        <v>310</v>
      </c>
      <c r="E1189" t="s">
        <v>311</v>
      </c>
    </row>
    <row r="1190">
      <c r="A1190" s="232" t="s">
        <v>2443</v>
      </c>
      <c r="B1190" t="s">
        <v>2444</v>
      </c>
      <c r="C1190">
        <v>0.0</v>
      </c>
      <c r="D1190" t="s">
        <v>310</v>
      </c>
      <c r="E1190" t="s">
        <v>311</v>
      </c>
    </row>
    <row r="1191">
      <c r="A1191" s="232" t="s">
        <v>2445</v>
      </c>
      <c r="B1191" t="s">
        <v>2446</v>
      </c>
      <c r="C1191">
        <v>0.0</v>
      </c>
      <c r="D1191" t="s">
        <v>310</v>
      </c>
      <c r="E1191" t="s">
        <v>311</v>
      </c>
    </row>
    <row r="1192">
      <c r="A1192" s="232" t="s">
        <v>2447</v>
      </c>
      <c r="B1192" t="s">
        <v>2448</v>
      </c>
      <c r="C1192">
        <v>0.0</v>
      </c>
      <c r="D1192" t="s">
        <v>310</v>
      </c>
      <c r="E1192" t="s">
        <v>311</v>
      </c>
    </row>
    <row r="1193">
      <c r="A1193" s="232" t="s">
        <v>2449</v>
      </c>
      <c r="B1193" t="s">
        <v>2450</v>
      </c>
      <c r="C1193">
        <v>0.0</v>
      </c>
      <c r="D1193" t="s">
        <v>310</v>
      </c>
      <c r="E1193" t="s">
        <v>311</v>
      </c>
    </row>
    <row r="1194">
      <c r="A1194" s="232" t="s">
        <v>2451</v>
      </c>
      <c r="B1194" t="s">
        <v>2452</v>
      </c>
      <c r="C1194">
        <v>0.0</v>
      </c>
      <c r="D1194" t="s">
        <v>310</v>
      </c>
      <c r="E1194" t="s">
        <v>311</v>
      </c>
    </row>
    <row r="1195">
      <c r="A1195" s="232" t="s">
        <v>2453</v>
      </c>
      <c r="B1195" t="s">
        <v>2454</v>
      </c>
      <c r="C1195">
        <v>0.0</v>
      </c>
      <c r="D1195" t="s">
        <v>310</v>
      </c>
      <c r="E1195" t="s">
        <v>311</v>
      </c>
    </row>
    <row r="1196">
      <c r="A1196" s="232" t="s">
        <v>2455</v>
      </c>
      <c r="B1196" t="s">
        <v>2456</v>
      </c>
      <c r="C1196">
        <v>0.0</v>
      </c>
      <c r="D1196" t="s">
        <v>310</v>
      </c>
      <c r="E1196" t="s">
        <v>311</v>
      </c>
    </row>
    <row r="1197">
      <c r="A1197" s="232" t="s">
        <v>2457</v>
      </c>
      <c r="B1197" t="s">
        <v>2458</v>
      </c>
      <c r="C1197">
        <v>0.0</v>
      </c>
      <c r="D1197" t="s">
        <v>310</v>
      </c>
      <c r="E1197" t="s">
        <v>311</v>
      </c>
    </row>
    <row r="1198">
      <c r="A1198" s="232" t="s">
        <v>2459</v>
      </c>
      <c r="B1198" t="s">
        <v>2460</v>
      </c>
      <c r="C1198">
        <v>0.0</v>
      </c>
      <c r="D1198" t="s">
        <v>310</v>
      </c>
      <c r="E1198" t="s">
        <v>311</v>
      </c>
    </row>
    <row r="1199">
      <c r="A1199" s="232" t="s">
        <v>2461</v>
      </c>
      <c r="B1199" t="s">
        <v>2462</v>
      </c>
      <c r="C1199">
        <v>0.0</v>
      </c>
      <c r="D1199" t="s">
        <v>310</v>
      </c>
      <c r="E1199" t="s">
        <v>311</v>
      </c>
    </row>
    <row r="1200">
      <c r="A1200" s="232" t="s">
        <v>2463</v>
      </c>
      <c r="B1200" t="s">
        <v>2464</v>
      </c>
      <c r="C1200">
        <v>0.0</v>
      </c>
      <c r="D1200" t="s">
        <v>310</v>
      </c>
      <c r="E1200" t="s">
        <v>311</v>
      </c>
    </row>
    <row r="1201">
      <c r="A1201" s="232" t="s">
        <v>2465</v>
      </c>
      <c r="B1201" t="s">
        <v>2466</v>
      </c>
      <c r="C1201">
        <v>0.0</v>
      </c>
      <c r="D1201" t="s">
        <v>310</v>
      </c>
      <c r="E1201" t="s">
        <v>311</v>
      </c>
    </row>
    <row r="1202">
      <c r="A1202" s="232" t="s">
        <v>2467</v>
      </c>
      <c r="B1202" t="s">
        <v>2468</v>
      </c>
      <c r="C1202">
        <v>408.0</v>
      </c>
      <c r="D1202" t="s">
        <v>330</v>
      </c>
      <c r="E1202" t="s">
        <v>311</v>
      </c>
    </row>
    <row r="1203">
      <c r="A1203" s="232" t="s">
        <v>2469</v>
      </c>
      <c r="B1203" t="s">
        <v>2470</v>
      </c>
      <c r="C1203">
        <v>0.0</v>
      </c>
      <c r="D1203" t="s">
        <v>310</v>
      </c>
      <c r="E1203" t="s">
        <v>311</v>
      </c>
    </row>
    <row r="1204">
      <c r="A1204" s="232" t="s">
        <v>2471</v>
      </c>
      <c r="B1204" t="s">
        <v>2472</v>
      </c>
      <c r="C1204">
        <v>0.0</v>
      </c>
      <c r="D1204" t="s">
        <v>310</v>
      </c>
      <c r="E1204" t="s">
        <v>311</v>
      </c>
    </row>
    <row r="1205">
      <c r="A1205" s="232" t="s">
        <v>2473</v>
      </c>
      <c r="B1205" t="s">
        <v>2474</v>
      </c>
      <c r="C1205">
        <v>0.0</v>
      </c>
      <c r="D1205" t="s">
        <v>310</v>
      </c>
      <c r="E1205" t="s">
        <v>311</v>
      </c>
    </row>
    <row r="1206">
      <c r="A1206" s="232" t="s">
        <v>2475</v>
      </c>
      <c r="B1206" t="s">
        <v>2476</v>
      </c>
      <c r="C1206">
        <v>0.0</v>
      </c>
      <c r="D1206" t="s">
        <v>310</v>
      </c>
      <c r="E1206" t="s">
        <v>311</v>
      </c>
    </row>
    <row r="1207">
      <c r="A1207" s="232" t="s">
        <v>2477</v>
      </c>
      <c r="B1207" t="s">
        <v>2478</v>
      </c>
      <c r="C1207">
        <v>0.0</v>
      </c>
      <c r="D1207" t="s">
        <v>310</v>
      </c>
      <c r="E1207" t="s">
        <v>311</v>
      </c>
    </row>
    <row r="1208">
      <c r="A1208" s="232" t="s">
        <v>2479</v>
      </c>
      <c r="B1208" t="s">
        <v>2480</v>
      </c>
      <c r="C1208">
        <v>174.0</v>
      </c>
      <c r="D1208" t="s">
        <v>330</v>
      </c>
      <c r="E1208" t="s">
        <v>311</v>
      </c>
    </row>
    <row r="1209">
      <c r="A1209" s="232" t="s">
        <v>2481</v>
      </c>
      <c r="B1209" t="s">
        <v>2482</v>
      </c>
      <c r="C1209">
        <v>0.0</v>
      </c>
      <c r="D1209" t="s">
        <v>310</v>
      </c>
      <c r="E1209" t="s">
        <v>311</v>
      </c>
    </row>
    <row r="1210">
      <c r="A1210" s="232" t="s">
        <v>2483</v>
      </c>
      <c r="B1210" t="s">
        <v>2484</v>
      </c>
      <c r="C1210">
        <v>0.0</v>
      </c>
      <c r="D1210" t="s">
        <v>310</v>
      </c>
      <c r="E1210" t="s">
        <v>311</v>
      </c>
    </row>
    <row r="1211">
      <c r="A1211" s="232" t="s">
        <v>2485</v>
      </c>
      <c r="B1211" t="s">
        <v>2486</v>
      </c>
      <c r="C1211">
        <v>0.0</v>
      </c>
      <c r="D1211" t="s">
        <v>310</v>
      </c>
      <c r="E1211" t="s">
        <v>311</v>
      </c>
    </row>
    <row r="1212">
      <c r="A1212" s="232" t="s">
        <v>2487</v>
      </c>
      <c r="B1212" t="s">
        <v>2488</v>
      </c>
      <c r="C1212">
        <v>0.0</v>
      </c>
      <c r="D1212" t="s">
        <v>310</v>
      </c>
      <c r="E1212" t="s">
        <v>311</v>
      </c>
    </row>
    <row r="1213">
      <c r="A1213" s="232" t="s">
        <v>2489</v>
      </c>
      <c r="B1213" t="s">
        <v>2490</v>
      </c>
      <c r="C1213">
        <v>0.0</v>
      </c>
      <c r="D1213" t="s">
        <v>310</v>
      </c>
      <c r="E1213" t="s">
        <v>311</v>
      </c>
    </row>
    <row r="1214">
      <c r="A1214" s="232" t="s">
        <v>2491</v>
      </c>
      <c r="B1214" t="s">
        <v>2492</v>
      </c>
      <c r="C1214">
        <v>0.0</v>
      </c>
      <c r="D1214" t="s">
        <v>310</v>
      </c>
      <c r="E1214" t="s">
        <v>311</v>
      </c>
    </row>
    <row r="1215">
      <c r="A1215" s="232" t="s">
        <v>2493</v>
      </c>
      <c r="B1215" t="s">
        <v>2494</v>
      </c>
      <c r="C1215">
        <v>0.0</v>
      </c>
      <c r="D1215" t="s">
        <v>310</v>
      </c>
      <c r="E1215" t="s">
        <v>311</v>
      </c>
    </row>
    <row r="1216">
      <c r="A1216" s="232" t="s">
        <v>2495</v>
      </c>
      <c r="B1216" t="s">
        <v>2496</v>
      </c>
      <c r="C1216">
        <v>0.0</v>
      </c>
      <c r="D1216" t="s">
        <v>310</v>
      </c>
      <c r="E1216" t="s">
        <v>311</v>
      </c>
    </row>
    <row r="1217">
      <c r="A1217" s="232" t="s">
        <v>2497</v>
      </c>
      <c r="B1217" t="s">
        <v>2498</v>
      </c>
      <c r="C1217">
        <v>0.0</v>
      </c>
      <c r="D1217" t="s">
        <v>310</v>
      </c>
      <c r="E1217" t="s">
        <v>311</v>
      </c>
    </row>
    <row r="1218">
      <c r="A1218" s="232" t="s">
        <v>2499</v>
      </c>
      <c r="B1218" t="s">
        <v>2500</v>
      </c>
      <c r="C1218">
        <v>0.0</v>
      </c>
      <c r="D1218" t="s">
        <v>310</v>
      </c>
      <c r="E1218" t="s">
        <v>311</v>
      </c>
    </row>
    <row r="1219">
      <c r="A1219" s="232" t="s">
        <v>2501</v>
      </c>
      <c r="B1219" t="s">
        <v>2502</v>
      </c>
      <c r="C1219">
        <v>0.0</v>
      </c>
      <c r="D1219" t="s">
        <v>310</v>
      </c>
      <c r="E1219" t="s">
        <v>311</v>
      </c>
    </row>
    <row r="1220">
      <c r="A1220" s="232" t="s">
        <v>2503</v>
      </c>
      <c r="B1220" t="s">
        <v>2504</v>
      </c>
      <c r="C1220">
        <v>0.0</v>
      </c>
      <c r="D1220" t="s">
        <v>310</v>
      </c>
      <c r="E1220" t="s">
        <v>311</v>
      </c>
    </row>
    <row r="1221">
      <c r="A1221" s="232" t="s">
        <v>2505</v>
      </c>
      <c r="B1221" t="s">
        <v>2506</v>
      </c>
      <c r="C1221">
        <v>0.0</v>
      </c>
      <c r="D1221" t="s">
        <v>310</v>
      </c>
      <c r="E1221" t="s">
        <v>311</v>
      </c>
    </row>
    <row r="1222">
      <c r="A1222" s="232" t="s">
        <v>2507</v>
      </c>
      <c r="B1222" t="s">
        <v>2508</v>
      </c>
      <c r="C1222">
        <v>0.0</v>
      </c>
      <c r="D1222" t="s">
        <v>310</v>
      </c>
      <c r="E1222" t="s">
        <v>311</v>
      </c>
    </row>
    <row r="1223">
      <c r="A1223" s="232" t="s">
        <v>2509</v>
      </c>
      <c r="B1223" t="s">
        <v>2510</v>
      </c>
      <c r="C1223">
        <v>0.0</v>
      </c>
      <c r="D1223" t="s">
        <v>310</v>
      </c>
      <c r="E1223" t="s">
        <v>311</v>
      </c>
    </row>
    <row r="1224">
      <c r="A1224" s="232" t="s">
        <v>2511</v>
      </c>
      <c r="B1224" t="s">
        <v>2512</v>
      </c>
      <c r="C1224">
        <v>0.0</v>
      </c>
      <c r="D1224" t="s">
        <v>310</v>
      </c>
      <c r="E1224" t="s">
        <v>311</v>
      </c>
    </row>
    <row r="1225">
      <c r="A1225" s="232" t="s">
        <v>2513</v>
      </c>
      <c r="B1225" t="s">
        <v>2514</v>
      </c>
      <c r="C1225">
        <v>6.0</v>
      </c>
      <c r="D1225" t="s">
        <v>310</v>
      </c>
      <c r="E1225" t="s">
        <v>311</v>
      </c>
    </row>
    <row r="1226">
      <c r="A1226" s="232" t="s">
        <v>2515</v>
      </c>
      <c r="B1226" t="s">
        <v>2516</v>
      </c>
      <c r="C1226">
        <v>0.0</v>
      </c>
      <c r="D1226" t="s">
        <v>310</v>
      </c>
      <c r="E1226" t="s">
        <v>311</v>
      </c>
    </row>
    <row r="1227">
      <c r="A1227" s="232" t="s">
        <v>2517</v>
      </c>
      <c r="B1227" t="s">
        <v>2518</v>
      </c>
      <c r="C1227">
        <v>0.0</v>
      </c>
      <c r="D1227" t="s">
        <v>310</v>
      </c>
      <c r="E1227" t="s">
        <v>311</v>
      </c>
    </row>
    <row r="1228">
      <c r="A1228" s="232" t="s">
        <v>2519</v>
      </c>
      <c r="B1228" t="s">
        <v>2520</v>
      </c>
      <c r="C1228">
        <v>0.0</v>
      </c>
      <c r="D1228" t="s">
        <v>310</v>
      </c>
      <c r="E1228" t="s">
        <v>311</v>
      </c>
    </row>
    <row r="1229">
      <c r="A1229" s="232" t="s">
        <v>2521</v>
      </c>
      <c r="B1229" t="s">
        <v>2522</v>
      </c>
      <c r="C1229">
        <v>0.0</v>
      </c>
      <c r="D1229" t="s">
        <v>310</v>
      </c>
      <c r="E1229" t="s">
        <v>311</v>
      </c>
    </row>
    <row r="1230">
      <c r="A1230" s="232" t="s">
        <v>2523</v>
      </c>
      <c r="B1230" t="s">
        <v>2524</v>
      </c>
      <c r="C1230">
        <v>360.0</v>
      </c>
      <c r="D1230" t="s">
        <v>330</v>
      </c>
      <c r="E1230" t="s">
        <v>311</v>
      </c>
    </row>
    <row r="1231">
      <c r="A1231" s="232" t="s">
        <v>2525</v>
      </c>
      <c r="B1231" t="s">
        <v>2526</v>
      </c>
      <c r="C1231">
        <v>0.0</v>
      </c>
      <c r="D1231" t="s">
        <v>310</v>
      </c>
      <c r="E1231" t="s">
        <v>311</v>
      </c>
    </row>
    <row r="1232">
      <c r="A1232" s="232" t="s">
        <v>2527</v>
      </c>
      <c r="B1232" t="s">
        <v>2528</v>
      </c>
      <c r="C1232">
        <v>0.0</v>
      </c>
      <c r="D1232" t="s">
        <v>310</v>
      </c>
      <c r="E1232" t="s">
        <v>311</v>
      </c>
    </row>
    <row r="1233">
      <c r="A1233" s="232" t="s">
        <v>2529</v>
      </c>
      <c r="B1233" t="s">
        <v>2530</v>
      </c>
      <c r="C1233">
        <v>0.0</v>
      </c>
      <c r="D1233" t="s">
        <v>310</v>
      </c>
      <c r="E1233" t="s">
        <v>311</v>
      </c>
    </row>
    <row r="1234">
      <c r="A1234" s="232" t="s">
        <v>2531</v>
      </c>
      <c r="B1234" t="s">
        <v>2532</v>
      </c>
      <c r="C1234">
        <v>0.0</v>
      </c>
      <c r="D1234" t="s">
        <v>310</v>
      </c>
      <c r="E1234" t="s">
        <v>311</v>
      </c>
    </row>
    <row r="1235">
      <c r="A1235" s="232" t="s">
        <v>2533</v>
      </c>
      <c r="B1235" t="s">
        <v>2534</v>
      </c>
      <c r="C1235">
        <v>0.0</v>
      </c>
      <c r="D1235" t="s">
        <v>310</v>
      </c>
      <c r="E1235" t="s">
        <v>311</v>
      </c>
    </row>
    <row r="1236">
      <c r="A1236" s="232" t="s">
        <v>2535</v>
      </c>
      <c r="B1236" t="s">
        <v>2536</v>
      </c>
      <c r="C1236">
        <v>0.0</v>
      </c>
      <c r="D1236" t="s">
        <v>310</v>
      </c>
      <c r="E1236" t="s">
        <v>311</v>
      </c>
    </row>
    <row r="1237">
      <c r="A1237" s="232" t="s">
        <v>2537</v>
      </c>
      <c r="B1237" t="s">
        <v>2538</v>
      </c>
      <c r="C1237">
        <v>0.0</v>
      </c>
      <c r="D1237" t="s">
        <v>330</v>
      </c>
      <c r="E1237" t="s">
        <v>311</v>
      </c>
    </row>
    <row r="1238">
      <c r="A1238" s="232" t="s">
        <v>2539</v>
      </c>
      <c r="B1238" t="s">
        <v>2540</v>
      </c>
      <c r="C1238">
        <v>0.0</v>
      </c>
      <c r="D1238" t="s">
        <v>310</v>
      </c>
      <c r="E1238" t="s">
        <v>311</v>
      </c>
    </row>
    <row r="1239">
      <c r="A1239" s="232" t="s">
        <v>2541</v>
      </c>
      <c r="B1239" t="s">
        <v>2542</v>
      </c>
      <c r="C1239">
        <v>0.0</v>
      </c>
      <c r="D1239" t="s">
        <v>310</v>
      </c>
      <c r="E1239" t="s">
        <v>311</v>
      </c>
    </row>
    <row r="1240">
      <c r="A1240" s="232" t="s">
        <v>2543</v>
      </c>
      <c r="B1240" t="s">
        <v>2544</v>
      </c>
      <c r="C1240">
        <v>0.0</v>
      </c>
      <c r="D1240" t="s">
        <v>310</v>
      </c>
      <c r="E1240" t="s">
        <v>311</v>
      </c>
    </row>
    <row r="1241">
      <c r="A1241" s="232" t="s">
        <v>2545</v>
      </c>
      <c r="B1241" t="s">
        <v>2546</v>
      </c>
      <c r="C1241">
        <v>0.0</v>
      </c>
      <c r="D1241" t="s">
        <v>310</v>
      </c>
      <c r="E1241" t="s">
        <v>311</v>
      </c>
    </row>
    <row r="1242">
      <c r="A1242" s="232" t="s">
        <v>2547</v>
      </c>
      <c r="B1242" t="s">
        <v>2548</v>
      </c>
      <c r="C1242">
        <v>0.0</v>
      </c>
      <c r="D1242" t="s">
        <v>310</v>
      </c>
      <c r="E1242" t="s">
        <v>311</v>
      </c>
    </row>
    <row r="1243">
      <c r="A1243" s="232" t="s">
        <v>2549</v>
      </c>
      <c r="B1243" t="s">
        <v>2550</v>
      </c>
      <c r="C1243">
        <v>0.0</v>
      </c>
      <c r="D1243" t="s">
        <v>310</v>
      </c>
      <c r="E1243" t="s">
        <v>311</v>
      </c>
    </row>
    <row r="1244">
      <c r="A1244" s="232" t="s">
        <v>2551</v>
      </c>
      <c r="B1244" t="s">
        <v>2552</v>
      </c>
      <c r="C1244">
        <v>0.0</v>
      </c>
      <c r="D1244" t="s">
        <v>310</v>
      </c>
      <c r="E1244" t="s">
        <v>311</v>
      </c>
    </row>
    <row r="1245">
      <c r="A1245" s="232" t="s">
        <v>2553</v>
      </c>
      <c r="B1245" t="s">
        <v>2554</v>
      </c>
      <c r="C1245">
        <v>0.0</v>
      </c>
      <c r="D1245" t="s">
        <v>310</v>
      </c>
      <c r="E1245" t="s">
        <v>311</v>
      </c>
    </row>
    <row r="1246">
      <c r="A1246" s="232" t="s">
        <v>2555</v>
      </c>
      <c r="B1246" t="s">
        <v>2556</v>
      </c>
      <c r="C1246">
        <v>0.0</v>
      </c>
      <c r="D1246" t="s">
        <v>310</v>
      </c>
      <c r="E1246" t="s">
        <v>311</v>
      </c>
    </row>
    <row r="1247">
      <c r="A1247" s="232" t="s">
        <v>2557</v>
      </c>
      <c r="B1247" t="s">
        <v>2558</v>
      </c>
      <c r="C1247">
        <v>0.0</v>
      </c>
      <c r="D1247" t="s">
        <v>310</v>
      </c>
      <c r="E1247" t="s">
        <v>311</v>
      </c>
    </row>
    <row r="1248">
      <c r="A1248" s="232" t="s">
        <v>2559</v>
      </c>
      <c r="B1248" t="s">
        <v>2560</v>
      </c>
      <c r="C1248">
        <v>0.0</v>
      </c>
      <c r="D1248" t="s">
        <v>310</v>
      </c>
      <c r="E1248" t="s">
        <v>311</v>
      </c>
    </row>
    <row r="1249">
      <c r="A1249" s="232" t="s">
        <v>2561</v>
      </c>
      <c r="B1249" t="s">
        <v>2562</v>
      </c>
      <c r="C1249">
        <v>0.0</v>
      </c>
      <c r="D1249" t="s">
        <v>310</v>
      </c>
      <c r="E1249" t="s">
        <v>311</v>
      </c>
    </row>
    <row r="1250">
      <c r="A1250" s="232" t="s">
        <v>2563</v>
      </c>
      <c r="B1250" t="s">
        <v>2564</v>
      </c>
      <c r="C1250">
        <v>0.0</v>
      </c>
      <c r="D1250" t="s">
        <v>310</v>
      </c>
      <c r="E1250" t="s">
        <v>311</v>
      </c>
    </row>
    <row r="1251">
      <c r="A1251" s="232" t="s">
        <v>2565</v>
      </c>
      <c r="B1251" t="s">
        <v>2566</v>
      </c>
      <c r="C1251">
        <v>0.0</v>
      </c>
      <c r="D1251" t="s">
        <v>310</v>
      </c>
      <c r="E1251" t="s">
        <v>311</v>
      </c>
    </row>
    <row r="1252">
      <c r="A1252" s="232" t="s">
        <v>2567</v>
      </c>
      <c r="B1252" t="s">
        <v>2568</v>
      </c>
      <c r="C1252">
        <v>0.0</v>
      </c>
      <c r="D1252" t="s">
        <v>310</v>
      </c>
      <c r="E1252" t="s">
        <v>311</v>
      </c>
    </row>
    <row r="1253">
      <c r="A1253" s="232" t="s">
        <v>2569</v>
      </c>
      <c r="B1253" t="s">
        <v>2570</v>
      </c>
      <c r="C1253">
        <v>189.0</v>
      </c>
      <c r="D1253" t="s">
        <v>330</v>
      </c>
      <c r="E1253" t="s">
        <v>565</v>
      </c>
    </row>
    <row r="1254">
      <c r="A1254" s="232" t="s">
        <v>2571</v>
      </c>
      <c r="B1254" t="s">
        <v>2572</v>
      </c>
      <c r="C1254">
        <v>474.0</v>
      </c>
      <c r="D1254" t="s">
        <v>330</v>
      </c>
      <c r="E1254" t="s">
        <v>565</v>
      </c>
    </row>
    <row r="1255">
      <c r="A1255" s="232" t="s">
        <v>2573</v>
      </c>
      <c r="B1255" t="s">
        <v>2574</v>
      </c>
      <c r="C1255">
        <v>24.0</v>
      </c>
      <c r="D1255" t="s">
        <v>330</v>
      </c>
      <c r="E1255" t="s">
        <v>565</v>
      </c>
    </row>
    <row r="1256">
      <c r="A1256" s="232" t="s">
        <v>2575</v>
      </c>
      <c r="B1256" t="s">
        <v>2576</v>
      </c>
      <c r="C1256">
        <v>0.0</v>
      </c>
      <c r="D1256" t="s">
        <v>310</v>
      </c>
      <c r="E1256" t="s">
        <v>311</v>
      </c>
    </row>
    <row r="1257">
      <c r="A1257" s="232" t="s">
        <v>2577</v>
      </c>
      <c r="B1257" t="s">
        <v>2578</v>
      </c>
      <c r="C1257">
        <v>0.0</v>
      </c>
      <c r="D1257" t="s">
        <v>310</v>
      </c>
      <c r="E1257" t="s">
        <v>311</v>
      </c>
    </row>
    <row r="1258">
      <c r="A1258" s="232" t="s">
        <v>2579</v>
      </c>
      <c r="B1258" t="s">
        <v>2580</v>
      </c>
      <c r="C1258">
        <v>0.0</v>
      </c>
      <c r="D1258" t="s">
        <v>310</v>
      </c>
      <c r="E1258" t="s">
        <v>311</v>
      </c>
    </row>
    <row r="1259">
      <c r="A1259" s="232" t="s">
        <v>2581</v>
      </c>
      <c r="B1259" t="s">
        <v>2582</v>
      </c>
      <c r="C1259">
        <v>0.0</v>
      </c>
      <c r="D1259" t="s">
        <v>310</v>
      </c>
      <c r="E1259" t="s">
        <v>311</v>
      </c>
    </row>
    <row r="1260">
      <c r="A1260" s="232" t="s">
        <v>2583</v>
      </c>
      <c r="B1260" t="s">
        <v>2584</v>
      </c>
      <c r="C1260">
        <v>0.0</v>
      </c>
      <c r="D1260" t="s">
        <v>310</v>
      </c>
      <c r="E1260" t="s">
        <v>311</v>
      </c>
    </row>
    <row r="1261">
      <c r="A1261" s="232" t="s">
        <v>2585</v>
      </c>
      <c r="B1261" t="s">
        <v>2586</v>
      </c>
      <c r="C1261">
        <v>0.0</v>
      </c>
      <c r="D1261" t="s">
        <v>310</v>
      </c>
      <c r="E1261" t="s">
        <v>311</v>
      </c>
    </row>
    <row r="1262">
      <c r="A1262" s="232" t="s">
        <v>2587</v>
      </c>
      <c r="B1262" t="s">
        <v>2588</v>
      </c>
      <c r="C1262">
        <v>0.0</v>
      </c>
      <c r="D1262" t="s">
        <v>310</v>
      </c>
      <c r="E1262" t="s">
        <v>311</v>
      </c>
    </row>
    <row r="1263">
      <c r="A1263" s="232" t="s">
        <v>2589</v>
      </c>
      <c r="B1263" t="s">
        <v>2590</v>
      </c>
      <c r="C1263">
        <v>0.0</v>
      </c>
      <c r="D1263" t="s">
        <v>310</v>
      </c>
      <c r="E1263" t="s">
        <v>311</v>
      </c>
    </row>
    <row r="1264">
      <c r="A1264" s="232" t="s">
        <v>2591</v>
      </c>
      <c r="B1264" t="s">
        <v>2592</v>
      </c>
      <c r="C1264">
        <v>-36.0</v>
      </c>
      <c r="D1264" t="s">
        <v>330</v>
      </c>
      <c r="E1264" t="s">
        <v>311</v>
      </c>
    </row>
    <row r="1265">
      <c r="A1265" s="232" t="s">
        <v>2593</v>
      </c>
      <c r="B1265" t="s">
        <v>2594</v>
      </c>
      <c r="C1265">
        <v>30.0</v>
      </c>
      <c r="D1265" t="s">
        <v>330</v>
      </c>
      <c r="E1265" t="s">
        <v>311</v>
      </c>
    </row>
    <row r="1266">
      <c r="A1266" s="232" t="s">
        <v>2595</v>
      </c>
      <c r="B1266" t="s">
        <v>2596</v>
      </c>
      <c r="C1266">
        <v>-24.0</v>
      </c>
      <c r="D1266" t="s">
        <v>330</v>
      </c>
      <c r="E1266" t="s">
        <v>311</v>
      </c>
    </row>
    <row r="1267">
      <c r="A1267" s="232" t="s">
        <v>2597</v>
      </c>
      <c r="B1267" t="s">
        <v>2598</v>
      </c>
      <c r="C1267">
        <v>48.0</v>
      </c>
      <c r="D1267" t="s">
        <v>330</v>
      </c>
      <c r="E1267" t="s">
        <v>311</v>
      </c>
    </row>
    <row r="1268">
      <c r="A1268" s="232" t="s">
        <v>2599</v>
      </c>
      <c r="B1268" t="s">
        <v>2600</v>
      </c>
      <c r="C1268">
        <v>12.0</v>
      </c>
      <c r="D1268" t="s">
        <v>330</v>
      </c>
      <c r="E1268" t="s">
        <v>311</v>
      </c>
    </row>
    <row r="1269">
      <c r="A1269" s="232" t="s">
        <v>2601</v>
      </c>
      <c r="B1269" t="s">
        <v>2602</v>
      </c>
      <c r="C1269">
        <v>72.0</v>
      </c>
      <c r="D1269" t="s">
        <v>330</v>
      </c>
      <c r="E1269" t="s">
        <v>311</v>
      </c>
    </row>
    <row r="1270">
      <c r="A1270" s="232" t="s">
        <v>2603</v>
      </c>
      <c r="B1270" t="s">
        <v>2604</v>
      </c>
      <c r="C1270">
        <v>0.0</v>
      </c>
      <c r="D1270" t="s">
        <v>330</v>
      </c>
      <c r="E1270" t="s">
        <v>311</v>
      </c>
    </row>
    <row r="1271">
      <c r="A1271" s="232" t="s">
        <v>2605</v>
      </c>
      <c r="B1271" t="s">
        <v>2606</v>
      </c>
      <c r="C1271">
        <v>0.0</v>
      </c>
      <c r="D1271" t="s">
        <v>310</v>
      </c>
      <c r="E1271" t="s">
        <v>311</v>
      </c>
    </row>
    <row r="1272">
      <c r="A1272" s="232" t="s">
        <v>2607</v>
      </c>
      <c r="B1272" t="s">
        <v>2608</v>
      </c>
      <c r="C1272">
        <v>0.0</v>
      </c>
      <c r="D1272" t="s">
        <v>310</v>
      </c>
      <c r="E1272" t="s">
        <v>311</v>
      </c>
    </row>
    <row r="1273">
      <c r="A1273" s="232" t="s">
        <v>2609</v>
      </c>
      <c r="B1273" t="s">
        <v>2610</v>
      </c>
      <c r="C1273">
        <v>0.0</v>
      </c>
      <c r="D1273" t="s">
        <v>310</v>
      </c>
      <c r="E1273" t="s">
        <v>311</v>
      </c>
    </row>
    <row r="1274">
      <c r="A1274" s="232" t="s">
        <v>2611</v>
      </c>
      <c r="B1274" t="s">
        <v>2612</v>
      </c>
      <c r="C1274">
        <v>37.0</v>
      </c>
      <c r="D1274" t="s">
        <v>330</v>
      </c>
      <c r="E1274" t="s">
        <v>311</v>
      </c>
    </row>
    <row r="1275">
      <c r="A1275" s="232" t="s">
        <v>2613</v>
      </c>
      <c r="B1275" t="s">
        <v>2614</v>
      </c>
      <c r="C1275">
        <v>0.0</v>
      </c>
      <c r="D1275" t="s">
        <v>310</v>
      </c>
      <c r="E1275" t="s">
        <v>311</v>
      </c>
    </row>
    <row r="1276">
      <c r="A1276" s="232" t="s">
        <v>2615</v>
      </c>
      <c r="B1276" t="s">
        <v>2616</v>
      </c>
      <c r="C1276">
        <v>0.0</v>
      </c>
      <c r="D1276" t="s">
        <v>310</v>
      </c>
      <c r="E1276" t="s">
        <v>311</v>
      </c>
    </row>
    <row r="1277">
      <c r="A1277" s="232" t="s">
        <v>2617</v>
      </c>
      <c r="B1277" t="s">
        <v>2618</v>
      </c>
      <c r="C1277">
        <v>60.0</v>
      </c>
      <c r="D1277" t="s">
        <v>330</v>
      </c>
      <c r="E1277" t="s">
        <v>311</v>
      </c>
    </row>
    <row r="1278">
      <c r="A1278" s="232" t="s">
        <v>2619</v>
      </c>
      <c r="B1278" t="s">
        <v>2620</v>
      </c>
      <c r="C1278">
        <v>0.0</v>
      </c>
      <c r="D1278" t="s">
        <v>310</v>
      </c>
      <c r="E1278" t="s">
        <v>311</v>
      </c>
    </row>
    <row r="1279">
      <c r="A1279" s="232" t="s">
        <v>2621</v>
      </c>
      <c r="B1279" t="s">
        <v>2622</v>
      </c>
      <c r="C1279">
        <v>0.0</v>
      </c>
      <c r="D1279" t="s">
        <v>310</v>
      </c>
      <c r="E1279" t="s">
        <v>311</v>
      </c>
    </row>
    <row r="1280">
      <c r="A1280" s="232" t="s">
        <v>2623</v>
      </c>
      <c r="B1280" t="s">
        <v>2624</v>
      </c>
      <c r="C1280">
        <v>0.0</v>
      </c>
      <c r="D1280" t="s">
        <v>330</v>
      </c>
      <c r="E1280" t="s">
        <v>311</v>
      </c>
    </row>
    <row r="1281">
      <c r="A1281" s="232" t="s">
        <v>2625</v>
      </c>
      <c r="B1281" t="s">
        <v>2626</v>
      </c>
      <c r="C1281">
        <v>0.0</v>
      </c>
      <c r="D1281" t="s">
        <v>310</v>
      </c>
      <c r="E1281" t="s">
        <v>311</v>
      </c>
    </row>
    <row r="1282">
      <c r="A1282" s="232" t="s">
        <v>2627</v>
      </c>
      <c r="B1282" t="s">
        <v>2628</v>
      </c>
      <c r="C1282">
        <v>0.0</v>
      </c>
      <c r="D1282" t="s">
        <v>330</v>
      </c>
      <c r="E1282" t="s">
        <v>311</v>
      </c>
    </row>
    <row r="1283">
      <c r="A1283" s="232" t="s">
        <v>2629</v>
      </c>
      <c r="B1283" t="s">
        <v>2630</v>
      </c>
      <c r="C1283">
        <v>0.0</v>
      </c>
      <c r="D1283" t="s">
        <v>330</v>
      </c>
      <c r="E1283" t="s">
        <v>311</v>
      </c>
    </row>
    <row r="1284">
      <c r="A1284" s="232" t="s">
        <v>2631</v>
      </c>
      <c r="B1284" t="s">
        <v>2632</v>
      </c>
      <c r="C1284">
        <v>0.0</v>
      </c>
      <c r="D1284" t="s">
        <v>330</v>
      </c>
      <c r="E1284" t="s">
        <v>311</v>
      </c>
    </row>
    <row r="1285">
      <c r="A1285" s="232" t="s">
        <v>2633</v>
      </c>
      <c r="B1285" t="s">
        <v>2634</v>
      </c>
      <c r="C1285">
        <v>0.0</v>
      </c>
      <c r="D1285" t="s">
        <v>310</v>
      </c>
      <c r="E1285" t="s">
        <v>311</v>
      </c>
    </row>
    <row r="1286">
      <c r="A1286" s="232" t="s">
        <v>2635</v>
      </c>
      <c r="B1286" t="s">
        <v>2636</v>
      </c>
      <c r="C1286">
        <v>0.0</v>
      </c>
      <c r="D1286" t="s">
        <v>310</v>
      </c>
      <c r="E1286" t="s">
        <v>311</v>
      </c>
    </row>
    <row r="1287">
      <c r="A1287" s="232" t="s">
        <v>2637</v>
      </c>
      <c r="B1287" t="s">
        <v>2638</v>
      </c>
      <c r="C1287">
        <v>0.0</v>
      </c>
      <c r="D1287" t="s">
        <v>330</v>
      </c>
      <c r="E1287" t="s">
        <v>311</v>
      </c>
    </row>
    <row r="1288">
      <c r="A1288" s="232" t="s">
        <v>2639</v>
      </c>
      <c r="B1288" t="s">
        <v>2640</v>
      </c>
      <c r="C1288">
        <v>0.0</v>
      </c>
      <c r="D1288" t="s">
        <v>330</v>
      </c>
      <c r="E1288" t="s">
        <v>311</v>
      </c>
    </row>
    <row r="1289">
      <c r="A1289" s="232" t="s">
        <v>2641</v>
      </c>
      <c r="B1289" t="s">
        <v>2642</v>
      </c>
      <c r="C1289">
        <v>0.0</v>
      </c>
      <c r="D1289" t="s">
        <v>330</v>
      </c>
      <c r="E1289" t="s">
        <v>311</v>
      </c>
    </row>
    <row r="1290">
      <c r="A1290" s="232" t="s">
        <v>2643</v>
      </c>
      <c r="B1290" t="s">
        <v>2644</v>
      </c>
      <c r="C1290">
        <v>0.0</v>
      </c>
      <c r="D1290" t="s">
        <v>310</v>
      </c>
      <c r="E1290" t="s">
        <v>311</v>
      </c>
    </row>
    <row r="1291">
      <c r="A1291" s="232" t="s">
        <v>2645</v>
      </c>
      <c r="B1291" t="s">
        <v>2646</v>
      </c>
      <c r="C1291">
        <v>0.0</v>
      </c>
      <c r="D1291" t="s">
        <v>310</v>
      </c>
      <c r="E1291" t="s">
        <v>311</v>
      </c>
    </row>
    <row r="1292">
      <c r="A1292" s="232" t="s">
        <v>2647</v>
      </c>
      <c r="B1292" t="s">
        <v>2648</v>
      </c>
      <c r="C1292">
        <v>0.0</v>
      </c>
      <c r="D1292" t="s">
        <v>310</v>
      </c>
      <c r="E1292" t="s">
        <v>311</v>
      </c>
    </row>
    <row r="1293">
      <c r="A1293" s="232" t="s">
        <v>2649</v>
      </c>
      <c r="B1293" t="s">
        <v>2650</v>
      </c>
      <c r="C1293">
        <v>0.0</v>
      </c>
      <c r="D1293" t="s">
        <v>310</v>
      </c>
      <c r="E1293" t="s">
        <v>311</v>
      </c>
    </row>
    <row r="1294">
      <c r="A1294" s="232" t="s">
        <v>2651</v>
      </c>
      <c r="B1294" t="s">
        <v>2652</v>
      </c>
      <c r="C1294">
        <v>0.0</v>
      </c>
      <c r="D1294" t="s">
        <v>330</v>
      </c>
      <c r="E1294" t="s">
        <v>311</v>
      </c>
    </row>
    <row r="1295">
      <c r="A1295" s="232" t="s">
        <v>2653</v>
      </c>
      <c r="B1295" t="s">
        <v>2654</v>
      </c>
      <c r="C1295">
        <v>0.0</v>
      </c>
      <c r="D1295" t="s">
        <v>310</v>
      </c>
      <c r="E1295" t="s">
        <v>311</v>
      </c>
    </row>
    <row r="1296">
      <c r="A1296" s="232" t="s">
        <v>2655</v>
      </c>
      <c r="B1296" t="s">
        <v>2656</v>
      </c>
      <c r="C1296">
        <v>0.0</v>
      </c>
      <c r="D1296" t="s">
        <v>330</v>
      </c>
      <c r="E1296" t="s">
        <v>311</v>
      </c>
    </row>
    <row r="1297">
      <c r="A1297" s="232" t="s">
        <v>2657</v>
      </c>
      <c r="B1297" t="s">
        <v>2658</v>
      </c>
      <c r="C1297">
        <v>0.0</v>
      </c>
      <c r="D1297" t="s">
        <v>310</v>
      </c>
      <c r="E1297" t="s">
        <v>311</v>
      </c>
    </row>
    <row r="1298">
      <c r="A1298" s="232" t="s">
        <v>2659</v>
      </c>
      <c r="B1298" t="s">
        <v>2660</v>
      </c>
      <c r="C1298">
        <v>0.0</v>
      </c>
      <c r="D1298" t="s">
        <v>310</v>
      </c>
      <c r="E1298" t="s">
        <v>311</v>
      </c>
    </row>
    <row r="1299">
      <c r="A1299" s="232" t="s">
        <v>2661</v>
      </c>
      <c r="B1299" t="s">
        <v>2662</v>
      </c>
      <c r="C1299">
        <v>0.0</v>
      </c>
      <c r="D1299" t="s">
        <v>330</v>
      </c>
      <c r="E1299" t="s">
        <v>311</v>
      </c>
    </row>
    <row r="1300">
      <c r="A1300" s="232" t="s">
        <v>2663</v>
      </c>
      <c r="B1300" t="s">
        <v>2664</v>
      </c>
      <c r="C1300">
        <v>0.0</v>
      </c>
      <c r="D1300" t="s">
        <v>310</v>
      </c>
      <c r="E1300" t="s">
        <v>311</v>
      </c>
    </row>
    <row r="1301">
      <c r="A1301" s="232" t="s">
        <v>2665</v>
      </c>
      <c r="B1301" t="s">
        <v>2666</v>
      </c>
      <c r="C1301">
        <v>0.0</v>
      </c>
      <c r="D1301" t="s">
        <v>310</v>
      </c>
      <c r="E1301" t="s">
        <v>311</v>
      </c>
    </row>
    <row r="1302">
      <c r="A1302" s="232" t="s">
        <v>2667</v>
      </c>
      <c r="B1302" t="s">
        <v>2668</v>
      </c>
      <c r="C1302">
        <v>0.0</v>
      </c>
      <c r="D1302" t="s">
        <v>310</v>
      </c>
      <c r="E1302" t="s">
        <v>311</v>
      </c>
    </row>
    <row r="1303">
      <c r="A1303" s="232" t="s">
        <v>2669</v>
      </c>
      <c r="B1303" t="s">
        <v>2670</v>
      </c>
      <c r="C1303">
        <v>0.0</v>
      </c>
      <c r="D1303" t="s">
        <v>310</v>
      </c>
      <c r="E1303" t="s">
        <v>311</v>
      </c>
    </row>
    <row r="1304">
      <c r="A1304" s="232" t="s">
        <v>2671</v>
      </c>
      <c r="B1304" t="s">
        <v>2672</v>
      </c>
      <c r="C1304">
        <v>0.0</v>
      </c>
      <c r="D1304" t="s">
        <v>310</v>
      </c>
      <c r="E1304" t="s">
        <v>311</v>
      </c>
    </row>
    <row r="1305">
      <c r="A1305" s="232" t="s">
        <v>2673</v>
      </c>
      <c r="B1305" t="s">
        <v>2674</v>
      </c>
      <c r="C1305">
        <v>0.0</v>
      </c>
      <c r="D1305" t="s">
        <v>310</v>
      </c>
      <c r="E1305" t="s">
        <v>311</v>
      </c>
    </row>
    <row r="1306">
      <c r="A1306" s="232" t="s">
        <v>2675</v>
      </c>
      <c r="B1306" t="s">
        <v>2676</v>
      </c>
      <c r="C1306">
        <v>0.0</v>
      </c>
      <c r="D1306" t="s">
        <v>310</v>
      </c>
      <c r="E1306" t="s">
        <v>311</v>
      </c>
    </row>
    <row r="1307">
      <c r="A1307" s="232" t="s">
        <v>2677</v>
      </c>
      <c r="B1307" t="s">
        <v>2678</v>
      </c>
      <c r="C1307">
        <v>0.0</v>
      </c>
      <c r="D1307" t="s">
        <v>310</v>
      </c>
      <c r="E1307" t="s">
        <v>311</v>
      </c>
    </row>
    <row r="1308">
      <c r="A1308" s="232" t="s">
        <v>2679</v>
      </c>
      <c r="B1308" t="s">
        <v>2680</v>
      </c>
      <c r="C1308">
        <v>0.0</v>
      </c>
      <c r="D1308" t="s">
        <v>310</v>
      </c>
      <c r="E1308" t="s">
        <v>311</v>
      </c>
    </row>
    <row r="1309">
      <c r="A1309" s="232" t="s">
        <v>2681</v>
      </c>
      <c r="B1309" t="s">
        <v>2682</v>
      </c>
      <c r="C1309">
        <v>0.0</v>
      </c>
      <c r="D1309" t="s">
        <v>310</v>
      </c>
      <c r="E1309" t="s">
        <v>311</v>
      </c>
    </row>
    <row r="1310">
      <c r="A1310" s="232" t="s">
        <v>2683</v>
      </c>
      <c r="B1310" t="s">
        <v>2684</v>
      </c>
      <c r="C1310">
        <v>0.0</v>
      </c>
      <c r="D1310" t="s">
        <v>330</v>
      </c>
      <c r="E1310" t="s">
        <v>311</v>
      </c>
    </row>
    <row r="1311">
      <c r="A1311" s="232" t="s">
        <v>2685</v>
      </c>
      <c r="B1311" t="s">
        <v>2686</v>
      </c>
      <c r="C1311">
        <v>0.0</v>
      </c>
      <c r="D1311" t="s">
        <v>310</v>
      </c>
      <c r="E1311" t="s">
        <v>311</v>
      </c>
    </row>
    <row r="1312">
      <c r="A1312" s="232" t="s">
        <v>2687</v>
      </c>
      <c r="B1312" t="s">
        <v>2688</v>
      </c>
      <c r="C1312">
        <v>0.0</v>
      </c>
      <c r="D1312" t="s">
        <v>310</v>
      </c>
      <c r="E1312" t="s">
        <v>311</v>
      </c>
    </row>
    <row r="1313">
      <c r="A1313" s="232" t="s">
        <v>2689</v>
      </c>
      <c r="B1313" t="s">
        <v>2690</v>
      </c>
      <c r="C1313">
        <v>0.0</v>
      </c>
      <c r="D1313" t="s">
        <v>310</v>
      </c>
      <c r="E1313" t="s">
        <v>311</v>
      </c>
    </row>
    <row r="1314">
      <c r="A1314" s="232" t="s">
        <v>2691</v>
      </c>
      <c r="B1314" t="s">
        <v>2692</v>
      </c>
      <c r="C1314">
        <v>0.0</v>
      </c>
      <c r="D1314" t="s">
        <v>330</v>
      </c>
      <c r="E1314" t="s">
        <v>311</v>
      </c>
    </row>
    <row r="1315">
      <c r="A1315" s="232" t="s">
        <v>2693</v>
      </c>
      <c r="B1315" t="s">
        <v>2694</v>
      </c>
      <c r="C1315">
        <v>0.0</v>
      </c>
      <c r="D1315" t="s">
        <v>310</v>
      </c>
      <c r="E1315" t="s">
        <v>311</v>
      </c>
    </row>
    <row r="1316">
      <c r="A1316" s="232">
        <v>78797.0</v>
      </c>
      <c r="B1316" t="s">
        <v>2695</v>
      </c>
      <c r="C1316">
        <v>0.0</v>
      </c>
      <c r="D1316" t="s">
        <v>310</v>
      </c>
      <c r="E1316" t="s">
        <v>311</v>
      </c>
    </row>
    <row r="1317">
      <c r="A1317" s="232" t="s">
        <v>2696</v>
      </c>
      <c r="B1317" t="s">
        <v>2697</v>
      </c>
      <c r="C1317">
        <v>303.0</v>
      </c>
      <c r="D1317" t="s">
        <v>330</v>
      </c>
      <c r="E1317" t="s">
        <v>311</v>
      </c>
    </row>
    <row r="1318">
      <c r="A1318" s="232" t="s">
        <v>2698</v>
      </c>
      <c r="B1318" t="s">
        <v>2699</v>
      </c>
      <c r="C1318">
        <v>0.0</v>
      </c>
      <c r="D1318" t="s">
        <v>330</v>
      </c>
      <c r="E1318" t="s">
        <v>311</v>
      </c>
    </row>
    <row r="1319">
      <c r="A1319" s="232" t="s">
        <v>2700</v>
      </c>
      <c r="B1319" t="s">
        <v>2701</v>
      </c>
      <c r="C1319">
        <v>252.0</v>
      </c>
      <c r="D1319" t="s">
        <v>330</v>
      </c>
      <c r="E1319" t="s">
        <v>311</v>
      </c>
    </row>
    <row r="1320">
      <c r="A1320" s="232" t="s">
        <v>2702</v>
      </c>
      <c r="B1320" t="s">
        <v>2703</v>
      </c>
      <c r="C1320">
        <v>634.0</v>
      </c>
      <c r="D1320" t="s">
        <v>330</v>
      </c>
      <c r="E1320" t="s">
        <v>311</v>
      </c>
    </row>
    <row r="1321">
      <c r="A1321" s="232" t="s">
        <v>2704</v>
      </c>
      <c r="B1321" t="s">
        <v>2705</v>
      </c>
      <c r="C1321">
        <v>327.0</v>
      </c>
      <c r="D1321" t="s">
        <v>330</v>
      </c>
      <c r="E1321" t="s">
        <v>311</v>
      </c>
    </row>
    <row r="1322">
      <c r="A1322" s="232" t="s">
        <v>2706</v>
      </c>
      <c r="B1322" t="s">
        <v>2707</v>
      </c>
      <c r="C1322">
        <v>183.0</v>
      </c>
      <c r="D1322" t="s">
        <v>330</v>
      </c>
      <c r="E1322" t="s">
        <v>311</v>
      </c>
    </row>
    <row r="1323">
      <c r="A1323" s="232" t="s">
        <v>2708</v>
      </c>
      <c r="B1323" t="s">
        <v>2709</v>
      </c>
      <c r="C1323">
        <v>0.0</v>
      </c>
      <c r="D1323" t="s">
        <v>310</v>
      </c>
      <c r="E1323" t="s">
        <v>311</v>
      </c>
    </row>
    <row r="1324">
      <c r="A1324" s="232" t="s">
        <v>2710</v>
      </c>
      <c r="B1324" t="s">
        <v>2711</v>
      </c>
      <c r="C1324">
        <v>0.0</v>
      </c>
      <c r="D1324" t="s">
        <v>330</v>
      </c>
      <c r="E1324" t="s">
        <v>311</v>
      </c>
    </row>
    <row r="1325">
      <c r="A1325" s="232" t="s">
        <v>2712</v>
      </c>
      <c r="B1325" t="s">
        <v>2713</v>
      </c>
      <c r="C1325">
        <v>0.0</v>
      </c>
      <c r="D1325" t="s">
        <v>310</v>
      </c>
      <c r="E1325" t="s">
        <v>311</v>
      </c>
    </row>
    <row r="1326">
      <c r="A1326" s="232" t="s">
        <v>2714</v>
      </c>
      <c r="B1326" t="s">
        <v>2715</v>
      </c>
      <c r="C1326">
        <v>0.0</v>
      </c>
      <c r="D1326" t="s">
        <v>310</v>
      </c>
      <c r="E1326" t="s">
        <v>311</v>
      </c>
    </row>
    <row r="1327">
      <c r="A1327" s="232" t="s">
        <v>2716</v>
      </c>
      <c r="B1327" t="s">
        <v>2717</v>
      </c>
      <c r="C1327">
        <v>346.0</v>
      </c>
      <c r="D1327" t="s">
        <v>330</v>
      </c>
      <c r="E1327" t="s">
        <v>311</v>
      </c>
    </row>
    <row r="1328">
      <c r="A1328" s="232" t="s">
        <v>2718</v>
      </c>
      <c r="B1328" t="s">
        <v>2719</v>
      </c>
      <c r="C1328">
        <v>495.0</v>
      </c>
      <c r="D1328" t="s">
        <v>330</v>
      </c>
      <c r="E1328" t="s">
        <v>311</v>
      </c>
    </row>
    <row r="1329">
      <c r="A1329" s="232" t="s">
        <v>2720</v>
      </c>
      <c r="B1329" t="s">
        <v>2721</v>
      </c>
      <c r="C1329">
        <v>423.0</v>
      </c>
      <c r="D1329" t="s">
        <v>330</v>
      </c>
      <c r="E1329" t="s">
        <v>311</v>
      </c>
    </row>
    <row r="1330">
      <c r="A1330" s="232" t="s">
        <v>2722</v>
      </c>
      <c r="B1330" t="s">
        <v>2723</v>
      </c>
      <c r="C1330">
        <v>520.0</v>
      </c>
      <c r="D1330" t="s">
        <v>330</v>
      </c>
      <c r="E1330" t="s">
        <v>311</v>
      </c>
    </row>
    <row r="1331">
      <c r="A1331" s="232" t="s">
        <v>2724</v>
      </c>
      <c r="B1331" t="s">
        <v>2725</v>
      </c>
      <c r="C1331">
        <v>0.0</v>
      </c>
      <c r="D1331" t="s">
        <v>310</v>
      </c>
      <c r="E1331" t="s">
        <v>311</v>
      </c>
    </row>
    <row r="1332">
      <c r="A1332" s="232" t="s">
        <v>2726</v>
      </c>
      <c r="B1332" t="s">
        <v>2727</v>
      </c>
      <c r="C1332">
        <v>158.0</v>
      </c>
      <c r="D1332" t="s">
        <v>330</v>
      </c>
      <c r="E1332" t="s">
        <v>311</v>
      </c>
    </row>
    <row r="1333">
      <c r="A1333" s="232" t="s">
        <v>2728</v>
      </c>
      <c r="B1333" t="s">
        <v>2729</v>
      </c>
      <c r="C1333">
        <v>0.0</v>
      </c>
      <c r="D1333" t="s">
        <v>310</v>
      </c>
      <c r="E1333" t="s">
        <v>311</v>
      </c>
    </row>
    <row r="1334">
      <c r="A1334" s="232" t="s">
        <v>2730</v>
      </c>
      <c r="B1334" t="s">
        <v>2731</v>
      </c>
      <c r="C1334">
        <v>0.0</v>
      </c>
      <c r="D1334" t="s">
        <v>310</v>
      </c>
      <c r="E1334" t="s">
        <v>311</v>
      </c>
    </row>
    <row r="1335">
      <c r="A1335" s="232" t="s">
        <v>2732</v>
      </c>
      <c r="B1335" t="s">
        <v>2733</v>
      </c>
      <c r="C1335">
        <v>0.0</v>
      </c>
      <c r="D1335" t="s">
        <v>330</v>
      </c>
      <c r="E1335" t="s">
        <v>311</v>
      </c>
    </row>
    <row r="1336">
      <c r="A1336" s="232" t="s">
        <v>2734</v>
      </c>
      <c r="B1336" t="s">
        <v>2735</v>
      </c>
      <c r="C1336">
        <v>0.0</v>
      </c>
      <c r="D1336" t="s">
        <v>310</v>
      </c>
      <c r="E1336" t="s">
        <v>311</v>
      </c>
    </row>
    <row r="1337">
      <c r="A1337" s="232" t="s">
        <v>2736</v>
      </c>
      <c r="B1337" t="s">
        <v>2737</v>
      </c>
      <c r="C1337">
        <v>0.0</v>
      </c>
      <c r="D1337" t="s">
        <v>310</v>
      </c>
      <c r="E1337" t="s">
        <v>311</v>
      </c>
    </row>
    <row r="1338">
      <c r="A1338" s="232" t="s">
        <v>2738</v>
      </c>
      <c r="B1338" t="s">
        <v>2739</v>
      </c>
      <c r="C1338">
        <v>0.0</v>
      </c>
      <c r="D1338" t="s">
        <v>310</v>
      </c>
      <c r="E1338" t="s">
        <v>311</v>
      </c>
    </row>
    <row r="1339">
      <c r="A1339" s="232" t="s">
        <v>2740</v>
      </c>
      <c r="B1339" t="s">
        <v>2741</v>
      </c>
      <c r="C1339">
        <v>0.0</v>
      </c>
      <c r="D1339" t="s">
        <v>310</v>
      </c>
      <c r="E1339" t="s">
        <v>311</v>
      </c>
    </row>
    <row r="1340">
      <c r="A1340" s="232" t="s">
        <v>2742</v>
      </c>
      <c r="B1340" t="s">
        <v>2743</v>
      </c>
      <c r="C1340">
        <v>491.0</v>
      </c>
      <c r="D1340" t="s">
        <v>330</v>
      </c>
      <c r="E1340" t="s">
        <v>311</v>
      </c>
    </row>
    <row r="1341">
      <c r="A1341" s="232" t="s">
        <v>2744</v>
      </c>
      <c r="B1341" t="s">
        <v>2745</v>
      </c>
      <c r="C1341">
        <v>188.0</v>
      </c>
      <c r="D1341" t="s">
        <v>330</v>
      </c>
      <c r="E1341" t="s">
        <v>311</v>
      </c>
    </row>
    <row r="1342">
      <c r="A1342" s="232" t="s">
        <v>2746</v>
      </c>
      <c r="B1342" t="s">
        <v>2747</v>
      </c>
      <c r="C1342">
        <v>593.0</v>
      </c>
      <c r="D1342" t="s">
        <v>330</v>
      </c>
      <c r="E1342" t="s">
        <v>311</v>
      </c>
    </row>
    <row r="1343">
      <c r="A1343" s="232" t="s">
        <v>2748</v>
      </c>
      <c r="B1343" t="s">
        <v>2749</v>
      </c>
      <c r="C1343">
        <v>248.0</v>
      </c>
      <c r="D1343" t="s">
        <v>330</v>
      </c>
      <c r="E1343" t="s">
        <v>311</v>
      </c>
    </row>
    <row r="1344">
      <c r="A1344" s="232" t="s">
        <v>2750</v>
      </c>
      <c r="B1344" t="s">
        <v>2751</v>
      </c>
      <c r="C1344">
        <v>0.0</v>
      </c>
      <c r="D1344" t="s">
        <v>330</v>
      </c>
      <c r="E1344" t="s">
        <v>311</v>
      </c>
    </row>
    <row r="1345">
      <c r="A1345" s="232" t="s">
        <v>2752</v>
      </c>
      <c r="B1345" t="s">
        <v>2753</v>
      </c>
      <c r="C1345">
        <v>728.0</v>
      </c>
      <c r="D1345" t="s">
        <v>330</v>
      </c>
      <c r="E1345" t="s">
        <v>311</v>
      </c>
    </row>
    <row r="1346">
      <c r="A1346" s="232" t="s">
        <v>2754</v>
      </c>
      <c r="B1346" t="s">
        <v>2755</v>
      </c>
      <c r="C1346">
        <v>0.0</v>
      </c>
      <c r="D1346" t="s">
        <v>310</v>
      </c>
      <c r="E1346" t="s">
        <v>311</v>
      </c>
    </row>
    <row r="1347">
      <c r="A1347" s="232" t="s">
        <v>2756</v>
      </c>
      <c r="B1347" t="s">
        <v>2757</v>
      </c>
      <c r="C1347">
        <v>0.0</v>
      </c>
      <c r="D1347" t="s">
        <v>310</v>
      </c>
      <c r="E1347" t="s">
        <v>311</v>
      </c>
    </row>
    <row r="1348">
      <c r="A1348" s="232" t="s">
        <v>2758</v>
      </c>
      <c r="B1348" t="s">
        <v>2759</v>
      </c>
      <c r="C1348">
        <v>1.0</v>
      </c>
      <c r="D1348" t="s">
        <v>330</v>
      </c>
      <c r="E1348" t="s">
        <v>311</v>
      </c>
    </row>
    <row r="1349">
      <c r="A1349" s="232">
        <v>5211.0</v>
      </c>
      <c r="B1349" t="s">
        <v>2760</v>
      </c>
      <c r="C1349">
        <v>0.0</v>
      </c>
      <c r="D1349" t="s">
        <v>310</v>
      </c>
      <c r="E1349" t="s">
        <v>311</v>
      </c>
    </row>
    <row r="1350">
      <c r="A1350" s="232" t="s">
        <v>2761</v>
      </c>
      <c r="B1350" t="s">
        <v>2762</v>
      </c>
      <c r="C1350">
        <v>0.0</v>
      </c>
      <c r="D1350" t="s">
        <v>310</v>
      </c>
      <c r="E1350" t="s">
        <v>311</v>
      </c>
    </row>
    <row r="1351">
      <c r="A1351" s="232" t="s">
        <v>2763</v>
      </c>
      <c r="B1351" t="s">
        <v>2764</v>
      </c>
      <c r="C1351">
        <v>0.0</v>
      </c>
      <c r="D1351" t="s">
        <v>310</v>
      </c>
      <c r="E1351" t="s">
        <v>311</v>
      </c>
    </row>
    <row r="1352">
      <c r="A1352" s="232" t="s">
        <v>2765</v>
      </c>
      <c r="B1352" t="s">
        <v>2766</v>
      </c>
      <c r="C1352">
        <v>0.0</v>
      </c>
      <c r="D1352" t="s">
        <v>310</v>
      </c>
      <c r="E1352" t="s">
        <v>311</v>
      </c>
    </row>
    <row r="1353">
      <c r="A1353" s="232" t="s">
        <v>2767</v>
      </c>
      <c r="B1353" t="s">
        <v>2768</v>
      </c>
      <c r="C1353">
        <v>0.0</v>
      </c>
      <c r="D1353" t="s">
        <v>310</v>
      </c>
      <c r="E1353" t="s">
        <v>311</v>
      </c>
    </row>
    <row r="1354">
      <c r="A1354" s="232" t="s">
        <v>2769</v>
      </c>
      <c r="B1354" t="s">
        <v>2770</v>
      </c>
      <c r="C1354">
        <v>7.0</v>
      </c>
      <c r="D1354" t="s">
        <v>330</v>
      </c>
      <c r="E1354" t="s">
        <v>311</v>
      </c>
    </row>
    <row r="1355">
      <c r="A1355" s="232" t="s">
        <v>2771</v>
      </c>
      <c r="B1355" t="s">
        <v>2772</v>
      </c>
      <c r="C1355">
        <v>678.0</v>
      </c>
      <c r="D1355" t="s">
        <v>330</v>
      </c>
      <c r="E1355" t="s">
        <v>311</v>
      </c>
    </row>
    <row r="1356">
      <c r="A1356" s="232" t="s">
        <v>2773</v>
      </c>
      <c r="B1356" t="s">
        <v>2774</v>
      </c>
      <c r="C1356">
        <v>649.0</v>
      </c>
      <c r="D1356" t="s">
        <v>330</v>
      </c>
      <c r="E1356" t="s">
        <v>311</v>
      </c>
    </row>
    <row r="1357">
      <c r="A1357" s="232" t="s">
        <v>2775</v>
      </c>
      <c r="B1357" t="s">
        <v>2776</v>
      </c>
      <c r="C1357">
        <v>42.0</v>
      </c>
      <c r="D1357" t="s">
        <v>330</v>
      </c>
      <c r="E1357" t="s">
        <v>311</v>
      </c>
    </row>
    <row r="1358">
      <c r="A1358" s="232" t="s">
        <v>2777</v>
      </c>
      <c r="B1358" t="s">
        <v>2778</v>
      </c>
      <c r="C1358">
        <v>198.0</v>
      </c>
      <c r="D1358" t="s">
        <v>330</v>
      </c>
      <c r="E1358" t="s">
        <v>311</v>
      </c>
    </row>
    <row r="1359">
      <c r="A1359" s="232" t="s">
        <v>2779</v>
      </c>
      <c r="B1359" t="s">
        <v>2780</v>
      </c>
      <c r="C1359">
        <v>354.0</v>
      </c>
      <c r="D1359" t="s">
        <v>330</v>
      </c>
      <c r="E1359" t="s">
        <v>311</v>
      </c>
    </row>
    <row r="1360">
      <c r="A1360" s="232" t="s">
        <v>2781</v>
      </c>
      <c r="B1360" t="s">
        <v>2782</v>
      </c>
      <c r="C1360">
        <v>46.0</v>
      </c>
      <c r="D1360" t="s">
        <v>330</v>
      </c>
      <c r="E1360" t="s">
        <v>311</v>
      </c>
    </row>
    <row r="1361">
      <c r="A1361" s="232" t="s">
        <v>2783</v>
      </c>
      <c r="B1361" t="s">
        <v>2784</v>
      </c>
      <c r="C1361">
        <v>3.0</v>
      </c>
      <c r="D1361" t="s">
        <v>330</v>
      </c>
      <c r="E1361" t="s">
        <v>311</v>
      </c>
    </row>
    <row r="1362">
      <c r="A1362" s="232" t="s">
        <v>2785</v>
      </c>
      <c r="B1362" t="s">
        <v>2786</v>
      </c>
      <c r="C1362">
        <v>0.0</v>
      </c>
      <c r="D1362" t="s">
        <v>310</v>
      </c>
      <c r="E1362" t="s">
        <v>311</v>
      </c>
    </row>
    <row r="1363">
      <c r="A1363" s="232" t="s">
        <v>2787</v>
      </c>
      <c r="B1363" t="s">
        <v>2788</v>
      </c>
      <c r="C1363">
        <v>0.0</v>
      </c>
      <c r="D1363" t="s">
        <v>310</v>
      </c>
      <c r="E1363" t="s">
        <v>311</v>
      </c>
    </row>
    <row r="1364">
      <c r="A1364" s="232" t="s">
        <v>2789</v>
      </c>
      <c r="B1364" t="s">
        <v>2790</v>
      </c>
      <c r="C1364">
        <v>0.0</v>
      </c>
      <c r="D1364" t="s">
        <v>310</v>
      </c>
      <c r="E1364" t="s">
        <v>311</v>
      </c>
    </row>
    <row r="1365">
      <c r="A1365" s="232" t="s">
        <v>2791</v>
      </c>
      <c r="B1365" t="s">
        <v>2792</v>
      </c>
      <c r="C1365">
        <v>0.0</v>
      </c>
      <c r="D1365" t="s">
        <v>310</v>
      </c>
      <c r="E1365" t="s">
        <v>311</v>
      </c>
    </row>
    <row r="1366">
      <c r="A1366" s="232" t="s">
        <v>2793</v>
      </c>
      <c r="B1366" t="s">
        <v>2794</v>
      </c>
      <c r="C1366">
        <v>0.0</v>
      </c>
      <c r="D1366" t="s">
        <v>310</v>
      </c>
      <c r="E1366" t="s">
        <v>311</v>
      </c>
    </row>
    <row r="1367">
      <c r="A1367" s="232" t="s">
        <v>2795</v>
      </c>
      <c r="B1367" t="s">
        <v>2796</v>
      </c>
      <c r="C1367">
        <v>0.0</v>
      </c>
      <c r="D1367" t="s">
        <v>310</v>
      </c>
      <c r="E1367" t="s">
        <v>311</v>
      </c>
    </row>
    <row r="1368">
      <c r="A1368" s="232" t="s">
        <v>2797</v>
      </c>
      <c r="B1368" t="s">
        <v>2798</v>
      </c>
      <c r="C1368">
        <v>0.0</v>
      </c>
      <c r="D1368" t="s">
        <v>310</v>
      </c>
      <c r="E1368" t="s">
        <v>311</v>
      </c>
    </row>
    <row r="1369">
      <c r="A1369" s="232" t="s">
        <v>2799</v>
      </c>
      <c r="B1369" t="s">
        <v>2800</v>
      </c>
      <c r="C1369">
        <v>0.0</v>
      </c>
      <c r="D1369" t="s">
        <v>310</v>
      </c>
      <c r="E1369" t="s">
        <v>311</v>
      </c>
    </row>
    <row r="1370">
      <c r="A1370" s="232" t="s">
        <v>2801</v>
      </c>
      <c r="B1370" t="s">
        <v>2802</v>
      </c>
      <c r="C1370">
        <v>1.0</v>
      </c>
      <c r="D1370" t="s">
        <v>330</v>
      </c>
      <c r="E1370" t="s">
        <v>311</v>
      </c>
    </row>
    <row r="1371">
      <c r="A1371" s="232" t="s">
        <v>2803</v>
      </c>
      <c r="B1371" t="s">
        <v>2804</v>
      </c>
      <c r="C1371">
        <v>0.0</v>
      </c>
      <c r="D1371" t="s">
        <v>310</v>
      </c>
      <c r="E1371" t="s">
        <v>311</v>
      </c>
    </row>
    <row r="1372">
      <c r="A1372" s="232" t="s">
        <v>2805</v>
      </c>
      <c r="B1372" t="s">
        <v>2806</v>
      </c>
      <c r="C1372">
        <v>0.0</v>
      </c>
      <c r="D1372" t="s">
        <v>310</v>
      </c>
      <c r="E1372" t="s">
        <v>311</v>
      </c>
    </row>
    <row r="1373">
      <c r="A1373" s="232" t="s">
        <v>2807</v>
      </c>
      <c r="B1373" t="s">
        <v>2808</v>
      </c>
      <c r="C1373">
        <v>0.0</v>
      </c>
      <c r="D1373" t="s">
        <v>310</v>
      </c>
      <c r="E1373" t="s">
        <v>311</v>
      </c>
    </row>
    <row r="1374">
      <c r="A1374" s="232" t="s">
        <v>2809</v>
      </c>
      <c r="B1374" t="s">
        <v>2810</v>
      </c>
      <c r="C1374">
        <v>0.0</v>
      </c>
      <c r="D1374" t="s">
        <v>310</v>
      </c>
      <c r="E1374" t="s">
        <v>311</v>
      </c>
    </row>
    <row r="1375">
      <c r="A1375" s="232" t="s">
        <v>2811</v>
      </c>
      <c r="B1375" t="s">
        <v>2812</v>
      </c>
      <c r="C1375">
        <v>0.0</v>
      </c>
      <c r="D1375" t="s">
        <v>310</v>
      </c>
      <c r="E1375" t="s">
        <v>311</v>
      </c>
    </row>
    <row r="1376">
      <c r="A1376" s="232" t="s">
        <v>172</v>
      </c>
      <c r="B1376" t="s">
        <v>171</v>
      </c>
      <c r="C1376">
        <v>713.0</v>
      </c>
      <c r="D1376" t="s">
        <v>330</v>
      </c>
      <c r="E1376" t="s">
        <v>311</v>
      </c>
    </row>
    <row r="1377">
      <c r="A1377" s="232" t="s">
        <v>2813</v>
      </c>
      <c r="B1377" t="s">
        <v>2814</v>
      </c>
      <c r="C1377">
        <v>0.0</v>
      </c>
      <c r="D1377" t="s">
        <v>310</v>
      </c>
      <c r="E1377" t="s">
        <v>311</v>
      </c>
    </row>
    <row r="1378">
      <c r="A1378" s="232" t="s">
        <v>2815</v>
      </c>
      <c r="B1378" t="s">
        <v>2816</v>
      </c>
      <c r="C1378">
        <v>275.0</v>
      </c>
      <c r="D1378" t="s">
        <v>330</v>
      </c>
      <c r="E1378" t="s">
        <v>552</v>
      </c>
    </row>
    <row r="1379">
      <c r="A1379" s="232" t="s">
        <v>2817</v>
      </c>
      <c r="B1379" t="s">
        <v>2818</v>
      </c>
      <c r="C1379">
        <v>316.0</v>
      </c>
      <c r="D1379" t="s">
        <v>330</v>
      </c>
      <c r="E1379" t="s">
        <v>552</v>
      </c>
    </row>
    <row r="1380">
      <c r="A1380" s="232" t="s">
        <v>2819</v>
      </c>
      <c r="B1380" t="s">
        <v>2820</v>
      </c>
      <c r="C1380">
        <v>0.0</v>
      </c>
      <c r="D1380" t="s">
        <v>310</v>
      </c>
      <c r="E1380" t="s">
        <v>311</v>
      </c>
    </row>
    <row r="1381">
      <c r="A1381" s="232" t="s">
        <v>174</v>
      </c>
      <c r="B1381" t="s">
        <v>173</v>
      </c>
      <c r="C1381">
        <v>370.0</v>
      </c>
      <c r="D1381" t="s">
        <v>330</v>
      </c>
      <c r="E1381" t="s">
        <v>311</v>
      </c>
    </row>
    <row r="1382">
      <c r="A1382" s="232" t="s">
        <v>2821</v>
      </c>
      <c r="B1382" t="s">
        <v>2822</v>
      </c>
      <c r="C1382">
        <v>0.0</v>
      </c>
      <c r="D1382" t="s">
        <v>310</v>
      </c>
      <c r="E1382" t="s">
        <v>311</v>
      </c>
    </row>
    <row r="1383">
      <c r="A1383" s="232" t="s">
        <v>176</v>
      </c>
      <c r="B1383" t="s">
        <v>175</v>
      </c>
      <c r="C1383">
        <v>797.0</v>
      </c>
      <c r="D1383" t="s">
        <v>330</v>
      </c>
      <c r="E1383" t="s">
        <v>311</v>
      </c>
    </row>
    <row r="1384">
      <c r="A1384" s="232" t="s">
        <v>2823</v>
      </c>
      <c r="B1384" t="s">
        <v>2824</v>
      </c>
      <c r="C1384">
        <v>0.0</v>
      </c>
      <c r="D1384" t="s">
        <v>310</v>
      </c>
      <c r="E1384" t="s">
        <v>311</v>
      </c>
    </row>
    <row r="1385">
      <c r="A1385" s="232" t="s">
        <v>178</v>
      </c>
      <c r="B1385" t="s">
        <v>177</v>
      </c>
      <c r="C1385">
        <v>918.0</v>
      </c>
      <c r="D1385" t="s">
        <v>330</v>
      </c>
      <c r="E1385" t="s">
        <v>311</v>
      </c>
    </row>
    <row r="1386">
      <c r="A1386" s="232" t="s">
        <v>2825</v>
      </c>
      <c r="B1386" t="s">
        <v>2826</v>
      </c>
      <c r="C1386">
        <v>0.0</v>
      </c>
      <c r="D1386" t="s">
        <v>310</v>
      </c>
      <c r="E1386" t="s">
        <v>311</v>
      </c>
    </row>
    <row r="1387">
      <c r="A1387" s="232" t="s">
        <v>2827</v>
      </c>
      <c r="B1387" t="s">
        <v>2828</v>
      </c>
      <c r="C1387">
        <v>152.0</v>
      </c>
      <c r="D1387" t="s">
        <v>330</v>
      </c>
      <c r="E1387" t="s">
        <v>552</v>
      </c>
    </row>
    <row r="1388">
      <c r="A1388" s="232" t="s">
        <v>2829</v>
      </c>
      <c r="B1388" t="s">
        <v>2830</v>
      </c>
      <c r="C1388">
        <v>276.0</v>
      </c>
      <c r="D1388" t="s">
        <v>330</v>
      </c>
      <c r="E1388" t="s">
        <v>552</v>
      </c>
    </row>
    <row r="1389">
      <c r="A1389" s="232" t="s">
        <v>2831</v>
      </c>
      <c r="B1389" t="s">
        <v>2832</v>
      </c>
      <c r="C1389">
        <v>0.0</v>
      </c>
      <c r="D1389" t="s">
        <v>310</v>
      </c>
      <c r="E1389" t="s">
        <v>311</v>
      </c>
    </row>
    <row r="1390">
      <c r="A1390" s="232" t="s">
        <v>2833</v>
      </c>
      <c r="B1390" t="s">
        <v>2834</v>
      </c>
      <c r="C1390">
        <v>0.0</v>
      </c>
      <c r="D1390" t="s">
        <v>310</v>
      </c>
      <c r="E1390" t="s">
        <v>311</v>
      </c>
    </row>
    <row r="1391">
      <c r="A1391" s="232" t="s">
        <v>2835</v>
      </c>
      <c r="B1391" t="s">
        <v>2836</v>
      </c>
      <c r="C1391">
        <v>0.0</v>
      </c>
      <c r="D1391" t="s">
        <v>310</v>
      </c>
      <c r="E1391" t="s">
        <v>552</v>
      </c>
    </row>
    <row r="1392">
      <c r="A1392" s="232" t="s">
        <v>2837</v>
      </c>
      <c r="B1392" t="s">
        <v>2838</v>
      </c>
      <c r="C1392">
        <v>0.0</v>
      </c>
      <c r="D1392" t="s">
        <v>310</v>
      </c>
      <c r="E1392" t="s">
        <v>311</v>
      </c>
    </row>
    <row r="1393">
      <c r="A1393" s="232" t="s">
        <v>2839</v>
      </c>
      <c r="B1393" t="s">
        <v>2840</v>
      </c>
      <c r="C1393">
        <v>0.0</v>
      </c>
      <c r="D1393" t="s">
        <v>310</v>
      </c>
      <c r="E1393" t="s">
        <v>311</v>
      </c>
    </row>
    <row r="1394">
      <c r="A1394" s="232" t="s">
        <v>2841</v>
      </c>
      <c r="B1394" t="s">
        <v>2842</v>
      </c>
      <c r="C1394">
        <v>0.0</v>
      </c>
      <c r="D1394" t="s">
        <v>310</v>
      </c>
      <c r="E1394" t="s">
        <v>311</v>
      </c>
    </row>
    <row r="1395">
      <c r="A1395" s="232" t="s">
        <v>2843</v>
      </c>
      <c r="B1395" t="s">
        <v>2844</v>
      </c>
      <c r="C1395">
        <v>0.0</v>
      </c>
      <c r="D1395" t="s">
        <v>310</v>
      </c>
      <c r="E1395" t="s">
        <v>311</v>
      </c>
    </row>
    <row r="1396">
      <c r="A1396" s="232" t="s">
        <v>2845</v>
      </c>
      <c r="B1396" t="s">
        <v>2846</v>
      </c>
      <c r="C1396">
        <v>856.0</v>
      </c>
      <c r="D1396" t="s">
        <v>330</v>
      </c>
      <c r="E1396" t="s">
        <v>311</v>
      </c>
    </row>
    <row r="1397">
      <c r="A1397" s="232">
        <v>1001.0</v>
      </c>
      <c r="B1397" t="s">
        <v>2847</v>
      </c>
      <c r="C1397">
        <v>0.0</v>
      </c>
      <c r="D1397" t="s">
        <v>330</v>
      </c>
      <c r="E1397" t="s">
        <v>311</v>
      </c>
    </row>
    <row r="1398">
      <c r="A1398" s="232" t="s">
        <v>2848</v>
      </c>
      <c r="B1398" t="s">
        <v>2849</v>
      </c>
      <c r="C1398">
        <v>0.0</v>
      </c>
      <c r="D1398" t="s">
        <v>310</v>
      </c>
      <c r="E1398" t="s">
        <v>311</v>
      </c>
    </row>
    <row r="1399">
      <c r="A1399" s="232" t="s">
        <v>2850</v>
      </c>
      <c r="B1399" t="s">
        <v>2851</v>
      </c>
      <c r="C1399">
        <v>0.0</v>
      </c>
      <c r="D1399" t="s">
        <v>310</v>
      </c>
      <c r="E1399" t="s">
        <v>311</v>
      </c>
    </row>
    <row r="1400">
      <c r="A1400" s="232">
        <v>37406.0</v>
      </c>
      <c r="B1400" t="s">
        <v>2852</v>
      </c>
      <c r="C1400">
        <v>0.0</v>
      </c>
      <c r="D1400" t="s">
        <v>310</v>
      </c>
      <c r="E1400" t="s">
        <v>311</v>
      </c>
    </row>
    <row r="1401">
      <c r="A1401" s="232">
        <v>37404.0</v>
      </c>
      <c r="B1401" t="s">
        <v>2853</v>
      </c>
      <c r="C1401">
        <v>0.0</v>
      </c>
      <c r="D1401" t="s">
        <v>310</v>
      </c>
      <c r="E1401" t="s">
        <v>311</v>
      </c>
    </row>
    <row r="1402">
      <c r="A1402" s="232">
        <v>37403.0</v>
      </c>
      <c r="B1402" t="s">
        <v>2854</v>
      </c>
      <c r="C1402">
        <v>0.0</v>
      </c>
      <c r="D1402" t="s">
        <v>310</v>
      </c>
      <c r="E1402" t="s">
        <v>311</v>
      </c>
    </row>
    <row r="1403">
      <c r="A1403" s="232">
        <v>37401.0</v>
      </c>
      <c r="B1403" t="s">
        <v>2855</v>
      </c>
      <c r="C1403">
        <v>0.0</v>
      </c>
      <c r="D1403" t="s">
        <v>310</v>
      </c>
      <c r="E1403" t="s">
        <v>311</v>
      </c>
    </row>
    <row r="1404">
      <c r="A1404" s="232">
        <v>37402.0</v>
      </c>
      <c r="B1404" t="s">
        <v>2856</v>
      </c>
      <c r="C1404">
        <v>0.0</v>
      </c>
      <c r="D1404" t="s">
        <v>310</v>
      </c>
      <c r="E1404" t="s">
        <v>311</v>
      </c>
    </row>
    <row r="1405">
      <c r="A1405" s="232">
        <v>37405.0</v>
      </c>
      <c r="B1405" t="s">
        <v>2857</v>
      </c>
      <c r="C1405">
        <v>0.0</v>
      </c>
      <c r="D1405" t="s">
        <v>310</v>
      </c>
      <c r="E1405" t="s">
        <v>311</v>
      </c>
    </row>
    <row r="1406">
      <c r="A1406" s="232" t="s">
        <v>2858</v>
      </c>
      <c r="B1406" t="s">
        <v>2859</v>
      </c>
      <c r="C1406">
        <v>0.0</v>
      </c>
      <c r="D1406" t="s">
        <v>310</v>
      </c>
      <c r="E1406" t="s">
        <v>311</v>
      </c>
    </row>
    <row r="1407">
      <c r="A1407" s="232" t="s">
        <v>2860</v>
      </c>
      <c r="B1407" t="s">
        <v>2861</v>
      </c>
      <c r="C1407">
        <v>0.0</v>
      </c>
      <c r="D1407" t="s">
        <v>310</v>
      </c>
      <c r="E1407" t="s">
        <v>311</v>
      </c>
    </row>
    <row r="1408">
      <c r="A1408" s="232" t="s">
        <v>2862</v>
      </c>
      <c r="B1408" t="s">
        <v>2863</v>
      </c>
      <c r="C1408">
        <v>1.0</v>
      </c>
      <c r="D1408" t="s">
        <v>330</v>
      </c>
      <c r="E1408" t="s">
        <v>565</v>
      </c>
    </row>
    <row r="1409">
      <c r="A1409" s="232" t="s">
        <v>2864</v>
      </c>
      <c r="B1409" t="s">
        <v>2865</v>
      </c>
      <c r="C1409">
        <v>0.0</v>
      </c>
      <c r="D1409" t="s">
        <v>310</v>
      </c>
      <c r="E1409" t="s">
        <v>311</v>
      </c>
    </row>
    <row r="1410">
      <c r="A1410" s="232" t="s">
        <v>2866</v>
      </c>
      <c r="B1410" t="s">
        <v>2867</v>
      </c>
      <c r="C1410">
        <v>30.0</v>
      </c>
      <c r="D1410" t="s">
        <v>330</v>
      </c>
      <c r="E1410" t="s">
        <v>311</v>
      </c>
    </row>
    <row r="1411">
      <c r="A1411" s="232" t="s">
        <v>2868</v>
      </c>
      <c r="B1411" t="s">
        <v>2869</v>
      </c>
      <c r="C1411">
        <v>20.0</v>
      </c>
      <c r="D1411" t="s">
        <v>330</v>
      </c>
      <c r="E1411" t="s">
        <v>311</v>
      </c>
    </row>
    <row r="1412">
      <c r="A1412" s="232" t="s">
        <v>2870</v>
      </c>
      <c r="B1412" t="s">
        <v>2871</v>
      </c>
      <c r="C1412">
        <v>5.0</v>
      </c>
      <c r="D1412" t="s">
        <v>330</v>
      </c>
      <c r="E1412" t="s">
        <v>311</v>
      </c>
    </row>
    <row r="1413">
      <c r="A1413" s="232" t="s">
        <v>2872</v>
      </c>
      <c r="B1413" t="s">
        <v>2873</v>
      </c>
      <c r="C1413">
        <v>5.0</v>
      </c>
      <c r="D1413" t="s">
        <v>330</v>
      </c>
      <c r="E1413" t="s">
        <v>311</v>
      </c>
    </row>
    <row r="1414">
      <c r="A1414" s="232" t="s">
        <v>2874</v>
      </c>
      <c r="B1414" t="s">
        <v>2875</v>
      </c>
      <c r="C1414">
        <v>5.0</v>
      </c>
      <c r="D1414" t="s">
        <v>330</v>
      </c>
      <c r="E1414" t="s">
        <v>311</v>
      </c>
    </row>
    <row r="1415">
      <c r="A1415" s="232" t="s">
        <v>2876</v>
      </c>
      <c r="B1415" t="s">
        <v>2877</v>
      </c>
      <c r="C1415">
        <v>20.0</v>
      </c>
      <c r="D1415" t="s">
        <v>330</v>
      </c>
      <c r="E1415" t="s">
        <v>311</v>
      </c>
    </row>
    <row r="1416">
      <c r="A1416" s="232" t="s">
        <v>2878</v>
      </c>
      <c r="B1416" t="s">
        <v>2879</v>
      </c>
      <c r="C1416">
        <v>5.0</v>
      </c>
      <c r="D1416" t="s">
        <v>330</v>
      </c>
      <c r="E1416" t="s">
        <v>311</v>
      </c>
    </row>
    <row r="1417">
      <c r="A1417" s="232" t="s">
        <v>2880</v>
      </c>
      <c r="B1417" t="s">
        <v>2881</v>
      </c>
      <c r="C1417">
        <v>0.0</v>
      </c>
      <c r="D1417" t="s">
        <v>310</v>
      </c>
      <c r="E1417" t="s">
        <v>311</v>
      </c>
    </row>
    <row r="1418">
      <c r="A1418" s="232" t="s">
        <v>2882</v>
      </c>
      <c r="B1418" t="s">
        <v>2883</v>
      </c>
      <c r="C1418">
        <v>0.0</v>
      </c>
      <c r="D1418" t="s">
        <v>310</v>
      </c>
      <c r="E1418" t="s">
        <v>311</v>
      </c>
    </row>
    <row r="1419">
      <c r="A1419" s="232" t="s">
        <v>2884</v>
      </c>
      <c r="B1419" t="s">
        <v>2885</v>
      </c>
      <c r="C1419">
        <v>0.0</v>
      </c>
      <c r="D1419" t="s">
        <v>310</v>
      </c>
      <c r="E1419" t="s">
        <v>311</v>
      </c>
    </row>
    <row r="1420">
      <c r="A1420" s="232" t="s">
        <v>2886</v>
      </c>
      <c r="B1420" t="s">
        <v>2887</v>
      </c>
      <c r="C1420">
        <v>0.0</v>
      </c>
      <c r="D1420" t="s">
        <v>310</v>
      </c>
      <c r="E1420" t="s">
        <v>311</v>
      </c>
    </row>
    <row r="1421">
      <c r="A1421" s="232" t="s">
        <v>2888</v>
      </c>
      <c r="B1421" t="s">
        <v>2889</v>
      </c>
      <c r="C1421">
        <v>0.0</v>
      </c>
      <c r="D1421" t="s">
        <v>310</v>
      </c>
      <c r="E1421" t="s">
        <v>311</v>
      </c>
    </row>
    <row r="1422">
      <c r="A1422" s="232" t="s">
        <v>2890</v>
      </c>
      <c r="B1422" t="s">
        <v>2891</v>
      </c>
      <c r="C1422">
        <v>0.0</v>
      </c>
      <c r="D1422" t="s">
        <v>310</v>
      </c>
      <c r="E1422" t="s">
        <v>311</v>
      </c>
    </row>
    <row r="1423">
      <c r="A1423" s="232" t="s">
        <v>2892</v>
      </c>
      <c r="B1423" t="s">
        <v>2893</v>
      </c>
      <c r="C1423">
        <v>0.0</v>
      </c>
      <c r="D1423" t="s">
        <v>310</v>
      </c>
      <c r="E1423" t="s">
        <v>311</v>
      </c>
    </row>
    <row r="1424">
      <c r="A1424" s="232" t="s">
        <v>2894</v>
      </c>
      <c r="B1424" t="s">
        <v>2895</v>
      </c>
      <c r="C1424">
        <v>0.0</v>
      </c>
      <c r="D1424" t="s">
        <v>310</v>
      </c>
      <c r="E1424" t="s">
        <v>311</v>
      </c>
    </row>
    <row r="1425">
      <c r="A1425" s="232" t="s">
        <v>2896</v>
      </c>
      <c r="B1425" t="s">
        <v>2897</v>
      </c>
      <c r="C1425">
        <v>0.0</v>
      </c>
      <c r="D1425" t="s">
        <v>310</v>
      </c>
      <c r="E1425" t="s">
        <v>311</v>
      </c>
    </row>
    <row r="1426">
      <c r="A1426" s="232" t="s">
        <v>2898</v>
      </c>
      <c r="B1426" t="s">
        <v>2899</v>
      </c>
      <c r="C1426">
        <v>0.0</v>
      </c>
      <c r="D1426" t="s">
        <v>310</v>
      </c>
      <c r="E1426" t="s">
        <v>311</v>
      </c>
    </row>
    <row r="1427">
      <c r="A1427" s="232" t="s">
        <v>2900</v>
      </c>
      <c r="B1427" t="s">
        <v>2901</v>
      </c>
      <c r="C1427">
        <v>0.0</v>
      </c>
      <c r="D1427" t="s">
        <v>310</v>
      </c>
      <c r="E1427" t="s">
        <v>311</v>
      </c>
    </row>
    <row r="1428">
      <c r="A1428" s="232" t="s">
        <v>2902</v>
      </c>
      <c r="B1428" t="s">
        <v>2903</v>
      </c>
      <c r="C1428">
        <v>0.0</v>
      </c>
      <c r="D1428" t="s">
        <v>310</v>
      </c>
      <c r="E1428" t="s">
        <v>311</v>
      </c>
    </row>
    <row r="1429">
      <c r="A1429" s="232" t="s">
        <v>2904</v>
      </c>
      <c r="B1429" t="s">
        <v>2905</v>
      </c>
      <c r="C1429">
        <v>0.0</v>
      </c>
      <c r="D1429" t="s">
        <v>310</v>
      </c>
      <c r="E1429" t="s">
        <v>311</v>
      </c>
    </row>
    <row r="1430">
      <c r="A1430" s="232" t="s">
        <v>2906</v>
      </c>
      <c r="B1430" t="s">
        <v>2907</v>
      </c>
      <c r="C1430">
        <v>0.0</v>
      </c>
      <c r="D1430" t="s">
        <v>310</v>
      </c>
      <c r="E1430" t="s">
        <v>311</v>
      </c>
    </row>
    <row r="1431">
      <c r="A1431" s="232" t="s">
        <v>2908</v>
      </c>
      <c r="B1431" t="s">
        <v>2909</v>
      </c>
      <c r="C1431">
        <v>0.0</v>
      </c>
      <c r="D1431" t="s">
        <v>310</v>
      </c>
      <c r="E1431" t="s">
        <v>311</v>
      </c>
    </row>
    <row r="1432">
      <c r="A1432" s="232" t="s">
        <v>2910</v>
      </c>
      <c r="B1432" t="s">
        <v>2911</v>
      </c>
      <c r="C1432">
        <v>0.0</v>
      </c>
      <c r="D1432" t="s">
        <v>310</v>
      </c>
      <c r="E1432" t="s">
        <v>311</v>
      </c>
    </row>
    <row r="1433">
      <c r="A1433" s="232" t="s">
        <v>2912</v>
      </c>
      <c r="B1433" t="s">
        <v>2913</v>
      </c>
      <c r="C1433">
        <v>9.0</v>
      </c>
      <c r="D1433" t="s">
        <v>330</v>
      </c>
      <c r="E1433" t="s">
        <v>311</v>
      </c>
    </row>
    <row r="1434">
      <c r="A1434" s="232" t="s">
        <v>2914</v>
      </c>
      <c r="B1434" t="s">
        <v>2915</v>
      </c>
      <c r="C1434">
        <v>23.0</v>
      </c>
      <c r="D1434" t="s">
        <v>330</v>
      </c>
      <c r="E1434" t="s">
        <v>311</v>
      </c>
    </row>
    <row r="1435">
      <c r="A1435" s="232" t="s">
        <v>2916</v>
      </c>
      <c r="B1435" t="s">
        <v>2917</v>
      </c>
      <c r="C1435">
        <v>0.0</v>
      </c>
      <c r="D1435" t="s">
        <v>310</v>
      </c>
      <c r="E1435" t="s">
        <v>311</v>
      </c>
    </row>
    <row r="1436">
      <c r="A1436" s="232" t="s">
        <v>2918</v>
      </c>
      <c r="B1436" t="s">
        <v>2919</v>
      </c>
      <c r="C1436">
        <v>4.0</v>
      </c>
      <c r="D1436" t="s">
        <v>330</v>
      </c>
      <c r="E1436" t="s">
        <v>311</v>
      </c>
    </row>
    <row r="1437">
      <c r="A1437" s="232" t="s">
        <v>2920</v>
      </c>
      <c r="B1437" t="s">
        <v>2921</v>
      </c>
      <c r="C1437">
        <v>0.0</v>
      </c>
      <c r="D1437" t="s">
        <v>310</v>
      </c>
      <c r="E1437" t="s">
        <v>311</v>
      </c>
    </row>
    <row r="1438">
      <c r="A1438" s="232" t="s">
        <v>2922</v>
      </c>
      <c r="B1438" t="s">
        <v>2923</v>
      </c>
      <c r="C1438">
        <v>2.0</v>
      </c>
      <c r="D1438" t="s">
        <v>330</v>
      </c>
      <c r="E1438" t="s">
        <v>311</v>
      </c>
    </row>
    <row r="1439">
      <c r="A1439" s="232" t="s">
        <v>2924</v>
      </c>
      <c r="B1439" t="s">
        <v>2925</v>
      </c>
      <c r="C1439">
        <v>9.0</v>
      </c>
      <c r="D1439" t="s">
        <v>330</v>
      </c>
      <c r="E1439" t="s">
        <v>311</v>
      </c>
    </row>
    <row r="1440">
      <c r="A1440" s="232" t="s">
        <v>2926</v>
      </c>
      <c r="B1440" t="s">
        <v>2927</v>
      </c>
      <c r="C1440">
        <v>2.0</v>
      </c>
      <c r="D1440" t="s">
        <v>330</v>
      </c>
      <c r="E1440" t="s">
        <v>311</v>
      </c>
    </row>
    <row r="1441">
      <c r="A1441" s="232" t="s">
        <v>2928</v>
      </c>
      <c r="B1441" t="s">
        <v>2929</v>
      </c>
      <c r="C1441">
        <v>7.0</v>
      </c>
      <c r="D1441" t="s">
        <v>330</v>
      </c>
      <c r="E1441" t="s">
        <v>311</v>
      </c>
    </row>
    <row r="1442">
      <c r="A1442" s="232" t="s">
        <v>2930</v>
      </c>
      <c r="B1442" t="s">
        <v>2931</v>
      </c>
      <c r="C1442">
        <v>1.0</v>
      </c>
      <c r="D1442" t="s">
        <v>330</v>
      </c>
      <c r="E1442" t="s">
        <v>311</v>
      </c>
    </row>
    <row r="1443">
      <c r="A1443" s="232" t="s">
        <v>2932</v>
      </c>
      <c r="B1443" t="s">
        <v>2933</v>
      </c>
      <c r="C1443">
        <v>30.0</v>
      </c>
      <c r="D1443" t="s">
        <v>330</v>
      </c>
      <c r="E1443" t="s">
        <v>311</v>
      </c>
    </row>
    <row r="1444">
      <c r="A1444" s="232" t="s">
        <v>2934</v>
      </c>
      <c r="B1444" t="s">
        <v>2935</v>
      </c>
      <c r="C1444">
        <v>19.0</v>
      </c>
      <c r="D1444" t="s">
        <v>330</v>
      </c>
      <c r="E1444" t="s">
        <v>311</v>
      </c>
    </row>
    <row r="1445">
      <c r="A1445" s="232" t="s">
        <v>2936</v>
      </c>
      <c r="B1445" t="s">
        <v>2937</v>
      </c>
      <c r="C1445">
        <v>0.0</v>
      </c>
      <c r="D1445" t="s">
        <v>310</v>
      </c>
      <c r="E1445" t="s">
        <v>311</v>
      </c>
    </row>
    <row r="1446">
      <c r="A1446" s="232" t="s">
        <v>2938</v>
      </c>
      <c r="B1446" t="s">
        <v>2939</v>
      </c>
      <c r="C1446">
        <v>5.0</v>
      </c>
      <c r="D1446" t="s">
        <v>330</v>
      </c>
      <c r="E1446" t="s">
        <v>311</v>
      </c>
    </row>
    <row r="1447">
      <c r="A1447" s="232" t="s">
        <v>2940</v>
      </c>
      <c r="B1447" t="s">
        <v>2941</v>
      </c>
      <c r="C1447">
        <v>4.0</v>
      </c>
      <c r="D1447" t="s">
        <v>330</v>
      </c>
      <c r="E1447" t="s">
        <v>311</v>
      </c>
    </row>
    <row r="1448">
      <c r="A1448" s="232" t="s">
        <v>2942</v>
      </c>
      <c r="B1448" t="s">
        <v>2943</v>
      </c>
      <c r="C1448">
        <v>4.0</v>
      </c>
      <c r="D1448" t="s">
        <v>330</v>
      </c>
      <c r="E1448" t="s">
        <v>311</v>
      </c>
    </row>
    <row r="1449">
      <c r="A1449" s="232" t="s">
        <v>2944</v>
      </c>
      <c r="B1449" t="s">
        <v>2945</v>
      </c>
      <c r="C1449">
        <v>7.0</v>
      </c>
      <c r="D1449" t="s">
        <v>330</v>
      </c>
      <c r="E1449" t="s">
        <v>311</v>
      </c>
    </row>
    <row r="1450">
      <c r="A1450" s="232" t="s">
        <v>2946</v>
      </c>
      <c r="B1450" t="s">
        <v>2947</v>
      </c>
      <c r="C1450">
        <v>4.0</v>
      </c>
      <c r="D1450" t="s">
        <v>330</v>
      </c>
      <c r="E1450" t="s">
        <v>311</v>
      </c>
    </row>
    <row r="1451">
      <c r="A1451" s="232" t="s">
        <v>2948</v>
      </c>
      <c r="B1451" t="s">
        <v>2949</v>
      </c>
      <c r="C1451">
        <v>8.0</v>
      </c>
      <c r="D1451" t="s">
        <v>330</v>
      </c>
      <c r="E1451" t="s">
        <v>311</v>
      </c>
    </row>
    <row r="1452">
      <c r="A1452" s="232" t="s">
        <v>2950</v>
      </c>
      <c r="B1452" t="s">
        <v>2951</v>
      </c>
      <c r="C1452">
        <v>7.0</v>
      </c>
      <c r="D1452" t="s">
        <v>330</v>
      </c>
      <c r="E1452" t="s">
        <v>311</v>
      </c>
    </row>
    <row r="1453">
      <c r="A1453" s="232" t="s">
        <v>2952</v>
      </c>
      <c r="B1453" t="s">
        <v>2953</v>
      </c>
      <c r="C1453">
        <v>15.0</v>
      </c>
      <c r="D1453" t="s">
        <v>330</v>
      </c>
      <c r="E1453" t="s">
        <v>311</v>
      </c>
    </row>
    <row r="1454">
      <c r="A1454" s="232" t="s">
        <v>2954</v>
      </c>
      <c r="B1454" t="s">
        <v>2955</v>
      </c>
      <c r="C1454">
        <v>20.0</v>
      </c>
      <c r="D1454" t="s">
        <v>330</v>
      </c>
      <c r="E1454" t="s">
        <v>311</v>
      </c>
    </row>
    <row r="1455">
      <c r="A1455" s="232" t="s">
        <v>2956</v>
      </c>
      <c r="B1455" t="s">
        <v>2957</v>
      </c>
      <c r="C1455">
        <v>0.0</v>
      </c>
      <c r="D1455" t="s">
        <v>310</v>
      </c>
      <c r="E1455" t="s">
        <v>311</v>
      </c>
    </row>
    <row r="1456">
      <c r="A1456" s="232" t="s">
        <v>2958</v>
      </c>
      <c r="B1456" t="s">
        <v>2959</v>
      </c>
      <c r="C1456">
        <v>1.0</v>
      </c>
      <c r="D1456" t="s">
        <v>330</v>
      </c>
      <c r="E1456" t="s">
        <v>311</v>
      </c>
    </row>
    <row r="1457">
      <c r="A1457" s="232" t="s">
        <v>2960</v>
      </c>
      <c r="B1457" t="s">
        <v>2961</v>
      </c>
      <c r="C1457">
        <v>5.0</v>
      </c>
      <c r="D1457" t="s">
        <v>330</v>
      </c>
      <c r="E1457" t="s">
        <v>311</v>
      </c>
    </row>
    <row r="1458">
      <c r="A1458" s="232" t="s">
        <v>2962</v>
      </c>
      <c r="B1458" t="s">
        <v>2963</v>
      </c>
      <c r="C1458">
        <v>3.0</v>
      </c>
      <c r="D1458" t="s">
        <v>330</v>
      </c>
      <c r="E1458" t="s">
        <v>311</v>
      </c>
    </row>
    <row r="1459">
      <c r="A1459" s="232" t="s">
        <v>2964</v>
      </c>
      <c r="B1459" t="s">
        <v>2965</v>
      </c>
      <c r="C1459">
        <v>0.0</v>
      </c>
      <c r="D1459" t="s">
        <v>310</v>
      </c>
      <c r="E1459" t="s">
        <v>311</v>
      </c>
    </row>
    <row r="1460">
      <c r="A1460" s="232" t="s">
        <v>2966</v>
      </c>
      <c r="B1460" t="s">
        <v>2967</v>
      </c>
      <c r="C1460">
        <v>9.0</v>
      </c>
      <c r="D1460" t="s">
        <v>330</v>
      </c>
      <c r="E1460" t="s">
        <v>311</v>
      </c>
    </row>
    <row r="1461">
      <c r="A1461" s="232" t="s">
        <v>2968</v>
      </c>
      <c r="B1461" t="s">
        <v>2969</v>
      </c>
      <c r="C1461">
        <v>5.0</v>
      </c>
      <c r="D1461" t="s">
        <v>330</v>
      </c>
      <c r="E1461" t="s">
        <v>311</v>
      </c>
    </row>
    <row r="1462">
      <c r="A1462" s="232" t="s">
        <v>2970</v>
      </c>
      <c r="B1462" t="s">
        <v>2971</v>
      </c>
      <c r="C1462">
        <v>6.0</v>
      </c>
      <c r="D1462" t="s">
        <v>330</v>
      </c>
      <c r="E1462" t="s">
        <v>311</v>
      </c>
    </row>
    <row r="1463">
      <c r="A1463" s="232" t="s">
        <v>2972</v>
      </c>
      <c r="B1463" t="s">
        <v>2973</v>
      </c>
      <c r="C1463">
        <v>49.0</v>
      </c>
      <c r="D1463" t="s">
        <v>330</v>
      </c>
      <c r="E1463" t="s">
        <v>311</v>
      </c>
    </row>
    <row r="1464">
      <c r="A1464" s="232" t="s">
        <v>2974</v>
      </c>
      <c r="B1464" t="s">
        <v>2975</v>
      </c>
      <c r="C1464">
        <v>13.0</v>
      </c>
      <c r="D1464" t="s">
        <v>330</v>
      </c>
      <c r="E1464" t="s">
        <v>311</v>
      </c>
    </row>
    <row r="1465">
      <c r="A1465" s="232" t="s">
        <v>2976</v>
      </c>
      <c r="B1465" t="s">
        <v>2977</v>
      </c>
      <c r="C1465">
        <v>0.0</v>
      </c>
      <c r="D1465" t="s">
        <v>310</v>
      </c>
      <c r="E1465" t="s">
        <v>311</v>
      </c>
    </row>
    <row r="1466">
      <c r="A1466" s="232" t="s">
        <v>2978</v>
      </c>
      <c r="B1466" t="s">
        <v>2979</v>
      </c>
      <c r="C1466">
        <v>0.0</v>
      </c>
      <c r="D1466" t="s">
        <v>330</v>
      </c>
      <c r="E1466" t="s">
        <v>311</v>
      </c>
    </row>
    <row r="1467">
      <c r="A1467" s="232" t="s">
        <v>2980</v>
      </c>
      <c r="B1467" t="s">
        <v>2981</v>
      </c>
      <c r="C1467">
        <v>3.0</v>
      </c>
      <c r="D1467" t="s">
        <v>330</v>
      </c>
      <c r="E1467" t="s">
        <v>311</v>
      </c>
    </row>
    <row r="1468">
      <c r="A1468" s="232" t="s">
        <v>2982</v>
      </c>
      <c r="B1468" t="s">
        <v>2983</v>
      </c>
      <c r="C1468">
        <v>7.0</v>
      </c>
      <c r="D1468" t="s">
        <v>330</v>
      </c>
      <c r="E1468" t="s">
        <v>311</v>
      </c>
    </row>
    <row r="1469">
      <c r="A1469" s="232" t="s">
        <v>2984</v>
      </c>
      <c r="B1469" t="s">
        <v>2985</v>
      </c>
      <c r="C1469">
        <v>5.0</v>
      </c>
      <c r="D1469" t="s">
        <v>330</v>
      </c>
      <c r="E1469" t="s">
        <v>311</v>
      </c>
    </row>
    <row r="1470">
      <c r="A1470" s="232" t="s">
        <v>2986</v>
      </c>
      <c r="B1470" t="s">
        <v>2987</v>
      </c>
      <c r="C1470">
        <v>11.0</v>
      </c>
      <c r="D1470" t="s">
        <v>330</v>
      </c>
      <c r="E1470" t="s">
        <v>311</v>
      </c>
    </row>
    <row r="1471">
      <c r="A1471" s="232" t="s">
        <v>2988</v>
      </c>
      <c r="B1471" t="s">
        <v>2989</v>
      </c>
      <c r="C1471">
        <v>11.0</v>
      </c>
      <c r="D1471" t="s">
        <v>330</v>
      </c>
      <c r="E1471" t="s">
        <v>311</v>
      </c>
    </row>
    <row r="1472">
      <c r="A1472" s="232" t="s">
        <v>2990</v>
      </c>
      <c r="B1472" t="s">
        <v>2991</v>
      </c>
      <c r="C1472">
        <v>10.0</v>
      </c>
      <c r="D1472" t="s">
        <v>330</v>
      </c>
      <c r="E1472" t="s">
        <v>311</v>
      </c>
    </row>
    <row r="1473">
      <c r="A1473" s="232" t="s">
        <v>2992</v>
      </c>
      <c r="B1473" t="s">
        <v>2993</v>
      </c>
      <c r="C1473">
        <v>20.0</v>
      </c>
      <c r="D1473" t="s">
        <v>330</v>
      </c>
      <c r="E1473" t="s">
        <v>311</v>
      </c>
    </row>
    <row r="1474">
      <c r="A1474" s="232" t="s">
        <v>2994</v>
      </c>
      <c r="B1474" t="s">
        <v>2995</v>
      </c>
      <c r="C1474">
        <v>12.0</v>
      </c>
      <c r="D1474" t="s">
        <v>330</v>
      </c>
      <c r="E1474" t="s">
        <v>311</v>
      </c>
    </row>
    <row r="1475">
      <c r="A1475" s="232" t="s">
        <v>2996</v>
      </c>
      <c r="B1475" t="s">
        <v>2997</v>
      </c>
      <c r="C1475">
        <v>0.0</v>
      </c>
      <c r="D1475" t="s">
        <v>310</v>
      </c>
      <c r="E1475" t="s">
        <v>311</v>
      </c>
    </row>
    <row r="1476">
      <c r="A1476" s="232" t="s">
        <v>2998</v>
      </c>
      <c r="B1476" t="s">
        <v>2999</v>
      </c>
      <c r="C1476">
        <v>7.0</v>
      </c>
      <c r="D1476" t="s">
        <v>330</v>
      </c>
      <c r="E1476" t="s">
        <v>311</v>
      </c>
    </row>
    <row r="1477">
      <c r="A1477" s="232" t="s">
        <v>3000</v>
      </c>
      <c r="B1477" t="s">
        <v>3001</v>
      </c>
      <c r="C1477">
        <v>3.0</v>
      </c>
      <c r="D1477" t="s">
        <v>330</v>
      </c>
      <c r="E1477" t="s">
        <v>311</v>
      </c>
    </row>
    <row r="1478">
      <c r="A1478" s="232" t="s">
        <v>3002</v>
      </c>
      <c r="B1478" t="s">
        <v>3003</v>
      </c>
      <c r="C1478">
        <v>5.0</v>
      </c>
      <c r="D1478" t="s">
        <v>330</v>
      </c>
      <c r="E1478" t="s">
        <v>311</v>
      </c>
    </row>
    <row r="1479">
      <c r="A1479" s="232" t="s">
        <v>3004</v>
      </c>
      <c r="B1479" t="s">
        <v>3005</v>
      </c>
      <c r="C1479">
        <v>3.0</v>
      </c>
      <c r="D1479" t="s">
        <v>330</v>
      </c>
      <c r="E1479" t="s">
        <v>311</v>
      </c>
    </row>
    <row r="1480">
      <c r="A1480" s="232" t="s">
        <v>3006</v>
      </c>
      <c r="B1480" t="s">
        <v>3007</v>
      </c>
      <c r="C1480">
        <v>3.0</v>
      </c>
      <c r="D1480" t="s">
        <v>330</v>
      </c>
      <c r="E1480" t="s">
        <v>311</v>
      </c>
    </row>
    <row r="1481">
      <c r="A1481" s="232" t="s">
        <v>3008</v>
      </c>
      <c r="B1481" t="s">
        <v>3009</v>
      </c>
      <c r="C1481">
        <v>0.0</v>
      </c>
      <c r="D1481" t="s">
        <v>310</v>
      </c>
      <c r="E1481" t="s">
        <v>311</v>
      </c>
    </row>
    <row r="1482">
      <c r="A1482" s="232" t="s">
        <v>3010</v>
      </c>
      <c r="B1482" t="s">
        <v>3011</v>
      </c>
      <c r="C1482">
        <v>5.0</v>
      </c>
      <c r="D1482" t="s">
        <v>330</v>
      </c>
      <c r="E1482" t="s">
        <v>311</v>
      </c>
    </row>
    <row r="1483">
      <c r="A1483" s="232" t="s">
        <v>3012</v>
      </c>
      <c r="B1483" t="s">
        <v>3013</v>
      </c>
      <c r="C1483">
        <v>19.0</v>
      </c>
      <c r="D1483" t="s">
        <v>330</v>
      </c>
      <c r="E1483" t="s">
        <v>311</v>
      </c>
    </row>
    <row r="1484">
      <c r="A1484" s="232" t="s">
        <v>3014</v>
      </c>
      <c r="B1484" t="s">
        <v>3015</v>
      </c>
      <c r="C1484">
        <v>23.0</v>
      </c>
      <c r="D1484" t="s">
        <v>330</v>
      </c>
      <c r="E1484" t="s">
        <v>311</v>
      </c>
    </row>
    <row r="1485">
      <c r="A1485" s="232" t="s">
        <v>3016</v>
      </c>
      <c r="B1485" t="s">
        <v>3017</v>
      </c>
      <c r="C1485">
        <v>0.0</v>
      </c>
      <c r="D1485" t="s">
        <v>310</v>
      </c>
      <c r="E1485" t="s">
        <v>311</v>
      </c>
    </row>
    <row r="1486">
      <c r="A1486" s="232" t="s">
        <v>3018</v>
      </c>
      <c r="B1486" t="s">
        <v>3019</v>
      </c>
      <c r="C1486">
        <v>0.0</v>
      </c>
      <c r="D1486" t="s">
        <v>310</v>
      </c>
      <c r="E1486" t="s">
        <v>311</v>
      </c>
    </row>
    <row r="1487">
      <c r="A1487" s="232" t="s">
        <v>3020</v>
      </c>
      <c r="B1487" t="s">
        <v>3021</v>
      </c>
      <c r="C1487">
        <v>0.0</v>
      </c>
      <c r="D1487" t="s">
        <v>310</v>
      </c>
      <c r="E1487" t="s">
        <v>311</v>
      </c>
    </row>
    <row r="1488">
      <c r="A1488" s="232" t="s">
        <v>3022</v>
      </c>
      <c r="B1488" t="s">
        <v>3023</v>
      </c>
      <c r="C1488">
        <v>0.0</v>
      </c>
      <c r="D1488" t="s">
        <v>310</v>
      </c>
      <c r="E1488" t="s">
        <v>311</v>
      </c>
    </row>
    <row r="1489">
      <c r="A1489" s="232" t="s">
        <v>3024</v>
      </c>
      <c r="B1489" t="s">
        <v>3025</v>
      </c>
      <c r="C1489">
        <v>0.0</v>
      </c>
      <c r="D1489" t="s">
        <v>310</v>
      </c>
      <c r="E1489" t="s">
        <v>311</v>
      </c>
    </row>
    <row r="1490">
      <c r="A1490" s="232" t="s">
        <v>3026</v>
      </c>
      <c r="B1490" t="s">
        <v>3027</v>
      </c>
      <c r="C1490">
        <v>0.0</v>
      </c>
      <c r="D1490" t="s">
        <v>310</v>
      </c>
      <c r="E1490" t="s">
        <v>311</v>
      </c>
    </row>
    <row r="1491">
      <c r="A1491" s="232" t="s">
        <v>3028</v>
      </c>
      <c r="B1491" t="s">
        <v>3029</v>
      </c>
      <c r="C1491">
        <v>40.0</v>
      </c>
      <c r="D1491" t="s">
        <v>330</v>
      </c>
      <c r="E1491" t="s">
        <v>311</v>
      </c>
    </row>
    <row r="1492">
      <c r="A1492" s="232" t="s">
        <v>3030</v>
      </c>
      <c r="B1492" t="s">
        <v>3031</v>
      </c>
      <c r="C1492">
        <v>0.0</v>
      </c>
      <c r="D1492" t="s">
        <v>310</v>
      </c>
      <c r="E1492" t="s">
        <v>311</v>
      </c>
    </row>
    <row r="1493">
      <c r="A1493" s="232" t="s">
        <v>3032</v>
      </c>
      <c r="B1493" t="s">
        <v>3033</v>
      </c>
      <c r="C1493">
        <v>912.0</v>
      </c>
      <c r="D1493" t="s">
        <v>330</v>
      </c>
      <c r="E1493" t="s">
        <v>565</v>
      </c>
    </row>
    <row r="1494">
      <c r="A1494" s="232" t="s">
        <v>3034</v>
      </c>
      <c r="B1494" t="s">
        <v>3035</v>
      </c>
      <c r="C1494">
        <v>318.0</v>
      </c>
      <c r="D1494" t="s">
        <v>330</v>
      </c>
      <c r="E1494" t="s">
        <v>565</v>
      </c>
    </row>
    <row r="1495">
      <c r="A1495" s="232" t="s">
        <v>3036</v>
      </c>
      <c r="B1495" t="s">
        <v>3037</v>
      </c>
      <c r="C1495">
        <v>36.0</v>
      </c>
      <c r="D1495" t="s">
        <v>330</v>
      </c>
      <c r="E1495" t="s">
        <v>565</v>
      </c>
    </row>
    <row r="1496">
      <c r="A1496" s="232" t="s">
        <v>3038</v>
      </c>
      <c r="B1496" t="s">
        <v>3039</v>
      </c>
      <c r="C1496">
        <v>72.0</v>
      </c>
      <c r="D1496" t="s">
        <v>330</v>
      </c>
      <c r="E1496" t="s">
        <v>565</v>
      </c>
    </row>
    <row r="1497">
      <c r="A1497" s="232" t="s">
        <v>3040</v>
      </c>
      <c r="B1497" t="s">
        <v>3041</v>
      </c>
      <c r="C1497">
        <v>61.0</v>
      </c>
      <c r="D1497" t="s">
        <v>330</v>
      </c>
      <c r="E1497" t="s">
        <v>311</v>
      </c>
    </row>
    <row r="1498">
      <c r="A1498" s="232">
        <v>37601.0</v>
      </c>
      <c r="B1498" t="s">
        <v>3042</v>
      </c>
      <c r="C1498">
        <v>0.0</v>
      </c>
      <c r="D1498" t="s">
        <v>330</v>
      </c>
      <c r="E1498" t="s">
        <v>311</v>
      </c>
    </row>
    <row r="1499">
      <c r="A1499" s="232">
        <v>37602.0</v>
      </c>
      <c r="B1499" t="s">
        <v>3043</v>
      </c>
      <c r="C1499">
        <v>3.0</v>
      </c>
      <c r="D1499" t="s">
        <v>330</v>
      </c>
      <c r="E1499" t="s">
        <v>311</v>
      </c>
    </row>
    <row r="1500">
      <c r="A1500" s="232">
        <v>37603.0</v>
      </c>
      <c r="B1500" t="s">
        <v>3044</v>
      </c>
      <c r="C1500">
        <v>425.0</v>
      </c>
      <c r="D1500" t="s">
        <v>330</v>
      </c>
      <c r="E1500" t="s">
        <v>311</v>
      </c>
    </row>
    <row r="1501">
      <c r="A1501" s="232">
        <v>37604.0</v>
      </c>
      <c r="B1501" t="s">
        <v>3045</v>
      </c>
      <c r="C1501">
        <v>485.0</v>
      </c>
      <c r="D1501" t="s">
        <v>330</v>
      </c>
      <c r="E1501" t="s">
        <v>311</v>
      </c>
    </row>
    <row r="1502">
      <c r="A1502" s="232" t="s">
        <v>3046</v>
      </c>
      <c r="B1502" t="s">
        <v>3047</v>
      </c>
      <c r="C1502">
        <v>0.0</v>
      </c>
      <c r="D1502" t="s">
        <v>330</v>
      </c>
      <c r="E1502" t="s">
        <v>565</v>
      </c>
    </row>
    <row r="1503">
      <c r="A1503" s="232" t="s">
        <v>3048</v>
      </c>
      <c r="B1503" t="s">
        <v>3049</v>
      </c>
      <c r="C1503">
        <v>0.0</v>
      </c>
      <c r="D1503" t="s">
        <v>310</v>
      </c>
      <c r="E1503" t="s">
        <v>311</v>
      </c>
    </row>
    <row r="1504">
      <c r="A1504" s="232" t="s">
        <v>3050</v>
      </c>
      <c r="B1504" t="s">
        <v>3051</v>
      </c>
      <c r="C1504">
        <v>0.0</v>
      </c>
      <c r="D1504" t="s">
        <v>310</v>
      </c>
      <c r="E1504" t="s">
        <v>311</v>
      </c>
    </row>
    <row r="1505">
      <c r="A1505" s="232">
        <v>45202.0</v>
      </c>
      <c r="B1505" t="s">
        <v>3052</v>
      </c>
      <c r="C1505">
        <v>0.0</v>
      </c>
      <c r="D1505" t="s">
        <v>310</v>
      </c>
      <c r="E1505" t="s">
        <v>311</v>
      </c>
    </row>
    <row r="1506">
      <c r="A1506" s="232">
        <v>45203.0</v>
      </c>
      <c r="B1506" t="s">
        <v>3053</v>
      </c>
      <c r="C1506">
        <v>0.0</v>
      </c>
      <c r="D1506" t="s">
        <v>310</v>
      </c>
      <c r="E1506" t="s">
        <v>311</v>
      </c>
    </row>
    <row r="1507">
      <c r="A1507" s="232">
        <v>45201.0</v>
      </c>
      <c r="B1507" t="s">
        <v>3054</v>
      </c>
      <c r="C1507">
        <v>0.0</v>
      </c>
      <c r="D1507" t="s">
        <v>310</v>
      </c>
      <c r="E1507" t="s">
        <v>311</v>
      </c>
    </row>
    <row r="1508">
      <c r="A1508" s="232">
        <v>90702.0</v>
      </c>
      <c r="B1508" t="s">
        <v>3055</v>
      </c>
      <c r="C1508">
        <v>0.0</v>
      </c>
      <c r="D1508" t="s">
        <v>310</v>
      </c>
      <c r="E1508" t="s">
        <v>311</v>
      </c>
    </row>
    <row r="1509">
      <c r="A1509" s="232">
        <v>90701.0</v>
      </c>
      <c r="B1509" t="s">
        <v>3056</v>
      </c>
      <c r="C1509">
        <v>0.0</v>
      </c>
      <c r="D1509" t="s">
        <v>310</v>
      </c>
      <c r="E1509" t="s">
        <v>311</v>
      </c>
    </row>
    <row r="1510">
      <c r="A1510" s="232">
        <v>31201.0</v>
      </c>
      <c r="B1510" t="s">
        <v>3057</v>
      </c>
      <c r="C1510">
        <v>0.0</v>
      </c>
      <c r="D1510" t="s">
        <v>310</v>
      </c>
      <c r="E1510" t="s">
        <v>311</v>
      </c>
    </row>
    <row r="1511">
      <c r="A1511" s="232">
        <v>30201.0</v>
      </c>
      <c r="B1511" t="s">
        <v>3058</v>
      </c>
      <c r="C1511">
        <v>0.0</v>
      </c>
      <c r="D1511" t="s">
        <v>310</v>
      </c>
      <c r="E1511" t="s">
        <v>311</v>
      </c>
    </row>
    <row r="1512">
      <c r="A1512" s="232">
        <v>30401.0</v>
      </c>
      <c r="B1512" t="s">
        <v>3059</v>
      </c>
      <c r="C1512">
        <v>0.0</v>
      </c>
      <c r="D1512" t="s">
        <v>310</v>
      </c>
      <c r="E1512" t="s">
        <v>311</v>
      </c>
    </row>
    <row r="1513">
      <c r="A1513" s="232">
        <v>30301.0</v>
      </c>
      <c r="B1513" t="s">
        <v>3060</v>
      </c>
      <c r="C1513">
        <v>0.0</v>
      </c>
      <c r="D1513" t="s">
        <v>310</v>
      </c>
      <c r="E1513" t="s">
        <v>311</v>
      </c>
    </row>
    <row r="1514">
      <c r="A1514" s="232">
        <v>30501.0</v>
      </c>
      <c r="B1514" t="s">
        <v>3061</v>
      </c>
      <c r="C1514">
        <v>0.0</v>
      </c>
      <c r="D1514" t="s">
        <v>310</v>
      </c>
      <c r="E1514" t="s">
        <v>311</v>
      </c>
    </row>
    <row r="1515">
      <c r="A1515" s="232" t="s">
        <v>3062</v>
      </c>
      <c r="B1515" t="s">
        <v>3063</v>
      </c>
      <c r="C1515">
        <v>0.0</v>
      </c>
      <c r="D1515" t="s">
        <v>310</v>
      </c>
      <c r="E1515" t="s">
        <v>311</v>
      </c>
    </row>
    <row r="1516">
      <c r="A1516" s="232">
        <v>90703.0</v>
      </c>
      <c r="B1516" t="s">
        <v>3064</v>
      </c>
      <c r="C1516">
        <v>0.0</v>
      </c>
      <c r="D1516" t="s">
        <v>310</v>
      </c>
      <c r="E1516" t="s">
        <v>311</v>
      </c>
    </row>
    <row r="1517">
      <c r="A1517" s="232" t="s">
        <v>3065</v>
      </c>
      <c r="B1517" t="s">
        <v>3066</v>
      </c>
      <c r="C1517">
        <v>300.0</v>
      </c>
      <c r="D1517" t="s">
        <v>330</v>
      </c>
      <c r="E1517" t="s">
        <v>565</v>
      </c>
    </row>
    <row r="1518">
      <c r="A1518" s="232" t="s">
        <v>3067</v>
      </c>
      <c r="B1518" t="s">
        <v>3068</v>
      </c>
      <c r="C1518">
        <v>664.0</v>
      </c>
      <c r="D1518" t="s">
        <v>330</v>
      </c>
      <c r="E1518" t="s">
        <v>565</v>
      </c>
    </row>
    <row r="1519">
      <c r="A1519" s="232" t="s">
        <v>3069</v>
      </c>
      <c r="B1519" t="s">
        <v>3070</v>
      </c>
      <c r="C1519">
        <v>270.0</v>
      </c>
      <c r="D1519" t="s">
        <v>330</v>
      </c>
      <c r="E1519" t="s">
        <v>565</v>
      </c>
    </row>
    <row r="1520">
      <c r="A1520" s="232" t="s">
        <v>3071</v>
      </c>
      <c r="B1520" t="s">
        <v>3072</v>
      </c>
      <c r="C1520">
        <v>0.0</v>
      </c>
      <c r="D1520" t="s">
        <v>310</v>
      </c>
      <c r="E1520" t="s">
        <v>311</v>
      </c>
    </row>
    <row r="1521">
      <c r="A1521" s="232" t="s">
        <v>3073</v>
      </c>
      <c r="B1521" t="s">
        <v>3074</v>
      </c>
      <c r="C1521">
        <v>185.0</v>
      </c>
      <c r="D1521" t="s">
        <v>330</v>
      </c>
      <c r="E1521" t="s">
        <v>552</v>
      </c>
    </row>
    <row r="1522">
      <c r="A1522" s="232" t="s">
        <v>3075</v>
      </c>
      <c r="B1522" t="s">
        <v>3076</v>
      </c>
      <c r="C1522">
        <v>0.0</v>
      </c>
      <c r="D1522" t="s">
        <v>310</v>
      </c>
      <c r="E1522" t="s">
        <v>311</v>
      </c>
    </row>
    <row r="1523">
      <c r="A1523" s="232" t="s">
        <v>3077</v>
      </c>
      <c r="B1523" t="s">
        <v>3078</v>
      </c>
      <c r="C1523">
        <v>0.0</v>
      </c>
      <c r="D1523" t="s">
        <v>310</v>
      </c>
      <c r="E1523" t="s">
        <v>311</v>
      </c>
    </row>
    <row r="1524">
      <c r="A1524" s="232" t="s">
        <v>3079</v>
      </c>
      <c r="B1524" t="s">
        <v>3080</v>
      </c>
      <c r="C1524">
        <v>0.0</v>
      </c>
      <c r="D1524" t="s">
        <v>310</v>
      </c>
      <c r="E1524" t="s">
        <v>311</v>
      </c>
    </row>
    <row r="1525">
      <c r="A1525" s="232" t="s">
        <v>3081</v>
      </c>
      <c r="B1525" t="s">
        <v>3082</v>
      </c>
      <c r="C1525">
        <v>0.0</v>
      </c>
      <c r="D1525" t="s">
        <v>310</v>
      </c>
      <c r="E1525" t="s">
        <v>311</v>
      </c>
    </row>
    <row r="1526">
      <c r="A1526" s="232" t="s">
        <v>3083</v>
      </c>
      <c r="B1526" t="s">
        <v>3084</v>
      </c>
      <c r="C1526">
        <v>0.0</v>
      </c>
      <c r="D1526" t="s">
        <v>310</v>
      </c>
      <c r="E1526" t="s">
        <v>311</v>
      </c>
    </row>
    <row r="1527">
      <c r="A1527" s="232" t="s">
        <v>3085</v>
      </c>
      <c r="B1527" t="s">
        <v>3086</v>
      </c>
      <c r="C1527">
        <v>0.0</v>
      </c>
      <c r="D1527" t="s">
        <v>310</v>
      </c>
      <c r="E1527" t="s">
        <v>311</v>
      </c>
    </row>
    <row r="1528">
      <c r="A1528" s="232" t="s">
        <v>3087</v>
      </c>
      <c r="B1528" t="s">
        <v>3088</v>
      </c>
      <c r="C1528">
        <v>0.0</v>
      </c>
      <c r="D1528" t="s">
        <v>310</v>
      </c>
      <c r="E1528" t="s">
        <v>311</v>
      </c>
    </row>
    <row r="1529">
      <c r="A1529" s="232" t="s">
        <v>3089</v>
      </c>
      <c r="B1529" t="s">
        <v>3090</v>
      </c>
      <c r="C1529">
        <v>0.0</v>
      </c>
      <c r="D1529" t="s">
        <v>330</v>
      </c>
      <c r="E1529" t="s">
        <v>311</v>
      </c>
    </row>
    <row r="1530">
      <c r="A1530" s="232" t="s">
        <v>3091</v>
      </c>
      <c r="B1530" t="s">
        <v>3092</v>
      </c>
      <c r="C1530">
        <v>310.0</v>
      </c>
      <c r="D1530" t="s">
        <v>330</v>
      </c>
      <c r="E1530" t="s">
        <v>311</v>
      </c>
    </row>
    <row r="1531">
      <c r="A1531" s="232" t="s">
        <v>3093</v>
      </c>
      <c r="B1531" t="s">
        <v>3094</v>
      </c>
      <c r="C1531">
        <v>0.0</v>
      </c>
      <c r="D1531" t="s">
        <v>330</v>
      </c>
      <c r="E1531" t="s">
        <v>311</v>
      </c>
    </row>
    <row r="1532">
      <c r="A1532" s="232" t="s">
        <v>3095</v>
      </c>
      <c r="B1532" t="s">
        <v>3096</v>
      </c>
      <c r="C1532">
        <v>242.0</v>
      </c>
      <c r="D1532" t="s">
        <v>330</v>
      </c>
      <c r="E1532" t="s">
        <v>311</v>
      </c>
    </row>
    <row r="1533">
      <c r="A1533" s="232" t="s">
        <v>3097</v>
      </c>
      <c r="B1533" t="s">
        <v>3098</v>
      </c>
      <c r="C1533">
        <v>70.0</v>
      </c>
      <c r="D1533" t="s">
        <v>330</v>
      </c>
      <c r="E1533" t="s">
        <v>311</v>
      </c>
    </row>
    <row r="1534">
      <c r="A1534" s="232" t="s">
        <v>3099</v>
      </c>
      <c r="B1534" t="s">
        <v>3100</v>
      </c>
      <c r="C1534">
        <v>227.0</v>
      </c>
      <c r="D1534" t="s">
        <v>330</v>
      </c>
      <c r="E1534" t="s">
        <v>311</v>
      </c>
    </row>
    <row r="1535">
      <c r="A1535" s="232" t="s">
        <v>3101</v>
      </c>
      <c r="B1535" t="s">
        <v>3102</v>
      </c>
      <c r="C1535">
        <v>0.0</v>
      </c>
      <c r="D1535" t="s">
        <v>330</v>
      </c>
      <c r="E1535" t="s">
        <v>311</v>
      </c>
    </row>
    <row r="1536">
      <c r="A1536" s="232" t="s">
        <v>3103</v>
      </c>
      <c r="B1536" t="s">
        <v>3104</v>
      </c>
      <c r="C1536">
        <v>3.0</v>
      </c>
      <c r="D1536" t="s">
        <v>330</v>
      </c>
      <c r="E1536" t="s">
        <v>565</v>
      </c>
    </row>
    <row r="1537">
      <c r="A1537" s="232" t="s">
        <v>3105</v>
      </c>
      <c r="B1537" t="s">
        <v>3106</v>
      </c>
      <c r="C1537">
        <v>5.0</v>
      </c>
      <c r="D1537" t="s">
        <v>330</v>
      </c>
      <c r="E1537" t="s">
        <v>565</v>
      </c>
    </row>
    <row r="1538">
      <c r="A1538" s="232" t="s">
        <v>3107</v>
      </c>
      <c r="B1538" t="s">
        <v>3108</v>
      </c>
      <c r="C1538">
        <v>0.0</v>
      </c>
      <c r="D1538" t="s">
        <v>310</v>
      </c>
      <c r="E1538" t="s">
        <v>311</v>
      </c>
    </row>
    <row r="1539">
      <c r="A1539" s="232" t="s">
        <v>3109</v>
      </c>
      <c r="B1539" t="s">
        <v>3110</v>
      </c>
      <c r="C1539">
        <v>0.0</v>
      </c>
      <c r="D1539" t="s">
        <v>310</v>
      </c>
      <c r="E1539" t="s">
        <v>311</v>
      </c>
    </row>
    <row r="1540">
      <c r="A1540" s="232" t="s">
        <v>3111</v>
      </c>
      <c r="B1540" t="s">
        <v>3112</v>
      </c>
      <c r="C1540">
        <v>0.0</v>
      </c>
      <c r="D1540" t="s">
        <v>330</v>
      </c>
      <c r="E1540" t="s">
        <v>311</v>
      </c>
    </row>
    <row r="1541">
      <c r="A1541" s="232" t="s">
        <v>3113</v>
      </c>
      <c r="B1541" t="s">
        <v>3114</v>
      </c>
      <c r="C1541">
        <v>0.0</v>
      </c>
      <c r="D1541" t="s">
        <v>330</v>
      </c>
      <c r="E1541" t="s">
        <v>311</v>
      </c>
    </row>
    <row r="1542">
      <c r="A1542" s="232" t="s">
        <v>3115</v>
      </c>
      <c r="B1542" t="s">
        <v>3116</v>
      </c>
      <c r="C1542">
        <v>0.0</v>
      </c>
      <c r="D1542" t="s">
        <v>310</v>
      </c>
      <c r="E1542" t="s">
        <v>311</v>
      </c>
    </row>
    <row r="1543">
      <c r="A1543" s="232" t="s">
        <v>3117</v>
      </c>
      <c r="B1543" t="s">
        <v>3118</v>
      </c>
      <c r="C1543">
        <v>0.0</v>
      </c>
      <c r="D1543" t="s">
        <v>310</v>
      </c>
      <c r="E1543" t="s">
        <v>311</v>
      </c>
    </row>
    <row r="1544">
      <c r="A1544" s="232" t="s">
        <v>3119</v>
      </c>
      <c r="B1544" t="s">
        <v>3120</v>
      </c>
      <c r="C1544">
        <v>71.0</v>
      </c>
      <c r="D1544" t="s">
        <v>330</v>
      </c>
      <c r="E1544" t="s">
        <v>311</v>
      </c>
    </row>
    <row r="1545">
      <c r="A1545" s="232" t="s">
        <v>3121</v>
      </c>
      <c r="B1545" t="s">
        <v>3122</v>
      </c>
      <c r="C1545">
        <v>2.0</v>
      </c>
      <c r="D1545" t="s">
        <v>330</v>
      </c>
      <c r="E1545" t="s">
        <v>311</v>
      </c>
    </row>
    <row r="1546">
      <c r="A1546" s="232">
        <v>34101.0</v>
      </c>
      <c r="B1546" t="s">
        <v>3123</v>
      </c>
      <c r="C1546">
        <v>1804.0</v>
      </c>
      <c r="D1546" t="s">
        <v>330</v>
      </c>
      <c r="E1546" t="s">
        <v>311</v>
      </c>
    </row>
    <row r="1547">
      <c r="A1547" s="232" t="s">
        <v>3124</v>
      </c>
      <c r="B1547" t="s">
        <v>3125</v>
      </c>
      <c r="C1547">
        <v>0.0</v>
      </c>
      <c r="D1547" t="s">
        <v>330</v>
      </c>
      <c r="E1547" t="s">
        <v>311</v>
      </c>
    </row>
    <row r="1548">
      <c r="A1548" s="232" t="s">
        <v>3126</v>
      </c>
      <c r="B1548" t="s">
        <v>3127</v>
      </c>
      <c r="C1548">
        <v>0.0</v>
      </c>
      <c r="D1548" t="s">
        <v>310</v>
      </c>
      <c r="E1548" t="s">
        <v>311</v>
      </c>
    </row>
    <row r="1549">
      <c r="A1549" s="232" t="s">
        <v>3128</v>
      </c>
      <c r="B1549" t="s">
        <v>3129</v>
      </c>
      <c r="C1549">
        <v>0.0</v>
      </c>
      <c r="D1549" t="s">
        <v>310</v>
      </c>
      <c r="E1549" t="s">
        <v>311</v>
      </c>
    </row>
    <row r="1550">
      <c r="A1550" s="232" t="s">
        <v>3130</v>
      </c>
      <c r="B1550" t="s">
        <v>3131</v>
      </c>
      <c r="C1550">
        <v>906.0</v>
      </c>
      <c r="D1550" t="s">
        <v>330</v>
      </c>
      <c r="E1550" t="s">
        <v>311</v>
      </c>
    </row>
    <row r="1551">
      <c r="A1551" s="232" t="s">
        <v>3132</v>
      </c>
      <c r="B1551" t="s">
        <v>3133</v>
      </c>
      <c r="C1551">
        <v>270.0</v>
      </c>
      <c r="D1551" t="s">
        <v>330</v>
      </c>
      <c r="E1551" t="s">
        <v>565</v>
      </c>
    </row>
    <row r="1552">
      <c r="A1552" s="232" t="s">
        <v>3134</v>
      </c>
      <c r="B1552" t="s">
        <v>3135</v>
      </c>
      <c r="C1552">
        <v>474.0</v>
      </c>
      <c r="D1552" t="s">
        <v>330</v>
      </c>
      <c r="E1552" t="s">
        <v>565</v>
      </c>
    </row>
    <row r="1553">
      <c r="A1553" s="232" t="s">
        <v>3136</v>
      </c>
      <c r="B1553" t="s">
        <v>3137</v>
      </c>
      <c r="C1553">
        <v>0.0</v>
      </c>
      <c r="D1553" t="s">
        <v>330</v>
      </c>
      <c r="E1553" t="s">
        <v>565</v>
      </c>
    </row>
    <row r="1554">
      <c r="A1554" s="232" t="s">
        <v>3138</v>
      </c>
      <c r="B1554" t="s">
        <v>3139</v>
      </c>
      <c r="C1554">
        <v>0.0</v>
      </c>
      <c r="D1554" t="s">
        <v>330</v>
      </c>
      <c r="E1554" t="s">
        <v>311</v>
      </c>
    </row>
    <row r="1555">
      <c r="A1555" s="232" t="s">
        <v>3140</v>
      </c>
      <c r="B1555" t="s">
        <v>3141</v>
      </c>
      <c r="C1555">
        <v>0.0</v>
      </c>
      <c r="D1555" t="s">
        <v>330</v>
      </c>
      <c r="E1555" t="s">
        <v>311</v>
      </c>
    </row>
    <row r="1556">
      <c r="A1556" s="232" t="s">
        <v>3142</v>
      </c>
      <c r="B1556" t="s">
        <v>3143</v>
      </c>
      <c r="C1556">
        <v>0.0</v>
      </c>
      <c r="D1556" t="s">
        <v>330</v>
      </c>
      <c r="E1556" t="s">
        <v>311</v>
      </c>
    </row>
    <row r="1557">
      <c r="A1557" s="232" t="s">
        <v>201</v>
      </c>
      <c r="B1557" t="s">
        <v>200</v>
      </c>
      <c r="C1557">
        <v>0.0</v>
      </c>
      <c r="D1557" t="s">
        <v>330</v>
      </c>
      <c r="E1557" t="s">
        <v>311</v>
      </c>
    </row>
    <row r="1558">
      <c r="A1558" s="232" t="s">
        <v>59</v>
      </c>
      <c r="B1558" t="s">
        <v>58</v>
      </c>
      <c r="C1558">
        <v>0.0</v>
      </c>
      <c r="D1558" t="s">
        <v>310</v>
      </c>
      <c r="E1558" t="s">
        <v>311</v>
      </c>
    </row>
    <row r="1559">
      <c r="A1559" s="232" t="s">
        <v>191</v>
      </c>
      <c r="B1559" t="s">
        <v>190</v>
      </c>
      <c r="C1559">
        <v>3.0</v>
      </c>
      <c r="D1559" t="s">
        <v>330</v>
      </c>
      <c r="E1559" t="s">
        <v>311</v>
      </c>
    </row>
    <row r="1560">
      <c r="A1560" s="232" t="s">
        <v>3144</v>
      </c>
      <c r="B1560" t="s">
        <v>3145</v>
      </c>
      <c r="C1560">
        <v>-1.0</v>
      </c>
      <c r="D1560" t="s">
        <v>330</v>
      </c>
      <c r="E1560" t="s">
        <v>311</v>
      </c>
    </row>
    <row r="1561">
      <c r="A1561" s="232" t="s">
        <v>3146</v>
      </c>
      <c r="B1561" t="s">
        <v>3147</v>
      </c>
      <c r="C1561">
        <v>2.0</v>
      </c>
      <c r="D1561" t="s">
        <v>330</v>
      </c>
      <c r="E1561" t="s">
        <v>311</v>
      </c>
    </row>
    <row r="1562">
      <c r="A1562" s="232" t="s">
        <v>3148</v>
      </c>
      <c r="B1562" t="s">
        <v>3149</v>
      </c>
      <c r="C1562">
        <v>2.0</v>
      </c>
      <c r="D1562" t="s">
        <v>330</v>
      </c>
      <c r="E1562" t="s">
        <v>311</v>
      </c>
    </row>
    <row r="1563">
      <c r="A1563" s="232" t="s">
        <v>3150</v>
      </c>
      <c r="B1563" t="s">
        <v>3151</v>
      </c>
      <c r="C1563">
        <v>0.0</v>
      </c>
      <c r="D1563" t="s">
        <v>330</v>
      </c>
      <c r="E1563" t="s">
        <v>311</v>
      </c>
    </row>
    <row r="1564">
      <c r="A1564" s="232" t="s">
        <v>3152</v>
      </c>
      <c r="B1564" t="s">
        <v>3153</v>
      </c>
      <c r="C1564">
        <v>0.0</v>
      </c>
      <c r="D1564" t="s">
        <v>330</v>
      </c>
      <c r="E1564" t="s">
        <v>311</v>
      </c>
    </row>
    <row r="1565">
      <c r="A1565" s="232" t="s">
        <v>3154</v>
      </c>
      <c r="B1565" t="s">
        <v>3155</v>
      </c>
      <c r="C1565">
        <v>0.0</v>
      </c>
      <c r="D1565" t="s">
        <v>330</v>
      </c>
      <c r="E1565" t="s">
        <v>311</v>
      </c>
    </row>
    <row r="1566">
      <c r="A1566" s="232" t="s">
        <v>3156</v>
      </c>
      <c r="B1566" t="s">
        <v>3157</v>
      </c>
      <c r="C1566">
        <v>-1.0</v>
      </c>
      <c r="D1566" t="s">
        <v>330</v>
      </c>
      <c r="E1566" t="s">
        <v>311</v>
      </c>
    </row>
    <row r="1567">
      <c r="A1567" s="232" t="s">
        <v>3158</v>
      </c>
      <c r="B1567" t="s">
        <v>3159</v>
      </c>
      <c r="C1567">
        <v>0.0</v>
      </c>
      <c r="D1567" t="s">
        <v>310</v>
      </c>
      <c r="E1567" t="s">
        <v>311</v>
      </c>
    </row>
    <row r="1568">
      <c r="A1568" s="232" t="s">
        <v>3160</v>
      </c>
      <c r="B1568" t="s">
        <v>3161</v>
      </c>
      <c r="C1568">
        <v>0.0</v>
      </c>
      <c r="D1568" t="s">
        <v>310</v>
      </c>
      <c r="E1568" t="s">
        <v>311</v>
      </c>
    </row>
    <row r="1569">
      <c r="A1569" s="232" t="s">
        <v>3162</v>
      </c>
      <c r="B1569" t="s">
        <v>3163</v>
      </c>
      <c r="C1569">
        <v>0.0</v>
      </c>
      <c r="D1569" t="s">
        <v>310</v>
      </c>
      <c r="E1569" t="s">
        <v>311</v>
      </c>
    </row>
    <row r="1570">
      <c r="A1570" s="232" t="s">
        <v>3164</v>
      </c>
      <c r="B1570" t="s">
        <v>3165</v>
      </c>
      <c r="C1570">
        <v>0.0</v>
      </c>
      <c r="D1570" t="s">
        <v>310</v>
      </c>
      <c r="E1570" t="s">
        <v>311</v>
      </c>
    </row>
    <row r="1571">
      <c r="A1571" s="232" t="s">
        <v>3166</v>
      </c>
      <c r="B1571" t="s">
        <v>3167</v>
      </c>
      <c r="C1571">
        <v>0.0</v>
      </c>
      <c r="D1571" t="s">
        <v>310</v>
      </c>
      <c r="E1571" t="s">
        <v>311</v>
      </c>
    </row>
    <row r="1572">
      <c r="A1572" s="232" t="s">
        <v>3168</v>
      </c>
      <c r="B1572" t="s">
        <v>3169</v>
      </c>
      <c r="C1572">
        <v>5.0</v>
      </c>
      <c r="D1572" t="s">
        <v>330</v>
      </c>
      <c r="E1572" t="s">
        <v>565</v>
      </c>
    </row>
    <row r="1573">
      <c r="A1573" s="232" t="s">
        <v>3170</v>
      </c>
      <c r="B1573" t="s">
        <v>3171</v>
      </c>
      <c r="C1573">
        <v>2.0</v>
      </c>
      <c r="D1573" t="s">
        <v>330</v>
      </c>
      <c r="E1573" t="s">
        <v>311</v>
      </c>
    </row>
    <row r="1574">
      <c r="A1574" s="232" t="s">
        <v>3172</v>
      </c>
      <c r="B1574" t="s">
        <v>3173</v>
      </c>
      <c r="C1574">
        <v>595.0</v>
      </c>
      <c r="D1574" t="s">
        <v>330</v>
      </c>
      <c r="E1574" t="s">
        <v>311</v>
      </c>
    </row>
    <row r="1575">
      <c r="A1575" s="232" t="s">
        <v>3174</v>
      </c>
      <c r="B1575" t="s">
        <v>3175</v>
      </c>
      <c r="C1575">
        <v>1081.0</v>
      </c>
      <c r="D1575" t="s">
        <v>330</v>
      </c>
      <c r="E1575" t="s">
        <v>311</v>
      </c>
    </row>
    <row r="1576">
      <c r="A1576" s="232" t="s">
        <v>3176</v>
      </c>
      <c r="B1576" t="s">
        <v>3177</v>
      </c>
      <c r="C1576">
        <v>1292.0</v>
      </c>
      <c r="D1576" t="s">
        <v>330</v>
      </c>
      <c r="E1576" t="s">
        <v>311</v>
      </c>
    </row>
    <row r="1577">
      <c r="A1577" s="232" t="s">
        <v>3178</v>
      </c>
      <c r="B1577" t="s">
        <v>3179</v>
      </c>
      <c r="C1577">
        <v>648.0</v>
      </c>
      <c r="D1577" t="s">
        <v>330</v>
      </c>
      <c r="E1577" t="s">
        <v>311</v>
      </c>
    </row>
    <row r="1578">
      <c r="A1578" s="232" t="s">
        <v>3180</v>
      </c>
      <c r="B1578" t="s">
        <v>3181</v>
      </c>
      <c r="C1578">
        <v>836.0</v>
      </c>
      <c r="D1578" t="s">
        <v>330</v>
      </c>
      <c r="E1578" t="s">
        <v>311</v>
      </c>
    </row>
    <row r="1579">
      <c r="A1579" s="232" t="s">
        <v>3182</v>
      </c>
      <c r="B1579" t="s">
        <v>3183</v>
      </c>
      <c r="C1579">
        <v>1062.0</v>
      </c>
      <c r="D1579" t="s">
        <v>330</v>
      </c>
      <c r="E1579" t="s">
        <v>311</v>
      </c>
    </row>
    <row r="1580">
      <c r="A1580" s="232" t="s">
        <v>3184</v>
      </c>
      <c r="B1580" t="s">
        <v>3185</v>
      </c>
      <c r="C1580">
        <v>951.0</v>
      </c>
      <c r="D1580" t="s">
        <v>330</v>
      </c>
      <c r="E1580" t="s">
        <v>311</v>
      </c>
    </row>
    <row r="1581">
      <c r="A1581" s="232" t="s">
        <v>3186</v>
      </c>
      <c r="B1581" t="s">
        <v>3187</v>
      </c>
      <c r="C1581">
        <v>1281.0</v>
      </c>
      <c r="D1581" t="s">
        <v>330</v>
      </c>
      <c r="E1581" t="s">
        <v>311</v>
      </c>
    </row>
    <row r="1582">
      <c r="A1582" s="232" t="s">
        <v>3188</v>
      </c>
      <c r="B1582" t="s">
        <v>3189</v>
      </c>
      <c r="C1582">
        <v>1458.0</v>
      </c>
      <c r="D1582" t="s">
        <v>330</v>
      </c>
      <c r="E1582" t="s">
        <v>311</v>
      </c>
    </row>
    <row r="1583">
      <c r="A1583" s="232" t="s">
        <v>3190</v>
      </c>
      <c r="B1583" t="s">
        <v>3191</v>
      </c>
      <c r="C1583">
        <v>0.0</v>
      </c>
      <c r="D1583" t="s">
        <v>330</v>
      </c>
      <c r="E1583" t="s">
        <v>565</v>
      </c>
    </row>
    <row r="1584">
      <c r="A1584" s="232" t="s">
        <v>3192</v>
      </c>
      <c r="B1584" t="s">
        <v>3193</v>
      </c>
      <c r="C1584">
        <v>95.0</v>
      </c>
      <c r="D1584" t="s">
        <v>330</v>
      </c>
      <c r="E1584" t="s">
        <v>311</v>
      </c>
    </row>
    <row r="1585">
      <c r="A1585" s="232" t="s">
        <v>3194</v>
      </c>
      <c r="B1585" t="s">
        <v>3195</v>
      </c>
      <c r="C1585">
        <v>812.0</v>
      </c>
      <c r="D1585" t="s">
        <v>330</v>
      </c>
      <c r="E1585" t="s">
        <v>311</v>
      </c>
    </row>
    <row r="1586">
      <c r="A1586" s="232" t="s">
        <v>3196</v>
      </c>
      <c r="B1586" t="s">
        <v>3197</v>
      </c>
      <c r="C1586">
        <v>0.0</v>
      </c>
      <c r="D1586" t="s">
        <v>330</v>
      </c>
      <c r="E1586" t="s">
        <v>311</v>
      </c>
    </row>
    <row r="1587">
      <c r="A1587" s="232" t="s">
        <v>3198</v>
      </c>
      <c r="B1587" t="s">
        <v>3199</v>
      </c>
      <c r="C1587">
        <v>0.0</v>
      </c>
      <c r="D1587" t="s">
        <v>330</v>
      </c>
      <c r="E1587" t="s">
        <v>311</v>
      </c>
    </row>
    <row r="1588">
      <c r="A1588" s="232" t="s">
        <v>3200</v>
      </c>
      <c r="B1588" t="s">
        <v>3201</v>
      </c>
      <c r="C1588">
        <v>2.0</v>
      </c>
      <c r="D1588" t="s">
        <v>330</v>
      </c>
      <c r="E1588" t="s">
        <v>311</v>
      </c>
    </row>
    <row r="1589">
      <c r="A1589" s="232" t="s">
        <v>3202</v>
      </c>
      <c r="B1589" t="s">
        <v>3203</v>
      </c>
      <c r="C1589">
        <v>1.0</v>
      </c>
      <c r="D1589" t="s">
        <v>330</v>
      </c>
      <c r="E1589" t="s">
        <v>311</v>
      </c>
    </row>
    <row r="1590">
      <c r="A1590" s="232" t="s">
        <v>3204</v>
      </c>
      <c r="B1590" t="s">
        <v>3205</v>
      </c>
      <c r="C1590">
        <v>0.0</v>
      </c>
      <c r="D1590" t="s">
        <v>330</v>
      </c>
      <c r="E1590" t="s">
        <v>311</v>
      </c>
    </row>
    <row r="1591">
      <c r="A1591" s="232" t="s">
        <v>3206</v>
      </c>
      <c r="B1591" t="s">
        <v>3207</v>
      </c>
      <c r="C1591">
        <v>-1.0</v>
      </c>
      <c r="D1591" t="s">
        <v>330</v>
      </c>
      <c r="E1591" t="s">
        <v>311</v>
      </c>
    </row>
    <row r="1592">
      <c r="A1592" s="232" t="s">
        <v>3208</v>
      </c>
      <c r="B1592" t="s">
        <v>3209</v>
      </c>
      <c r="C1592">
        <v>1.0</v>
      </c>
      <c r="D1592" t="s">
        <v>330</v>
      </c>
      <c r="E1592" t="s">
        <v>311</v>
      </c>
    </row>
    <row r="1593">
      <c r="A1593" s="232" t="s">
        <v>3210</v>
      </c>
      <c r="B1593" t="s">
        <v>3211</v>
      </c>
      <c r="C1593">
        <v>0.0</v>
      </c>
      <c r="D1593" t="s">
        <v>330</v>
      </c>
      <c r="E1593" t="s">
        <v>311</v>
      </c>
    </row>
    <row r="1594">
      <c r="A1594" s="232" t="s">
        <v>3212</v>
      </c>
      <c r="B1594" t="s">
        <v>3213</v>
      </c>
      <c r="C1594">
        <v>1.0</v>
      </c>
      <c r="D1594" t="s">
        <v>330</v>
      </c>
      <c r="E1594" t="s">
        <v>311</v>
      </c>
    </row>
    <row r="1595">
      <c r="A1595" s="232" t="s">
        <v>3214</v>
      </c>
      <c r="B1595" t="s">
        <v>3215</v>
      </c>
      <c r="C1595">
        <v>1.0</v>
      </c>
      <c r="D1595" t="s">
        <v>330</v>
      </c>
      <c r="E1595" t="s">
        <v>311</v>
      </c>
    </row>
    <row r="1596">
      <c r="A1596" s="232" t="s">
        <v>3216</v>
      </c>
      <c r="B1596" t="s">
        <v>3217</v>
      </c>
      <c r="C1596">
        <v>201.0</v>
      </c>
      <c r="D1596" t="s">
        <v>330</v>
      </c>
      <c r="E1596" t="s">
        <v>311</v>
      </c>
    </row>
    <row r="1597">
      <c r="A1597" s="232" t="s">
        <v>3218</v>
      </c>
      <c r="B1597" t="s">
        <v>3219</v>
      </c>
      <c r="C1597">
        <v>277.0</v>
      </c>
      <c r="D1597" t="s">
        <v>330</v>
      </c>
      <c r="E1597" t="s">
        <v>311</v>
      </c>
    </row>
    <row r="1598">
      <c r="A1598" s="232" t="s">
        <v>3220</v>
      </c>
      <c r="B1598" t="s">
        <v>3221</v>
      </c>
      <c r="C1598">
        <v>280.0</v>
      </c>
      <c r="D1598" t="s">
        <v>330</v>
      </c>
      <c r="E1598" t="s">
        <v>311</v>
      </c>
    </row>
    <row r="1599">
      <c r="A1599" s="232" t="s">
        <v>3222</v>
      </c>
      <c r="B1599" t="s">
        <v>3223</v>
      </c>
      <c r="C1599">
        <v>239.0</v>
      </c>
      <c r="D1599" t="s">
        <v>330</v>
      </c>
      <c r="E1599" t="s">
        <v>311</v>
      </c>
    </row>
    <row r="1600">
      <c r="A1600" s="232" t="s">
        <v>3224</v>
      </c>
      <c r="B1600" t="s">
        <v>3225</v>
      </c>
      <c r="C1600">
        <v>0.0</v>
      </c>
      <c r="D1600" t="s">
        <v>310</v>
      </c>
      <c r="E1600" t="s">
        <v>311</v>
      </c>
    </row>
    <row r="1601">
      <c r="A1601" s="232" t="s">
        <v>3226</v>
      </c>
      <c r="B1601" t="s">
        <v>3227</v>
      </c>
      <c r="C1601">
        <v>0.0</v>
      </c>
      <c r="D1601" t="s">
        <v>310</v>
      </c>
      <c r="E1601" t="s">
        <v>311</v>
      </c>
    </row>
    <row r="1602">
      <c r="A1602" s="232" t="s">
        <v>3228</v>
      </c>
      <c r="B1602" t="s">
        <v>3229</v>
      </c>
      <c r="C1602">
        <v>0.0</v>
      </c>
      <c r="D1602" t="s">
        <v>310</v>
      </c>
      <c r="E1602" t="s">
        <v>311</v>
      </c>
    </row>
    <row r="1603">
      <c r="A1603" s="232" t="s">
        <v>3230</v>
      </c>
      <c r="B1603" t="s">
        <v>3231</v>
      </c>
      <c r="C1603">
        <v>4.0</v>
      </c>
      <c r="D1603" t="s">
        <v>330</v>
      </c>
      <c r="E1603" t="s">
        <v>311</v>
      </c>
    </row>
    <row r="1604">
      <c r="A1604" s="232" t="s">
        <v>3232</v>
      </c>
      <c r="B1604" t="s">
        <v>3233</v>
      </c>
      <c r="C1604">
        <v>0.0</v>
      </c>
      <c r="D1604" t="s">
        <v>330</v>
      </c>
      <c r="E1604" t="s">
        <v>311</v>
      </c>
    </row>
    <row r="1605">
      <c r="A1605" s="232" t="s">
        <v>3234</v>
      </c>
      <c r="B1605" t="s">
        <v>3235</v>
      </c>
      <c r="C1605">
        <v>0.0</v>
      </c>
      <c r="D1605" t="s">
        <v>310</v>
      </c>
      <c r="E1605" t="s">
        <v>311</v>
      </c>
    </row>
    <row r="1606">
      <c r="A1606" s="232" t="s">
        <v>3236</v>
      </c>
      <c r="B1606" t="s">
        <v>3237</v>
      </c>
      <c r="C1606">
        <v>180.0</v>
      </c>
      <c r="D1606" t="s">
        <v>330</v>
      </c>
      <c r="E1606" t="s">
        <v>565</v>
      </c>
    </row>
    <row r="1607">
      <c r="A1607" s="232" t="s">
        <v>3238</v>
      </c>
      <c r="B1607" t="s">
        <v>3239</v>
      </c>
      <c r="C1607">
        <v>451.0</v>
      </c>
      <c r="D1607" t="s">
        <v>330</v>
      </c>
      <c r="E1607" t="s">
        <v>565</v>
      </c>
    </row>
    <row r="1608">
      <c r="A1608" s="232" t="s">
        <v>3240</v>
      </c>
      <c r="B1608" t="s">
        <v>3241</v>
      </c>
      <c r="C1608">
        <v>0.0</v>
      </c>
      <c r="D1608" t="s">
        <v>330</v>
      </c>
      <c r="E1608" t="s">
        <v>565</v>
      </c>
    </row>
    <row r="1609">
      <c r="A1609" s="232" t="s">
        <v>3242</v>
      </c>
      <c r="B1609" t="s">
        <v>3243</v>
      </c>
      <c r="C1609">
        <v>0.0</v>
      </c>
      <c r="D1609" t="s">
        <v>310</v>
      </c>
      <c r="E1609" t="s">
        <v>311</v>
      </c>
    </row>
    <row r="1610">
      <c r="A1610" s="232" t="s">
        <v>3244</v>
      </c>
      <c r="B1610" t="s">
        <v>3245</v>
      </c>
      <c r="C1610">
        <v>0.0</v>
      </c>
      <c r="D1610" t="s">
        <v>310</v>
      </c>
      <c r="E1610" t="s">
        <v>311</v>
      </c>
    </row>
    <row r="1611">
      <c r="A1611" s="232" t="s">
        <v>3246</v>
      </c>
      <c r="B1611" t="s">
        <v>3247</v>
      </c>
      <c r="C1611">
        <v>0.0</v>
      </c>
      <c r="D1611" t="s">
        <v>310</v>
      </c>
      <c r="E1611" t="s">
        <v>311</v>
      </c>
    </row>
    <row r="1612">
      <c r="A1612" s="232">
        <v>92401.0</v>
      </c>
      <c r="B1612" t="s">
        <v>3248</v>
      </c>
      <c r="C1612">
        <v>0.0</v>
      </c>
      <c r="D1612" t="s">
        <v>310</v>
      </c>
      <c r="E1612" t="s">
        <v>311</v>
      </c>
    </row>
    <row r="1613">
      <c r="A1613" s="232">
        <v>92402.0</v>
      </c>
      <c r="B1613" t="s">
        <v>3249</v>
      </c>
      <c r="C1613">
        <v>0.0</v>
      </c>
      <c r="D1613" t="s">
        <v>310</v>
      </c>
      <c r="E1613" t="s">
        <v>311</v>
      </c>
    </row>
    <row r="1614">
      <c r="A1614" s="232">
        <v>92403.0</v>
      </c>
      <c r="B1614" t="s">
        <v>3250</v>
      </c>
      <c r="C1614">
        <v>0.0</v>
      </c>
      <c r="D1614" t="s">
        <v>310</v>
      </c>
      <c r="E1614" t="s">
        <v>311</v>
      </c>
    </row>
    <row r="1615">
      <c r="A1615" s="232">
        <v>92404.0</v>
      </c>
      <c r="B1615" t="s">
        <v>3251</v>
      </c>
      <c r="C1615">
        <v>0.0</v>
      </c>
      <c r="D1615" t="s">
        <v>310</v>
      </c>
      <c r="E1615" t="s">
        <v>311</v>
      </c>
    </row>
    <row r="1616">
      <c r="A1616" s="232">
        <v>92405.0</v>
      </c>
      <c r="B1616" t="s">
        <v>3252</v>
      </c>
      <c r="C1616">
        <v>0.0</v>
      </c>
      <c r="D1616" t="s">
        <v>310</v>
      </c>
      <c r="E1616" t="s">
        <v>311</v>
      </c>
    </row>
    <row r="1617">
      <c r="A1617" s="232">
        <v>92406.0</v>
      </c>
      <c r="B1617" t="s">
        <v>3253</v>
      </c>
      <c r="C1617">
        <v>0.0</v>
      </c>
      <c r="D1617" t="s">
        <v>310</v>
      </c>
      <c r="E1617" t="s">
        <v>311</v>
      </c>
    </row>
    <row r="1618">
      <c r="A1618" s="232">
        <v>92407.0</v>
      </c>
      <c r="B1618" t="s">
        <v>3254</v>
      </c>
      <c r="C1618">
        <v>0.0</v>
      </c>
      <c r="D1618" t="s">
        <v>310</v>
      </c>
      <c r="E1618" t="s">
        <v>311</v>
      </c>
    </row>
    <row r="1619">
      <c r="A1619" s="232">
        <v>92408.0</v>
      </c>
      <c r="B1619" t="s">
        <v>3255</v>
      </c>
      <c r="C1619">
        <v>0.0</v>
      </c>
      <c r="D1619" t="s">
        <v>310</v>
      </c>
      <c r="E1619" t="s">
        <v>311</v>
      </c>
    </row>
    <row r="1620">
      <c r="A1620" s="232">
        <v>92409.0</v>
      </c>
      <c r="B1620" t="s">
        <v>3256</v>
      </c>
      <c r="C1620">
        <v>0.0</v>
      </c>
      <c r="D1620" t="s">
        <v>310</v>
      </c>
      <c r="E1620" t="s">
        <v>311</v>
      </c>
    </row>
    <row r="1621">
      <c r="A1621" s="232">
        <v>92410.0</v>
      </c>
      <c r="B1621" t="s">
        <v>3257</v>
      </c>
      <c r="C1621">
        <v>0.0</v>
      </c>
      <c r="D1621" t="s">
        <v>310</v>
      </c>
      <c r="E1621" t="s">
        <v>311</v>
      </c>
    </row>
    <row r="1622">
      <c r="A1622" s="232">
        <v>92411.0</v>
      </c>
      <c r="B1622" t="s">
        <v>3258</v>
      </c>
      <c r="C1622">
        <v>0.0</v>
      </c>
      <c r="D1622" t="s">
        <v>310</v>
      </c>
      <c r="E1622" t="s">
        <v>311</v>
      </c>
    </row>
    <row r="1623">
      <c r="A1623" s="232">
        <v>92412.0</v>
      </c>
      <c r="B1623" t="s">
        <v>3259</v>
      </c>
      <c r="C1623">
        <v>0.0</v>
      </c>
      <c r="D1623" t="s">
        <v>310</v>
      </c>
      <c r="E1623" t="s">
        <v>311</v>
      </c>
    </row>
    <row r="1624">
      <c r="A1624" s="232" t="s">
        <v>3260</v>
      </c>
      <c r="B1624" t="s">
        <v>3261</v>
      </c>
      <c r="C1624">
        <v>0.0</v>
      </c>
      <c r="D1624" t="s">
        <v>310</v>
      </c>
      <c r="E1624" t="s">
        <v>311</v>
      </c>
    </row>
    <row r="1625">
      <c r="A1625" s="232" t="s">
        <v>3262</v>
      </c>
      <c r="B1625" t="s">
        <v>3263</v>
      </c>
      <c r="C1625">
        <v>0.0</v>
      </c>
      <c r="D1625" t="s">
        <v>310</v>
      </c>
      <c r="E1625" t="s">
        <v>311</v>
      </c>
    </row>
    <row r="1626">
      <c r="A1626" s="232" t="s">
        <v>3264</v>
      </c>
      <c r="B1626" t="s">
        <v>3265</v>
      </c>
      <c r="C1626">
        <v>0.0</v>
      </c>
      <c r="D1626" t="s">
        <v>310</v>
      </c>
      <c r="E1626" t="s">
        <v>311</v>
      </c>
    </row>
    <row r="1627">
      <c r="A1627" s="232" t="s">
        <v>3266</v>
      </c>
      <c r="B1627" t="s">
        <v>3267</v>
      </c>
      <c r="C1627">
        <v>0.0</v>
      </c>
      <c r="D1627" t="s">
        <v>310</v>
      </c>
      <c r="E1627" t="s">
        <v>311</v>
      </c>
    </row>
    <row r="1628">
      <c r="A1628" s="232" t="s">
        <v>3268</v>
      </c>
      <c r="B1628" t="s">
        <v>3269</v>
      </c>
      <c r="C1628">
        <v>0.0</v>
      </c>
      <c r="D1628" t="s">
        <v>310</v>
      </c>
      <c r="E1628" t="s">
        <v>311</v>
      </c>
    </row>
    <row r="1629">
      <c r="A1629" s="232" t="s">
        <v>3270</v>
      </c>
      <c r="B1629" t="s">
        <v>3271</v>
      </c>
      <c r="C1629">
        <v>0.0</v>
      </c>
      <c r="D1629" t="s">
        <v>310</v>
      </c>
      <c r="E1629" t="s">
        <v>311</v>
      </c>
    </row>
    <row r="1630">
      <c r="A1630" s="232" t="s">
        <v>3272</v>
      </c>
      <c r="B1630" t="s">
        <v>3273</v>
      </c>
      <c r="C1630">
        <v>0.0</v>
      </c>
      <c r="D1630" t="s">
        <v>310</v>
      </c>
      <c r="E1630" t="s">
        <v>311</v>
      </c>
    </row>
    <row r="1631">
      <c r="A1631" s="232" t="s">
        <v>3274</v>
      </c>
      <c r="B1631" t="s">
        <v>3275</v>
      </c>
      <c r="C1631">
        <v>0.0</v>
      </c>
      <c r="D1631" t="s">
        <v>310</v>
      </c>
      <c r="E1631" t="s">
        <v>311</v>
      </c>
    </row>
    <row r="1632">
      <c r="A1632" s="232" t="s">
        <v>3276</v>
      </c>
      <c r="B1632" t="s">
        <v>3277</v>
      </c>
      <c r="C1632">
        <v>0.0</v>
      </c>
      <c r="D1632" t="s">
        <v>310</v>
      </c>
      <c r="E1632" t="s">
        <v>311</v>
      </c>
    </row>
    <row r="1633">
      <c r="A1633" s="232" t="s">
        <v>3278</v>
      </c>
      <c r="B1633" t="s">
        <v>3279</v>
      </c>
      <c r="C1633">
        <v>0.0</v>
      </c>
      <c r="D1633" t="s">
        <v>310</v>
      </c>
      <c r="E1633" t="s">
        <v>311</v>
      </c>
    </row>
    <row r="1634">
      <c r="A1634" s="232" t="s">
        <v>3280</v>
      </c>
      <c r="B1634" t="s">
        <v>3281</v>
      </c>
      <c r="C1634">
        <v>0.0</v>
      </c>
      <c r="D1634" t="s">
        <v>310</v>
      </c>
      <c r="E1634" t="s">
        <v>311</v>
      </c>
    </row>
    <row r="1635">
      <c r="A1635" s="232" t="s">
        <v>3282</v>
      </c>
      <c r="B1635" t="s">
        <v>3283</v>
      </c>
      <c r="C1635">
        <v>0.0</v>
      </c>
      <c r="D1635" t="s">
        <v>310</v>
      </c>
      <c r="E1635" t="s">
        <v>311</v>
      </c>
    </row>
    <row r="1636">
      <c r="A1636" s="232" t="s">
        <v>3284</v>
      </c>
      <c r="B1636" t="s">
        <v>3285</v>
      </c>
      <c r="C1636">
        <v>0.0</v>
      </c>
      <c r="D1636" t="s">
        <v>310</v>
      </c>
      <c r="E1636" t="s">
        <v>311</v>
      </c>
    </row>
    <row r="1637">
      <c r="A1637" s="232" t="s">
        <v>3286</v>
      </c>
      <c r="B1637" t="s">
        <v>3287</v>
      </c>
      <c r="C1637">
        <v>0.0</v>
      </c>
      <c r="D1637" t="s">
        <v>310</v>
      </c>
      <c r="E1637" t="s">
        <v>311</v>
      </c>
    </row>
    <row r="1638">
      <c r="A1638" s="232" t="s">
        <v>3288</v>
      </c>
      <c r="B1638" t="s">
        <v>3289</v>
      </c>
      <c r="C1638">
        <v>0.0</v>
      </c>
      <c r="D1638" t="s">
        <v>310</v>
      </c>
      <c r="E1638" t="s">
        <v>311</v>
      </c>
    </row>
    <row r="1639">
      <c r="A1639" s="232" t="s">
        <v>3290</v>
      </c>
      <c r="B1639" t="s">
        <v>3291</v>
      </c>
      <c r="C1639">
        <v>0.0</v>
      </c>
      <c r="D1639" t="s">
        <v>310</v>
      </c>
      <c r="E1639" t="s">
        <v>311</v>
      </c>
    </row>
    <row r="1640">
      <c r="A1640" s="232" t="s">
        <v>3292</v>
      </c>
      <c r="B1640" t="s">
        <v>3293</v>
      </c>
      <c r="C1640">
        <v>0.0</v>
      </c>
      <c r="D1640" t="s">
        <v>310</v>
      </c>
      <c r="E1640" t="s">
        <v>311</v>
      </c>
    </row>
    <row r="1641">
      <c r="A1641" s="232" t="s">
        <v>3294</v>
      </c>
      <c r="B1641" t="s">
        <v>3295</v>
      </c>
      <c r="C1641">
        <v>0.0</v>
      </c>
      <c r="D1641" t="s">
        <v>310</v>
      </c>
      <c r="E1641" t="s">
        <v>311</v>
      </c>
    </row>
    <row r="1642">
      <c r="A1642" s="232" t="s">
        <v>3296</v>
      </c>
      <c r="B1642" t="s">
        <v>3297</v>
      </c>
      <c r="C1642">
        <v>0.0</v>
      </c>
      <c r="D1642" t="s">
        <v>310</v>
      </c>
      <c r="E1642" t="s">
        <v>311</v>
      </c>
    </row>
    <row r="1643">
      <c r="A1643" s="232" t="s">
        <v>3298</v>
      </c>
      <c r="B1643" t="s">
        <v>3299</v>
      </c>
      <c r="C1643">
        <v>0.0</v>
      </c>
      <c r="D1643" t="s">
        <v>310</v>
      </c>
      <c r="E1643" t="s">
        <v>311</v>
      </c>
    </row>
    <row r="1644">
      <c r="A1644" s="232" t="s">
        <v>3300</v>
      </c>
      <c r="B1644" t="s">
        <v>3301</v>
      </c>
      <c r="C1644">
        <v>0.0</v>
      </c>
      <c r="D1644" t="s">
        <v>310</v>
      </c>
      <c r="E1644" t="s">
        <v>311</v>
      </c>
    </row>
    <row r="1645">
      <c r="A1645" s="232" t="s">
        <v>3302</v>
      </c>
      <c r="B1645" t="s">
        <v>3303</v>
      </c>
      <c r="C1645">
        <v>0.0</v>
      </c>
      <c r="D1645" t="s">
        <v>310</v>
      </c>
      <c r="E1645" t="s">
        <v>311</v>
      </c>
    </row>
    <row r="1646">
      <c r="A1646" s="232" t="s">
        <v>3304</v>
      </c>
      <c r="B1646" t="s">
        <v>3305</v>
      </c>
      <c r="C1646">
        <v>0.0</v>
      </c>
      <c r="D1646" t="s">
        <v>310</v>
      </c>
      <c r="E1646" t="s">
        <v>311</v>
      </c>
    </row>
    <row r="1647">
      <c r="A1647" s="232" t="s">
        <v>3306</v>
      </c>
      <c r="B1647" t="s">
        <v>3307</v>
      </c>
      <c r="C1647">
        <v>0.0</v>
      </c>
      <c r="D1647" t="s">
        <v>310</v>
      </c>
      <c r="E1647" t="s">
        <v>311</v>
      </c>
    </row>
    <row r="1648">
      <c r="A1648" s="232" t="s">
        <v>3308</v>
      </c>
      <c r="B1648" t="s">
        <v>3309</v>
      </c>
      <c r="C1648">
        <v>0.0</v>
      </c>
      <c r="D1648" t="s">
        <v>310</v>
      </c>
      <c r="E1648" t="s">
        <v>311</v>
      </c>
    </row>
    <row r="1649">
      <c r="A1649" s="232" t="s">
        <v>3310</v>
      </c>
      <c r="B1649" t="s">
        <v>3311</v>
      </c>
      <c r="C1649">
        <v>0.0</v>
      </c>
      <c r="D1649" t="s">
        <v>310</v>
      </c>
      <c r="E1649" t="s">
        <v>311</v>
      </c>
    </row>
    <row r="1650">
      <c r="A1650" s="232" t="s">
        <v>3312</v>
      </c>
      <c r="B1650" t="s">
        <v>3313</v>
      </c>
      <c r="C1650">
        <v>0.0</v>
      </c>
      <c r="D1650" t="s">
        <v>310</v>
      </c>
      <c r="E1650" t="s">
        <v>311</v>
      </c>
    </row>
    <row r="1651">
      <c r="A1651" s="232" t="s">
        <v>3314</v>
      </c>
      <c r="B1651" t="s">
        <v>3315</v>
      </c>
      <c r="C1651">
        <v>-5.0</v>
      </c>
      <c r="D1651" t="s">
        <v>330</v>
      </c>
      <c r="E1651" t="s">
        <v>565</v>
      </c>
    </row>
    <row r="1652">
      <c r="A1652" s="232" t="s">
        <v>3316</v>
      </c>
      <c r="B1652" t="s">
        <v>3317</v>
      </c>
      <c r="C1652">
        <v>0.0</v>
      </c>
      <c r="D1652" t="s">
        <v>310</v>
      </c>
      <c r="E1652" t="s">
        <v>311</v>
      </c>
    </row>
    <row r="1653">
      <c r="A1653" s="232" t="s">
        <v>3318</v>
      </c>
      <c r="B1653" t="s">
        <v>3319</v>
      </c>
      <c r="C1653">
        <v>0.0</v>
      </c>
      <c r="D1653" t="s">
        <v>310</v>
      </c>
      <c r="E1653" t="s">
        <v>311</v>
      </c>
    </row>
    <row r="1654">
      <c r="A1654" s="232" t="s">
        <v>3320</v>
      </c>
      <c r="B1654" t="s">
        <v>3321</v>
      </c>
      <c r="C1654">
        <v>0.0</v>
      </c>
      <c r="D1654" t="s">
        <v>310</v>
      </c>
      <c r="E1654" t="s">
        <v>311</v>
      </c>
    </row>
    <row r="1655">
      <c r="A1655" s="232" t="s">
        <v>3322</v>
      </c>
      <c r="B1655" t="s">
        <v>3323</v>
      </c>
      <c r="C1655">
        <v>0.0</v>
      </c>
      <c r="D1655" t="s">
        <v>310</v>
      </c>
      <c r="E1655" t="s">
        <v>311</v>
      </c>
    </row>
    <row r="1656">
      <c r="A1656" s="232" t="s">
        <v>3324</v>
      </c>
      <c r="B1656" t="s">
        <v>3325</v>
      </c>
      <c r="C1656">
        <v>0.0</v>
      </c>
      <c r="D1656" t="s">
        <v>310</v>
      </c>
      <c r="E1656" t="s">
        <v>311</v>
      </c>
    </row>
    <row r="1657">
      <c r="A1657" s="232" t="s">
        <v>3326</v>
      </c>
      <c r="B1657" t="s">
        <v>3327</v>
      </c>
      <c r="C1657">
        <v>0.0</v>
      </c>
      <c r="D1657" t="s">
        <v>310</v>
      </c>
      <c r="E1657" t="s">
        <v>311</v>
      </c>
    </row>
    <row r="1658">
      <c r="A1658" s="232" t="s">
        <v>3328</v>
      </c>
      <c r="B1658" t="s">
        <v>3329</v>
      </c>
      <c r="C1658">
        <v>84.0</v>
      </c>
      <c r="D1658" t="s">
        <v>330</v>
      </c>
      <c r="E1658" t="s">
        <v>311</v>
      </c>
    </row>
    <row r="1659">
      <c r="A1659" s="232" t="s">
        <v>3330</v>
      </c>
      <c r="B1659" t="s">
        <v>3331</v>
      </c>
      <c r="C1659">
        <v>0.0</v>
      </c>
      <c r="D1659" t="s">
        <v>310</v>
      </c>
      <c r="E1659" t="s">
        <v>311</v>
      </c>
    </row>
    <row r="1660">
      <c r="A1660" s="232" t="s">
        <v>3332</v>
      </c>
      <c r="B1660" t="s">
        <v>3333</v>
      </c>
      <c r="C1660">
        <v>0.0</v>
      </c>
      <c r="D1660" t="s">
        <v>310</v>
      </c>
      <c r="E1660" t="s">
        <v>311</v>
      </c>
    </row>
    <row r="1661">
      <c r="A1661" s="232" t="s">
        <v>3334</v>
      </c>
      <c r="B1661" t="s">
        <v>3335</v>
      </c>
      <c r="C1661">
        <v>0.0</v>
      </c>
      <c r="D1661" t="s">
        <v>310</v>
      </c>
      <c r="E1661" t="s">
        <v>311</v>
      </c>
    </row>
    <row r="1662">
      <c r="A1662" s="232" t="s">
        <v>3336</v>
      </c>
      <c r="B1662" t="s">
        <v>3337</v>
      </c>
      <c r="C1662">
        <v>0.0</v>
      </c>
      <c r="D1662" t="s">
        <v>310</v>
      </c>
      <c r="E1662" t="s">
        <v>311</v>
      </c>
    </row>
    <row r="1663">
      <c r="A1663" s="232">
        <v>36804.0</v>
      </c>
      <c r="B1663" t="s">
        <v>3338</v>
      </c>
      <c r="C1663">
        <v>48.0</v>
      </c>
      <c r="D1663" t="s">
        <v>330</v>
      </c>
      <c r="E1663" t="s">
        <v>311</v>
      </c>
    </row>
    <row r="1664">
      <c r="A1664" s="232">
        <v>36806.0</v>
      </c>
      <c r="B1664" t="s">
        <v>3339</v>
      </c>
      <c r="C1664">
        <v>48.0</v>
      </c>
      <c r="D1664" t="s">
        <v>330</v>
      </c>
      <c r="E1664" t="s">
        <v>311</v>
      </c>
    </row>
    <row r="1665">
      <c r="A1665" s="232">
        <v>36805.0</v>
      </c>
      <c r="B1665" t="s">
        <v>3340</v>
      </c>
      <c r="C1665">
        <v>84.0</v>
      </c>
      <c r="D1665" t="s">
        <v>330</v>
      </c>
      <c r="E1665" t="s">
        <v>311</v>
      </c>
    </row>
    <row r="1666">
      <c r="A1666" s="232">
        <v>36801.0</v>
      </c>
      <c r="B1666" t="s">
        <v>3341</v>
      </c>
      <c r="C1666">
        <v>112.0</v>
      </c>
      <c r="D1666" t="s">
        <v>330</v>
      </c>
      <c r="E1666" t="s">
        <v>311</v>
      </c>
    </row>
    <row r="1667">
      <c r="A1667" s="232">
        <v>36803.0</v>
      </c>
      <c r="B1667" t="s">
        <v>3342</v>
      </c>
      <c r="C1667">
        <v>63.0</v>
      </c>
      <c r="D1667" t="s">
        <v>330</v>
      </c>
      <c r="E1667" t="s">
        <v>311</v>
      </c>
    </row>
    <row r="1668">
      <c r="A1668" s="232">
        <v>36802.0</v>
      </c>
      <c r="B1668" t="s">
        <v>3343</v>
      </c>
      <c r="C1668">
        <v>0.0</v>
      </c>
      <c r="D1668" t="s">
        <v>310</v>
      </c>
      <c r="E1668" t="s">
        <v>311</v>
      </c>
    </row>
    <row r="1669">
      <c r="A1669" s="232" t="s">
        <v>3344</v>
      </c>
      <c r="B1669" t="s">
        <v>3345</v>
      </c>
      <c r="C1669">
        <v>32.0</v>
      </c>
      <c r="D1669" t="s">
        <v>330</v>
      </c>
      <c r="E1669" t="s">
        <v>311</v>
      </c>
    </row>
    <row r="1670">
      <c r="A1670" s="232" t="s">
        <v>3346</v>
      </c>
      <c r="B1670" t="s">
        <v>3347</v>
      </c>
      <c r="C1670">
        <v>3.0</v>
      </c>
      <c r="D1670" t="s">
        <v>330</v>
      </c>
      <c r="E1670" t="s">
        <v>311</v>
      </c>
    </row>
    <row r="1671">
      <c r="A1671" s="232">
        <v>90403.0</v>
      </c>
      <c r="B1671" t="s">
        <v>3348</v>
      </c>
      <c r="C1671">
        <v>0.0</v>
      </c>
      <c r="D1671" t="s">
        <v>310</v>
      </c>
      <c r="E1671" t="s">
        <v>311</v>
      </c>
    </row>
    <row r="1672">
      <c r="A1672" s="232">
        <v>87307.0</v>
      </c>
      <c r="B1672" t="s">
        <v>3349</v>
      </c>
      <c r="C1672">
        <v>0.0</v>
      </c>
      <c r="D1672" t="s">
        <v>310</v>
      </c>
      <c r="E1672" t="s">
        <v>311</v>
      </c>
    </row>
    <row r="1673">
      <c r="A1673" s="232" t="s">
        <v>3350</v>
      </c>
      <c r="B1673" t="s">
        <v>3351</v>
      </c>
      <c r="C1673">
        <v>-3.0</v>
      </c>
      <c r="D1673" t="s">
        <v>330</v>
      </c>
      <c r="E1673" t="s">
        <v>311</v>
      </c>
    </row>
    <row r="1674">
      <c r="A1674" s="232" t="s">
        <v>3352</v>
      </c>
      <c r="B1674" t="s">
        <v>3353</v>
      </c>
      <c r="C1674">
        <v>0.0</v>
      </c>
      <c r="D1674" t="s">
        <v>330</v>
      </c>
      <c r="E1674" t="s">
        <v>311</v>
      </c>
    </row>
    <row r="1675">
      <c r="A1675" s="232" t="s">
        <v>3354</v>
      </c>
      <c r="B1675" t="s">
        <v>3355</v>
      </c>
      <c r="C1675">
        <v>-1.0</v>
      </c>
      <c r="D1675" t="s">
        <v>330</v>
      </c>
      <c r="E1675" t="s">
        <v>311</v>
      </c>
    </row>
    <row r="1676">
      <c r="A1676" s="232" t="s">
        <v>3356</v>
      </c>
      <c r="B1676" t="s">
        <v>3357</v>
      </c>
      <c r="C1676">
        <v>226.0</v>
      </c>
      <c r="D1676" t="s">
        <v>330</v>
      </c>
      <c r="E1676" t="s">
        <v>311</v>
      </c>
    </row>
    <row r="1677">
      <c r="A1677" s="232" t="s">
        <v>3358</v>
      </c>
      <c r="B1677" t="s">
        <v>3359</v>
      </c>
      <c r="C1677">
        <v>258.0</v>
      </c>
      <c r="D1677" t="s">
        <v>330</v>
      </c>
      <c r="E1677" t="s">
        <v>311</v>
      </c>
    </row>
    <row r="1678">
      <c r="A1678" s="232" t="s">
        <v>3360</v>
      </c>
      <c r="B1678" t="s">
        <v>3361</v>
      </c>
      <c r="C1678">
        <v>445.0</v>
      </c>
      <c r="D1678" t="s">
        <v>330</v>
      </c>
      <c r="E1678" t="s">
        <v>311</v>
      </c>
    </row>
    <row r="1679">
      <c r="A1679" s="232" t="s">
        <v>3362</v>
      </c>
      <c r="B1679" t="s">
        <v>3363</v>
      </c>
      <c r="C1679">
        <v>0.0</v>
      </c>
      <c r="D1679" t="s">
        <v>310</v>
      </c>
      <c r="E1679" t="s">
        <v>311</v>
      </c>
    </row>
    <row r="1680">
      <c r="A1680" s="232" t="s">
        <v>3364</v>
      </c>
      <c r="B1680" t="s">
        <v>3365</v>
      </c>
      <c r="C1680">
        <v>3.0</v>
      </c>
      <c r="D1680" t="s">
        <v>330</v>
      </c>
      <c r="E1680" t="s">
        <v>311</v>
      </c>
    </row>
    <row r="1681">
      <c r="A1681" s="232" t="s">
        <v>3366</v>
      </c>
      <c r="B1681" t="s">
        <v>3367</v>
      </c>
      <c r="C1681">
        <v>0.0</v>
      </c>
      <c r="D1681" t="s">
        <v>310</v>
      </c>
      <c r="E1681" t="s">
        <v>311</v>
      </c>
    </row>
    <row r="1682">
      <c r="A1682" s="232" t="s">
        <v>3368</v>
      </c>
      <c r="B1682" t="s">
        <v>3369</v>
      </c>
      <c r="C1682">
        <v>0.0</v>
      </c>
      <c r="D1682" t="s">
        <v>330</v>
      </c>
      <c r="E1682" t="s">
        <v>311</v>
      </c>
    </row>
    <row r="1683">
      <c r="A1683" s="232" t="s">
        <v>3370</v>
      </c>
      <c r="B1683" t="s">
        <v>3371</v>
      </c>
      <c r="C1683">
        <v>0.0</v>
      </c>
      <c r="D1683" t="s">
        <v>330</v>
      </c>
      <c r="E1683" t="s">
        <v>311</v>
      </c>
    </row>
    <row r="1684">
      <c r="A1684" s="232" t="s">
        <v>3372</v>
      </c>
      <c r="B1684" t="s">
        <v>3373</v>
      </c>
      <c r="C1684">
        <v>0.0</v>
      </c>
      <c r="D1684" t="s">
        <v>310</v>
      </c>
      <c r="E1684" t="s">
        <v>311</v>
      </c>
    </row>
    <row r="1685">
      <c r="A1685" s="232" t="s">
        <v>3374</v>
      </c>
      <c r="B1685" t="s">
        <v>3375</v>
      </c>
      <c r="C1685">
        <v>0.0</v>
      </c>
      <c r="D1685" t="s">
        <v>310</v>
      </c>
      <c r="E1685" t="s">
        <v>311</v>
      </c>
    </row>
    <row r="1686">
      <c r="A1686" s="232" t="s">
        <v>3376</v>
      </c>
      <c r="B1686" t="s">
        <v>3377</v>
      </c>
      <c r="C1686">
        <v>0.0</v>
      </c>
      <c r="D1686" t="s">
        <v>330</v>
      </c>
      <c r="E1686" t="s">
        <v>311</v>
      </c>
    </row>
    <row r="1687">
      <c r="A1687" s="232" t="s">
        <v>3378</v>
      </c>
      <c r="B1687" t="s">
        <v>3379</v>
      </c>
      <c r="C1687">
        <v>0.0</v>
      </c>
      <c r="D1687" t="s">
        <v>310</v>
      </c>
      <c r="E1687" t="s">
        <v>311</v>
      </c>
    </row>
    <row r="1688">
      <c r="A1688" s="232" t="s">
        <v>3380</v>
      </c>
      <c r="B1688" t="s">
        <v>3381</v>
      </c>
      <c r="C1688">
        <v>0.0</v>
      </c>
      <c r="D1688" t="s">
        <v>330</v>
      </c>
      <c r="E1688" t="s">
        <v>311</v>
      </c>
    </row>
    <row r="1689">
      <c r="A1689" s="232" t="s">
        <v>3382</v>
      </c>
      <c r="B1689" t="s">
        <v>3383</v>
      </c>
      <c r="C1689">
        <v>179.0</v>
      </c>
      <c r="D1689" t="s">
        <v>330</v>
      </c>
      <c r="E1689" t="s">
        <v>311</v>
      </c>
    </row>
    <row r="1690">
      <c r="A1690" s="232" t="s">
        <v>3384</v>
      </c>
      <c r="B1690" t="s">
        <v>3385</v>
      </c>
      <c r="C1690">
        <v>-3.0</v>
      </c>
      <c r="D1690" t="s">
        <v>330</v>
      </c>
      <c r="E1690" t="s">
        <v>311</v>
      </c>
    </row>
    <row r="1691">
      <c r="A1691" s="232" t="s">
        <v>3386</v>
      </c>
      <c r="B1691" t="s">
        <v>3387</v>
      </c>
      <c r="C1691">
        <v>0.0</v>
      </c>
      <c r="D1691" t="s">
        <v>310</v>
      </c>
      <c r="E1691" t="s">
        <v>311</v>
      </c>
    </row>
    <row r="1692">
      <c r="A1692" s="232" t="s">
        <v>3388</v>
      </c>
      <c r="B1692" t="s">
        <v>3389</v>
      </c>
      <c r="C1692">
        <v>0.0</v>
      </c>
      <c r="D1692" t="s">
        <v>310</v>
      </c>
      <c r="E1692" t="s">
        <v>311</v>
      </c>
    </row>
    <row r="1693">
      <c r="A1693" s="232" t="s">
        <v>3390</v>
      </c>
      <c r="B1693" t="s">
        <v>3391</v>
      </c>
      <c r="C1693">
        <v>0.0</v>
      </c>
      <c r="D1693" t="s">
        <v>310</v>
      </c>
      <c r="E1693" t="s">
        <v>311</v>
      </c>
    </row>
    <row r="1694">
      <c r="A1694" s="232" t="s">
        <v>3392</v>
      </c>
      <c r="B1694" t="s">
        <v>3393</v>
      </c>
      <c r="C1694">
        <v>0.0</v>
      </c>
      <c r="D1694" t="s">
        <v>330</v>
      </c>
      <c r="E1694" t="s">
        <v>311</v>
      </c>
    </row>
    <row r="1695">
      <c r="A1695" s="232" t="s">
        <v>3394</v>
      </c>
      <c r="B1695" t="s">
        <v>3395</v>
      </c>
      <c r="C1695">
        <v>7.0</v>
      </c>
      <c r="D1695" t="s">
        <v>330</v>
      </c>
      <c r="E1695" t="s">
        <v>565</v>
      </c>
    </row>
    <row r="1696">
      <c r="A1696" s="232" t="s">
        <v>3396</v>
      </c>
      <c r="B1696" t="s">
        <v>3397</v>
      </c>
      <c r="C1696">
        <v>50.0</v>
      </c>
      <c r="D1696" t="s">
        <v>330</v>
      </c>
      <c r="E1696" t="s">
        <v>311</v>
      </c>
    </row>
    <row r="1697">
      <c r="A1697" s="232" t="s">
        <v>3398</v>
      </c>
      <c r="B1697" t="s">
        <v>3399</v>
      </c>
      <c r="C1697">
        <v>0.0</v>
      </c>
      <c r="D1697" t="s">
        <v>310</v>
      </c>
      <c r="E1697" t="s">
        <v>311</v>
      </c>
    </row>
    <row r="1698">
      <c r="A1698" s="232" t="s">
        <v>3400</v>
      </c>
      <c r="B1698" t="s">
        <v>3401</v>
      </c>
      <c r="C1698">
        <v>55.0</v>
      </c>
      <c r="D1698" t="s">
        <v>330</v>
      </c>
      <c r="E1698" t="s">
        <v>311</v>
      </c>
    </row>
    <row r="1699">
      <c r="A1699" s="232" t="s">
        <v>3402</v>
      </c>
      <c r="B1699" t="s">
        <v>3403</v>
      </c>
      <c r="C1699">
        <v>1.0</v>
      </c>
      <c r="D1699" t="s">
        <v>330</v>
      </c>
      <c r="E1699" t="s">
        <v>311</v>
      </c>
    </row>
    <row r="1700">
      <c r="A1700" s="232" t="s">
        <v>3404</v>
      </c>
      <c r="B1700" t="s">
        <v>3405</v>
      </c>
      <c r="C1700">
        <v>50.0</v>
      </c>
      <c r="D1700" t="s">
        <v>330</v>
      </c>
      <c r="E1700" t="s">
        <v>311</v>
      </c>
    </row>
    <row r="1701">
      <c r="A1701" s="232" t="s">
        <v>3406</v>
      </c>
      <c r="B1701" t="s">
        <v>3407</v>
      </c>
      <c r="C1701">
        <v>0.0</v>
      </c>
      <c r="D1701" t="s">
        <v>330</v>
      </c>
      <c r="E1701" t="s">
        <v>311</v>
      </c>
    </row>
    <row r="1702">
      <c r="A1702" s="232" t="s">
        <v>3408</v>
      </c>
      <c r="B1702" t="s">
        <v>3409</v>
      </c>
      <c r="C1702">
        <v>50.0</v>
      </c>
      <c r="D1702" t="s">
        <v>330</v>
      </c>
      <c r="E1702" t="s">
        <v>311</v>
      </c>
    </row>
    <row r="1703">
      <c r="A1703" s="232" t="s">
        <v>3410</v>
      </c>
      <c r="B1703" t="s">
        <v>3411</v>
      </c>
      <c r="C1703">
        <v>0.0</v>
      </c>
      <c r="D1703" t="s">
        <v>310</v>
      </c>
      <c r="E1703" t="s">
        <v>311</v>
      </c>
    </row>
    <row r="1704">
      <c r="A1704" s="232" t="s">
        <v>3412</v>
      </c>
      <c r="B1704" t="s">
        <v>3413</v>
      </c>
      <c r="C1704">
        <v>50.0</v>
      </c>
      <c r="D1704" t="s">
        <v>330</v>
      </c>
      <c r="E1704" t="s">
        <v>311</v>
      </c>
    </row>
    <row r="1705">
      <c r="A1705" s="232" t="s">
        <v>3414</v>
      </c>
      <c r="B1705" t="s">
        <v>3415</v>
      </c>
      <c r="C1705">
        <v>0.0</v>
      </c>
      <c r="D1705" t="s">
        <v>330</v>
      </c>
      <c r="E1705" t="s">
        <v>311</v>
      </c>
    </row>
    <row r="1706">
      <c r="A1706" s="232" t="s">
        <v>3416</v>
      </c>
      <c r="B1706" t="s">
        <v>3417</v>
      </c>
      <c r="C1706">
        <v>0.0</v>
      </c>
      <c r="D1706" t="s">
        <v>310</v>
      </c>
      <c r="E1706" t="s">
        <v>311</v>
      </c>
    </row>
    <row r="1707">
      <c r="A1707" s="232" t="s">
        <v>3418</v>
      </c>
      <c r="B1707" t="s">
        <v>3419</v>
      </c>
      <c r="C1707">
        <v>43.0</v>
      </c>
      <c r="D1707" t="s">
        <v>330</v>
      </c>
      <c r="E1707" t="s">
        <v>311</v>
      </c>
    </row>
    <row r="1708">
      <c r="A1708" s="232" t="s">
        <v>3420</v>
      </c>
      <c r="B1708" t="s">
        <v>3421</v>
      </c>
      <c r="C1708">
        <v>0.0</v>
      </c>
      <c r="D1708" t="s">
        <v>310</v>
      </c>
      <c r="E1708" t="s">
        <v>311</v>
      </c>
    </row>
    <row r="1709">
      <c r="A1709" s="232" t="s">
        <v>3422</v>
      </c>
      <c r="B1709" t="s">
        <v>3423</v>
      </c>
      <c r="C1709">
        <v>0.0</v>
      </c>
      <c r="D1709" t="s">
        <v>310</v>
      </c>
      <c r="E1709" t="s">
        <v>311</v>
      </c>
    </row>
    <row r="1710">
      <c r="A1710" s="232" t="s">
        <v>3424</v>
      </c>
      <c r="B1710" t="s">
        <v>3425</v>
      </c>
      <c r="C1710">
        <v>50.0</v>
      </c>
      <c r="D1710" t="s">
        <v>330</v>
      </c>
      <c r="E1710" t="s">
        <v>311</v>
      </c>
    </row>
    <row r="1711">
      <c r="A1711" s="232" t="s">
        <v>3426</v>
      </c>
      <c r="B1711" t="s">
        <v>3427</v>
      </c>
      <c r="C1711">
        <v>0.0</v>
      </c>
      <c r="D1711" t="s">
        <v>310</v>
      </c>
      <c r="E1711" t="s">
        <v>311</v>
      </c>
    </row>
    <row r="1712">
      <c r="A1712" s="232" t="s">
        <v>3428</v>
      </c>
      <c r="B1712" t="s">
        <v>3429</v>
      </c>
      <c r="C1712">
        <v>0.0</v>
      </c>
      <c r="D1712" t="s">
        <v>310</v>
      </c>
      <c r="E1712" t="s">
        <v>311</v>
      </c>
    </row>
    <row r="1713">
      <c r="A1713" s="232" t="s">
        <v>3430</v>
      </c>
      <c r="B1713" t="s">
        <v>3431</v>
      </c>
      <c r="C1713">
        <v>0.0</v>
      </c>
      <c r="D1713" t="s">
        <v>310</v>
      </c>
      <c r="E1713" t="s">
        <v>311</v>
      </c>
    </row>
    <row r="1714">
      <c r="A1714" s="232" t="s">
        <v>3432</v>
      </c>
      <c r="B1714" t="s">
        <v>3433</v>
      </c>
      <c r="C1714">
        <v>23310.0</v>
      </c>
      <c r="D1714" t="s">
        <v>330</v>
      </c>
      <c r="E1714" t="s">
        <v>311</v>
      </c>
    </row>
    <row r="1715">
      <c r="A1715" s="232" t="s">
        <v>3434</v>
      </c>
      <c r="B1715" t="s">
        <v>3435</v>
      </c>
      <c r="C1715">
        <v>528.0</v>
      </c>
      <c r="D1715" t="s">
        <v>330</v>
      </c>
      <c r="E1715" t="s">
        <v>565</v>
      </c>
    </row>
    <row r="1716">
      <c r="A1716" s="232" t="s">
        <v>3436</v>
      </c>
      <c r="B1716" t="s">
        <v>3437</v>
      </c>
      <c r="C1716">
        <v>420.0</v>
      </c>
      <c r="D1716" t="s">
        <v>330</v>
      </c>
      <c r="E1716" t="s">
        <v>565</v>
      </c>
    </row>
    <row r="1717">
      <c r="A1717" s="232" t="s">
        <v>3438</v>
      </c>
      <c r="B1717" t="s">
        <v>3439</v>
      </c>
      <c r="C1717">
        <v>0.0</v>
      </c>
      <c r="D1717" t="s">
        <v>310</v>
      </c>
      <c r="E1717" t="s">
        <v>311</v>
      </c>
    </row>
    <row r="1718">
      <c r="A1718" s="232" t="s">
        <v>3440</v>
      </c>
      <c r="B1718" t="s">
        <v>3441</v>
      </c>
      <c r="C1718">
        <v>0.0</v>
      </c>
      <c r="D1718" t="s">
        <v>310</v>
      </c>
      <c r="E1718" t="s">
        <v>311</v>
      </c>
    </row>
    <row r="1719">
      <c r="A1719" s="232" t="s">
        <v>3442</v>
      </c>
      <c r="B1719" t="s">
        <v>3443</v>
      </c>
      <c r="C1719">
        <v>0.0</v>
      </c>
      <c r="D1719" t="s">
        <v>310</v>
      </c>
      <c r="E1719" t="s">
        <v>311</v>
      </c>
    </row>
    <row r="1720">
      <c r="A1720" s="232" t="s">
        <v>3444</v>
      </c>
      <c r="B1720" t="s">
        <v>3445</v>
      </c>
      <c r="C1720">
        <v>0.0</v>
      </c>
      <c r="D1720" t="s">
        <v>330</v>
      </c>
      <c r="E1720" t="s">
        <v>565</v>
      </c>
    </row>
    <row r="1721">
      <c r="A1721" s="232" t="s">
        <v>3446</v>
      </c>
      <c r="B1721" t="s">
        <v>3447</v>
      </c>
      <c r="C1721">
        <v>-7.0</v>
      </c>
      <c r="D1721" t="s">
        <v>330</v>
      </c>
      <c r="E1721" t="s">
        <v>565</v>
      </c>
    </row>
    <row r="1722">
      <c r="A1722" s="232" t="s">
        <v>3448</v>
      </c>
      <c r="B1722" t="s">
        <v>3449</v>
      </c>
      <c r="C1722">
        <v>24.0</v>
      </c>
      <c r="D1722" t="s">
        <v>330</v>
      </c>
      <c r="E1722" t="s">
        <v>311</v>
      </c>
    </row>
    <row r="1723">
      <c r="A1723" s="232" t="s">
        <v>3450</v>
      </c>
      <c r="B1723" t="s">
        <v>3451</v>
      </c>
      <c r="C1723">
        <v>30.0</v>
      </c>
      <c r="D1723" t="s">
        <v>330</v>
      </c>
      <c r="E1723" t="s">
        <v>311</v>
      </c>
    </row>
    <row r="1724">
      <c r="A1724" s="232" t="s">
        <v>3452</v>
      </c>
      <c r="B1724" t="s">
        <v>3453</v>
      </c>
      <c r="C1724">
        <v>18.0</v>
      </c>
      <c r="D1724" t="s">
        <v>330</v>
      </c>
      <c r="E1724" t="s">
        <v>311</v>
      </c>
    </row>
    <row r="1725">
      <c r="A1725" s="232" t="s">
        <v>3454</v>
      </c>
      <c r="B1725" t="s">
        <v>3455</v>
      </c>
      <c r="C1725">
        <v>30.0</v>
      </c>
      <c r="D1725" t="s">
        <v>330</v>
      </c>
      <c r="E1725" t="s">
        <v>311</v>
      </c>
    </row>
    <row r="1726">
      <c r="A1726" s="232" t="s">
        <v>3456</v>
      </c>
      <c r="B1726" t="s">
        <v>3457</v>
      </c>
      <c r="C1726">
        <v>30.0</v>
      </c>
      <c r="D1726" t="s">
        <v>330</v>
      </c>
      <c r="E1726" t="s">
        <v>311</v>
      </c>
    </row>
    <row r="1727">
      <c r="A1727" s="232" t="s">
        <v>3458</v>
      </c>
      <c r="B1727" t="s">
        <v>3459</v>
      </c>
      <c r="C1727">
        <v>150.0</v>
      </c>
      <c r="D1727" t="s">
        <v>330</v>
      </c>
      <c r="E1727" t="s">
        <v>311</v>
      </c>
    </row>
    <row r="1728">
      <c r="A1728" s="232" t="s">
        <v>3460</v>
      </c>
      <c r="B1728" t="s">
        <v>3461</v>
      </c>
      <c r="C1728">
        <v>0.0</v>
      </c>
      <c r="D1728" t="s">
        <v>310</v>
      </c>
      <c r="E1728" t="s">
        <v>311</v>
      </c>
    </row>
    <row r="1729">
      <c r="A1729" s="232" t="s">
        <v>3462</v>
      </c>
      <c r="B1729" t="s">
        <v>3463</v>
      </c>
      <c r="C1729">
        <v>0.0</v>
      </c>
      <c r="D1729" t="s">
        <v>310</v>
      </c>
      <c r="E1729" t="s">
        <v>311</v>
      </c>
    </row>
    <row r="1730">
      <c r="A1730" s="232" t="s">
        <v>3464</v>
      </c>
      <c r="B1730" t="s">
        <v>3465</v>
      </c>
      <c r="C1730">
        <v>0.0</v>
      </c>
      <c r="D1730" t="s">
        <v>310</v>
      </c>
      <c r="E1730" t="s">
        <v>311</v>
      </c>
    </row>
    <row r="1731">
      <c r="A1731" s="232" t="s">
        <v>3466</v>
      </c>
      <c r="B1731" t="s">
        <v>3467</v>
      </c>
      <c r="C1731">
        <v>0.0</v>
      </c>
      <c r="D1731" t="s">
        <v>310</v>
      </c>
      <c r="E1731" t="s">
        <v>311</v>
      </c>
    </row>
    <row r="1732">
      <c r="A1732" s="232">
        <v>3142.0</v>
      </c>
      <c r="B1732" t="s">
        <v>3468</v>
      </c>
      <c r="C1732">
        <v>0.0</v>
      </c>
      <c r="D1732" t="s">
        <v>310</v>
      </c>
      <c r="E1732" t="s">
        <v>311</v>
      </c>
    </row>
    <row r="1733">
      <c r="A1733" s="232">
        <v>94901.0</v>
      </c>
      <c r="B1733" t="s">
        <v>3469</v>
      </c>
      <c r="C1733">
        <v>0.0</v>
      </c>
      <c r="D1733" t="s">
        <v>310</v>
      </c>
      <c r="E1733" t="s">
        <v>311</v>
      </c>
    </row>
    <row r="1734">
      <c r="A1734" s="232" t="s">
        <v>3470</v>
      </c>
      <c r="B1734" t="s">
        <v>3471</v>
      </c>
      <c r="C1734">
        <v>340.0</v>
      </c>
      <c r="D1734" t="s">
        <v>330</v>
      </c>
      <c r="E1734" t="s">
        <v>311</v>
      </c>
    </row>
    <row r="1735">
      <c r="A1735" s="232" t="s">
        <v>3472</v>
      </c>
      <c r="B1735" t="s">
        <v>3473</v>
      </c>
      <c r="C1735">
        <v>320.0</v>
      </c>
      <c r="D1735" t="s">
        <v>330</v>
      </c>
      <c r="E1735" t="s">
        <v>311</v>
      </c>
    </row>
    <row r="1736">
      <c r="A1736" s="232" t="s">
        <v>3474</v>
      </c>
      <c r="B1736" t="s">
        <v>3475</v>
      </c>
      <c r="C1736">
        <v>124.0</v>
      </c>
      <c r="D1736" t="s">
        <v>330</v>
      </c>
      <c r="E1736" t="s">
        <v>311</v>
      </c>
    </row>
    <row r="1737">
      <c r="A1737" s="232" t="s">
        <v>3476</v>
      </c>
      <c r="B1737" t="s">
        <v>3477</v>
      </c>
      <c r="C1737">
        <v>56.0</v>
      </c>
      <c r="D1737" t="s">
        <v>330</v>
      </c>
      <c r="E1737" t="s">
        <v>311</v>
      </c>
    </row>
    <row r="1738">
      <c r="A1738" s="232" t="s">
        <v>3478</v>
      </c>
      <c r="B1738" t="s">
        <v>3479</v>
      </c>
      <c r="C1738">
        <v>79.0</v>
      </c>
      <c r="D1738" t="s">
        <v>330</v>
      </c>
      <c r="E1738" t="s">
        <v>311</v>
      </c>
    </row>
    <row r="1739">
      <c r="A1739" s="232" t="s">
        <v>3480</v>
      </c>
      <c r="B1739" t="s">
        <v>3481</v>
      </c>
      <c r="C1739">
        <v>351.0</v>
      </c>
      <c r="D1739" t="s">
        <v>330</v>
      </c>
      <c r="E1739" t="s">
        <v>311</v>
      </c>
    </row>
    <row r="1740">
      <c r="A1740" s="232" t="s">
        <v>3482</v>
      </c>
      <c r="B1740" t="s">
        <v>3483</v>
      </c>
      <c r="C1740">
        <v>7.0</v>
      </c>
      <c r="D1740" t="s">
        <v>330</v>
      </c>
      <c r="E1740" t="s">
        <v>311</v>
      </c>
    </row>
    <row r="1741">
      <c r="A1741" s="232" t="s">
        <v>3484</v>
      </c>
      <c r="B1741" t="s">
        <v>3485</v>
      </c>
      <c r="C1741">
        <v>347.0</v>
      </c>
      <c r="D1741" t="s">
        <v>330</v>
      </c>
      <c r="E1741" t="s">
        <v>311</v>
      </c>
    </row>
    <row r="1742">
      <c r="A1742" s="232" t="s">
        <v>3486</v>
      </c>
      <c r="B1742" t="s">
        <v>3487</v>
      </c>
      <c r="C1742">
        <v>170.0</v>
      </c>
      <c r="D1742" t="s">
        <v>330</v>
      </c>
      <c r="E1742" t="s">
        <v>311</v>
      </c>
    </row>
    <row r="1743">
      <c r="A1743" s="232" t="s">
        <v>3488</v>
      </c>
      <c r="B1743" t="s">
        <v>3489</v>
      </c>
      <c r="C1743">
        <v>0.0</v>
      </c>
      <c r="D1743" t="s">
        <v>310</v>
      </c>
      <c r="E1743" t="s">
        <v>311</v>
      </c>
    </row>
    <row r="1744">
      <c r="A1744" s="232" t="s">
        <v>3490</v>
      </c>
      <c r="B1744" t="s">
        <v>3491</v>
      </c>
      <c r="C1744">
        <v>0.0</v>
      </c>
      <c r="D1744" t="s">
        <v>310</v>
      </c>
      <c r="E1744" t="s">
        <v>565</v>
      </c>
    </row>
    <row r="1745">
      <c r="A1745" s="232" t="s">
        <v>3492</v>
      </c>
      <c r="B1745" t="s">
        <v>3493</v>
      </c>
      <c r="C1745">
        <v>1004.0</v>
      </c>
      <c r="D1745" t="s">
        <v>330</v>
      </c>
      <c r="E1745" t="s">
        <v>311</v>
      </c>
    </row>
    <row r="1746">
      <c r="A1746" s="232" t="s">
        <v>3494</v>
      </c>
      <c r="B1746" t="s">
        <v>3495</v>
      </c>
      <c r="C1746">
        <v>-68.0</v>
      </c>
      <c r="D1746" t="s">
        <v>330</v>
      </c>
      <c r="E1746" t="s">
        <v>311</v>
      </c>
    </row>
    <row r="1747">
      <c r="A1747" s="232" t="s">
        <v>3496</v>
      </c>
      <c r="B1747" t="s">
        <v>3497</v>
      </c>
      <c r="C1747">
        <v>4.0</v>
      </c>
      <c r="D1747" t="s">
        <v>330</v>
      </c>
      <c r="E1747" t="s">
        <v>311</v>
      </c>
    </row>
    <row r="1748">
      <c r="A1748" s="232" t="s">
        <v>3498</v>
      </c>
      <c r="B1748" t="s">
        <v>3499</v>
      </c>
      <c r="C1748">
        <v>1388.0</v>
      </c>
      <c r="D1748" t="s">
        <v>330</v>
      </c>
      <c r="E1748" t="s">
        <v>311</v>
      </c>
    </row>
    <row r="1749">
      <c r="A1749" s="232" t="s">
        <v>3500</v>
      </c>
      <c r="B1749" t="s">
        <v>3501</v>
      </c>
      <c r="C1749">
        <v>0.0</v>
      </c>
      <c r="D1749" t="s">
        <v>310</v>
      </c>
      <c r="E1749" t="s">
        <v>311</v>
      </c>
    </row>
    <row r="1750">
      <c r="A1750" s="232" t="s">
        <v>3502</v>
      </c>
      <c r="B1750" t="s">
        <v>3503</v>
      </c>
      <c r="C1750">
        <v>957.0</v>
      </c>
      <c r="D1750" t="s">
        <v>330</v>
      </c>
      <c r="E1750" t="s">
        <v>311</v>
      </c>
    </row>
    <row r="1751">
      <c r="A1751" s="232" t="s">
        <v>3504</v>
      </c>
      <c r="B1751" t="s">
        <v>3505</v>
      </c>
      <c r="C1751">
        <v>0.0</v>
      </c>
      <c r="D1751" t="s">
        <v>310</v>
      </c>
      <c r="E1751" t="s">
        <v>311</v>
      </c>
    </row>
    <row r="1752">
      <c r="A1752" s="232" t="s">
        <v>3506</v>
      </c>
      <c r="B1752" t="s">
        <v>3507</v>
      </c>
      <c r="C1752">
        <v>-120.0</v>
      </c>
      <c r="D1752" t="s">
        <v>330</v>
      </c>
      <c r="E1752" t="s">
        <v>311</v>
      </c>
    </row>
    <row r="1753">
      <c r="A1753" s="232" t="s">
        <v>3508</v>
      </c>
      <c r="B1753" t="s">
        <v>3509</v>
      </c>
      <c r="C1753">
        <v>-5.0</v>
      </c>
      <c r="D1753" t="s">
        <v>330</v>
      </c>
      <c r="E1753" t="s">
        <v>311</v>
      </c>
    </row>
    <row r="1754">
      <c r="A1754" s="232" t="s">
        <v>3510</v>
      </c>
      <c r="B1754" t="s">
        <v>3511</v>
      </c>
      <c r="C1754">
        <v>1583.0</v>
      </c>
      <c r="D1754" t="s">
        <v>330</v>
      </c>
      <c r="E1754" t="s">
        <v>311</v>
      </c>
    </row>
    <row r="1755">
      <c r="A1755" s="232" t="s">
        <v>3512</v>
      </c>
      <c r="B1755" t="s">
        <v>3513</v>
      </c>
      <c r="C1755">
        <v>845.0</v>
      </c>
      <c r="D1755" t="s">
        <v>330</v>
      </c>
      <c r="E1755" t="s">
        <v>311</v>
      </c>
    </row>
    <row r="1756">
      <c r="A1756" s="232" t="s">
        <v>3514</v>
      </c>
      <c r="B1756" t="s">
        <v>3515</v>
      </c>
      <c r="C1756">
        <v>0.0</v>
      </c>
      <c r="D1756" t="s">
        <v>330</v>
      </c>
      <c r="E1756" t="s">
        <v>311</v>
      </c>
    </row>
    <row r="1757">
      <c r="A1757" s="232" t="s">
        <v>3516</v>
      </c>
      <c r="B1757" t="s">
        <v>3517</v>
      </c>
      <c r="C1757">
        <v>0.0</v>
      </c>
      <c r="D1757" t="s">
        <v>330</v>
      </c>
      <c r="E1757" t="s">
        <v>311</v>
      </c>
    </row>
    <row r="1758">
      <c r="A1758" s="232" t="s">
        <v>3518</v>
      </c>
      <c r="B1758" t="s">
        <v>3519</v>
      </c>
      <c r="C1758">
        <v>0.0</v>
      </c>
      <c r="D1758" t="s">
        <v>330</v>
      </c>
      <c r="E1758" t="s">
        <v>311</v>
      </c>
    </row>
    <row r="1759">
      <c r="A1759" s="232" t="s">
        <v>3520</v>
      </c>
      <c r="B1759" t="s">
        <v>3521</v>
      </c>
      <c r="C1759">
        <v>0.0</v>
      </c>
      <c r="D1759" t="s">
        <v>330</v>
      </c>
      <c r="E1759" t="s">
        <v>311</v>
      </c>
    </row>
    <row r="1760">
      <c r="A1760" s="232" t="s">
        <v>3522</v>
      </c>
      <c r="B1760" t="s">
        <v>3523</v>
      </c>
      <c r="C1760">
        <v>0.0</v>
      </c>
      <c r="D1760" t="s">
        <v>330</v>
      </c>
      <c r="E1760" t="s">
        <v>311</v>
      </c>
    </row>
    <row r="1761">
      <c r="A1761" s="232" t="s">
        <v>3524</v>
      </c>
      <c r="B1761" t="s">
        <v>3525</v>
      </c>
      <c r="C1761">
        <v>0.0</v>
      </c>
      <c r="D1761" t="s">
        <v>330</v>
      </c>
      <c r="E1761" t="s">
        <v>311</v>
      </c>
    </row>
    <row r="1762">
      <c r="A1762" s="232" t="s">
        <v>3526</v>
      </c>
      <c r="B1762" t="s">
        <v>3527</v>
      </c>
      <c r="C1762">
        <v>0.0</v>
      </c>
      <c r="D1762" t="s">
        <v>330</v>
      </c>
      <c r="E1762" t="s">
        <v>311</v>
      </c>
    </row>
    <row r="1763">
      <c r="A1763" s="232" t="s">
        <v>3528</v>
      </c>
      <c r="B1763" t="s">
        <v>3529</v>
      </c>
      <c r="C1763">
        <v>0.0</v>
      </c>
      <c r="D1763" t="s">
        <v>330</v>
      </c>
      <c r="E1763" t="s">
        <v>311</v>
      </c>
    </row>
    <row r="1764">
      <c r="A1764" s="232" t="s">
        <v>3530</v>
      </c>
      <c r="B1764" t="s">
        <v>3531</v>
      </c>
      <c r="C1764">
        <v>0.0</v>
      </c>
      <c r="D1764" t="s">
        <v>330</v>
      </c>
      <c r="E1764" t="s">
        <v>311</v>
      </c>
    </row>
    <row r="1765">
      <c r="A1765" s="232" t="s">
        <v>3532</v>
      </c>
      <c r="B1765" t="s">
        <v>3533</v>
      </c>
      <c r="C1765">
        <v>0.0</v>
      </c>
      <c r="D1765" t="s">
        <v>310</v>
      </c>
      <c r="E1765" t="s">
        <v>311</v>
      </c>
    </row>
    <row r="1766">
      <c r="A1766" s="232" t="s">
        <v>3534</v>
      </c>
      <c r="B1766" t="s">
        <v>3535</v>
      </c>
      <c r="C1766">
        <v>0.0</v>
      </c>
      <c r="D1766" t="s">
        <v>310</v>
      </c>
      <c r="E1766" t="s">
        <v>311</v>
      </c>
    </row>
    <row r="1767">
      <c r="A1767" s="232" t="s">
        <v>3536</v>
      </c>
      <c r="B1767" t="s">
        <v>3537</v>
      </c>
      <c r="C1767">
        <v>0.0</v>
      </c>
      <c r="D1767" t="s">
        <v>310</v>
      </c>
      <c r="E1767" t="s">
        <v>311</v>
      </c>
    </row>
    <row r="1768">
      <c r="A1768" s="232" t="s">
        <v>3538</v>
      </c>
      <c r="B1768" t="s">
        <v>3539</v>
      </c>
      <c r="C1768">
        <v>0.0</v>
      </c>
      <c r="D1768" t="s">
        <v>310</v>
      </c>
      <c r="E1768" t="s">
        <v>311</v>
      </c>
    </row>
    <row r="1769">
      <c r="A1769" s="232" t="s">
        <v>3540</v>
      </c>
      <c r="B1769" t="s">
        <v>3541</v>
      </c>
      <c r="C1769">
        <v>0.0</v>
      </c>
      <c r="D1769" t="s">
        <v>310</v>
      </c>
      <c r="E1769" t="s">
        <v>311</v>
      </c>
    </row>
    <row r="1770">
      <c r="A1770" s="232" t="s">
        <v>3542</v>
      </c>
      <c r="B1770" t="s">
        <v>3543</v>
      </c>
      <c r="C1770">
        <v>0.0</v>
      </c>
      <c r="D1770" t="s">
        <v>310</v>
      </c>
      <c r="E1770" t="s">
        <v>311</v>
      </c>
    </row>
    <row r="1771">
      <c r="A1771" s="232" t="s">
        <v>3544</v>
      </c>
      <c r="B1771" t="s">
        <v>3545</v>
      </c>
      <c r="C1771">
        <v>325.0</v>
      </c>
      <c r="D1771" t="s">
        <v>330</v>
      </c>
      <c r="E1771" t="s">
        <v>311</v>
      </c>
    </row>
    <row r="1772">
      <c r="A1772" s="232" t="s">
        <v>3546</v>
      </c>
      <c r="B1772" t="s">
        <v>3547</v>
      </c>
      <c r="C1772">
        <v>0.0</v>
      </c>
      <c r="D1772" t="s">
        <v>310</v>
      </c>
      <c r="E1772" t="s">
        <v>311</v>
      </c>
    </row>
    <row r="1773">
      <c r="A1773" s="232" t="s">
        <v>3548</v>
      </c>
      <c r="B1773" t="s">
        <v>3549</v>
      </c>
      <c r="C1773">
        <v>50.0</v>
      </c>
      <c r="D1773" t="s">
        <v>330</v>
      </c>
      <c r="E1773" t="s">
        <v>311</v>
      </c>
    </row>
    <row r="1774">
      <c r="A1774" s="232" t="s">
        <v>155</v>
      </c>
      <c r="B1774" t="s">
        <v>154</v>
      </c>
      <c r="C1774">
        <v>0.0</v>
      </c>
      <c r="D1774" t="s">
        <v>310</v>
      </c>
      <c r="E1774" t="s">
        <v>311</v>
      </c>
    </row>
    <row r="1775">
      <c r="A1775" s="232" t="s">
        <v>3550</v>
      </c>
      <c r="B1775" t="s">
        <v>3551</v>
      </c>
      <c r="C1775">
        <v>684.0</v>
      </c>
      <c r="D1775" t="s">
        <v>330</v>
      </c>
      <c r="E1775" t="s">
        <v>311</v>
      </c>
    </row>
    <row r="1776">
      <c r="A1776" s="232" t="s">
        <v>3552</v>
      </c>
      <c r="B1776" t="s">
        <v>3553</v>
      </c>
      <c r="C1776">
        <v>150.0</v>
      </c>
      <c r="D1776" t="s">
        <v>330</v>
      </c>
      <c r="E1776" t="s">
        <v>311</v>
      </c>
    </row>
    <row r="1777">
      <c r="A1777" s="232" t="s">
        <v>165</v>
      </c>
      <c r="B1777" t="s">
        <v>164</v>
      </c>
      <c r="C1777">
        <v>102.0</v>
      </c>
      <c r="D1777" t="s">
        <v>330</v>
      </c>
      <c r="E1777" t="s">
        <v>311</v>
      </c>
    </row>
    <row r="1778">
      <c r="A1778" s="232" t="s">
        <v>161</v>
      </c>
      <c r="B1778" t="s">
        <v>160</v>
      </c>
      <c r="C1778">
        <v>0.0</v>
      </c>
      <c r="D1778" t="s">
        <v>310</v>
      </c>
      <c r="E1778" t="s">
        <v>311</v>
      </c>
    </row>
    <row r="1779">
      <c r="A1779" s="232" t="s">
        <v>3554</v>
      </c>
      <c r="B1779" t="s">
        <v>3555</v>
      </c>
      <c r="C1779">
        <v>238.0</v>
      </c>
      <c r="D1779" t="s">
        <v>330</v>
      </c>
      <c r="E1779" t="s">
        <v>311</v>
      </c>
    </row>
    <row r="1780">
      <c r="A1780" s="232" t="s">
        <v>153</v>
      </c>
      <c r="B1780" t="s">
        <v>152</v>
      </c>
      <c r="C1780">
        <v>0.0</v>
      </c>
      <c r="D1780" t="s">
        <v>310</v>
      </c>
      <c r="E1780" t="s">
        <v>311</v>
      </c>
    </row>
    <row r="1781">
      <c r="A1781" s="232" t="s">
        <v>3556</v>
      </c>
      <c r="B1781" t="s">
        <v>3557</v>
      </c>
      <c r="C1781">
        <v>302.0</v>
      </c>
      <c r="D1781" t="s">
        <v>330</v>
      </c>
      <c r="E1781" t="s">
        <v>311</v>
      </c>
    </row>
    <row r="1782">
      <c r="A1782" s="232" t="s">
        <v>3558</v>
      </c>
      <c r="B1782" t="s">
        <v>3559</v>
      </c>
      <c r="C1782">
        <v>757.0</v>
      </c>
      <c r="D1782" t="s">
        <v>330</v>
      </c>
      <c r="E1782" t="s">
        <v>311</v>
      </c>
    </row>
    <row r="1783">
      <c r="A1783" s="232" t="s">
        <v>3560</v>
      </c>
      <c r="B1783" t="s">
        <v>3561</v>
      </c>
      <c r="C1783">
        <v>761.0</v>
      </c>
      <c r="D1783" t="s">
        <v>330</v>
      </c>
      <c r="E1783" t="s">
        <v>311</v>
      </c>
    </row>
    <row r="1784">
      <c r="A1784" s="232" t="s">
        <v>3562</v>
      </c>
      <c r="B1784" t="s">
        <v>3563</v>
      </c>
      <c r="C1784">
        <v>44.0</v>
      </c>
      <c r="D1784" t="s">
        <v>330</v>
      </c>
      <c r="E1784" t="s">
        <v>311</v>
      </c>
    </row>
    <row r="1785">
      <c r="A1785" s="232" t="s">
        <v>163</v>
      </c>
      <c r="B1785" t="s">
        <v>162</v>
      </c>
      <c r="C1785">
        <v>877.0</v>
      </c>
      <c r="D1785" t="s">
        <v>330</v>
      </c>
      <c r="E1785" t="s">
        <v>311</v>
      </c>
    </row>
    <row r="1786">
      <c r="A1786" s="232" t="s">
        <v>3564</v>
      </c>
      <c r="B1786" t="s">
        <v>3565</v>
      </c>
      <c r="C1786">
        <v>126.0</v>
      </c>
      <c r="D1786" t="s">
        <v>330</v>
      </c>
      <c r="E1786" t="s">
        <v>311</v>
      </c>
    </row>
    <row r="1787">
      <c r="A1787" s="232" t="s">
        <v>3566</v>
      </c>
      <c r="B1787" t="s">
        <v>3567</v>
      </c>
      <c r="C1787">
        <v>527.0</v>
      </c>
      <c r="D1787" t="s">
        <v>330</v>
      </c>
      <c r="E1787" t="s">
        <v>311</v>
      </c>
    </row>
    <row r="1788">
      <c r="A1788" s="232" t="s">
        <v>3568</v>
      </c>
      <c r="B1788" t="s">
        <v>3569</v>
      </c>
      <c r="C1788">
        <v>859.0</v>
      </c>
      <c r="D1788" t="s">
        <v>330</v>
      </c>
      <c r="E1788" t="s">
        <v>311</v>
      </c>
    </row>
    <row r="1789">
      <c r="A1789" s="232" t="s">
        <v>3570</v>
      </c>
      <c r="B1789" t="s">
        <v>3571</v>
      </c>
      <c r="C1789">
        <v>583.0</v>
      </c>
      <c r="D1789" t="s">
        <v>330</v>
      </c>
      <c r="E1789" t="s">
        <v>311</v>
      </c>
    </row>
    <row r="1790">
      <c r="A1790" s="232" t="s">
        <v>3572</v>
      </c>
      <c r="B1790" t="s">
        <v>3573</v>
      </c>
      <c r="C1790">
        <v>0.0</v>
      </c>
      <c r="D1790" t="s">
        <v>310</v>
      </c>
      <c r="E1790" t="s">
        <v>311</v>
      </c>
    </row>
    <row r="1791">
      <c r="A1791" s="232" t="s">
        <v>3574</v>
      </c>
      <c r="B1791" t="s">
        <v>3575</v>
      </c>
      <c r="C1791">
        <v>383.0</v>
      </c>
      <c r="D1791" t="s">
        <v>330</v>
      </c>
      <c r="E1791" t="s">
        <v>311</v>
      </c>
    </row>
    <row r="1792">
      <c r="A1792" s="232" t="s">
        <v>3576</v>
      </c>
      <c r="B1792" t="s">
        <v>3577</v>
      </c>
      <c r="C1792">
        <v>439.0</v>
      </c>
      <c r="D1792" t="s">
        <v>330</v>
      </c>
      <c r="E1792" t="s">
        <v>311</v>
      </c>
    </row>
    <row r="1793">
      <c r="A1793" s="232" t="s">
        <v>157</v>
      </c>
      <c r="B1793" t="s">
        <v>156</v>
      </c>
      <c r="C1793">
        <v>0.0</v>
      </c>
      <c r="D1793" t="s">
        <v>310</v>
      </c>
      <c r="E1793" t="s">
        <v>311</v>
      </c>
    </row>
    <row r="1794">
      <c r="A1794" s="232" t="s">
        <v>3578</v>
      </c>
      <c r="B1794" t="s">
        <v>3579</v>
      </c>
      <c r="C1794">
        <v>50.0</v>
      </c>
      <c r="D1794" t="s">
        <v>330</v>
      </c>
      <c r="E1794" t="s">
        <v>311</v>
      </c>
    </row>
    <row r="1795">
      <c r="A1795" s="232" t="s">
        <v>3580</v>
      </c>
      <c r="B1795" t="s">
        <v>3581</v>
      </c>
      <c r="C1795">
        <v>0.0</v>
      </c>
      <c r="D1795" t="s">
        <v>330</v>
      </c>
      <c r="E1795" t="s">
        <v>311</v>
      </c>
    </row>
    <row r="1796">
      <c r="A1796" s="232" t="s">
        <v>3582</v>
      </c>
      <c r="B1796" t="s">
        <v>3583</v>
      </c>
      <c r="C1796">
        <v>195.0</v>
      </c>
      <c r="D1796" t="s">
        <v>330</v>
      </c>
      <c r="E1796" t="s">
        <v>311</v>
      </c>
    </row>
    <row r="1797">
      <c r="A1797" s="232" t="s">
        <v>3584</v>
      </c>
      <c r="B1797" t="s">
        <v>3585</v>
      </c>
      <c r="C1797">
        <v>0.0</v>
      </c>
      <c r="D1797" t="s">
        <v>310</v>
      </c>
      <c r="E1797" t="s">
        <v>311</v>
      </c>
    </row>
    <row r="1798">
      <c r="A1798" s="232" t="s">
        <v>3586</v>
      </c>
      <c r="B1798" t="s">
        <v>3587</v>
      </c>
      <c r="C1798">
        <v>0.0</v>
      </c>
      <c r="D1798" t="s">
        <v>310</v>
      </c>
      <c r="E1798" t="s">
        <v>311</v>
      </c>
    </row>
    <row r="1799">
      <c r="A1799" s="232" t="s">
        <v>3588</v>
      </c>
      <c r="B1799" t="s">
        <v>3589</v>
      </c>
      <c r="C1799">
        <v>0.0</v>
      </c>
      <c r="D1799" t="s">
        <v>310</v>
      </c>
      <c r="E1799" t="s">
        <v>311</v>
      </c>
    </row>
    <row r="1800">
      <c r="A1800" s="232" t="s">
        <v>159</v>
      </c>
      <c r="B1800" t="s">
        <v>158</v>
      </c>
      <c r="C1800">
        <v>0.0</v>
      </c>
      <c r="D1800" t="s">
        <v>310</v>
      </c>
      <c r="E1800" t="s">
        <v>311</v>
      </c>
    </row>
    <row r="1801">
      <c r="A1801" s="232" t="s">
        <v>3590</v>
      </c>
      <c r="B1801" t="s">
        <v>3591</v>
      </c>
      <c r="C1801">
        <v>0.0</v>
      </c>
      <c r="D1801" t="s">
        <v>310</v>
      </c>
      <c r="E1801" t="s">
        <v>311</v>
      </c>
    </row>
    <row r="1802">
      <c r="A1802" s="232" t="s">
        <v>3592</v>
      </c>
      <c r="B1802" t="s">
        <v>3593</v>
      </c>
      <c r="C1802">
        <v>708.0</v>
      </c>
      <c r="D1802" t="s">
        <v>330</v>
      </c>
      <c r="E1802" t="s">
        <v>311</v>
      </c>
    </row>
    <row r="1803">
      <c r="A1803" s="232" t="s">
        <v>3594</v>
      </c>
      <c r="B1803" t="s">
        <v>3595</v>
      </c>
      <c r="C1803">
        <v>1.0</v>
      </c>
      <c r="D1803" t="s">
        <v>330</v>
      </c>
      <c r="E1803" t="s">
        <v>565</v>
      </c>
    </row>
    <row r="1804">
      <c r="A1804" s="232" t="s">
        <v>3596</v>
      </c>
      <c r="B1804" t="s">
        <v>3597</v>
      </c>
      <c r="C1804">
        <v>0.0</v>
      </c>
      <c r="D1804" t="s">
        <v>310</v>
      </c>
      <c r="E1804" t="s">
        <v>565</v>
      </c>
    </row>
    <row r="1805">
      <c r="A1805" s="232" t="s">
        <v>3598</v>
      </c>
      <c r="B1805" t="s">
        <v>3599</v>
      </c>
      <c r="C1805">
        <v>6.0</v>
      </c>
      <c r="D1805" t="s">
        <v>330</v>
      </c>
      <c r="E1805" t="s">
        <v>565</v>
      </c>
    </row>
    <row r="1806">
      <c r="A1806" s="232" t="s">
        <v>3600</v>
      </c>
      <c r="B1806" t="s">
        <v>3601</v>
      </c>
      <c r="C1806">
        <v>0.0</v>
      </c>
      <c r="D1806" t="s">
        <v>310</v>
      </c>
      <c r="E1806" t="s">
        <v>311</v>
      </c>
    </row>
    <row r="1807">
      <c r="A1807" s="232" t="s">
        <v>3602</v>
      </c>
      <c r="B1807" t="s">
        <v>3603</v>
      </c>
      <c r="C1807">
        <v>0.0</v>
      </c>
      <c r="D1807" t="s">
        <v>310</v>
      </c>
      <c r="E1807" t="s">
        <v>311</v>
      </c>
    </row>
    <row r="1808">
      <c r="A1808" s="232" t="s">
        <v>3604</v>
      </c>
      <c r="B1808" t="s">
        <v>3605</v>
      </c>
      <c r="C1808">
        <v>0.0</v>
      </c>
      <c r="D1808" t="s">
        <v>310</v>
      </c>
      <c r="E1808" t="s">
        <v>1208</v>
      </c>
    </row>
    <row r="1809">
      <c r="A1809" s="232" t="s">
        <v>3606</v>
      </c>
      <c r="B1809" t="s">
        <v>3607</v>
      </c>
      <c r="C1809">
        <v>0.0</v>
      </c>
      <c r="D1809" t="s">
        <v>310</v>
      </c>
      <c r="E1809" t="s">
        <v>1208</v>
      </c>
    </row>
    <row r="1810">
      <c r="A1810" s="232">
        <v>92901.0</v>
      </c>
      <c r="B1810" t="s">
        <v>3608</v>
      </c>
      <c r="C1810">
        <v>0.0</v>
      </c>
      <c r="D1810" t="s">
        <v>310</v>
      </c>
      <c r="E1810" t="s">
        <v>311</v>
      </c>
    </row>
    <row r="1811">
      <c r="A1811" s="232">
        <v>92902.0</v>
      </c>
      <c r="B1811" t="s">
        <v>3609</v>
      </c>
      <c r="C1811">
        <v>0.0</v>
      </c>
      <c r="D1811" t="s">
        <v>310</v>
      </c>
      <c r="E1811" t="s">
        <v>311</v>
      </c>
    </row>
    <row r="1812">
      <c r="A1812" s="232">
        <v>92903.0</v>
      </c>
      <c r="B1812" t="s">
        <v>3610</v>
      </c>
      <c r="C1812">
        <v>0.0</v>
      </c>
      <c r="D1812" t="s">
        <v>310</v>
      </c>
      <c r="E1812" t="s">
        <v>311</v>
      </c>
    </row>
    <row r="1813">
      <c r="A1813" s="232">
        <v>92904.0</v>
      </c>
      <c r="B1813" t="s">
        <v>3611</v>
      </c>
      <c r="C1813">
        <v>0.0</v>
      </c>
      <c r="D1813" t="s">
        <v>310</v>
      </c>
      <c r="E1813" t="s">
        <v>311</v>
      </c>
    </row>
    <row r="1814">
      <c r="A1814" s="232">
        <v>92905.0</v>
      </c>
      <c r="B1814" t="s">
        <v>3612</v>
      </c>
      <c r="C1814">
        <v>0.0</v>
      </c>
      <c r="D1814" t="s">
        <v>310</v>
      </c>
      <c r="E1814" t="s">
        <v>311</v>
      </c>
    </row>
    <row r="1815">
      <c r="A1815" s="232">
        <v>92906.0</v>
      </c>
      <c r="B1815" t="s">
        <v>3613</v>
      </c>
      <c r="C1815">
        <v>0.0</v>
      </c>
      <c r="D1815" t="s">
        <v>310</v>
      </c>
      <c r="E1815" t="s">
        <v>311</v>
      </c>
    </row>
    <row r="1816">
      <c r="A1816" s="232">
        <v>92907.0</v>
      </c>
      <c r="B1816" t="s">
        <v>3614</v>
      </c>
      <c r="C1816">
        <v>0.0</v>
      </c>
      <c r="D1816" t="s">
        <v>310</v>
      </c>
      <c r="E1816" t="s">
        <v>311</v>
      </c>
    </row>
    <row r="1817">
      <c r="A1817" s="232">
        <v>92908.0</v>
      </c>
      <c r="B1817" t="s">
        <v>3615</v>
      </c>
      <c r="C1817">
        <v>0.0</v>
      </c>
      <c r="D1817" t="s">
        <v>310</v>
      </c>
      <c r="E1817" t="s">
        <v>311</v>
      </c>
    </row>
    <row r="1818">
      <c r="A1818" s="232">
        <v>92909.0</v>
      </c>
      <c r="B1818" t="s">
        <v>3616</v>
      </c>
      <c r="C1818">
        <v>0.0</v>
      </c>
      <c r="D1818" t="s">
        <v>310</v>
      </c>
      <c r="E1818" t="s">
        <v>311</v>
      </c>
    </row>
    <row r="1819">
      <c r="A1819" s="232">
        <v>92910.0</v>
      </c>
      <c r="B1819" t="s">
        <v>3617</v>
      </c>
      <c r="C1819">
        <v>0.0</v>
      </c>
      <c r="D1819" t="s">
        <v>310</v>
      </c>
      <c r="E1819" t="s">
        <v>311</v>
      </c>
    </row>
    <row r="1820">
      <c r="A1820" s="232">
        <v>92911.0</v>
      </c>
      <c r="B1820" t="s">
        <v>3618</v>
      </c>
      <c r="C1820">
        <v>0.0</v>
      </c>
      <c r="D1820" t="s">
        <v>310</v>
      </c>
      <c r="E1820" t="s">
        <v>311</v>
      </c>
    </row>
    <row r="1821">
      <c r="A1821" s="232">
        <v>92912.0</v>
      </c>
      <c r="B1821" t="s">
        <v>3619</v>
      </c>
      <c r="C1821">
        <v>0.0</v>
      </c>
      <c r="D1821" t="s">
        <v>310</v>
      </c>
      <c r="E1821" t="s">
        <v>311</v>
      </c>
    </row>
    <row r="1822">
      <c r="A1822" s="232">
        <v>92913.0</v>
      </c>
      <c r="B1822" t="s">
        <v>3620</v>
      </c>
      <c r="C1822">
        <v>0.0</v>
      </c>
      <c r="D1822" t="s">
        <v>310</v>
      </c>
      <c r="E1822" t="s">
        <v>311</v>
      </c>
    </row>
    <row r="1823">
      <c r="A1823" s="232">
        <v>92914.0</v>
      </c>
      <c r="B1823" t="s">
        <v>3621</v>
      </c>
      <c r="C1823">
        <v>0.0</v>
      </c>
      <c r="D1823" t="s">
        <v>310</v>
      </c>
      <c r="E1823" t="s">
        <v>311</v>
      </c>
    </row>
    <row r="1824">
      <c r="A1824" s="232">
        <v>92915.0</v>
      </c>
      <c r="B1824" t="s">
        <v>3622</v>
      </c>
      <c r="C1824">
        <v>0.0</v>
      </c>
      <c r="D1824" t="s">
        <v>310</v>
      </c>
      <c r="E1824" t="s">
        <v>311</v>
      </c>
    </row>
    <row r="1825">
      <c r="A1825" s="232">
        <v>92916.0</v>
      </c>
      <c r="B1825" t="s">
        <v>3623</v>
      </c>
      <c r="C1825">
        <v>0.0</v>
      </c>
      <c r="D1825" t="s">
        <v>310</v>
      </c>
      <c r="E1825" t="s">
        <v>311</v>
      </c>
    </row>
    <row r="1826">
      <c r="A1826" s="232">
        <v>92918.0</v>
      </c>
      <c r="B1826" t="s">
        <v>3624</v>
      </c>
      <c r="C1826">
        <v>0.0</v>
      </c>
      <c r="D1826" t="s">
        <v>310</v>
      </c>
      <c r="E1826" t="s">
        <v>311</v>
      </c>
    </row>
    <row r="1827">
      <c r="A1827" s="232">
        <v>92919.0</v>
      </c>
      <c r="B1827" t="s">
        <v>3625</v>
      </c>
      <c r="C1827">
        <v>0.0</v>
      </c>
      <c r="D1827" t="s">
        <v>310</v>
      </c>
      <c r="E1827" t="s">
        <v>311</v>
      </c>
    </row>
    <row r="1828">
      <c r="A1828" s="232" t="s">
        <v>3626</v>
      </c>
      <c r="B1828" t="s">
        <v>3627</v>
      </c>
      <c r="C1828">
        <v>0.0</v>
      </c>
      <c r="D1828" t="s">
        <v>310</v>
      </c>
      <c r="E1828" t="s">
        <v>311</v>
      </c>
    </row>
    <row r="1829">
      <c r="A1829" s="232">
        <v>92920.0</v>
      </c>
      <c r="B1829" t="s">
        <v>3628</v>
      </c>
      <c r="C1829">
        <v>0.0</v>
      </c>
      <c r="D1829" t="s">
        <v>310</v>
      </c>
      <c r="E1829" t="s">
        <v>311</v>
      </c>
    </row>
    <row r="1830">
      <c r="A1830" s="232">
        <v>92921.0</v>
      </c>
      <c r="B1830" t="s">
        <v>3629</v>
      </c>
      <c r="C1830">
        <v>0.0</v>
      </c>
      <c r="D1830" t="s">
        <v>310</v>
      </c>
      <c r="E1830" t="s">
        <v>311</v>
      </c>
    </row>
    <row r="1831">
      <c r="A1831" s="232">
        <v>92922.0</v>
      </c>
      <c r="B1831" t="s">
        <v>3630</v>
      </c>
      <c r="C1831">
        <v>0.0</v>
      </c>
      <c r="D1831" t="s">
        <v>310</v>
      </c>
      <c r="E1831" t="s">
        <v>311</v>
      </c>
    </row>
    <row r="1832">
      <c r="A1832" s="232">
        <v>92923.0</v>
      </c>
      <c r="B1832" t="s">
        <v>3631</v>
      </c>
      <c r="C1832">
        <v>0.0</v>
      </c>
      <c r="D1832" t="s">
        <v>310</v>
      </c>
      <c r="E1832" t="s">
        <v>311</v>
      </c>
    </row>
    <row r="1833">
      <c r="A1833" s="232">
        <v>92925.0</v>
      </c>
      <c r="B1833" t="s">
        <v>3632</v>
      </c>
      <c r="C1833">
        <v>0.0</v>
      </c>
      <c r="D1833" t="s">
        <v>310</v>
      </c>
      <c r="E1833" t="s">
        <v>311</v>
      </c>
    </row>
    <row r="1834">
      <c r="A1834" s="232">
        <v>92926.0</v>
      </c>
      <c r="B1834" t="s">
        <v>3633</v>
      </c>
      <c r="C1834">
        <v>0.0</v>
      </c>
      <c r="D1834" t="s">
        <v>310</v>
      </c>
      <c r="E1834" t="s">
        <v>311</v>
      </c>
    </row>
    <row r="1835">
      <c r="A1835" s="232">
        <v>94102.0</v>
      </c>
      <c r="B1835" t="s">
        <v>3634</v>
      </c>
      <c r="C1835">
        <v>0.0</v>
      </c>
      <c r="D1835" t="s">
        <v>310</v>
      </c>
      <c r="E1835" t="s">
        <v>311</v>
      </c>
    </row>
    <row r="1836">
      <c r="A1836" s="232" t="s">
        <v>3635</v>
      </c>
      <c r="B1836" t="s">
        <v>3636</v>
      </c>
      <c r="C1836">
        <v>0.0</v>
      </c>
      <c r="D1836" t="s">
        <v>310</v>
      </c>
      <c r="E1836" t="s">
        <v>311</v>
      </c>
    </row>
    <row r="1837">
      <c r="A1837" s="232" t="s">
        <v>3637</v>
      </c>
      <c r="B1837" t="s">
        <v>3638</v>
      </c>
      <c r="C1837">
        <v>0.0</v>
      </c>
      <c r="D1837" t="s">
        <v>310</v>
      </c>
      <c r="E1837" t="s">
        <v>311</v>
      </c>
    </row>
    <row r="1838">
      <c r="A1838" s="232" t="s">
        <v>3639</v>
      </c>
      <c r="B1838" t="s">
        <v>3640</v>
      </c>
      <c r="C1838">
        <v>0.0</v>
      </c>
      <c r="D1838" t="s">
        <v>310</v>
      </c>
      <c r="E1838" t="s">
        <v>311</v>
      </c>
    </row>
    <row r="1839">
      <c r="A1839" s="232" t="s">
        <v>3641</v>
      </c>
      <c r="B1839" t="s">
        <v>3642</v>
      </c>
      <c r="C1839">
        <v>0.0</v>
      </c>
      <c r="D1839" t="s">
        <v>310</v>
      </c>
      <c r="E1839" t="s">
        <v>311</v>
      </c>
    </row>
    <row r="1840">
      <c r="A1840" s="232" t="s">
        <v>3643</v>
      </c>
      <c r="B1840" t="s">
        <v>3644</v>
      </c>
      <c r="C1840">
        <v>0.0</v>
      </c>
      <c r="D1840" t="s">
        <v>310</v>
      </c>
      <c r="E1840" t="s">
        <v>311</v>
      </c>
    </row>
    <row r="1841">
      <c r="A1841" s="232" t="s">
        <v>3645</v>
      </c>
      <c r="B1841" t="s">
        <v>3646</v>
      </c>
      <c r="C1841">
        <v>0.0</v>
      </c>
      <c r="D1841" t="s">
        <v>310</v>
      </c>
      <c r="E1841" t="s">
        <v>311</v>
      </c>
    </row>
    <row r="1842">
      <c r="A1842" s="232" t="s">
        <v>3647</v>
      </c>
      <c r="B1842" t="s">
        <v>3648</v>
      </c>
      <c r="C1842">
        <v>0.0</v>
      </c>
      <c r="D1842" t="s">
        <v>310</v>
      </c>
      <c r="E1842" t="s">
        <v>311</v>
      </c>
    </row>
    <row r="1843">
      <c r="A1843" s="232" t="s">
        <v>3649</v>
      </c>
      <c r="B1843" t="s">
        <v>3650</v>
      </c>
      <c r="C1843">
        <v>0.0</v>
      </c>
      <c r="D1843" t="s">
        <v>310</v>
      </c>
      <c r="E1843" t="s">
        <v>311</v>
      </c>
    </row>
    <row r="1844">
      <c r="A1844" s="232" t="s">
        <v>3651</v>
      </c>
      <c r="B1844" t="s">
        <v>3652</v>
      </c>
      <c r="C1844">
        <v>0.0</v>
      </c>
      <c r="D1844" t="s">
        <v>310</v>
      </c>
      <c r="E1844" t="s">
        <v>311</v>
      </c>
    </row>
    <row r="1845">
      <c r="A1845" s="232" t="s">
        <v>3653</v>
      </c>
      <c r="B1845" t="s">
        <v>3654</v>
      </c>
      <c r="C1845">
        <v>0.0</v>
      </c>
      <c r="D1845" t="s">
        <v>310</v>
      </c>
      <c r="E1845" t="s">
        <v>311</v>
      </c>
    </row>
    <row r="1846">
      <c r="A1846" s="232" t="s">
        <v>3655</v>
      </c>
      <c r="B1846" t="s">
        <v>3656</v>
      </c>
      <c r="C1846">
        <v>0.0</v>
      </c>
      <c r="D1846" t="s">
        <v>310</v>
      </c>
      <c r="E1846" t="s">
        <v>311</v>
      </c>
    </row>
    <row r="1847">
      <c r="A1847" s="232" t="s">
        <v>3657</v>
      </c>
      <c r="B1847" t="s">
        <v>3658</v>
      </c>
      <c r="C1847">
        <v>0.0</v>
      </c>
      <c r="D1847" t="s">
        <v>310</v>
      </c>
      <c r="E1847" t="s">
        <v>311</v>
      </c>
    </row>
    <row r="1848">
      <c r="A1848" s="232" t="s">
        <v>3659</v>
      </c>
      <c r="B1848" t="s">
        <v>3660</v>
      </c>
      <c r="C1848">
        <v>0.0</v>
      </c>
      <c r="D1848" t="s">
        <v>310</v>
      </c>
      <c r="E1848" t="s">
        <v>311</v>
      </c>
    </row>
    <row r="1849">
      <c r="A1849" s="232" t="s">
        <v>3661</v>
      </c>
      <c r="B1849" t="s">
        <v>3662</v>
      </c>
      <c r="C1849">
        <v>0.0</v>
      </c>
      <c r="D1849" t="s">
        <v>310</v>
      </c>
      <c r="E1849" t="s">
        <v>311</v>
      </c>
    </row>
    <row r="1850">
      <c r="A1850" s="232" t="s">
        <v>3663</v>
      </c>
      <c r="B1850" t="s">
        <v>3664</v>
      </c>
      <c r="C1850">
        <v>0.0</v>
      </c>
      <c r="D1850" t="s">
        <v>310</v>
      </c>
      <c r="E1850" t="s">
        <v>311</v>
      </c>
    </row>
    <row r="1851">
      <c r="A1851" s="232" t="s">
        <v>3665</v>
      </c>
      <c r="B1851" t="s">
        <v>3666</v>
      </c>
      <c r="C1851">
        <v>0.0</v>
      </c>
      <c r="D1851" t="s">
        <v>310</v>
      </c>
      <c r="E1851" t="s">
        <v>311</v>
      </c>
    </row>
    <row r="1852">
      <c r="A1852" s="232" t="s">
        <v>3667</v>
      </c>
      <c r="B1852" t="s">
        <v>3668</v>
      </c>
      <c r="C1852">
        <v>0.0</v>
      </c>
      <c r="D1852" t="s">
        <v>310</v>
      </c>
      <c r="E1852" t="s">
        <v>311</v>
      </c>
    </row>
    <row r="1853">
      <c r="A1853" s="232" t="s">
        <v>3669</v>
      </c>
      <c r="B1853" t="s">
        <v>3670</v>
      </c>
      <c r="C1853">
        <v>0.0</v>
      </c>
      <c r="D1853" t="s">
        <v>310</v>
      </c>
      <c r="E1853" t="s">
        <v>311</v>
      </c>
    </row>
    <row r="1854">
      <c r="A1854" s="232" t="s">
        <v>3671</v>
      </c>
      <c r="B1854" t="s">
        <v>3672</v>
      </c>
      <c r="C1854">
        <v>0.0</v>
      </c>
      <c r="D1854" t="s">
        <v>310</v>
      </c>
      <c r="E1854" t="s">
        <v>311</v>
      </c>
    </row>
    <row r="1855">
      <c r="A1855" s="232" t="s">
        <v>3673</v>
      </c>
      <c r="B1855" t="s">
        <v>3674</v>
      </c>
      <c r="C1855">
        <v>0.0</v>
      </c>
      <c r="D1855" t="s">
        <v>310</v>
      </c>
      <c r="E1855" t="s">
        <v>311</v>
      </c>
    </row>
    <row r="1856">
      <c r="A1856" s="232" t="s">
        <v>3675</v>
      </c>
      <c r="B1856" t="s">
        <v>3676</v>
      </c>
      <c r="C1856">
        <v>0.0</v>
      </c>
      <c r="D1856" t="s">
        <v>310</v>
      </c>
      <c r="E1856" t="s">
        <v>311</v>
      </c>
    </row>
    <row r="1857">
      <c r="A1857" s="232" t="s">
        <v>3677</v>
      </c>
      <c r="B1857" t="s">
        <v>3678</v>
      </c>
      <c r="C1857">
        <v>0.0</v>
      </c>
      <c r="D1857" t="s">
        <v>310</v>
      </c>
      <c r="E1857" t="s">
        <v>311</v>
      </c>
    </row>
    <row r="1858">
      <c r="A1858" s="232" t="s">
        <v>3679</v>
      </c>
      <c r="B1858" t="s">
        <v>3680</v>
      </c>
      <c r="C1858">
        <v>0.0</v>
      </c>
      <c r="D1858" t="s">
        <v>310</v>
      </c>
      <c r="E1858" t="s">
        <v>311</v>
      </c>
    </row>
    <row r="1859">
      <c r="A1859" s="232" t="s">
        <v>3681</v>
      </c>
      <c r="B1859" t="s">
        <v>3682</v>
      </c>
      <c r="C1859">
        <v>0.0</v>
      </c>
      <c r="D1859" t="s">
        <v>310</v>
      </c>
      <c r="E1859" t="s">
        <v>311</v>
      </c>
    </row>
    <row r="1860">
      <c r="A1860" s="232" t="s">
        <v>3683</v>
      </c>
      <c r="B1860" t="s">
        <v>3684</v>
      </c>
      <c r="C1860">
        <v>0.0</v>
      </c>
      <c r="D1860" t="s">
        <v>310</v>
      </c>
      <c r="E1860" t="s">
        <v>311</v>
      </c>
    </row>
    <row r="1861">
      <c r="A1861" s="232" t="s">
        <v>3685</v>
      </c>
      <c r="B1861" t="s">
        <v>3686</v>
      </c>
      <c r="C1861">
        <v>0.0</v>
      </c>
      <c r="D1861" t="s">
        <v>310</v>
      </c>
      <c r="E1861" t="s">
        <v>311</v>
      </c>
    </row>
    <row r="1862">
      <c r="A1862" s="232" t="s">
        <v>3687</v>
      </c>
      <c r="B1862" t="s">
        <v>3688</v>
      </c>
      <c r="C1862">
        <v>0.0</v>
      </c>
      <c r="D1862" t="s">
        <v>310</v>
      </c>
      <c r="E1862" t="s">
        <v>311</v>
      </c>
    </row>
    <row r="1863">
      <c r="A1863" s="232" t="s">
        <v>3689</v>
      </c>
      <c r="B1863" t="s">
        <v>3690</v>
      </c>
      <c r="C1863">
        <v>0.0</v>
      </c>
      <c r="D1863" t="s">
        <v>310</v>
      </c>
      <c r="E1863" t="s">
        <v>311</v>
      </c>
    </row>
    <row r="1864">
      <c r="A1864" s="232" t="s">
        <v>3691</v>
      </c>
      <c r="B1864" t="s">
        <v>3692</v>
      </c>
      <c r="C1864">
        <v>0.0</v>
      </c>
      <c r="D1864" t="s">
        <v>310</v>
      </c>
      <c r="E1864" t="s">
        <v>311</v>
      </c>
    </row>
    <row r="1865">
      <c r="A1865" s="232" t="s">
        <v>3693</v>
      </c>
      <c r="B1865" t="s">
        <v>3694</v>
      </c>
      <c r="C1865">
        <v>0.0</v>
      </c>
      <c r="D1865" t="s">
        <v>310</v>
      </c>
      <c r="E1865" t="s">
        <v>311</v>
      </c>
    </row>
    <row r="1866">
      <c r="A1866" s="232" t="s">
        <v>3695</v>
      </c>
      <c r="B1866" t="s">
        <v>3696</v>
      </c>
      <c r="C1866">
        <v>0.0</v>
      </c>
      <c r="D1866" t="s">
        <v>310</v>
      </c>
      <c r="E1866" t="s">
        <v>311</v>
      </c>
    </row>
    <row r="1867">
      <c r="A1867" s="232" t="s">
        <v>3697</v>
      </c>
      <c r="B1867" t="s">
        <v>3698</v>
      </c>
      <c r="C1867">
        <v>0.0</v>
      </c>
      <c r="D1867" t="s">
        <v>310</v>
      </c>
      <c r="E1867" t="s">
        <v>311</v>
      </c>
    </row>
    <row r="1868">
      <c r="A1868" s="232" t="s">
        <v>3699</v>
      </c>
      <c r="B1868" t="s">
        <v>3700</v>
      </c>
      <c r="C1868">
        <v>0.0</v>
      </c>
      <c r="D1868" t="s">
        <v>310</v>
      </c>
      <c r="E1868" t="s">
        <v>311</v>
      </c>
    </row>
    <row r="1869">
      <c r="A1869" s="232" t="s">
        <v>3701</v>
      </c>
      <c r="B1869" t="s">
        <v>3702</v>
      </c>
      <c r="C1869">
        <v>0.0</v>
      </c>
      <c r="D1869" t="s">
        <v>310</v>
      </c>
      <c r="E1869" t="s">
        <v>311</v>
      </c>
    </row>
    <row r="1870">
      <c r="A1870" s="232" t="s">
        <v>3703</v>
      </c>
      <c r="B1870" t="s">
        <v>3704</v>
      </c>
      <c r="C1870">
        <v>0.0</v>
      </c>
      <c r="D1870" t="s">
        <v>310</v>
      </c>
      <c r="E1870" t="s">
        <v>311</v>
      </c>
    </row>
    <row r="1871">
      <c r="A1871" s="232" t="s">
        <v>3705</v>
      </c>
      <c r="B1871" t="s">
        <v>3706</v>
      </c>
      <c r="C1871">
        <v>0.0</v>
      </c>
      <c r="D1871" t="s">
        <v>310</v>
      </c>
      <c r="E1871" t="s">
        <v>311</v>
      </c>
    </row>
    <row r="1872">
      <c r="A1872" s="232" t="s">
        <v>3707</v>
      </c>
      <c r="B1872" t="s">
        <v>3708</v>
      </c>
      <c r="C1872">
        <v>0.0</v>
      </c>
      <c r="D1872" t="s">
        <v>310</v>
      </c>
      <c r="E1872" t="s">
        <v>311</v>
      </c>
    </row>
    <row r="1873">
      <c r="A1873" s="232" t="s">
        <v>3709</v>
      </c>
      <c r="B1873" t="s">
        <v>3710</v>
      </c>
      <c r="C1873">
        <v>0.0</v>
      </c>
      <c r="D1873" t="s">
        <v>310</v>
      </c>
      <c r="E1873" t="s">
        <v>311</v>
      </c>
    </row>
    <row r="1874">
      <c r="A1874" s="232" t="s">
        <v>3711</v>
      </c>
      <c r="B1874" t="s">
        <v>3712</v>
      </c>
      <c r="C1874">
        <v>0.0</v>
      </c>
      <c r="D1874" t="s">
        <v>310</v>
      </c>
      <c r="E1874" t="s">
        <v>311</v>
      </c>
    </row>
    <row r="1875">
      <c r="A1875" s="232" t="s">
        <v>3713</v>
      </c>
      <c r="B1875" t="s">
        <v>3714</v>
      </c>
      <c r="C1875">
        <v>0.0</v>
      </c>
      <c r="D1875" t="s">
        <v>310</v>
      </c>
      <c r="E1875" t="s">
        <v>311</v>
      </c>
    </row>
    <row r="1876">
      <c r="A1876" s="232" t="s">
        <v>3715</v>
      </c>
      <c r="B1876" t="s">
        <v>3716</v>
      </c>
      <c r="C1876">
        <v>0.0</v>
      </c>
      <c r="D1876" t="s">
        <v>310</v>
      </c>
      <c r="E1876" t="s">
        <v>311</v>
      </c>
    </row>
    <row r="1877">
      <c r="A1877" s="232" t="s">
        <v>3717</v>
      </c>
      <c r="B1877" t="s">
        <v>3718</v>
      </c>
      <c r="C1877">
        <v>0.0</v>
      </c>
      <c r="D1877" t="s">
        <v>310</v>
      </c>
      <c r="E1877" t="s">
        <v>311</v>
      </c>
    </row>
    <row r="1878">
      <c r="A1878" s="232" t="s">
        <v>3719</v>
      </c>
      <c r="B1878" t="s">
        <v>3720</v>
      </c>
      <c r="C1878">
        <v>0.0</v>
      </c>
      <c r="D1878" t="s">
        <v>310</v>
      </c>
      <c r="E1878" t="s">
        <v>311</v>
      </c>
    </row>
    <row r="1879">
      <c r="A1879" s="232" t="s">
        <v>3721</v>
      </c>
      <c r="B1879" t="s">
        <v>3722</v>
      </c>
      <c r="C1879">
        <v>0.0</v>
      </c>
      <c r="D1879" t="s">
        <v>310</v>
      </c>
      <c r="E1879" t="s">
        <v>311</v>
      </c>
    </row>
    <row r="1880">
      <c r="A1880" s="232" t="s">
        <v>3723</v>
      </c>
      <c r="B1880" t="s">
        <v>3724</v>
      </c>
      <c r="C1880">
        <v>0.0</v>
      </c>
      <c r="D1880" t="s">
        <v>310</v>
      </c>
      <c r="E1880" t="s">
        <v>311</v>
      </c>
    </row>
    <row r="1881">
      <c r="A1881" s="232" t="s">
        <v>3725</v>
      </c>
      <c r="B1881" t="s">
        <v>3726</v>
      </c>
      <c r="C1881">
        <v>0.0</v>
      </c>
      <c r="D1881" t="s">
        <v>310</v>
      </c>
      <c r="E1881" t="s">
        <v>311</v>
      </c>
    </row>
    <row r="1882">
      <c r="A1882" s="232" t="s">
        <v>3727</v>
      </c>
      <c r="B1882" t="s">
        <v>3728</v>
      </c>
      <c r="C1882">
        <v>0.0</v>
      </c>
      <c r="D1882" t="s">
        <v>310</v>
      </c>
      <c r="E1882" t="s">
        <v>311</v>
      </c>
    </row>
    <row r="1883">
      <c r="A1883" s="232" t="s">
        <v>3729</v>
      </c>
      <c r="B1883" t="s">
        <v>3730</v>
      </c>
      <c r="C1883">
        <v>0.0</v>
      </c>
      <c r="D1883" t="s">
        <v>310</v>
      </c>
      <c r="E1883" t="s">
        <v>311</v>
      </c>
    </row>
    <row r="1884">
      <c r="A1884" s="232" t="s">
        <v>3731</v>
      </c>
      <c r="B1884" t="s">
        <v>3732</v>
      </c>
      <c r="C1884">
        <v>0.0</v>
      </c>
      <c r="D1884" t="s">
        <v>310</v>
      </c>
      <c r="E1884" t="s">
        <v>311</v>
      </c>
    </row>
    <row r="1885">
      <c r="A1885" s="232" t="s">
        <v>3733</v>
      </c>
      <c r="B1885" t="s">
        <v>3734</v>
      </c>
      <c r="C1885">
        <v>0.0</v>
      </c>
      <c r="D1885" t="s">
        <v>310</v>
      </c>
      <c r="E1885" t="s">
        <v>311</v>
      </c>
    </row>
    <row r="1886">
      <c r="A1886" s="232" t="s">
        <v>3735</v>
      </c>
      <c r="B1886" t="s">
        <v>3736</v>
      </c>
      <c r="C1886">
        <v>0.0</v>
      </c>
      <c r="D1886" t="s">
        <v>330</v>
      </c>
      <c r="E1886" t="s">
        <v>311</v>
      </c>
    </row>
    <row r="1887">
      <c r="A1887" s="232" t="s">
        <v>3737</v>
      </c>
      <c r="B1887" t="s">
        <v>3738</v>
      </c>
      <c r="C1887">
        <v>0.0</v>
      </c>
      <c r="D1887" t="s">
        <v>310</v>
      </c>
      <c r="E1887" t="s">
        <v>311</v>
      </c>
    </row>
    <row r="1888">
      <c r="A1888" s="232" t="s">
        <v>3739</v>
      </c>
      <c r="B1888" t="s">
        <v>3740</v>
      </c>
      <c r="C1888">
        <v>0.0</v>
      </c>
      <c r="D1888" t="s">
        <v>310</v>
      </c>
      <c r="E1888" t="s">
        <v>311</v>
      </c>
    </row>
    <row r="1889">
      <c r="A1889" s="232" t="s">
        <v>3741</v>
      </c>
      <c r="B1889" t="s">
        <v>3742</v>
      </c>
      <c r="C1889">
        <v>0.0</v>
      </c>
      <c r="D1889" t="s">
        <v>310</v>
      </c>
      <c r="E1889" t="s">
        <v>311</v>
      </c>
    </row>
    <row r="1890">
      <c r="A1890" s="232" t="s">
        <v>3743</v>
      </c>
      <c r="B1890" t="s">
        <v>3744</v>
      </c>
      <c r="C1890">
        <v>0.0</v>
      </c>
      <c r="D1890" t="s">
        <v>310</v>
      </c>
      <c r="E1890" t="s">
        <v>311</v>
      </c>
    </row>
    <row r="1891">
      <c r="A1891" s="232" t="s">
        <v>3745</v>
      </c>
      <c r="B1891" t="s">
        <v>3746</v>
      </c>
      <c r="C1891">
        <v>0.0</v>
      </c>
      <c r="D1891" t="s">
        <v>310</v>
      </c>
      <c r="E1891" t="s">
        <v>311</v>
      </c>
    </row>
    <row r="1892">
      <c r="A1892" s="232" t="s">
        <v>3747</v>
      </c>
      <c r="B1892" t="s">
        <v>3748</v>
      </c>
      <c r="C1892">
        <v>0.0</v>
      </c>
      <c r="D1892" t="s">
        <v>310</v>
      </c>
      <c r="E1892" t="s">
        <v>311</v>
      </c>
    </row>
    <row r="1893">
      <c r="A1893" s="232" t="s">
        <v>3749</v>
      </c>
      <c r="B1893" t="s">
        <v>3750</v>
      </c>
      <c r="C1893">
        <v>0.0</v>
      </c>
      <c r="D1893" t="s">
        <v>310</v>
      </c>
      <c r="E1893" t="s">
        <v>311</v>
      </c>
    </row>
    <row r="1894">
      <c r="A1894" s="232" t="s">
        <v>3751</v>
      </c>
      <c r="B1894" t="s">
        <v>3752</v>
      </c>
      <c r="C1894">
        <v>0.0</v>
      </c>
      <c r="D1894" t="s">
        <v>310</v>
      </c>
      <c r="E1894" t="s">
        <v>311</v>
      </c>
    </row>
    <row r="1895">
      <c r="A1895" s="232" t="s">
        <v>3753</v>
      </c>
      <c r="B1895" t="s">
        <v>3754</v>
      </c>
      <c r="C1895">
        <v>0.0</v>
      </c>
      <c r="D1895" t="s">
        <v>310</v>
      </c>
      <c r="E1895" t="s">
        <v>311</v>
      </c>
    </row>
    <row r="1896">
      <c r="A1896" s="232" t="s">
        <v>3755</v>
      </c>
      <c r="B1896" t="s">
        <v>3756</v>
      </c>
      <c r="C1896">
        <v>218.0</v>
      </c>
      <c r="D1896" t="s">
        <v>330</v>
      </c>
      <c r="E1896" t="s">
        <v>311</v>
      </c>
    </row>
    <row r="1897">
      <c r="A1897" s="232" t="s">
        <v>3757</v>
      </c>
      <c r="B1897" t="s">
        <v>3758</v>
      </c>
      <c r="C1897">
        <v>909.0</v>
      </c>
      <c r="D1897" t="s">
        <v>330</v>
      </c>
      <c r="E1897" t="s">
        <v>311</v>
      </c>
    </row>
    <row r="1898">
      <c r="A1898" s="232" t="s">
        <v>3759</v>
      </c>
      <c r="B1898" t="s">
        <v>3760</v>
      </c>
      <c r="C1898">
        <v>546.0</v>
      </c>
      <c r="D1898" t="s">
        <v>330</v>
      </c>
      <c r="E1898" t="s">
        <v>565</v>
      </c>
    </row>
    <row r="1899">
      <c r="A1899" s="232" t="s">
        <v>3761</v>
      </c>
      <c r="B1899" t="s">
        <v>3762</v>
      </c>
      <c r="C1899">
        <v>372.0</v>
      </c>
      <c r="D1899" t="s">
        <v>330</v>
      </c>
      <c r="E1899" t="s">
        <v>565</v>
      </c>
    </row>
    <row r="1900">
      <c r="A1900" s="232" t="s">
        <v>3763</v>
      </c>
      <c r="B1900" t="s">
        <v>3764</v>
      </c>
      <c r="C1900">
        <v>2.0</v>
      </c>
      <c r="D1900" t="s">
        <v>330</v>
      </c>
      <c r="E1900" t="s">
        <v>311</v>
      </c>
    </row>
    <row r="1901">
      <c r="A1901" s="232" t="s">
        <v>3765</v>
      </c>
      <c r="B1901" t="s">
        <v>3766</v>
      </c>
      <c r="C1901">
        <v>2.0</v>
      </c>
      <c r="D1901" t="s">
        <v>330</v>
      </c>
      <c r="E1901" t="s">
        <v>311</v>
      </c>
    </row>
    <row r="1902">
      <c r="A1902" s="232" t="s">
        <v>3767</v>
      </c>
      <c r="B1902" t="s">
        <v>3768</v>
      </c>
      <c r="C1902">
        <v>1.0</v>
      </c>
      <c r="D1902" t="s">
        <v>330</v>
      </c>
      <c r="E1902" t="s">
        <v>311</v>
      </c>
    </row>
    <row r="1903">
      <c r="A1903" s="232" t="s">
        <v>3769</v>
      </c>
      <c r="B1903" t="s">
        <v>3770</v>
      </c>
      <c r="C1903">
        <v>2.0</v>
      </c>
      <c r="D1903" t="s">
        <v>330</v>
      </c>
      <c r="E1903" t="s">
        <v>311</v>
      </c>
    </row>
    <row r="1904">
      <c r="A1904" s="232" t="s">
        <v>3771</v>
      </c>
      <c r="B1904" t="s">
        <v>3772</v>
      </c>
      <c r="C1904">
        <v>1.0</v>
      </c>
      <c r="D1904" t="s">
        <v>330</v>
      </c>
      <c r="E1904" t="s">
        <v>311</v>
      </c>
    </row>
    <row r="1905">
      <c r="A1905" s="232" t="s">
        <v>3773</v>
      </c>
      <c r="B1905" t="s">
        <v>3774</v>
      </c>
      <c r="C1905">
        <v>15.0</v>
      </c>
      <c r="D1905" t="s">
        <v>330</v>
      </c>
      <c r="E1905" t="s">
        <v>565</v>
      </c>
    </row>
    <row r="1906">
      <c r="A1906" s="232" t="s">
        <v>3775</v>
      </c>
      <c r="B1906" t="s">
        <v>3776</v>
      </c>
      <c r="C1906">
        <v>103.0</v>
      </c>
      <c r="D1906" t="s">
        <v>330</v>
      </c>
      <c r="E1906" t="s">
        <v>552</v>
      </c>
    </row>
    <row r="1907">
      <c r="A1907" s="232" t="s">
        <v>3777</v>
      </c>
      <c r="B1907" t="s">
        <v>3778</v>
      </c>
      <c r="C1907">
        <v>-8.0</v>
      </c>
      <c r="D1907" t="s">
        <v>330</v>
      </c>
      <c r="E1907" t="s">
        <v>311</v>
      </c>
    </row>
    <row r="1908">
      <c r="A1908" s="232" t="s">
        <v>3779</v>
      </c>
      <c r="B1908" t="s">
        <v>3780</v>
      </c>
      <c r="C1908">
        <v>-52.0</v>
      </c>
      <c r="D1908" t="s">
        <v>330</v>
      </c>
      <c r="E1908" t="s">
        <v>311</v>
      </c>
    </row>
    <row r="1909">
      <c r="A1909" s="232" t="s">
        <v>3781</v>
      </c>
      <c r="B1909" t="s">
        <v>3782</v>
      </c>
      <c r="C1909">
        <v>93.0</v>
      </c>
      <c r="D1909" t="s">
        <v>330</v>
      </c>
      <c r="E1909" t="s">
        <v>311</v>
      </c>
    </row>
    <row r="1910">
      <c r="A1910" s="232" t="s">
        <v>3783</v>
      </c>
      <c r="B1910" t="s">
        <v>3784</v>
      </c>
      <c r="C1910">
        <v>61.0</v>
      </c>
      <c r="D1910" t="s">
        <v>330</v>
      </c>
      <c r="E1910" t="s">
        <v>311</v>
      </c>
    </row>
    <row r="1911">
      <c r="A1911" s="232" t="s">
        <v>3785</v>
      </c>
      <c r="B1911" t="s">
        <v>3786</v>
      </c>
      <c r="C1911">
        <v>-72.0</v>
      </c>
      <c r="D1911" t="s">
        <v>330</v>
      </c>
      <c r="E1911" t="s">
        <v>311</v>
      </c>
    </row>
    <row r="1912">
      <c r="A1912" s="232" t="s">
        <v>3787</v>
      </c>
      <c r="B1912" t="s">
        <v>3788</v>
      </c>
      <c r="C1912">
        <v>29.0</v>
      </c>
      <c r="D1912" t="s">
        <v>330</v>
      </c>
      <c r="E1912" t="s">
        <v>311</v>
      </c>
    </row>
    <row r="1913">
      <c r="A1913" s="232" t="s">
        <v>3789</v>
      </c>
      <c r="B1913" t="s">
        <v>3790</v>
      </c>
      <c r="C1913">
        <v>106.0</v>
      </c>
      <c r="D1913" t="s">
        <v>330</v>
      </c>
      <c r="E1913" t="s">
        <v>311</v>
      </c>
    </row>
    <row r="1914">
      <c r="A1914" s="232" t="s">
        <v>3791</v>
      </c>
      <c r="B1914" t="s">
        <v>3792</v>
      </c>
      <c r="C1914">
        <v>205.0</v>
      </c>
      <c r="D1914" t="s">
        <v>330</v>
      </c>
      <c r="E1914" t="s">
        <v>311</v>
      </c>
    </row>
    <row r="1915">
      <c r="A1915" s="232" t="s">
        <v>3793</v>
      </c>
      <c r="B1915" t="s">
        <v>3794</v>
      </c>
      <c r="C1915">
        <v>0.0</v>
      </c>
      <c r="D1915" t="s">
        <v>310</v>
      </c>
      <c r="E1915" t="s">
        <v>311</v>
      </c>
    </row>
    <row r="1916">
      <c r="A1916" s="232" t="s">
        <v>3795</v>
      </c>
      <c r="B1916" t="s">
        <v>3796</v>
      </c>
      <c r="C1916">
        <v>0.0</v>
      </c>
      <c r="D1916" t="s">
        <v>310</v>
      </c>
      <c r="E1916" t="s">
        <v>311</v>
      </c>
    </row>
    <row r="1917">
      <c r="A1917" s="232">
        <v>43202.0</v>
      </c>
      <c r="B1917" t="s">
        <v>3797</v>
      </c>
      <c r="C1917">
        <v>0.0</v>
      </c>
      <c r="D1917" t="s">
        <v>310</v>
      </c>
      <c r="E1917" t="s">
        <v>1208</v>
      </c>
    </row>
    <row r="1918">
      <c r="A1918" s="232" t="s">
        <v>3798</v>
      </c>
      <c r="B1918" t="s">
        <v>3799</v>
      </c>
      <c r="C1918">
        <v>0.0</v>
      </c>
      <c r="D1918" t="s">
        <v>310</v>
      </c>
      <c r="E1918" t="s">
        <v>1208</v>
      </c>
    </row>
    <row r="1919">
      <c r="A1919" s="232">
        <v>91903.0</v>
      </c>
      <c r="B1919" t="s">
        <v>3800</v>
      </c>
      <c r="C1919">
        <v>0.0</v>
      </c>
      <c r="D1919" t="s">
        <v>310</v>
      </c>
      <c r="E1919" t="s">
        <v>311</v>
      </c>
    </row>
    <row r="1920">
      <c r="A1920" s="232">
        <v>91901.0</v>
      </c>
      <c r="B1920" t="s">
        <v>3801</v>
      </c>
      <c r="C1920">
        <v>0.0</v>
      </c>
      <c r="D1920" t="s">
        <v>310</v>
      </c>
      <c r="E1920" t="s">
        <v>311</v>
      </c>
    </row>
    <row r="1921">
      <c r="A1921" s="232">
        <v>91902.0</v>
      </c>
      <c r="B1921" t="s">
        <v>3802</v>
      </c>
      <c r="C1921">
        <v>0.0</v>
      </c>
      <c r="D1921" t="s">
        <v>310</v>
      </c>
      <c r="E1921" t="s">
        <v>311</v>
      </c>
    </row>
    <row r="1922">
      <c r="A1922" s="232" t="s">
        <v>3803</v>
      </c>
      <c r="B1922" t="s">
        <v>3804</v>
      </c>
      <c r="C1922">
        <v>0.0</v>
      </c>
      <c r="D1922" t="s">
        <v>310</v>
      </c>
      <c r="E1922" t="s">
        <v>311</v>
      </c>
    </row>
    <row r="1923">
      <c r="A1923" s="232" t="s">
        <v>3805</v>
      </c>
      <c r="B1923" t="s">
        <v>3806</v>
      </c>
      <c r="C1923">
        <v>0.0</v>
      </c>
      <c r="D1923" t="s">
        <v>310</v>
      </c>
      <c r="E1923" t="s">
        <v>311</v>
      </c>
    </row>
    <row r="1924">
      <c r="A1924" s="232" t="s">
        <v>3807</v>
      </c>
      <c r="B1924" t="s">
        <v>3808</v>
      </c>
      <c r="C1924">
        <v>0.0</v>
      </c>
      <c r="D1924" t="s">
        <v>310</v>
      </c>
      <c r="E1924" t="s">
        <v>311</v>
      </c>
    </row>
    <row r="1925">
      <c r="A1925" s="232" t="s">
        <v>3809</v>
      </c>
      <c r="B1925" t="s">
        <v>3810</v>
      </c>
      <c r="C1925">
        <v>0.0</v>
      </c>
      <c r="D1925" t="s">
        <v>310</v>
      </c>
      <c r="E1925" t="s">
        <v>311</v>
      </c>
    </row>
    <row r="1926">
      <c r="A1926" s="232" t="s">
        <v>3811</v>
      </c>
      <c r="B1926" t="s">
        <v>3812</v>
      </c>
      <c r="C1926">
        <v>0.0</v>
      </c>
      <c r="D1926" t="s">
        <v>310</v>
      </c>
      <c r="E1926" t="s">
        <v>311</v>
      </c>
    </row>
    <row r="1927">
      <c r="A1927" s="232" t="s">
        <v>3813</v>
      </c>
      <c r="B1927" t="s">
        <v>3814</v>
      </c>
      <c r="C1927">
        <v>0.0</v>
      </c>
      <c r="D1927" t="s">
        <v>310</v>
      </c>
      <c r="E1927" t="s">
        <v>311</v>
      </c>
    </row>
    <row r="1928">
      <c r="A1928" s="232" t="s">
        <v>3815</v>
      </c>
      <c r="B1928" t="s">
        <v>3816</v>
      </c>
      <c r="C1928">
        <v>0.0</v>
      </c>
      <c r="D1928" t="s">
        <v>310</v>
      </c>
      <c r="E1928" t="s">
        <v>311</v>
      </c>
    </row>
    <row r="1929">
      <c r="A1929" s="232" t="s">
        <v>3817</v>
      </c>
      <c r="B1929" t="s">
        <v>3818</v>
      </c>
      <c r="C1929">
        <v>0.0</v>
      </c>
      <c r="D1929" t="s">
        <v>310</v>
      </c>
      <c r="E1929" t="s">
        <v>311</v>
      </c>
    </row>
    <row r="1930">
      <c r="A1930" s="232" t="s">
        <v>3819</v>
      </c>
      <c r="B1930" t="s">
        <v>3820</v>
      </c>
      <c r="C1930">
        <v>0.0</v>
      </c>
      <c r="D1930" t="s">
        <v>330</v>
      </c>
      <c r="E1930" t="s">
        <v>311</v>
      </c>
    </row>
    <row r="1931">
      <c r="A1931" s="232" t="s">
        <v>3821</v>
      </c>
      <c r="B1931" t="s">
        <v>3822</v>
      </c>
      <c r="C1931">
        <v>330.0</v>
      </c>
      <c r="D1931" t="s">
        <v>330</v>
      </c>
      <c r="E1931" t="s">
        <v>311</v>
      </c>
    </row>
    <row r="1932">
      <c r="A1932" s="232" t="s">
        <v>3823</v>
      </c>
      <c r="B1932" t="s">
        <v>3824</v>
      </c>
      <c r="C1932">
        <v>372.0</v>
      </c>
      <c r="D1932" t="s">
        <v>330</v>
      </c>
      <c r="E1932" t="s">
        <v>311</v>
      </c>
    </row>
    <row r="1933">
      <c r="A1933" s="232" t="s">
        <v>3825</v>
      </c>
      <c r="B1933" t="s">
        <v>3826</v>
      </c>
      <c r="C1933">
        <v>264.0</v>
      </c>
      <c r="D1933" t="s">
        <v>330</v>
      </c>
      <c r="E1933" t="s">
        <v>311</v>
      </c>
    </row>
    <row r="1934">
      <c r="A1934" s="232" t="s">
        <v>3827</v>
      </c>
      <c r="B1934" t="s">
        <v>3828</v>
      </c>
      <c r="C1934">
        <v>134.0</v>
      </c>
      <c r="D1934" t="s">
        <v>330</v>
      </c>
      <c r="E1934" t="s">
        <v>311</v>
      </c>
    </row>
    <row r="1935">
      <c r="A1935" s="232" t="s">
        <v>3829</v>
      </c>
      <c r="B1935" t="s">
        <v>3830</v>
      </c>
      <c r="C1935">
        <v>238.0</v>
      </c>
      <c r="D1935" t="s">
        <v>330</v>
      </c>
      <c r="E1935" t="s">
        <v>311</v>
      </c>
    </row>
    <row r="1936">
      <c r="A1936" s="232" t="s">
        <v>3831</v>
      </c>
      <c r="B1936" t="s">
        <v>3832</v>
      </c>
      <c r="C1936">
        <v>0.0</v>
      </c>
      <c r="D1936" t="s">
        <v>330</v>
      </c>
      <c r="E1936" t="s">
        <v>311</v>
      </c>
    </row>
    <row r="1937">
      <c r="A1937" s="232" t="s">
        <v>3833</v>
      </c>
      <c r="B1937" t="s">
        <v>3834</v>
      </c>
      <c r="C1937">
        <v>4.0</v>
      </c>
      <c r="D1937" t="s">
        <v>330</v>
      </c>
      <c r="E1937" t="s">
        <v>311</v>
      </c>
    </row>
    <row r="1938">
      <c r="A1938" s="232" t="s">
        <v>3835</v>
      </c>
      <c r="B1938" t="s">
        <v>3836</v>
      </c>
      <c r="C1938">
        <v>183.0</v>
      </c>
      <c r="D1938" t="s">
        <v>330</v>
      </c>
      <c r="E1938" t="s">
        <v>311</v>
      </c>
    </row>
    <row r="1939">
      <c r="A1939" s="232" t="s">
        <v>3837</v>
      </c>
      <c r="B1939" t="s">
        <v>3838</v>
      </c>
      <c r="C1939">
        <v>391.0</v>
      </c>
      <c r="D1939" t="s">
        <v>330</v>
      </c>
      <c r="E1939" t="s">
        <v>311</v>
      </c>
    </row>
    <row r="1940">
      <c r="A1940" s="232" t="s">
        <v>3839</v>
      </c>
      <c r="B1940" t="s">
        <v>3840</v>
      </c>
      <c r="C1940">
        <v>178.0</v>
      </c>
      <c r="D1940" t="s">
        <v>330</v>
      </c>
      <c r="E1940" t="s">
        <v>311</v>
      </c>
    </row>
    <row r="1941">
      <c r="A1941" s="232" t="s">
        <v>3841</v>
      </c>
      <c r="B1941" t="s">
        <v>3842</v>
      </c>
      <c r="C1941">
        <v>214.0</v>
      </c>
      <c r="D1941" t="s">
        <v>330</v>
      </c>
      <c r="E1941" t="s">
        <v>311</v>
      </c>
    </row>
    <row r="1942">
      <c r="A1942" s="232" t="s">
        <v>3843</v>
      </c>
      <c r="B1942" t="s">
        <v>3844</v>
      </c>
      <c r="C1942">
        <v>79.0</v>
      </c>
      <c r="D1942" t="s">
        <v>330</v>
      </c>
      <c r="E1942" t="s">
        <v>311</v>
      </c>
    </row>
    <row r="1943">
      <c r="A1943" s="232" t="s">
        <v>3845</v>
      </c>
      <c r="B1943" t="s">
        <v>3846</v>
      </c>
      <c r="C1943">
        <v>474.0</v>
      </c>
      <c r="D1943" t="s">
        <v>330</v>
      </c>
      <c r="E1943" t="s">
        <v>311</v>
      </c>
    </row>
    <row r="1944">
      <c r="A1944" s="232" t="s">
        <v>3847</v>
      </c>
      <c r="B1944" t="s">
        <v>3848</v>
      </c>
      <c r="C1944">
        <v>1.0</v>
      </c>
      <c r="D1944" t="s">
        <v>310</v>
      </c>
      <c r="E1944" t="s">
        <v>311</v>
      </c>
    </row>
    <row r="1945">
      <c r="A1945" s="232" t="s">
        <v>3849</v>
      </c>
      <c r="B1945" t="s">
        <v>3850</v>
      </c>
      <c r="C1945">
        <v>356.0</v>
      </c>
      <c r="D1945" t="s">
        <v>330</v>
      </c>
      <c r="E1945" t="s">
        <v>311</v>
      </c>
    </row>
    <row r="1946">
      <c r="A1946" s="232" t="s">
        <v>3851</v>
      </c>
      <c r="B1946" t="s">
        <v>3852</v>
      </c>
      <c r="C1946">
        <v>247.0</v>
      </c>
      <c r="D1946" t="s">
        <v>330</v>
      </c>
      <c r="E1946" t="s">
        <v>311</v>
      </c>
    </row>
    <row r="1947">
      <c r="A1947" s="232" t="s">
        <v>3853</v>
      </c>
      <c r="B1947" t="s">
        <v>3854</v>
      </c>
      <c r="C1947">
        <v>169.0</v>
      </c>
      <c r="D1947" t="s">
        <v>330</v>
      </c>
      <c r="E1947" t="s">
        <v>311</v>
      </c>
    </row>
    <row r="1948">
      <c r="A1948" s="232" t="s">
        <v>3855</v>
      </c>
      <c r="B1948" t="s">
        <v>3856</v>
      </c>
      <c r="C1948">
        <v>178.0</v>
      </c>
      <c r="D1948" t="s">
        <v>330</v>
      </c>
      <c r="E1948" t="s">
        <v>311</v>
      </c>
    </row>
    <row r="1949">
      <c r="A1949" s="232" t="s">
        <v>3857</v>
      </c>
      <c r="B1949" t="s">
        <v>3858</v>
      </c>
      <c r="C1949">
        <v>361.0</v>
      </c>
      <c r="D1949" t="s">
        <v>330</v>
      </c>
      <c r="E1949" t="s">
        <v>311</v>
      </c>
    </row>
    <row r="1950">
      <c r="A1950" s="232" t="s">
        <v>3859</v>
      </c>
      <c r="B1950" t="s">
        <v>3860</v>
      </c>
      <c r="C1950">
        <v>228.0</v>
      </c>
      <c r="D1950" t="s">
        <v>330</v>
      </c>
      <c r="E1950" t="s">
        <v>311</v>
      </c>
    </row>
    <row r="1951">
      <c r="A1951" s="232" t="s">
        <v>3861</v>
      </c>
      <c r="B1951" t="s">
        <v>3862</v>
      </c>
      <c r="C1951">
        <v>249.0</v>
      </c>
      <c r="D1951" t="s">
        <v>330</v>
      </c>
      <c r="E1951" t="s">
        <v>311</v>
      </c>
    </row>
    <row r="1952">
      <c r="A1952" s="232" t="s">
        <v>3863</v>
      </c>
      <c r="B1952" t="s">
        <v>3864</v>
      </c>
      <c r="C1952">
        <v>171.0</v>
      </c>
      <c r="D1952" t="s">
        <v>330</v>
      </c>
      <c r="E1952" t="s">
        <v>311</v>
      </c>
    </row>
    <row r="1953">
      <c r="A1953" s="232" t="s">
        <v>3865</v>
      </c>
      <c r="B1953" t="s">
        <v>3866</v>
      </c>
      <c r="C1953">
        <v>0.0</v>
      </c>
      <c r="D1953" t="s">
        <v>330</v>
      </c>
      <c r="E1953" t="s">
        <v>311</v>
      </c>
    </row>
    <row r="1954">
      <c r="A1954" s="232" t="s">
        <v>3867</v>
      </c>
      <c r="B1954" t="s">
        <v>3868</v>
      </c>
      <c r="C1954">
        <v>295.0</v>
      </c>
      <c r="D1954" t="s">
        <v>330</v>
      </c>
      <c r="E1954" t="s">
        <v>311</v>
      </c>
    </row>
    <row r="1955">
      <c r="A1955" s="232" t="s">
        <v>3869</v>
      </c>
      <c r="B1955" t="s">
        <v>3870</v>
      </c>
      <c r="C1955">
        <v>-4.0</v>
      </c>
      <c r="D1955" t="s">
        <v>330</v>
      </c>
      <c r="E1955" t="s">
        <v>311</v>
      </c>
    </row>
    <row r="1956">
      <c r="A1956" s="232" t="s">
        <v>3871</v>
      </c>
      <c r="B1956" t="s">
        <v>3872</v>
      </c>
      <c r="C1956">
        <v>336.0</v>
      </c>
      <c r="D1956" t="s">
        <v>330</v>
      </c>
      <c r="E1956" t="s">
        <v>311</v>
      </c>
    </row>
    <row r="1957">
      <c r="A1957" s="232" t="s">
        <v>3873</v>
      </c>
      <c r="B1957" t="s">
        <v>3874</v>
      </c>
      <c r="C1957">
        <v>98.0</v>
      </c>
      <c r="D1957" t="s">
        <v>330</v>
      </c>
      <c r="E1957" t="s">
        <v>311</v>
      </c>
    </row>
    <row r="1958">
      <c r="A1958" s="232" t="s">
        <v>3875</v>
      </c>
      <c r="B1958" t="s">
        <v>3876</v>
      </c>
      <c r="C1958">
        <v>113.0</v>
      </c>
      <c r="D1958" t="s">
        <v>330</v>
      </c>
      <c r="E1958" t="s">
        <v>311</v>
      </c>
    </row>
    <row r="1959">
      <c r="A1959" s="232" t="s">
        <v>3877</v>
      </c>
      <c r="B1959" t="s">
        <v>3878</v>
      </c>
      <c r="C1959">
        <v>427.0</v>
      </c>
      <c r="D1959" t="s">
        <v>330</v>
      </c>
      <c r="E1959" t="s">
        <v>311</v>
      </c>
    </row>
    <row r="1960">
      <c r="A1960" s="232" t="s">
        <v>3879</v>
      </c>
      <c r="B1960" t="s">
        <v>3880</v>
      </c>
      <c r="C1960">
        <v>264.0</v>
      </c>
      <c r="D1960" t="s">
        <v>330</v>
      </c>
      <c r="E1960" t="s">
        <v>311</v>
      </c>
    </row>
    <row r="1961">
      <c r="A1961" s="232" t="s">
        <v>3881</v>
      </c>
      <c r="B1961" t="s">
        <v>3882</v>
      </c>
      <c r="C1961">
        <v>515.0</v>
      </c>
      <c r="D1961" t="s">
        <v>330</v>
      </c>
      <c r="E1961" t="s">
        <v>311</v>
      </c>
    </row>
    <row r="1962">
      <c r="A1962" s="232" t="s">
        <v>3883</v>
      </c>
      <c r="B1962" t="s">
        <v>3884</v>
      </c>
      <c r="C1962">
        <v>462.0</v>
      </c>
      <c r="D1962" t="s">
        <v>330</v>
      </c>
      <c r="E1962" t="s">
        <v>311</v>
      </c>
    </row>
    <row r="1963">
      <c r="A1963" s="232" t="s">
        <v>3885</v>
      </c>
      <c r="B1963" t="s">
        <v>3886</v>
      </c>
      <c r="C1963">
        <v>215.0</v>
      </c>
      <c r="D1963" t="s">
        <v>330</v>
      </c>
      <c r="E1963" t="s">
        <v>311</v>
      </c>
    </row>
    <row r="1964">
      <c r="A1964" s="232" t="s">
        <v>3887</v>
      </c>
      <c r="B1964" t="s">
        <v>3888</v>
      </c>
      <c r="C1964">
        <v>-18.0</v>
      </c>
      <c r="D1964" t="s">
        <v>330</v>
      </c>
      <c r="E1964" t="s">
        <v>311</v>
      </c>
    </row>
    <row r="1965">
      <c r="A1965" s="232" t="s">
        <v>3889</v>
      </c>
      <c r="B1965" t="s">
        <v>3890</v>
      </c>
      <c r="C1965">
        <v>278.0</v>
      </c>
      <c r="D1965" t="s">
        <v>330</v>
      </c>
      <c r="E1965" t="s">
        <v>311</v>
      </c>
    </row>
    <row r="1966">
      <c r="A1966" s="232" t="s">
        <v>3891</v>
      </c>
      <c r="B1966" t="s">
        <v>3892</v>
      </c>
      <c r="C1966">
        <v>301.0</v>
      </c>
      <c r="D1966" t="s">
        <v>330</v>
      </c>
      <c r="E1966" t="s">
        <v>311</v>
      </c>
    </row>
    <row r="1967">
      <c r="A1967" s="232" t="s">
        <v>3893</v>
      </c>
      <c r="B1967" t="s">
        <v>3894</v>
      </c>
      <c r="C1967">
        <v>262.0</v>
      </c>
      <c r="D1967" t="s">
        <v>330</v>
      </c>
      <c r="E1967" t="s">
        <v>311</v>
      </c>
    </row>
    <row r="1968">
      <c r="A1968" s="232" t="s">
        <v>3895</v>
      </c>
      <c r="B1968" t="s">
        <v>3896</v>
      </c>
      <c r="C1968">
        <v>30.0</v>
      </c>
      <c r="D1968" t="s">
        <v>330</v>
      </c>
      <c r="E1968" t="s">
        <v>311</v>
      </c>
    </row>
    <row r="1969">
      <c r="A1969" s="232" t="s">
        <v>3897</v>
      </c>
      <c r="B1969" t="s">
        <v>3898</v>
      </c>
      <c r="C1969">
        <v>-3.0</v>
      </c>
      <c r="D1969" t="s">
        <v>330</v>
      </c>
      <c r="E1969" t="s">
        <v>311</v>
      </c>
    </row>
    <row r="1970">
      <c r="A1970" s="232" t="s">
        <v>3899</v>
      </c>
      <c r="B1970" t="s">
        <v>3900</v>
      </c>
      <c r="C1970">
        <v>0.0</v>
      </c>
      <c r="D1970" t="s">
        <v>330</v>
      </c>
      <c r="E1970" t="s">
        <v>311</v>
      </c>
    </row>
    <row r="1971">
      <c r="A1971" s="232" t="s">
        <v>3901</v>
      </c>
      <c r="B1971" t="s">
        <v>3902</v>
      </c>
      <c r="C1971">
        <v>0.0</v>
      </c>
      <c r="D1971" t="s">
        <v>330</v>
      </c>
      <c r="E1971" t="s">
        <v>311</v>
      </c>
    </row>
    <row r="1972">
      <c r="A1972" s="232" t="s">
        <v>3903</v>
      </c>
      <c r="B1972" t="s">
        <v>3904</v>
      </c>
      <c r="C1972">
        <v>21.0</v>
      </c>
      <c r="D1972" t="s">
        <v>330</v>
      </c>
      <c r="E1972" t="s">
        <v>311</v>
      </c>
    </row>
    <row r="1973">
      <c r="A1973" s="232" t="s">
        <v>3905</v>
      </c>
      <c r="B1973" t="s">
        <v>3906</v>
      </c>
      <c r="C1973">
        <v>0.0</v>
      </c>
      <c r="D1973" t="s">
        <v>330</v>
      </c>
      <c r="E1973" t="s">
        <v>311</v>
      </c>
    </row>
    <row r="1974">
      <c r="A1974" s="232" t="s">
        <v>3907</v>
      </c>
      <c r="B1974" t="s">
        <v>3908</v>
      </c>
      <c r="C1974">
        <v>-12.0</v>
      </c>
      <c r="D1974" t="s">
        <v>330</v>
      </c>
      <c r="E1974" t="s">
        <v>311</v>
      </c>
    </row>
    <row r="1975">
      <c r="A1975" s="232" t="s">
        <v>3909</v>
      </c>
      <c r="B1975" t="s">
        <v>3910</v>
      </c>
      <c r="C1975">
        <v>0.0</v>
      </c>
      <c r="D1975" t="s">
        <v>330</v>
      </c>
      <c r="E1975" t="s">
        <v>311</v>
      </c>
    </row>
    <row r="1976">
      <c r="A1976" s="232" t="s">
        <v>3911</v>
      </c>
      <c r="B1976" t="s">
        <v>3912</v>
      </c>
      <c r="C1976">
        <v>-39.0</v>
      </c>
      <c r="D1976" t="s">
        <v>330</v>
      </c>
      <c r="E1976" t="s">
        <v>311</v>
      </c>
    </row>
    <row r="1977">
      <c r="A1977" s="232" t="s">
        <v>3913</v>
      </c>
      <c r="B1977" t="s">
        <v>3914</v>
      </c>
      <c r="C1977">
        <v>0.0</v>
      </c>
      <c r="D1977" t="s">
        <v>330</v>
      </c>
      <c r="E1977" t="s">
        <v>311</v>
      </c>
    </row>
    <row r="1978">
      <c r="A1978" s="232" t="s">
        <v>3915</v>
      </c>
      <c r="B1978" t="s">
        <v>3916</v>
      </c>
      <c r="C1978">
        <v>0.0</v>
      </c>
      <c r="D1978" t="s">
        <v>330</v>
      </c>
      <c r="E1978" t="s">
        <v>311</v>
      </c>
    </row>
    <row r="1979">
      <c r="A1979" s="232" t="s">
        <v>3917</v>
      </c>
      <c r="B1979" t="s">
        <v>3918</v>
      </c>
      <c r="C1979">
        <v>0.0</v>
      </c>
      <c r="D1979" t="s">
        <v>330</v>
      </c>
      <c r="E1979" t="s">
        <v>311</v>
      </c>
    </row>
    <row r="1980">
      <c r="A1980" s="232" t="s">
        <v>3919</v>
      </c>
      <c r="B1980" t="s">
        <v>3920</v>
      </c>
      <c r="C1980">
        <v>0.0</v>
      </c>
      <c r="D1980" t="s">
        <v>330</v>
      </c>
      <c r="E1980" t="s">
        <v>311</v>
      </c>
    </row>
    <row r="1981">
      <c r="A1981" s="232" t="s">
        <v>3921</v>
      </c>
      <c r="B1981" t="s">
        <v>3922</v>
      </c>
      <c r="C1981">
        <v>-57.0</v>
      </c>
      <c r="D1981" t="s">
        <v>330</v>
      </c>
      <c r="E1981" t="s">
        <v>311</v>
      </c>
    </row>
    <row r="1982">
      <c r="A1982" s="232" t="s">
        <v>3923</v>
      </c>
      <c r="B1982" t="s">
        <v>3924</v>
      </c>
      <c r="C1982">
        <v>0.0</v>
      </c>
      <c r="D1982" t="s">
        <v>310</v>
      </c>
      <c r="E1982" t="s">
        <v>311</v>
      </c>
    </row>
    <row r="1983">
      <c r="A1983" s="232" t="s">
        <v>3925</v>
      </c>
      <c r="B1983" t="s">
        <v>3926</v>
      </c>
      <c r="C1983">
        <v>-45.0</v>
      </c>
      <c r="D1983" t="s">
        <v>330</v>
      </c>
      <c r="E1983" t="s">
        <v>311</v>
      </c>
    </row>
    <row r="1984">
      <c r="A1984" s="232" t="s">
        <v>3927</v>
      </c>
      <c r="B1984" t="s">
        <v>3928</v>
      </c>
      <c r="C1984">
        <v>-69.0</v>
      </c>
      <c r="D1984" t="s">
        <v>330</v>
      </c>
      <c r="E1984" t="s">
        <v>311</v>
      </c>
    </row>
    <row r="1985">
      <c r="A1985" s="232" t="s">
        <v>3929</v>
      </c>
      <c r="B1985" t="s">
        <v>3930</v>
      </c>
      <c r="C1985">
        <v>-51.0</v>
      </c>
      <c r="D1985" t="s">
        <v>330</v>
      </c>
      <c r="E1985" t="s">
        <v>311</v>
      </c>
    </row>
    <row r="1986">
      <c r="A1986" s="232" t="s">
        <v>3931</v>
      </c>
      <c r="B1986" t="s">
        <v>3932</v>
      </c>
      <c r="C1986">
        <v>-81.0</v>
      </c>
      <c r="D1986" t="s">
        <v>330</v>
      </c>
      <c r="E1986" t="s">
        <v>311</v>
      </c>
    </row>
    <row r="1987">
      <c r="A1987" s="232" t="s">
        <v>3933</v>
      </c>
      <c r="B1987" t="s">
        <v>3934</v>
      </c>
      <c r="C1987">
        <v>0.0</v>
      </c>
      <c r="D1987" t="s">
        <v>330</v>
      </c>
      <c r="E1987" t="s">
        <v>311</v>
      </c>
    </row>
    <row r="1988">
      <c r="A1988" s="232" t="s">
        <v>3935</v>
      </c>
      <c r="B1988" t="s">
        <v>3936</v>
      </c>
      <c r="C1988">
        <v>0.0</v>
      </c>
      <c r="D1988" t="s">
        <v>310</v>
      </c>
      <c r="E1988" t="s">
        <v>311</v>
      </c>
    </row>
    <row r="1989">
      <c r="A1989" s="232" t="s">
        <v>3937</v>
      </c>
      <c r="B1989" t="s">
        <v>3938</v>
      </c>
      <c r="C1989">
        <v>0.0</v>
      </c>
      <c r="D1989" t="s">
        <v>310</v>
      </c>
      <c r="E1989" t="s">
        <v>311</v>
      </c>
    </row>
    <row r="1990">
      <c r="A1990" s="232">
        <v>71501.0</v>
      </c>
      <c r="B1990" t="s">
        <v>3939</v>
      </c>
      <c r="C1990">
        <v>214.0</v>
      </c>
      <c r="D1990" t="s">
        <v>330</v>
      </c>
      <c r="E1990" t="s">
        <v>311</v>
      </c>
    </row>
    <row r="1991">
      <c r="A1991" s="232">
        <v>71201.0</v>
      </c>
      <c r="B1991" t="s">
        <v>3940</v>
      </c>
      <c r="C1991">
        <v>258.0</v>
      </c>
      <c r="D1991" t="s">
        <v>330</v>
      </c>
      <c r="E1991" t="s">
        <v>311</v>
      </c>
    </row>
    <row r="1992">
      <c r="A1992" s="232">
        <v>71301.0</v>
      </c>
      <c r="B1992" t="s">
        <v>3941</v>
      </c>
      <c r="C1992">
        <v>65.0</v>
      </c>
      <c r="D1992" t="s">
        <v>330</v>
      </c>
      <c r="E1992" t="s">
        <v>311</v>
      </c>
    </row>
    <row r="1993">
      <c r="A1993" s="232">
        <v>71101.0</v>
      </c>
      <c r="B1993" t="s">
        <v>3942</v>
      </c>
      <c r="C1993">
        <v>121.0</v>
      </c>
      <c r="D1993" t="s">
        <v>330</v>
      </c>
      <c r="E1993" t="s">
        <v>311</v>
      </c>
    </row>
    <row r="1994">
      <c r="A1994" s="232">
        <v>71401.0</v>
      </c>
      <c r="B1994" t="s">
        <v>3943</v>
      </c>
      <c r="C1994">
        <v>85.0</v>
      </c>
      <c r="D1994" t="s">
        <v>330</v>
      </c>
      <c r="E1994" t="s">
        <v>311</v>
      </c>
    </row>
    <row r="1995">
      <c r="A1995" s="232" t="s">
        <v>3944</v>
      </c>
      <c r="B1995" t="s">
        <v>3945</v>
      </c>
      <c r="C1995">
        <v>105.0</v>
      </c>
      <c r="D1995" t="s">
        <v>330</v>
      </c>
      <c r="E1995" t="s">
        <v>311</v>
      </c>
    </row>
    <row r="1996">
      <c r="A1996" s="232" t="s">
        <v>3946</v>
      </c>
      <c r="B1996" t="s">
        <v>3947</v>
      </c>
      <c r="C1996">
        <v>2.0</v>
      </c>
      <c r="D1996" t="s">
        <v>330</v>
      </c>
      <c r="E1996" t="s">
        <v>565</v>
      </c>
    </row>
    <row r="1997">
      <c r="A1997" s="232" t="s">
        <v>3948</v>
      </c>
      <c r="B1997" t="s">
        <v>3949</v>
      </c>
      <c r="C1997">
        <v>72.0</v>
      </c>
      <c r="D1997" t="s">
        <v>330</v>
      </c>
      <c r="E1997" t="s">
        <v>565</v>
      </c>
    </row>
    <row r="1998">
      <c r="A1998" s="232" t="s">
        <v>3950</v>
      </c>
      <c r="B1998" t="s">
        <v>3951</v>
      </c>
      <c r="C1998">
        <v>362.0</v>
      </c>
      <c r="D1998" t="s">
        <v>330</v>
      </c>
      <c r="E1998" t="s">
        <v>565</v>
      </c>
    </row>
    <row r="1999">
      <c r="A1999" s="232" t="s">
        <v>3952</v>
      </c>
      <c r="B1999" t="s">
        <v>3953</v>
      </c>
      <c r="C1999">
        <v>18.0</v>
      </c>
      <c r="D1999" t="s">
        <v>330</v>
      </c>
      <c r="E1999" t="s">
        <v>565</v>
      </c>
    </row>
    <row r="2000">
      <c r="A2000" s="232" t="s">
        <v>3954</v>
      </c>
      <c r="B2000" t="s">
        <v>3955</v>
      </c>
      <c r="C2000">
        <v>288.0</v>
      </c>
      <c r="D2000" t="s">
        <v>330</v>
      </c>
      <c r="E2000" t="s">
        <v>565</v>
      </c>
    </row>
    <row r="2001">
      <c r="A2001" s="232" t="s">
        <v>3956</v>
      </c>
      <c r="B2001" t="s">
        <v>3957</v>
      </c>
      <c r="C2001">
        <v>732.0</v>
      </c>
      <c r="D2001" t="s">
        <v>330</v>
      </c>
      <c r="E2001" t="s">
        <v>565</v>
      </c>
    </row>
    <row r="2002">
      <c r="A2002" s="232" t="s">
        <v>3958</v>
      </c>
      <c r="B2002" t="s">
        <v>3959</v>
      </c>
      <c r="C2002">
        <v>462.0</v>
      </c>
      <c r="D2002" t="s">
        <v>330</v>
      </c>
      <c r="E2002" t="s">
        <v>565</v>
      </c>
    </row>
    <row r="2003">
      <c r="A2003" s="232" t="s">
        <v>3960</v>
      </c>
      <c r="B2003" t="s">
        <v>3961</v>
      </c>
      <c r="C2003">
        <v>0.0</v>
      </c>
      <c r="D2003" t="s">
        <v>330</v>
      </c>
      <c r="E2003" t="s">
        <v>565</v>
      </c>
    </row>
    <row r="2004">
      <c r="A2004" s="232" t="s">
        <v>3962</v>
      </c>
      <c r="B2004" t="s">
        <v>3963</v>
      </c>
      <c r="C2004">
        <v>5.0</v>
      </c>
      <c r="D2004" t="s">
        <v>330</v>
      </c>
      <c r="E2004" t="s">
        <v>565</v>
      </c>
    </row>
    <row r="2005">
      <c r="A2005" s="232" t="s">
        <v>3964</v>
      </c>
      <c r="B2005" t="s">
        <v>3965</v>
      </c>
      <c r="C2005">
        <v>16440.0</v>
      </c>
      <c r="D2005" t="s">
        <v>330</v>
      </c>
      <c r="E2005" t="s">
        <v>311</v>
      </c>
    </row>
    <row r="2006">
      <c r="A2006" s="232" t="s">
        <v>3966</v>
      </c>
      <c r="B2006" t="s">
        <v>3967</v>
      </c>
      <c r="C2006">
        <v>0.0</v>
      </c>
      <c r="D2006" t="s">
        <v>330</v>
      </c>
      <c r="E2006" t="s">
        <v>311</v>
      </c>
    </row>
    <row r="2007">
      <c r="A2007" s="232" t="s">
        <v>3968</v>
      </c>
      <c r="B2007" t="s">
        <v>3969</v>
      </c>
      <c r="C2007">
        <v>0.0</v>
      </c>
      <c r="D2007" t="s">
        <v>330</v>
      </c>
      <c r="E2007" t="s">
        <v>311</v>
      </c>
    </row>
    <row r="2008">
      <c r="A2008" s="232" t="s">
        <v>3970</v>
      </c>
      <c r="B2008" t="s">
        <v>3971</v>
      </c>
      <c r="C2008">
        <v>0.0</v>
      </c>
      <c r="D2008" t="s">
        <v>310</v>
      </c>
      <c r="E2008" t="s">
        <v>311</v>
      </c>
    </row>
    <row r="2009">
      <c r="A2009" s="232" t="s">
        <v>3972</v>
      </c>
      <c r="B2009" t="s">
        <v>3973</v>
      </c>
      <c r="C2009">
        <v>0.0</v>
      </c>
      <c r="D2009" t="s">
        <v>310</v>
      </c>
      <c r="E2009" t="s">
        <v>311</v>
      </c>
    </row>
    <row r="2010">
      <c r="A2010" s="232" t="s">
        <v>3974</v>
      </c>
      <c r="B2010" t="s">
        <v>3975</v>
      </c>
      <c r="C2010">
        <v>0.0</v>
      </c>
      <c r="D2010" t="s">
        <v>310</v>
      </c>
      <c r="E2010" t="s">
        <v>311</v>
      </c>
    </row>
    <row r="2011">
      <c r="A2011" s="232" t="s">
        <v>3976</v>
      </c>
      <c r="B2011" t="s">
        <v>3977</v>
      </c>
      <c r="C2011">
        <v>0.0</v>
      </c>
      <c r="D2011" t="s">
        <v>310</v>
      </c>
      <c r="E2011" t="s">
        <v>311</v>
      </c>
    </row>
    <row r="2012">
      <c r="A2012" s="232" t="s">
        <v>3978</v>
      </c>
      <c r="B2012" t="s">
        <v>3979</v>
      </c>
      <c r="C2012">
        <v>0.0</v>
      </c>
      <c r="D2012" t="s">
        <v>310</v>
      </c>
      <c r="E2012" t="s">
        <v>311</v>
      </c>
    </row>
    <row r="2013">
      <c r="A2013" s="232" t="s">
        <v>3980</v>
      </c>
      <c r="B2013" t="s">
        <v>3981</v>
      </c>
      <c r="C2013">
        <v>18.0</v>
      </c>
      <c r="D2013" t="s">
        <v>330</v>
      </c>
      <c r="E2013" t="s">
        <v>565</v>
      </c>
    </row>
    <row r="2014">
      <c r="A2014" s="232" t="s">
        <v>3982</v>
      </c>
      <c r="B2014" t="s">
        <v>3983</v>
      </c>
      <c r="C2014">
        <v>204.0</v>
      </c>
      <c r="D2014" t="s">
        <v>330</v>
      </c>
      <c r="E2014" t="s">
        <v>565</v>
      </c>
    </row>
    <row r="2015">
      <c r="A2015" s="232" t="s">
        <v>3984</v>
      </c>
      <c r="B2015" t="s">
        <v>3985</v>
      </c>
      <c r="C2015">
        <v>245.0</v>
      </c>
      <c r="D2015" t="s">
        <v>330</v>
      </c>
      <c r="E2015" t="s">
        <v>565</v>
      </c>
    </row>
    <row r="2016">
      <c r="A2016" s="232" t="s">
        <v>3986</v>
      </c>
      <c r="B2016" t="s">
        <v>3987</v>
      </c>
      <c r="C2016">
        <v>0.0</v>
      </c>
      <c r="D2016" t="s">
        <v>330</v>
      </c>
      <c r="E2016" t="s">
        <v>565</v>
      </c>
    </row>
    <row r="2017">
      <c r="A2017" s="232" t="s">
        <v>3988</v>
      </c>
      <c r="B2017" t="s">
        <v>3989</v>
      </c>
      <c r="C2017">
        <v>239.0</v>
      </c>
      <c r="D2017" t="s">
        <v>330</v>
      </c>
      <c r="E2017" t="s">
        <v>565</v>
      </c>
    </row>
    <row r="2018">
      <c r="A2018" s="232" t="s">
        <v>3990</v>
      </c>
      <c r="B2018" t="s">
        <v>3991</v>
      </c>
      <c r="C2018">
        <v>6.0</v>
      </c>
      <c r="D2018" t="s">
        <v>330</v>
      </c>
      <c r="E2018" t="s">
        <v>565</v>
      </c>
    </row>
    <row r="2019">
      <c r="A2019" s="232" t="s">
        <v>3992</v>
      </c>
      <c r="B2019" t="s">
        <v>3993</v>
      </c>
      <c r="C2019">
        <v>528.0</v>
      </c>
      <c r="D2019" t="s">
        <v>330</v>
      </c>
      <c r="E2019" t="s">
        <v>565</v>
      </c>
    </row>
    <row r="2020">
      <c r="A2020" s="232" t="s">
        <v>3994</v>
      </c>
      <c r="B2020" t="s">
        <v>3995</v>
      </c>
      <c r="C2020">
        <v>0.0</v>
      </c>
      <c r="D2020" t="s">
        <v>310</v>
      </c>
      <c r="E2020" t="s">
        <v>311</v>
      </c>
    </row>
    <row r="2021">
      <c r="A2021" s="232" t="s">
        <v>3996</v>
      </c>
      <c r="B2021" t="s">
        <v>3997</v>
      </c>
      <c r="C2021">
        <v>12.0</v>
      </c>
      <c r="D2021" t="s">
        <v>330</v>
      </c>
      <c r="E2021" t="s">
        <v>565</v>
      </c>
    </row>
    <row r="2022">
      <c r="A2022" s="232" t="s">
        <v>3998</v>
      </c>
      <c r="B2022" t="s">
        <v>3999</v>
      </c>
      <c r="C2022">
        <v>435.0</v>
      </c>
      <c r="D2022" t="s">
        <v>330</v>
      </c>
      <c r="E2022" t="s">
        <v>565</v>
      </c>
    </row>
    <row r="2023">
      <c r="A2023" s="232" t="s">
        <v>4000</v>
      </c>
      <c r="B2023" t="s">
        <v>4001</v>
      </c>
      <c r="C2023">
        <v>0.0</v>
      </c>
      <c r="D2023" t="s">
        <v>330</v>
      </c>
      <c r="E2023" t="s">
        <v>311</v>
      </c>
    </row>
    <row r="2024">
      <c r="A2024" s="232" t="s">
        <v>4002</v>
      </c>
      <c r="B2024" t="s">
        <v>4003</v>
      </c>
      <c r="C2024">
        <v>0.0</v>
      </c>
      <c r="D2024" t="s">
        <v>330</v>
      </c>
      <c r="E2024" t="s">
        <v>311</v>
      </c>
    </row>
    <row r="2025">
      <c r="A2025" s="232" t="s">
        <v>4004</v>
      </c>
      <c r="B2025" t="s">
        <v>4005</v>
      </c>
      <c r="C2025">
        <v>161.0</v>
      </c>
      <c r="D2025" t="s">
        <v>330</v>
      </c>
      <c r="E2025" t="s">
        <v>311</v>
      </c>
    </row>
    <row r="2026">
      <c r="A2026" s="232" t="s">
        <v>4006</v>
      </c>
      <c r="B2026" t="s">
        <v>4007</v>
      </c>
      <c r="C2026">
        <v>351.0</v>
      </c>
      <c r="D2026" t="s">
        <v>330</v>
      </c>
      <c r="E2026" t="s">
        <v>311</v>
      </c>
    </row>
    <row r="2027">
      <c r="A2027" s="232" t="s">
        <v>4008</v>
      </c>
      <c r="B2027" t="s">
        <v>4009</v>
      </c>
      <c r="C2027">
        <v>384.0</v>
      </c>
      <c r="D2027" t="s">
        <v>330</v>
      </c>
      <c r="E2027" t="s">
        <v>311</v>
      </c>
    </row>
    <row r="2028">
      <c r="A2028" s="232" t="s">
        <v>4010</v>
      </c>
      <c r="B2028" t="s">
        <v>4011</v>
      </c>
      <c r="C2028">
        <v>364.0</v>
      </c>
      <c r="D2028" t="s">
        <v>330</v>
      </c>
      <c r="E2028" t="s">
        <v>311</v>
      </c>
    </row>
    <row r="2029">
      <c r="A2029" s="232" t="s">
        <v>4012</v>
      </c>
      <c r="B2029" t="s">
        <v>4013</v>
      </c>
      <c r="C2029">
        <v>339.0</v>
      </c>
      <c r="D2029" t="s">
        <v>330</v>
      </c>
      <c r="E2029" t="s">
        <v>311</v>
      </c>
    </row>
    <row r="2030">
      <c r="A2030" s="232" t="s">
        <v>4014</v>
      </c>
      <c r="B2030" t="s">
        <v>4015</v>
      </c>
      <c r="C2030">
        <v>0.0</v>
      </c>
      <c r="D2030" t="s">
        <v>310</v>
      </c>
      <c r="E2030" t="s">
        <v>311</v>
      </c>
    </row>
    <row r="2031">
      <c r="A2031" s="232" t="s">
        <v>4016</v>
      </c>
      <c r="B2031" t="s">
        <v>4017</v>
      </c>
      <c r="C2031">
        <v>222.0</v>
      </c>
      <c r="D2031" t="s">
        <v>330</v>
      </c>
      <c r="E2031" t="s">
        <v>311</v>
      </c>
    </row>
    <row r="2032">
      <c r="A2032" s="232" t="s">
        <v>4018</v>
      </c>
      <c r="B2032" t="s">
        <v>4019</v>
      </c>
      <c r="C2032">
        <v>280.0</v>
      </c>
      <c r="D2032" t="s">
        <v>330</v>
      </c>
      <c r="E2032" t="s">
        <v>311</v>
      </c>
    </row>
    <row r="2033">
      <c r="A2033" s="232" t="s">
        <v>4020</v>
      </c>
      <c r="B2033" t="s">
        <v>4021</v>
      </c>
      <c r="C2033">
        <v>249.0</v>
      </c>
      <c r="D2033" t="s">
        <v>330</v>
      </c>
      <c r="E2033" t="s">
        <v>311</v>
      </c>
    </row>
    <row r="2034">
      <c r="A2034" s="232" t="s">
        <v>4022</v>
      </c>
      <c r="B2034" t="s">
        <v>4023</v>
      </c>
      <c r="C2034">
        <v>134.0</v>
      </c>
      <c r="D2034" t="s">
        <v>330</v>
      </c>
      <c r="E2034" t="s">
        <v>311</v>
      </c>
    </row>
    <row r="2035">
      <c r="A2035" s="232" t="s">
        <v>4024</v>
      </c>
      <c r="B2035" t="s">
        <v>4025</v>
      </c>
      <c r="C2035">
        <v>305.0</v>
      </c>
      <c r="D2035" t="s">
        <v>330</v>
      </c>
      <c r="E2035" t="s">
        <v>311</v>
      </c>
    </row>
    <row r="2036">
      <c r="A2036" s="232" t="s">
        <v>4026</v>
      </c>
      <c r="B2036" t="s">
        <v>4027</v>
      </c>
      <c r="C2036">
        <v>0.0</v>
      </c>
      <c r="D2036" t="s">
        <v>330</v>
      </c>
      <c r="E2036" t="s">
        <v>311</v>
      </c>
    </row>
    <row r="2037">
      <c r="A2037" s="232" t="s">
        <v>168</v>
      </c>
      <c r="B2037" t="s">
        <v>167</v>
      </c>
      <c r="C2037">
        <v>34.0</v>
      </c>
      <c r="D2037" t="s">
        <v>330</v>
      </c>
      <c r="E2037" t="s">
        <v>311</v>
      </c>
    </row>
    <row r="2038">
      <c r="A2038" s="232" t="s">
        <v>4028</v>
      </c>
      <c r="B2038" t="s">
        <v>4029</v>
      </c>
      <c r="C2038">
        <v>424.0</v>
      </c>
      <c r="D2038" t="s">
        <v>330</v>
      </c>
      <c r="E2038" t="s">
        <v>311</v>
      </c>
    </row>
    <row r="2039">
      <c r="A2039" s="232" t="s">
        <v>4030</v>
      </c>
      <c r="B2039" t="s">
        <v>4031</v>
      </c>
      <c r="C2039">
        <v>0.0</v>
      </c>
      <c r="D2039" t="s">
        <v>330</v>
      </c>
      <c r="E2039" t="s">
        <v>311</v>
      </c>
    </row>
    <row r="2040">
      <c r="A2040" s="232" t="s">
        <v>4032</v>
      </c>
      <c r="B2040" t="s">
        <v>4033</v>
      </c>
      <c r="C2040">
        <v>0.0</v>
      </c>
      <c r="D2040" t="s">
        <v>310</v>
      </c>
      <c r="E2040" t="s">
        <v>311</v>
      </c>
    </row>
    <row r="2041">
      <c r="A2041" s="232" t="s">
        <v>4034</v>
      </c>
      <c r="B2041" t="s">
        <v>4035</v>
      </c>
      <c r="C2041">
        <v>10140.0</v>
      </c>
      <c r="D2041" t="s">
        <v>330</v>
      </c>
      <c r="E2041" t="s">
        <v>311</v>
      </c>
    </row>
    <row r="2042">
      <c r="A2042" s="232" t="s">
        <v>4036</v>
      </c>
      <c r="B2042" t="s">
        <v>4037</v>
      </c>
      <c r="C2042">
        <v>1.0</v>
      </c>
      <c r="D2042" t="s">
        <v>330</v>
      </c>
      <c r="E2042" t="s">
        <v>311</v>
      </c>
    </row>
    <row r="2043">
      <c r="A2043" s="232" t="s">
        <v>4038</v>
      </c>
      <c r="B2043" t="s">
        <v>4039</v>
      </c>
      <c r="C2043">
        <v>0.0</v>
      </c>
      <c r="D2043" t="s">
        <v>330</v>
      </c>
      <c r="E2043" t="s">
        <v>311</v>
      </c>
    </row>
    <row r="2044">
      <c r="A2044" s="232" t="s">
        <v>4040</v>
      </c>
      <c r="B2044" t="s">
        <v>4041</v>
      </c>
      <c r="C2044">
        <v>133.0</v>
      </c>
      <c r="D2044" t="s">
        <v>330</v>
      </c>
      <c r="E2044" t="s">
        <v>311</v>
      </c>
    </row>
    <row r="2045">
      <c r="A2045" s="232" t="s">
        <v>4042</v>
      </c>
      <c r="B2045" t="s">
        <v>4043</v>
      </c>
      <c r="C2045">
        <v>1.0</v>
      </c>
      <c r="D2045" t="s">
        <v>330</v>
      </c>
      <c r="E2045" t="s">
        <v>311</v>
      </c>
    </row>
    <row r="2046">
      <c r="A2046" s="232" t="s">
        <v>4044</v>
      </c>
      <c r="B2046" t="s">
        <v>4045</v>
      </c>
      <c r="C2046">
        <v>0.0</v>
      </c>
      <c r="D2046" t="s">
        <v>330</v>
      </c>
      <c r="E2046" t="s">
        <v>311</v>
      </c>
    </row>
    <row r="2047">
      <c r="A2047" s="232" t="s">
        <v>4046</v>
      </c>
      <c r="B2047" t="s">
        <v>4047</v>
      </c>
      <c r="C2047">
        <v>0.0</v>
      </c>
      <c r="D2047" t="s">
        <v>330</v>
      </c>
      <c r="E2047" t="s">
        <v>311</v>
      </c>
    </row>
    <row r="2048">
      <c r="A2048" s="232" t="s">
        <v>4048</v>
      </c>
      <c r="B2048" t="s">
        <v>4049</v>
      </c>
      <c r="C2048">
        <v>0.0</v>
      </c>
      <c r="D2048" t="s">
        <v>330</v>
      </c>
      <c r="E2048" t="s">
        <v>311</v>
      </c>
    </row>
    <row r="2049">
      <c r="A2049" s="232" t="s">
        <v>4050</v>
      </c>
      <c r="B2049" t="s">
        <v>4051</v>
      </c>
      <c r="C2049">
        <v>0.0</v>
      </c>
      <c r="D2049" t="s">
        <v>330</v>
      </c>
      <c r="E2049" t="s">
        <v>311</v>
      </c>
    </row>
    <row r="2050">
      <c r="A2050" s="232" t="s">
        <v>4052</v>
      </c>
      <c r="B2050" t="s">
        <v>4053</v>
      </c>
      <c r="C2050">
        <v>0.0</v>
      </c>
      <c r="D2050" t="s">
        <v>330</v>
      </c>
      <c r="E2050" t="s">
        <v>311</v>
      </c>
    </row>
    <row r="2051">
      <c r="A2051" s="232" t="s">
        <v>4054</v>
      </c>
      <c r="B2051" t="s">
        <v>4055</v>
      </c>
      <c r="C2051">
        <v>1188.0</v>
      </c>
      <c r="D2051" t="s">
        <v>330</v>
      </c>
      <c r="E2051" t="s">
        <v>311</v>
      </c>
    </row>
    <row r="2052">
      <c r="A2052" s="232" t="s">
        <v>4056</v>
      </c>
      <c r="B2052" t="s">
        <v>4057</v>
      </c>
      <c r="C2052">
        <v>-60.0</v>
      </c>
      <c r="D2052" t="s">
        <v>330</v>
      </c>
      <c r="E2052" t="s">
        <v>311</v>
      </c>
    </row>
    <row r="2053">
      <c r="A2053" s="232" t="s">
        <v>4058</v>
      </c>
      <c r="B2053" t="s">
        <v>4059</v>
      </c>
      <c r="C2053">
        <v>408.0</v>
      </c>
      <c r="D2053" t="s">
        <v>330</v>
      </c>
      <c r="E2053" t="s">
        <v>311</v>
      </c>
    </row>
    <row r="2054">
      <c r="A2054" s="232" t="s">
        <v>4060</v>
      </c>
      <c r="B2054" t="s">
        <v>4061</v>
      </c>
      <c r="C2054">
        <v>1416.0</v>
      </c>
      <c r="D2054" t="s">
        <v>330</v>
      </c>
      <c r="E2054" t="s">
        <v>311</v>
      </c>
    </row>
    <row r="2055">
      <c r="A2055" s="232" t="s">
        <v>4062</v>
      </c>
      <c r="B2055" t="s">
        <v>4063</v>
      </c>
      <c r="C2055">
        <v>409.0</v>
      </c>
      <c r="D2055" t="s">
        <v>330</v>
      </c>
      <c r="E2055" t="s">
        <v>311</v>
      </c>
    </row>
    <row r="2056">
      <c r="A2056" s="232" t="s">
        <v>4064</v>
      </c>
      <c r="B2056" t="s">
        <v>4065</v>
      </c>
      <c r="C2056">
        <v>-93.0</v>
      </c>
      <c r="D2056" t="s">
        <v>330</v>
      </c>
      <c r="E2056" t="s">
        <v>311</v>
      </c>
    </row>
    <row r="2057">
      <c r="A2057" s="232" t="s">
        <v>4066</v>
      </c>
      <c r="B2057" t="s">
        <v>4067</v>
      </c>
      <c r="C2057">
        <v>782.0</v>
      </c>
      <c r="D2057" t="s">
        <v>330</v>
      </c>
      <c r="E2057" t="s">
        <v>311</v>
      </c>
    </row>
    <row r="2058">
      <c r="A2058" s="232" t="s">
        <v>4068</v>
      </c>
      <c r="B2058" t="s">
        <v>4069</v>
      </c>
      <c r="C2058">
        <v>1521.0</v>
      </c>
      <c r="D2058" t="s">
        <v>330</v>
      </c>
      <c r="E2058" t="s">
        <v>311</v>
      </c>
    </row>
    <row r="2059">
      <c r="A2059" s="232" t="s">
        <v>4070</v>
      </c>
      <c r="B2059" t="s">
        <v>4071</v>
      </c>
      <c r="C2059">
        <v>319.0</v>
      </c>
      <c r="D2059" t="s">
        <v>330</v>
      </c>
      <c r="E2059" t="s">
        <v>311</v>
      </c>
    </row>
    <row r="2060">
      <c r="A2060" s="232" t="s">
        <v>4072</v>
      </c>
      <c r="B2060" t="s">
        <v>4073</v>
      </c>
      <c r="C2060">
        <v>-6.0</v>
      </c>
      <c r="D2060" t="s">
        <v>330</v>
      </c>
      <c r="E2060" t="s">
        <v>565</v>
      </c>
    </row>
    <row r="2061">
      <c r="A2061" s="232" t="s">
        <v>4074</v>
      </c>
      <c r="B2061" t="s">
        <v>4075</v>
      </c>
      <c r="C2061">
        <v>2.0</v>
      </c>
      <c r="D2061" t="s">
        <v>330</v>
      </c>
      <c r="E2061" t="s">
        <v>311</v>
      </c>
    </row>
    <row r="2062">
      <c r="A2062" s="232" t="s">
        <v>4076</v>
      </c>
      <c r="B2062" t="s">
        <v>4077</v>
      </c>
      <c r="C2062">
        <v>267.0</v>
      </c>
      <c r="D2062" t="s">
        <v>330</v>
      </c>
      <c r="E2062" t="s">
        <v>311</v>
      </c>
    </row>
    <row r="2063">
      <c r="A2063" s="232" t="s">
        <v>4078</v>
      </c>
      <c r="B2063" t="s">
        <v>4079</v>
      </c>
      <c r="C2063">
        <v>336.0</v>
      </c>
      <c r="D2063" t="s">
        <v>330</v>
      </c>
      <c r="E2063" t="s">
        <v>311</v>
      </c>
    </row>
    <row r="2064">
      <c r="A2064" s="232" t="s">
        <v>4080</v>
      </c>
      <c r="B2064" t="s">
        <v>4081</v>
      </c>
      <c r="C2064">
        <v>232.0</v>
      </c>
      <c r="D2064" t="s">
        <v>330</v>
      </c>
      <c r="E2064" t="s">
        <v>311</v>
      </c>
    </row>
    <row r="2065">
      <c r="A2065" s="232" t="s">
        <v>4082</v>
      </c>
      <c r="B2065" t="s">
        <v>4083</v>
      </c>
      <c r="C2065">
        <v>0.0</v>
      </c>
      <c r="D2065" t="s">
        <v>310</v>
      </c>
      <c r="E2065" t="s">
        <v>311</v>
      </c>
    </row>
    <row r="2066">
      <c r="A2066" s="232" t="s">
        <v>4084</v>
      </c>
      <c r="B2066" t="s">
        <v>4085</v>
      </c>
      <c r="C2066">
        <v>82.0</v>
      </c>
      <c r="D2066" t="s">
        <v>330</v>
      </c>
      <c r="E2066" t="s">
        <v>311</v>
      </c>
    </row>
    <row r="2067">
      <c r="A2067" s="232" t="s">
        <v>4086</v>
      </c>
      <c r="B2067" t="s">
        <v>4087</v>
      </c>
      <c r="C2067">
        <v>145.0</v>
      </c>
      <c r="D2067" t="s">
        <v>330</v>
      </c>
      <c r="E2067" t="s">
        <v>311</v>
      </c>
    </row>
    <row r="2068">
      <c r="A2068" s="232" t="s">
        <v>4088</v>
      </c>
      <c r="B2068" t="s">
        <v>4089</v>
      </c>
      <c r="C2068">
        <v>0.0</v>
      </c>
      <c r="D2068" t="s">
        <v>310</v>
      </c>
      <c r="E2068" t="s">
        <v>311</v>
      </c>
    </row>
    <row r="2069">
      <c r="A2069" s="232" t="s">
        <v>4090</v>
      </c>
      <c r="B2069" t="s">
        <v>4091</v>
      </c>
      <c r="C2069">
        <v>0.0</v>
      </c>
      <c r="D2069" t="s">
        <v>310</v>
      </c>
      <c r="E2069" t="s">
        <v>311</v>
      </c>
    </row>
    <row r="2070">
      <c r="A2070" s="232" t="s">
        <v>4092</v>
      </c>
      <c r="B2070" t="s">
        <v>4093</v>
      </c>
      <c r="C2070">
        <v>0.0</v>
      </c>
      <c r="D2070" t="s">
        <v>310</v>
      </c>
      <c r="E2070" t="s">
        <v>311</v>
      </c>
    </row>
    <row r="2071">
      <c r="A2071" s="232" t="s">
        <v>4094</v>
      </c>
      <c r="B2071" t="s">
        <v>4095</v>
      </c>
      <c r="C2071">
        <v>0.0</v>
      </c>
      <c r="D2071" t="s">
        <v>310</v>
      </c>
      <c r="E2071" t="s">
        <v>311</v>
      </c>
    </row>
    <row r="2072">
      <c r="A2072" s="232" t="s">
        <v>4096</v>
      </c>
      <c r="B2072" t="s">
        <v>4097</v>
      </c>
      <c r="C2072">
        <v>0.0</v>
      </c>
      <c r="D2072" t="s">
        <v>310</v>
      </c>
      <c r="E2072" t="s">
        <v>311</v>
      </c>
    </row>
    <row r="2073">
      <c r="A2073" s="232" t="s">
        <v>4098</v>
      </c>
      <c r="B2073" t="s">
        <v>4099</v>
      </c>
      <c r="C2073">
        <v>0.0</v>
      </c>
      <c r="D2073" t="s">
        <v>310</v>
      </c>
      <c r="E2073" t="s">
        <v>311</v>
      </c>
    </row>
    <row r="2074">
      <c r="A2074" s="232" t="s">
        <v>4100</v>
      </c>
      <c r="B2074" t="s">
        <v>4101</v>
      </c>
      <c r="C2074">
        <v>0.0</v>
      </c>
      <c r="D2074" t="s">
        <v>310</v>
      </c>
      <c r="E2074" t="s">
        <v>311</v>
      </c>
    </row>
    <row r="2075">
      <c r="A2075" s="232" t="s">
        <v>4102</v>
      </c>
      <c r="B2075" t="s">
        <v>4103</v>
      </c>
      <c r="C2075">
        <v>181.0</v>
      </c>
      <c r="D2075" t="s">
        <v>330</v>
      </c>
      <c r="E2075" t="s">
        <v>311</v>
      </c>
    </row>
    <row r="2076">
      <c r="A2076" s="232" t="s">
        <v>4104</v>
      </c>
      <c r="B2076" t="s">
        <v>4105</v>
      </c>
      <c r="C2076">
        <v>0.0</v>
      </c>
      <c r="D2076" t="s">
        <v>330</v>
      </c>
      <c r="E2076" t="s">
        <v>311</v>
      </c>
    </row>
    <row r="2077">
      <c r="A2077" s="232" t="s">
        <v>4106</v>
      </c>
      <c r="B2077" t="s">
        <v>4107</v>
      </c>
      <c r="C2077">
        <v>338.0</v>
      </c>
      <c r="D2077" t="s">
        <v>330</v>
      </c>
      <c r="E2077" t="s">
        <v>311</v>
      </c>
    </row>
    <row r="2078">
      <c r="A2078" s="232" t="s">
        <v>4108</v>
      </c>
      <c r="B2078" t="s">
        <v>4109</v>
      </c>
      <c r="C2078">
        <v>441.0</v>
      </c>
      <c r="D2078" t="s">
        <v>330</v>
      </c>
      <c r="E2078" t="s">
        <v>311</v>
      </c>
    </row>
    <row r="2079">
      <c r="A2079" s="232" t="s">
        <v>4110</v>
      </c>
      <c r="B2079" t="s">
        <v>4111</v>
      </c>
      <c r="C2079">
        <v>-3.0</v>
      </c>
      <c r="D2079" t="s">
        <v>330</v>
      </c>
      <c r="E2079" t="s">
        <v>311</v>
      </c>
    </row>
    <row r="2080">
      <c r="A2080" s="232" t="s">
        <v>4112</v>
      </c>
      <c r="B2080" t="s">
        <v>4113</v>
      </c>
      <c r="C2080">
        <v>367.0</v>
      </c>
      <c r="D2080" t="s">
        <v>330</v>
      </c>
      <c r="E2080" t="s">
        <v>311</v>
      </c>
    </row>
    <row r="2081">
      <c r="A2081" s="232" t="s">
        <v>4114</v>
      </c>
      <c r="B2081" t="s">
        <v>4115</v>
      </c>
      <c r="C2081">
        <v>0.0</v>
      </c>
      <c r="D2081" t="s">
        <v>330</v>
      </c>
      <c r="E2081" t="s">
        <v>311</v>
      </c>
    </row>
    <row r="2082">
      <c r="A2082" s="232" t="s">
        <v>4116</v>
      </c>
      <c r="B2082" t="s">
        <v>4117</v>
      </c>
      <c r="C2082">
        <v>421.0</v>
      </c>
      <c r="D2082" t="s">
        <v>330</v>
      </c>
      <c r="E2082" t="s">
        <v>311</v>
      </c>
    </row>
    <row r="2083">
      <c r="A2083" s="232" t="s">
        <v>4118</v>
      </c>
      <c r="B2083" t="s">
        <v>4119</v>
      </c>
      <c r="C2083">
        <v>224.0</v>
      </c>
      <c r="D2083" t="s">
        <v>330</v>
      </c>
      <c r="E2083" t="s">
        <v>311</v>
      </c>
    </row>
    <row r="2084">
      <c r="A2084" s="232" t="s">
        <v>4120</v>
      </c>
      <c r="B2084" t="s">
        <v>4121</v>
      </c>
      <c r="C2084">
        <v>420.0</v>
      </c>
      <c r="D2084" t="s">
        <v>330</v>
      </c>
      <c r="E2084" t="s">
        <v>311</v>
      </c>
    </row>
    <row r="2085">
      <c r="A2085" s="232" t="s">
        <v>4122</v>
      </c>
      <c r="B2085" t="s">
        <v>4123</v>
      </c>
      <c r="C2085">
        <v>164.0</v>
      </c>
      <c r="D2085" t="s">
        <v>330</v>
      </c>
      <c r="E2085" t="s">
        <v>311</v>
      </c>
    </row>
    <row r="2086">
      <c r="A2086" s="232" t="s">
        <v>4124</v>
      </c>
      <c r="B2086" t="s">
        <v>4125</v>
      </c>
      <c r="C2086">
        <v>260.0</v>
      </c>
      <c r="D2086" t="s">
        <v>330</v>
      </c>
      <c r="E2086" t="s">
        <v>311</v>
      </c>
    </row>
    <row r="2087">
      <c r="A2087" s="232" t="s">
        <v>4126</v>
      </c>
      <c r="B2087" t="s">
        <v>4127</v>
      </c>
      <c r="C2087">
        <v>76.0</v>
      </c>
      <c r="D2087" t="s">
        <v>330</v>
      </c>
      <c r="E2087" t="s">
        <v>311</v>
      </c>
    </row>
    <row r="2088">
      <c r="A2088" s="232" t="s">
        <v>4128</v>
      </c>
      <c r="B2088" t="s">
        <v>4129</v>
      </c>
      <c r="C2088">
        <v>72.0</v>
      </c>
      <c r="D2088" t="s">
        <v>330</v>
      </c>
      <c r="E2088" t="s">
        <v>311</v>
      </c>
    </row>
    <row r="2089">
      <c r="A2089" s="232" t="s">
        <v>4130</v>
      </c>
      <c r="B2089" t="s">
        <v>4131</v>
      </c>
      <c r="C2089">
        <v>0.0</v>
      </c>
      <c r="D2089" t="s">
        <v>310</v>
      </c>
      <c r="E2089" t="s">
        <v>311</v>
      </c>
    </row>
    <row r="2090">
      <c r="A2090" s="232" t="s">
        <v>4132</v>
      </c>
      <c r="B2090" t="s">
        <v>4133</v>
      </c>
      <c r="C2090">
        <v>388.0</v>
      </c>
      <c r="D2090" t="s">
        <v>330</v>
      </c>
      <c r="E2090" t="s">
        <v>311</v>
      </c>
    </row>
    <row r="2091">
      <c r="A2091" s="232" t="s">
        <v>4134</v>
      </c>
      <c r="B2091" t="s">
        <v>4135</v>
      </c>
      <c r="C2091">
        <v>166.0</v>
      </c>
      <c r="D2091" t="s">
        <v>330</v>
      </c>
      <c r="E2091" t="s">
        <v>311</v>
      </c>
    </row>
    <row r="2092">
      <c r="A2092" s="232" t="s">
        <v>4136</v>
      </c>
      <c r="B2092" t="s">
        <v>4137</v>
      </c>
      <c r="C2092">
        <v>183.0</v>
      </c>
      <c r="D2092" t="s">
        <v>330</v>
      </c>
      <c r="E2092" t="s">
        <v>311</v>
      </c>
    </row>
    <row r="2093">
      <c r="A2093" s="232" t="s">
        <v>4138</v>
      </c>
      <c r="B2093" t="s">
        <v>4139</v>
      </c>
      <c r="C2093">
        <v>231.0</v>
      </c>
      <c r="D2093" t="s">
        <v>330</v>
      </c>
      <c r="E2093" t="s">
        <v>311</v>
      </c>
    </row>
    <row r="2094">
      <c r="A2094" s="232" t="s">
        <v>4140</v>
      </c>
      <c r="B2094" t="s">
        <v>4141</v>
      </c>
      <c r="C2094">
        <v>0.0</v>
      </c>
      <c r="D2094" t="s">
        <v>330</v>
      </c>
      <c r="E2094" t="s">
        <v>311</v>
      </c>
    </row>
    <row r="2095">
      <c r="A2095" s="232">
        <v>41501.0</v>
      </c>
      <c r="B2095" t="s">
        <v>4142</v>
      </c>
      <c r="C2095">
        <v>0.0</v>
      </c>
      <c r="D2095" t="s">
        <v>310</v>
      </c>
      <c r="E2095" t="s">
        <v>311</v>
      </c>
    </row>
    <row r="2096">
      <c r="A2096" s="232">
        <v>41502.0</v>
      </c>
      <c r="B2096" t="s">
        <v>4143</v>
      </c>
      <c r="C2096">
        <v>0.0</v>
      </c>
      <c r="D2096" t="s">
        <v>310</v>
      </c>
      <c r="E2096" t="s">
        <v>311</v>
      </c>
    </row>
    <row r="2097">
      <c r="A2097" s="232">
        <v>41503.0</v>
      </c>
      <c r="B2097" t="s">
        <v>4144</v>
      </c>
      <c r="C2097">
        <v>0.0</v>
      </c>
      <c r="D2097" t="s">
        <v>310</v>
      </c>
      <c r="E2097" t="s">
        <v>311</v>
      </c>
    </row>
    <row r="2098">
      <c r="A2098" s="232">
        <v>41504.0</v>
      </c>
      <c r="B2098" t="s">
        <v>4145</v>
      </c>
      <c r="C2098">
        <v>0.0</v>
      </c>
      <c r="D2098" t="s">
        <v>310</v>
      </c>
      <c r="E2098" t="s">
        <v>311</v>
      </c>
    </row>
    <row r="2099">
      <c r="A2099" s="232">
        <v>41505.0</v>
      </c>
      <c r="B2099" t="s">
        <v>4146</v>
      </c>
      <c r="C2099">
        <v>0.0</v>
      </c>
      <c r="D2099" t="s">
        <v>310</v>
      </c>
      <c r="E2099" t="s">
        <v>311</v>
      </c>
    </row>
    <row r="2100">
      <c r="A2100" s="232">
        <v>41508.0</v>
      </c>
      <c r="B2100" t="s">
        <v>4147</v>
      </c>
      <c r="C2100">
        <v>0.0</v>
      </c>
      <c r="D2100" t="s">
        <v>310</v>
      </c>
      <c r="E2100" t="s">
        <v>311</v>
      </c>
    </row>
    <row r="2101">
      <c r="A2101" s="232">
        <v>41510.0</v>
      </c>
      <c r="B2101" t="s">
        <v>4148</v>
      </c>
      <c r="C2101">
        <v>0.0</v>
      </c>
      <c r="D2101" t="s">
        <v>310</v>
      </c>
      <c r="E2101" t="s">
        <v>311</v>
      </c>
    </row>
    <row r="2102">
      <c r="A2102" s="232">
        <v>41511.0</v>
      </c>
      <c r="B2102" t="s">
        <v>4149</v>
      </c>
      <c r="C2102">
        <v>0.0</v>
      </c>
      <c r="D2102" t="s">
        <v>310</v>
      </c>
      <c r="E2102" t="s">
        <v>311</v>
      </c>
    </row>
    <row r="2103">
      <c r="A2103" s="232">
        <v>41512.0</v>
      </c>
      <c r="B2103" t="s">
        <v>4150</v>
      </c>
      <c r="C2103">
        <v>0.0</v>
      </c>
      <c r="D2103" t="s">
        <v>310</v>
      </c>
      <c r="E2103" t="s">
        <v>311</v>
      </c>
    </row>
    <row r="2104">
      <c r="A2104" s="232">
        <v>41513.0</v>
      </c>
      <c r="B2104" t="s">
        <v>4151</v>
      </c>
      <c r="C2104">
        <v>0.0</v>
      </c>
      <c r="D2104" t="s">
        <v>310</v>
      </c>
      <c r="E2104" t="s">
        <v>311</v>
      </c>
    </row>
    <row r="2105">
      <c r="A2105" s="232">
        <v>41518.0</v>
      </c>
      <c r="B2105" t="s">
        <v>4152</v>
      </c>
      <c r="C2105">
        <v>0.0</v>
      </c>
      <c r="D2105" t="s">
        <v>310</v>
      </c>
      <c r="E2105" t="s">
        <v>311</v>
      </c>
    </row>
    <row r="2106">
      <c r="A2106" s="232">
        <v>41519.0</v>
      </c>
      <c r="B2106" t="s">
        <v>4153</v>
      </c>
      <c r="C2106">
        <v>0.0</v>
      </c>
      <c r="D2106" t="s">
        <v>310</v>
      </c>
      <c r="E2106" t="s">
        <v>311</v>
      </c>
    </row>
    <row r="2107">
      <c r="A2107" s="232" t="s">
        <v>4154</v>
      </c>
      <c r="B2107" t="s">
        <v>4155</v>
      </c>
      <c r="C2107">
        <v>0.0</v>
      </c>
      <c r="D2107" t="s">
        <v>310</v>
      </c>
      <c r="E2107" t="s">
        <v>311</v>
      </c>
    </row>
    <row r="2108">
      <c r="A2108" s="232" t="s">
        <v>4156</v>
      </c>
      <c r="B2108" t="s">
        <v>4157</v>
      </c>
      <c r="C2108">
        <v>0.0</v>
      </c>
      <c r="D2108" t="s">
        <v>310</v>
      </c>
      <c r="E2108" t="s">
        <v>311</v>
      </c>
    </row>
    <row r="2109">
      <c r="A2109" s="232">
        <v>7002.0</v>
      </c>
      <c r="B2109" t="s">
        <v>4158</v>
      </c>
      <c r="C2109">
        <v>0.0</v>
      </c>
      <c r="D2109" t="s">
        <v>310</v>
      </c>
      <c r="E2109" t="s">
        <v>311</v>
      </c>
    </row>
    <row r="2110">
      <c r="A2110" s="232">
        <v>7006.0</v>
      </c>
      <c r="B2110" t="s">
        <v>4159</v>
      </c>
      <c r="C2110">
        <v>0.0</v>
      </c>
      <c r="D2110" t="s">
        <v>310</v>
      </c>
      <c r="E2110" t="s">
        <v>311</v>
      </c>
    </row>
    <row r="2111">
      <c r="A2111" s="232">
        <v>7009.0</v>
      </c>
      <c r="B2111" t="s">
        <v>4160</v>
      </c>
      <c r="C2111">
        <v>0.0</v>
      </c>
      <c r="D2111" t="s">
        <v>310</v>
      </c>
      <c r="E2111" t="s">
        <v>311</v>
      </c>
    </row>
    <row r="2112">
      <c r="A2112" s="232">
        <v>7008.0</v>
      </c>
      <c r="B2112" t="s">
        <v>4161</v>
      </c>
      <c r="C2112">
        <v>0.0</v>
      </c>
      <c r="D2112" t="s">
        <v>310</v>
      </c>
      <c r="E2112" t="s">
        <v>311</v>
      </c>
    </row>
    <row r="2113">
      <c r="A2113" s="232">
        <v>7007.0</v>
      </c>
      <c r="B2113" t="s">
        <v>4162</v>
      </c>
      <c r="C2113">
        <v>0.0</v>
      </c>
      <c r="D2113" t="s">
        <v>310</v>
      </c>
      <c r="E2113" t="s">
        <v>311</v>
      </c>
    </row>
    <row r="2114">
      <c r="A2114" s="232">
        <v>7003.0</v>
      </c>
      <c r="B2114" t="s">
        <v>4163</v>
      </c>
      <c r="C2114">
        <v>0.0</v>
      </c>
      <c r="D2114" t="s">
        <v>310</v>
      </c>
      <c r="E2114" t="s">
        <v>311</v>
      </c>
    </row>
    <row r="2115">
      <c r="A2115" s="232">
        <v>7001.0</v>
      </c>
      <c r="B2115" t="s">
        <v>4164</v>
      </c>
      <c r="C2115">
        <v>0.0</v>
      </c>
      <c r="D2115" t="s">
        <v>310</v>
      </c>
      <c r="E2115" t="s">
        <v>311</v>
      </c>
    </row>
    <row r="2116">
      <c r="A2116" s="232" t="s">
        <v>4165</v>
      </c>
      <c r="B2116" t="s">
        <v>4166</v>
      </c>
      <c r="C2116">
        <v>0.0</v>
      </c>
      <c r="D2116" t="s">
        <v>310</v>
      </c>
      <c r="E2116" t="s">
        <v>311</v>
      </c>
    </row>
    <row r="2117">
      <c r="A2117" s="232" t="s">
        <v>4167</v>
      </c>
      <c r="B2117" t="s">
        <v>4168</v>
      </c>
      <c r="C2117">
        <v>0.0</v>
      </c>
      <c r="D2117" t="s">
        <v>310</v>
      </c>
      <c r="E2117" t="s">
        <v>311</v>
      </c>
    </row>
    <row r="2118">
      <c r="A2118" s="232" t="s">
        <v>4169</v>
      </c>
      <c r="B2118" t="s">
        <v>4170</v>
      </c>
      <c r="C2118">
        <v>0.0</v>
      </c>
      <c r="D2118" t="s">
        <v>310</v>
      </c>
      <c r="E2118" t="s">
        <v>311</v>
      </c>
    </row>
    <row r="2119">
      <c r="A2119" s="232" t="s">
        <v>4171</v>
      </c>
      <c r="B2119" t="s">
        <v>4172</v>
      </c>
      <c r="C2119">
        <v>0.0</v>
      </c>
      <c r="D2119" t="s">
        <v>310</v>
      </c>
      <c r="E2119" t="s">
        <v>311</v>
      </c>
    </row>
    <row r="2120">
      <c r="A2120" s="232" t="s">
        <v>4173</v>
      </c>
      <c r="B2120" t="s">
        <v>4174</v>
      </c>
      <c r="C2120">
        <v>394.0</v>
      </c>
      <c r="D2120" t="s">
        <v>330</v>
      </c>
      <c r="E2120" t="s">
        <v>311</v>
      </c>
    </row>
    <row r="2121">
      <c r="A2121" s="232" t="s">
        <v>4175</v>
      </c>
      <c r="B2121" t="s">
        <v>4176</v>
      </c>
      <c r="C2121">
        <v>0.0</v>
      </c>
      <c r="D2121" t="s">
        <v>310</v>
      </c>
      <c r="E2121" t="s">
        <v>311</v>
      </c>
    </row>
    <row r="2122">
      <c r="A2122" s="232" t="s">
        <v>4177</v>
      </c>
      <c r="B2122" t="s">
        <v>4178</v>
      </c>
      <c r="C2122">
        <v>254.0</v>
      </c>
      <c r="D2122" t="s">
        <v>330</v>
      </c>
      <c r="E2122" t="s">
        <v>311</v>
      </c>
    </row>
    <row r="2123">
      <c r="A2123" s="232" t="s">
        <v>4179</v>
      </c>
      <c r="B2123" t="s">
        <v>4180</v>
      </c>
      <c r="C2123">
        <v>0.0</v>
      </c>
      <c r="D2123" t="s">
        <v>310</v>
      </c>
      <c r="E2123" t="s">
        <v>311</v>
      </c>
    </row>
    <row r="2124">
      <c r="A2124" s="232" t="s">
        <v>4181</v>
      </c>
      <c r="B2124" t="s">
        <v>4182</v>
      </c>
      <c r="C2124">
        <v>0.0</v>
      </c>
      <c r="D2124" t="s">
        <v>330</v>
      </c>
      <c r="E2124" t="s">
        <v>311</v>
      </c>
    </row>
    <row r="2125">
      <c r="A2125" s="232" t="s">
        <v>4183</v>
      </c>
      <c r="B2125" t="s">
        <v>4184</v>
      </c>
      <c r="C2125">
        <v>5.0</v>
      </c>
      <c r="D2125" t="s">
        <v>330</v>
      </c>
      <c r="E2125" t="s">
        <v>311</v>
      </c>
    </row>
    <row r="2126">
      <c r="A2126" s="232" t="s">
        <v>4185</v>
      </c>
      <c r="B2126" t="s">
        <v>4186</v>
      </c>
      <c r="C2126">
        <v>425.0</v>
      </c>
      <c r="D2126" t="s">
        <v>330</v>
      </c>
      <c r="E2126" t="s">
        <v>311</v>
      </c>
    </row>
    <row r="2127">
      <c r="A2127" s="232" t="s">
        <v>4187</v>
      </c>
      <c r="B2127" t="s">
        <v>4188</v>
      </c>
      <c r="C2127">
        <v>536.0</v>
      </c>
      <c r="D2127" t="s">
        <v>330</v>
      </c>
      <c r="E2127" t="s">
        <v>311</v>
      </c>
    </row>
    <row r="2128">
      <c r="A2128" s="232" t="s">
        <v>4189</v>
      </c>
      <c r="B2128" t="s">
        <v>4190</v>
      </c>
      <c r="C2128">
        <v>725.0</v>
      </c>
      <c r="D2128" t="s">
        <v>330</v>
      </c>
      <c r="E2128" t="s">
        <v>311</v>
      </c>
    </row>
    <row r="2129">
      <c r="A2129" s="232" t="s">
        <v>4191</v>
      </c>
      <c r="B2129" t="s">
        <v>4192</v>
      </c>
      <c r="C2129">
        <v>939.0</v>
      </c>
      <c r="D2129" t="s">
        <v>330</v>
      </c>
      <c r="E2129" t="s">
        <v>311</v>
      </c>
    </row>
    <row r="2130">
      <c r="A2130" s="232" t="s">
        <v>4193</v>
      </c>
      <c r="B2130" t="s">
        <v>4194</v>
      </c>
      <c r="C2130">
        <v>990.0</v>
      </c>
      <c r="D2130" t="s">
        <v>330</v>
      </c>
      <c r="E2130" t="s">
        <v>311</v>
      </c>
    </row>
    <row r="2131">
      <c r="A2131" s="232" t="s">
        <v>4195</v>
      </c>
      <c r="B2131" t="s">
        <v>4196</v>
      </c>
      <c r="C2131">
        <v>912.0</v>
      </c>
      <c r="D2131" t="s">
        <v>330</v>
      </c>
      <c r="E2131" t="s">
        <v>311</v>
      </c>
    </row>
    <row r="2132">
      <c r="A2132" s="232" t="s">
        <v>4197</v>
      </c>
      <c r="B2132" t="s">
        <v>4198</v>
      </c>
      <c r="C2132">
        <v>903.0</v>
      </c>
      <c r="D2132" t="s">
        <v>330</v>
      </c>
      <c r="E2132" t="s">
        <v>311</v>
      </c>
    </row>
    <row r="2133">
      <c r="A2133" s="232" t="s">
        <v>4199</v>
      </c>
      <c r="B2133" t="s">
        <v>4200</v>
      </c>
      <c r="C2133">
        <v>891.0</v>
      </c>
      <c r="D2133" t="s">
        <v>330</v>
      </c>
      <c r="E2133" t="s">
        <v>311</v>
      </c>
    </row>
    <row r="2134">
      <c r="A2134" s="232" t="s">
        <v>4201</v>
      </c>
      <c r="B2134" t="s">
        <v>4202</v>
      </c>
      <c r="C2134">
        <v>903.0</v>
      </c>
      <c r="D2134" t="s">
        <v>330</v>
      </c>
      <c r="E2134" t="s">
        <v>311</v>
      </c>
    </row>
    <row r="2135">
      <c r="A2135" s="232" t="s">
        <v>4203</v>
      </c>
      <c r="B2135" t="s">
        <v>4204</v>
      </c>
      <c r="C2135">
        <v>906.0</v>
      </c>
      <c r="D2135" t="s">
        <v>330</v>
      </c>
      <c r="E2135" t="s">
        <v>311</v>
      </c>
    </row>
    <row r="2136">
      <c r="A2136" s="232" t="s">
        <v>4205</v>
      </c>
      <c r="B2136" t="s">
        <v>4206</v>
      </c>
      <c r="C2136">
        <v>930.0</v>
      </c>
      <c r="D2136" t="s">
        <v>330</v>
      </c>
      <c r="E2136" t="s">
        <v>311</v>
      </c>
    </row>
    <row r="2137">
      <c r="A2137" s="232" t="s">
        <v>4207</v>
      </c>
      <c r="B2137" t="s">
        <v>4208</v>
      </c>
      <c r="C2137">
        <v>535.0</v>
      </c>
      <c r="D2137" t="s">
        <v>330</v>
      </c>
      <c r="E2137" t="s">
        <v>311</v>
      </c>
    </row>
    <row r="2138">
      <c r="A2138" s="232" t="s">
        <v>4209</v>
      </c>
      <c r="B2138" t="s">
        <v>4210</v>
      </c>
      <c r="C2138">
        <v>499.0</v>
      </c>
      <c r="D2138" t="s">
        <v>330</v>
      </c>
      <c r="E2138" t="s">
        <v>311</v>
      </c>
    </row>
    <row r="2139">
      <c r="A2139" s="232" t="s">
        <v>4211</v>
      </c>
      <c r="B2139" t="s">
        <v>4212</v>
      </c>
      <c r="C2139">
        <v>519.0</v>
      </c>
      <c r="D2139" t="s">
        <v>330</v>
      </c>
      <c r="E2139" t="s">
        <v>311</v>
      </c>
    </row>
    <row r="2140">
      <c r="A2140" s="232" t="s">
        <v>4213</v>
      </c>
      <c r="B2140" t="s">
        <v>4214</v>
      </c>
      <c r="C2140">
        <v>144.0</v>
      </c>
      <c r="D2140" t="s">
        <v>330</v>
      </c>
      <c r="E2140" t="s">
        <v>311</v>
      </c>
    </row>
    <row r="2141">
      <c r="A2141" s="232" t="s">
        <v>4215</v>
      </c>
      <c r="B2141" t="s">
        <v>4216</v>
      </c>
      <c r="C2141">
        <v>0.0</v>
      </c>
      <c r="D2141" t="s">
        <v>330</v>
      </c>
      <c r="E2141" t="s">
        <v>311</v>
      </c>
    </row>
    <row r="2142">
      <c r="A2142" s="232" t="s">
        <v>4217</v>
      </c>
      <c r="B2142" t="s">
        <v>4218</v>
      </c>
      <c r="C2142">
        <v>696.0</v>
      </c>
      <c r="D2142" t="s">
        <v>330</v>
      </c>
      <c r="E2142" t="s">
        <v>311</v>
      </c>
    </row>
    <row r="2143">
      <c r="A2143" s="232" t="s">
        <v>4219</v>
      </c>
      <c r="B2143" t="s">
        <v>4220</v>
      </c>
      <c r="C2143">
        <v>0.0</v>
      </c>
      <c r="D2143" t="s">
        <v>330</v>
      </c>
      <c r="E2143" t="s">
        <v>311</v>
      </c>
    </row>
    <row r="2144">
      <c r="A2144" s="232" t="s">
        <v>4221</v>
      </c>
      <c r="B2144" t="s">
        <v>4222</v>
      </c>
      <c r="C2144">
        <v>0.0</v>
      </c>
      <c r="D2144" t="s">
        <v>310</v>
      </c>
      <c r="E2144" t="s">
        <v>311</v>
      </c>
    </row>
    <row r="2145">
      <c r="A2145" s="232" t="s">
        <v>4223</v>
      </c>
      <c r="B2145" t="s">
        <v>4224</v>
      </c>
      <c r="C2145">
        <v>0.0</v>
      </c>
      <c r="D2145" t="s">
        <v>330</v>
      </c>
      <c r="E2145" t="s">
        <v>311</v>
      </c>
    </row>
    <row r="2146">
      <c r="A2146" s="232" t="s">
        <v>4225</v>
      </c>
      <c r="B2146" t="s">
        <v>4226</v>
      </c>
      <c r="C2146">
        <v>0.0</v>
      </c>
      <c r="D2146" t="s">
        <v>310</v>
      </c>
      <c r="E2146" t="s">
        <v>311</v>
      </c>
    </row>
    <row r="2147">
      <c r="A2147" s="232" t="s">
        <v>4227</v>
      </c>
      <c r="B2147" t="s">
        <v>4228</v>
      </c>
      <c r="C2147">
        <v>0.0</v>
      </c>
      <c r="D2147" t="s">
        <v>330</v>
      </c>
      <c r="E2147" t="s">
        <v>311</v>
      </c>
    </row>
    <row r="2148">
      <c r="A2148" s="232" t="s">
        <v>4229</v>
      </c>
      <c r="B2148" t="s">
        <v>4230</v>
      </c>
      <c r="C2148">
        <v>559.0</v>
      </c>
      <c r="D2148" t="s">
        <v>330</v>
      </c>
      <c r="E2148" t="s">
        <v>311</v>
      </c>
    </row>
    <row r="2149">
      <c r="A2149" s="232" t="s">
        <v>4231</v>
      </c>
      <c r="B2149" t="s">
        <v>4232</v>
      </c>
      <c r="C2149">
        <v>483.0</v>
      </c>
      <c r="D2149" t="s">
        <v>330</v>
      </c>
      <c r="E2149" t="s">
        <v>311</v>
      </c>
    </row>
    <row r="2150">
      <c r="A2150" s="232" t="s">
        <v>4233</v>
      </c>
      <c r="B2150" t="s">
        <v>4234</v>
      </c>
      <c r="C2150">
        <v>183.0</v>
      </c>
      <c r="D2150" t="s">
        <v>330</v>
      </c>
      <c r="E2150" t="s">
        <v>311</v>
      </c>
    </row>
    <row r="2151">
      <c r="A2151" s="232" t="s">
        <v>4235</v>
      </c>
      <c r="B2151" t="s">
        <v>4236</v>
      </c>
      <c r="C2151">
        <v>0.0</v>
      </c>
      <c r="D2151" t="s">
        <v>330</v>
      </c>
      <c r="E2151" t="s">
        <v>311</v>
      </c>
    </row>
    <row r="2152">
      <c r="A2152" s="232" t="s">
        <v>4237</v>
      </c>
      <c r="B2152" t="s">
        <v>4238</v>
      </c>
      <c r="C2152">
        <v>460.0</v>
      </c>
      <c r="D2152" t="s">
        <v>330</v>
      </c>
      <c r="E2152" t="s">
        <v>311</v>
      </c>
    </row>
    <row r="2153">
      <c r="A2153" s="232" t="s">
        <v>4239</v>
      </c>
      <c r="B2153" t="s">
        <v>4240</v>
      </c>
      <c r="C2153">
        <v>0.0</v>
      </c>
      <c r="D2153" t="s">
        <v>330</v>
      </c>
      <c r="E2153" t="s">
        <v>311</v>
      </c>
    </row>
    <row r="2154">
      <c r="A2154" s="232" t="s">
        <v>4241</v>
      </c>
      <c r="B2154" t="s">
        <v>4242</v>
      </c>
      <c r="C2154">
        <v>4.0</v>
      </c>
      <c r="D2154" t="s">
        <v>330</v>
      </c>
      <c r="E2154" t="s">
        <v>311</v>
      </c>
    </row>
    <row r="2155">
      <c r="A2155" s="232" t="s">
        <v>4243</v>
      </c>
      <c r="B2155" t="s">
        <v>4244</v>
      </c>
      <c r="C2155">
        <v>0.0</v>
      </c>
      <c r="D2155" t="s">
        <v>330</v>
      </c>
      <c r="E2155" t="s">
        <v>311</v>
      </c>
    </row>
    <row r="2156">
      <c r="A2156" s="232" t="s">
        <v>4245</v>
      </c>
      <c r="B2156" t="s">
        <v>4246</v>
      </c>
      <c r="C2156">
        <v>0.0</v>
      </c>
      <c r="D2156" t="s">
        <v>330</v>
      </c>
      <c r="E2156" t="s">
        <v>311</v>
      </c>
    </row>
    <row r="2157">
      <c r="A2157" s="232" t="s">
        <v>4247</v>
      </c>
      <c r="B2157" t="s">
        <v>4248</v>
      </c>
      <c r="C2157">
        <v>1.0</v>
      </c>
      <c r="D2157" t="s">
        <v>330</v>
      </c>
      <c r="E2157" t="s">
        <v>311</v>
      </c>
    </row>
    <row r="2158">
      <c r="A2158" s="232" t="s">
        <v>4249</v>
      </c>
      <c r="B2158" t="s">
        <v>4250</v>
      </c>
      <c r="C2158">
        <v>562.0</v>
      </c>
      <c r="D2158" t="s">
        <v>330</v>
      </c>
      <c r="E2158" t="s">
        <v>311</v>
      </c>
    </row>
    <row r="2159">
      <c r="A2159" s="232" t="s">
        <v>4251</v>
      </c>
      <c r="B2159" t="s">
        <v>4252</v>
      </c>
      <c r="C2159">
        <v>0.0</v>
      </c>
      <c r="D2159" t="s">
        <v>330</v>
      </c>
      <c r="E2159" t="s">
        <v>311</v>
      </c>
    </row>
    <row r="2160">
      <c r="A2160" s="232" t="s">
        <v>4253</v>
      </c>
      <c r="B2160" t="s">
        <v>4254</v>
      </c>
      <c r="C2160">
        <v>153.0</v>
      </c>
      <c r="D2160" t="s">
        <v>330</v>
      </c>
      <c r="E2160" t="s">
        <v>311</v>
      </c>
    </row>
    <row r="2161">
      <c r="A2161" s="232" t="s">
        <v>4255</v>
      </c>
      <c r="B2161" t="s">
        <v>4256</v>
      </c>
      <c r="C2161">
        <v>395.0</v>
      </c>
      <c r="D2161" t="s">
        <v>330</v>
      </c>
      <c r="E2161" t="s">
        <v>311</v>
      </c>
    </row>
    <row r="2162">
      <c r="A2162" s="232" t="s">
        <v>4257</v>
      </c>
      <c r="B2162" t="s">
        <v>4258</v>
      </c>
      <c r="C2162">
        <v>489.0</v>
      </c>
      <c r="D2162" t="s">
        <v>330</v>
      </c>
      <c r="E2162" t="s">
        <v>311</v>
      </c>
    </row>
    <row r="2163">
      <c r="A2163" s="232" t="s">
        <v>4259</v>
      </c>
      <c r="B2163" t="s">
        <v>4260</v>
      </c>
      <c r="C2163">
        <v>3.0</v>
      </c>
      <c r="D2163" t="s">
        <v>330</v>
      </c>
      <c r="E2163" t="s">
        <v>311</v>
      </c>
    </row>
    <row r="2164">
      <c r="A2164" s="232" t="s">
        <v>4261</v>
      </c>
      <c r="B2164" t="s">
        <v>4262</v>
      </c>
      <c r="C2164">
        <v>40.0</v>
      </c>
      <c r="D2164" t="s">
        <v>330</v>
      </c>
      <c r="E2164" t="s">
        <v>311</v>
      </c>
    </row>
    <row r="2165">
      <c r="A2165" s="232" t="s">
        <v>4263</v>
      </c>
      <c r="B2165" t="s">
        <v>4264</v>
      </c>
      <c r="C2165">
        <v>430.0</v>
      </c>
      <c r="D2165" t="s">
        <v>330</v>
      </c>
      <c r="E2165" t="s">
        <v>311</v>
      </c>
    </row>
    <row r="2166">
      <c r="A2166" s="232" t="s">
        <v>4265</v>
      </c>
      <c r="B2166" t="s">
        <v>4266</v>
      </c>
      <c r="C2166">
        <v>3.0</v>
      </c>
      <c r="D2166" t="s">
        <v>330</v>
      </c>
      <c r="E2166" t="s">
        <v>311</v>
      </c>
    </row>
    <row r="2167">
      <c r="A2167" s="232" t="s">
        <v>4267</v>
      </c>
      <c r="B2167" t="s">
        <v>4268</v>
      </c>
      <c r="C2167">
        <v>713.0</v>
      </c>
      <c r="D2167" t="s">
        <v>330</v>
      </c>
      <c r="E2167" t="s">
        <v>311</v>
      </c>
    </row>
    <row r="2168">
      <c r="A2168" s="232" t="s">
        <v>4269</v>
      </c>
      <c r="B2168" t="s">
        <v>4270</v>
      </c>
      <c r="C2168">
        <v>1.0</v>
      </c>
      <c r="D2168" t="s">
        <v>330</v>
      </c>
      <c r="E2168" t="s">
        <v>311</v>
      </c>
    </row>
    <row r="2169">
      <c r="A2169" s="232" t="s">
        <v>4271</v>
      </c>
      <c r="B2169" t="s">
        <v>4272</v>
      </c>
      <c r="C2169">
        <v>60.0</v>
      </c>
      <c r="D2169" t="s">
        <v>330</v>
      </c>
      <c r="E2169" t="s">
        <v>311</v>
      </c>
    </row>
    <row r="2170">
      <c r="A2170" s="232" t="s">
        <v>4273</v>
      </c>
      <c r="B2170" t="s">
        <v>4274</v>
      </c>
      <c r="C2170">
        <v>0.0</v>
      </c>
      <c r="D2170" t="s">
        <v>310</v>
      </c>
      <c r="E2170" t="s">
        <v>311</v>
      </c>
    </row>
    <row r="2171">
      <c r="A2171" s="232" t="s">
        <v>4275</v>
      </c>
      <c r="B2171" t="s">
        <v>4276</v>
      </c>
      <c r="C2171">
        <v>0.0</v>
      </c>
      <c r="D2171" t="s">
        <v>310</v>
      </c>
      <c r="E2171" t="s">
        <v>311</v>
      </c>
    </row>
    <row r="2172">
      <c r="A2172" s="232" t="s">
        <v>4277</v>
      </c>
      <c r="B2172" t="s">
        <v>4278</v>
      </c>
      <c r="C2172">
        <v>0.0</v>
      </c>
      <c r="D2172" t="s">
        <v>310</v>
      </c>
      <c r="E2172" t="s">
        <v>311</v>
      </c>
    </row>
    <row r="2173">
      <c r="A2173" s="232" t="s">
        <v>4279</v>
      </c>
      <c r="B2173" t="s">
        <v>4280</v>
      </c>
      <c r="C2173">
        <v>0.0</v>
      </c>
      <c r="D2173" t="s">
        <v>310</v>
      </c>
      <c r="E2173" t="s">
        <v>311</v>
      </c>
    </row>
    <row r="2174">
      <c r="A2174" s="232" t="s">
        <v>4281</v>
      </c>
      <c r="B2174" t="s">
        <v>4282</v>
      </c>
      <c r="C2174">
        <v>0.0</v>
      </c>
      <c r="D2174" t="s">
        <v>310</v>
      </c>
      <c r="E2174" t="s">
        <v>311</v>
      </c>
    </row>
    <row r="2175">
      <c r="A2175" s="232" t="s">
        <v>4283</v>
      </c>
      <c r="B2175" t="s">
        <v>4284</v>
      </c>
      <c r="C2175">
        <v>0.0</v>
      </c>
      <c r="D2175" t="s">
        <v>310</v>
      </c>
      <c r="E2175" t="s">
        <v>311</v>
      </c>
    </row>
    <row r="2176">
      <c r="A2176" s="232" t="s">
        <v>4285</v>
      </c>
      <c r="B2176" t="s">
        <v>4286</v>
      </c>
      <c r="C2176">
        <v>0.0</v>
      </c>
      <c r="D2176" t="s">
        <v>310</v>
      </c>
      <c r="E2176" t="s">
        <v>311</v>
      </c>
    </row>
    <row r="2177">
      <c r="A2177" s="232" t="s">
        <v>4287</v>
      </c>
      <c r="B2177" t="s">
        <v>4288</v>
      </c>
      <c r="C2177">
        <v>396.0</v>
      </c>
      <c r="D2177" t="s">
        <v>330</v>
      </c>
      <c r="E2177" t="s">
        <v>311</v>
      </c>
    </row>
    <row r="2178">
      <c r="A2178" s="232" t="s">
        <v>4289</v>
      </c>
      <c r="B2178" t="s">
        <v>4290</v>
      </c>
      <c r="C2178">
        <v>0.0</v>
      </c>
      <c r="D2178" t="s">
        <v>310</v>
      </c>
      <c r="E2178" t="s">
        <v>311</v>
      </c>
    </row>
    <row r="2179">
      <c r="A2179" s="232" t="s">
        <v>4291</v>
      </c>
      <c r="B2179" t="s">
        <v>4292</v>
      </c>
      <c r="C2179">
        <v>587.0</v>
      </c>
      <c r="D2179" t="s">
        <v>330</v>
      </c>
      <c r="E2179" t="s">
        <v>311</v>
      </c>
    </row>
    <row r="2180">
      <c r="A2180" s="232" t="s">
        <v>4293</v>
      </c>
      <c r="B2180" t="s">
        <v>4294</v>
      </c>
      <c r="C2180">
        <v>0.0</v>
      </c>
      <c r="D2180" t="s">
        <v>310</v>
      </c>
      <c r="E2180" t="s">
        <v>311</v>
      </c>
    </row>
    <row r="2181">
      <c r="A2181" s="232" t="s">
        <v>4295</v>
      </c>
      <c r="B2181" t="s">
        <v>4296</v>
      </c>
      <c r="C2181">
        <v>111.0</v>
      </c>
      <c r="D2181" t="s">
        <v>330</v>
      </c>
      <c r="E2181" t="s">
        <v>311</v>
      </c>
    </row>
    <row r="2182">
      <c r="A2182" s="232" t="s">
        <v>4297</v>
      </c>
      <c r="B2182" t="s">
        <v>4298</v>
      </c>
      <c r="C2182">
        <v>342.0</v>
      </c>
      <c r="D2182" t="s">
        <v>330</v>
      </c>
      <c r="E2182" t="s">
        <v>311</v>
      </c>
    </row>
    <row r="2183">
      <c r="A2183" s="232" t="s">
        <v>4299</v>
      </c>
      <c r="B2183" t="s">
        <v>4300</v>
      </c>
      <c r="C2183">
        <v>0.0</v>
      </c>
      <c r="D2183" t="s">
        <v>310</v>
      </c>
      <c r="E2183" t="s">
        <v>311</v>
      </c>
    </row>
    <row r="2184">
      <c r="A2184" s="232" t="s">
        <v>4301</v>
      </c>
      <c r="B2184" t="s">
        <v>4302</v>
      </c>
      <c r="C2184">
        <v>0.0</v>
      </c>
      <c r="D2184" t="s">
        <v>310</v>
      </c>
      <c r="E2184" t="s">
        <v>311</v>
      </c>
    </row>
    <row r="2185">
      <c r="A2185" s="232" t="s">
        <v>4303</v>
      </c>
      <c r="B2185" t="s">
        <v>4304</v>
      </c>
      <c r="C2185">
        <v>249.0</v>
      </c>
      <c r="D2185" t="s">
        <v>330</v>
      </c>
      <c r="E2185" t="s">
        <v>311</v>
      </c>
    </row>
    <row r="2186">
      <c r="A2186" s="232" t="s">
        <v>4305</v>
      </c>
      <c r="B2186" t="s">
        <v>4306</v>
      </c>
      <c r="C2186">
        <v>317.0</v>
      </c>
      <c r="D2186" t="s">
        <v>330</v>
      </c>
      <c r="E2186" t="s">
        <v>311</v>
      </c>
    </row>
    <row r="2187">
      <c r="A2187" s="232" t="s">
        <v>4307</v>
      </c>
      <c r="B2187" t="s">
        <v>4308</v>
      </c>
      <c r="C2187">
        <v>392.0</v>
      </c>
      <c r="D2187" t="s">
        <v>330</v>
      </c>
      <c r="E2187" t="s">
        <v>311</v>
      </c>
    </row>
    <row r="2188">
      <c r="A2188" s="232" t="s">
        <v>4309</v>
      </c>
      <c r="B2188" t="s">
        <v>4310</v>
      </c>
      <c r="C2188">
        <v>51.0</v>
      </c>
      <c r="D2188" t="s">
        <v>330</v>
      </c>
      <c r="E2188" t="s">
        <v>311</v>
      </c>
    </row>
    <row r="2189">
      <c r="A2189" s="232" t="s">
        <v>4311</v>
      </c>
      <c r="B2189" t="s">
        <v>4312</v>
      </c>
      <c r="C2189">
        <v>0.0</v>
      </c>
      <c r="D2189" t="s">
        <v>310</v>
      </c>
      <c r="E2189" t="s">
        <v>311</v>
      </c>
    </row>
    <row r="2190">
      <c r="A2190" s="232" t="s">
        <v>4313</v>
      </c>
      <c r="B2190" t="s">
        <v>4314</v>
      </c>
      <c r="C2190">
        <v>0.0</v>
      </c>
      <c r="D2190" t="s">
        <v>310</v>
      </c>
      <c r="E2190" t="s">
        <v>311</v>
      </c>
    </row>
    <row r="2191">
      <c r="A2191" s="232" t="s">
        <v>4315</v>
      </c>
      <c r="B2191" t="s">
        <v>4316</v>
      </c>
      <c r="C2191">
        <v>0.0</v>
      </c>
      <c r="D2191" t="s">
        <v>310</v>
      </c>
      <c r="E2191" t="s">
        <v>311</v>
      </c>
    </row>
    <row r="2192">
      <c r="A2192" s="232" t="s">
        <v>4317</v>
      </c>
      <c r="B2192" t="s">
        <v>4318</v>
      </c>
      <c r="C2192">
        <v>0.0</v>
      </c>
      <c r="D2192" t="s">
        <v>310</v>
      </c>
      <c r="E2192" t="s">
        <v>311</v>
      </c>
    </row>
    <row r="2193">
      <c r="A2193" s="232" t="s">
        <v>4319</v>
      </c>
      <c r="B2193" t="s">
        <v>4320</v>
      </c>
      <c r="C2193">
        <v>0.0</v>
      </c>
      <c r="D2193" t="s">
        <v>330</v>
      </c>
      <c r="E2193" t="s">
        <v>311</v>
      </c>
    </row>
    <row r="2194">
      <c r="A2194" s="232" t="s">
        <v>4321</v>
      </c>
      <c r="B2194" t="s">
        <v>4322</v>
      </c>
      <c r="C2194">
        <v>0.0</v>
      </c>
      <c r="D2194" t="s">
        <v>330</v>
      </c>
      <c r="E2194" t="s">
        <v>311</v>
      </c>
    </row>
    <row r="2195">
      <c r="A2195" s="232" t="s">
        <v>4323</v>
      </c>
      <c r="B2195" t="s">
        <v>4324</v>
      </c>
      <c r="C2195">
        <v>0.0</v>
      </c>
      <c r="D2195" t="s">
        <v>330</v>
      </c>
      <c r="E2195" t="s">
        <v>311</v>
      </c>
    </row>
    <row r="2196">
      <c r="A2196" s="232" t="s">
        <v>4325</v>
      </c>
      <c r="B2196" t="s">
        <v>4326</v>
      </c>
      <c r="C2196">
        <v>0.0</v>
      </c>
      <c r="D2196" t="s">
        <v>330</v>
      </c>
      <c r="E2196" t="s">
        <v>311</v>
      </c>
    </row>
    <row r="2197">
      <c r="A2197" s="232" t="s">
        <v>4327</v>
      </c>
      <c r="B2197" t="s">
        <v>4328</v>
      </c>
      <c r="C2197">
        <v>0.0</v>
      </c>
      <c r="D2197" t="s">
        <v>330</v>
      </c>
      <c r="E2197" t="s">
        <v>311</v>
      </c>
    </row>
    <row r="2198">
      <c r="A2198" s="232" t="s">
        <v>4329</v>
      </c>
      <c r="B2198" t="s">
        <v>4330</v>
      </c>
      <c r="C2198">
        <v>0.0</v>
      </c>
      <c r="D2198" t="s">
        <v>310</v>
      </c>
      <c r="E2198" t="s">
        <v>311</v>
      </c>
    </row>
    <row r="2199">
      <c r="A2199" s="232" t="s">
        <v>4331</v>
      </c>
      <c r="B2199" t="s">
        <v>4332</v>
      </c>
      <c r="C2199">
        <v>0.0</v>
      </c>
      <c r="D2199" t="s">
        <v>310</v>
      </c>
      <c r="E2199" t="s">
        <v>311</v>
      </c>
    </row>
    <row r="2200">
      <c r="A2200" s="232" t="s">
        <v>4333</v>
      </c>
      <c r="B2200" t="s">
        <v>4334</v>
      </c>
      <c r="C2200">
        <v>0.0</v>
      </c>
      <c r="D2200" t="s">
        <v>310</v>
      </c>
      <c r="E2200" t="s">
        <v>311</v>
      </c>
    </row>
    <row r="2201">
      <c r="A2201" s="232" t="s">
        <v>4335</v>
      </c>
      <c r="B2201" t="s">
        <v>4336</v>
      </c>
      <c r="C2201">
        <v>0.0</v>
      </c>
      <c r="D2201" t="s">
        <v>310</v>
      </c>
      <c r="E2201" t="s">
        <v>311</v>
      </c>
    </row>
    <row r="2202">
      <c r="A2202" s="232" t="s">
        <v>4337</v>
      </c>
      <c r="B2202" t="s">
        <v>4338</v>
      </c>
      <c r="C2202">
        <v>0.0</v>
      </c>
      <c r="D2202" t="s">
        <v>310</v>
      </c>
      <c r="E2202" t="s">
        <v>311</v>
      </c>
    </row>
    <row r="2203">
      <c r="A2203" s="232">
        <v>90501.0</v>
      </c>
      <c r="B2203" t="s">
        <v>4339</v>
      </c>
      <c r="C2203">
        <v>0.0</v>
      </c>
      <c r="D2203" t="s">
        <v>310</v>
      </c>
      <c r="E2203" t="s">
        <v>311</v>
      </c>
    </row>
    <row r="2204">
      <c r="A2204" s="232">
        <v>90502.0</v>
      </c>
      <c r="B2204" t="s">
        <v>4340</v>
      </c>
      <c r="C2204">
        <v>0.0</v>
      </c>
      <c r="D2204" t="s">
        <v>310</v>
      </c>
      <c r="E2204" t="s">
        <v>311</v>
      </c>
    </row>
    <row r="2205">
      <c r="A2205" s="232">
        <v>90503.0</v>
      </c>
      <c r="B2205" t="s">
        <v>4341</v>
      </c>
      <c r="C2205">
        <v>0.0</v>
      </c>
      <c r="D2205" t="s">
        <v>310</v>
      </c>
      <c r="E2205" t="s">
        <v>311</v>
      </c>
    </row>
    <row r="2206">
      <c r="A2206" s="232">
        <v>90504.0</v>
      </c>
      <c r="B2206" t="s">
        <v>4342</v>
      </c>
      <c r="C2206">
        <v>0.0</v>
      </c>
      <c r="D2206" t="s">
        <v>310</v>
      </c>
      <c r="E2206" t="s">
        <v>311</v>
      </c>
    </row>
    <row r="2207">
      <c r="A2207" s="232">
        <v>90505.0</v>
      </c>
      <c r="B2207" t="s">
        <v>4343</v>
      </c>
      <c r="C2207">
        <v>0.0</v>
      </c>
      <c r="D2207" t="s">
        <v>310</v>
      </c>
      <c r="E2207" t="s">
        <v>311</v>
      </c>
    </row>
    <row r="2208">
      <c r="A2208" s="232">
        <v>90506.0</v>
      </c>
      <c r="B2208" t="s">
        <v>4344</v>
      </c>
      <c r="C2208">
        <v>0.0</v>
      </c>
      <c r="D2208" t="s">
        <v>310</v>
      </c>
      <c r="E2208" t="s">
        <v>311</v>
      </c>
    </row>
    <row r="2209">
      <c r="A2209" s="232" t="s">
        <v>4345</v>
      </c>
      <c r="B2209" t="s">
        <v>4346</v>
      </c>
      <c r="C2209">
        <v>0.0</v>
      </c>
      <c r="D2209" t="s">
        <v>310</v>
      </c>
      <c r="E2209" t="s">
        <v>311</v>
      </c>
    </row>
    <row r="2210">
      <c r="A2210" s="232" t="s">
        <v>4347</v>
      </c>
      <c r="B2210" t="s">
        <v>4348</v>
      </c>
      <c r="C2210">
        <v>0.0</v>
      </c>
      <c r="D2210" t="s">
        <v>310</v>
      </c>
      <c r="E2210" t="s">
        <v>311</v>
      </c>
    </row>
    <row r="2211">
      <c r="A2211" s="232" t="s">
        <v>4349</v>
      </c>
      <c r="B2211" t="s">
        <v>4350</v>
      </c>
      <c r="C2211">
        <v>0.0</v>
      </c>
      <c r="D2211" t="s">
        <v>310</v>
      </c>
      <c r="E2211" t="s">
        <v>311</v>
      </c>
    </row>
    <row r="2212">
      <c r="A2212" s="232" t="s">
        <v>4351</v>
      </c>
      <c r="B2212" t="s">
        <v>4352</v>
      </c>
      <c r="C2212">
        <v>0.0</v>
      </c>
      <c r="D2212" t="s">
        <v>310</v>
      </c>
      <c r="E2212" t="s">
        <v>311</v>
      </c>
    </row>
    <row r="2213">
      <c r="A2213" s="232" t="s">
        <v>4353</v>
      </c>
      <c r="B2213" t="s">
        <v>4354</v>
      </c>
      <c r="C2213">
        <v>0.0</v>
      </c>
      <c r="D2213" t="s">
        <v>310</v>
      </c>
      <c r="E2213" t="s">
        <v>311</v>
      </c>
    </row>
    <row r="2214">
      <c r="A2214" s="232" t="s">
        <v>4355</v>
      </c>
      <c r="B2214" t="s">
        <v>4356</v>
      </c>
      <c r="C2214">
        <v>0.0</v>
      </c>
      <c r="D2214" t="s">
        <v>310</v>
      </c>
      <c r="E2214" t="s">
        <v>311</v>
      </c>
    </row>
    <row r="2215">
      <c r="A2215" s="232" t="s">
        <v>4357</v>
      </c>
      <c r="B2215" t="s">
        <v>4358</v>
      </c>
      <c r="C2215">
        <v>0.0</v>
      </c>
      <c r="D2215" t="s">
        <v>310</v>
      </c>
      <c r="E2215" t="s">
        <v>311</v>
      </c>
    </row>
    <row r="2216">
      <c r="A2216" s="232" t="s">
        <v>4359</v>
      </c>
      <c r="B2216" t="s">
        <v>4360</v>
      </c>
      <c r="C2216">
        <v>0.0</v>
      </c>
      <c r="D2216" t="s">
        <v>310</v>
      </c>
      <c r="E2216" t="s">
        <v>311</v>
      </c>
    </row>
    <row r="2217">
      <c r="A2217" s="232" t="s">
        <v>4361</v>
      </c>
      <c r="B2217" t="s">
        <v>4362</v>
      </c>
      <c r="C2217">
        <v>0.0</v>
      </c>
      <c r="D2217" t="s">
        <v>310</v>
      </c>
      <c r="E2217" t="s">
        <v>311</v>
      </c>
    </row>
    <row r="2218">
      <c r="A2218" s="232" t="s">
        <v>4363</v>
      </c>
      <c r="B2218" t="s">
        <v>4364</v>
      </c>
      <c r="C2218">
        <v>0.0</v>
      </c>
      <c r="D2218" t="s">
        <v>310</v>
      </c>
      <c r="E2218" t="s">
        <v>311</v>
      </c>
    </row>
    <row r="2219">
      <c r="A2219" s="232" t="s">
        <v>4365</v>
      </c>
      <c r="B2219" t="s">
        <v>4366</v>
      </c>
      <c r="C2219">
        <v>0.0</v>
      </c>
      <c r="D2219" t="s">
        <v>310</v>
      </c>
      <c r="E2219" t="s">
        <v>311</v>
      </c>
    </row>
    <row r="2220">
      <c r="A2220" s="232" t="s">
        <v>4367</v>
      </c>
      <c r="B2220" t="s">
        <v>4368</v>
      </c>
      <c r="C2220">
        <v>0.0</v>
      </c>
      <c r="D2220" t="s">
        <v>310</v>
      </c>
      <c r="E2220" t="s">
        <v>311</v>
      </c>
    </row>
    <row r="2221">
      <c r="A2221" s="232" t="s">
        <v>4369</v>
      </c>
      <c r="B2221" t="s">
        <v>4370</v>
      </c>
      <c r="C2221">
        <v>0.0</v>
      </c>
      <c r="D2221" t="s">
        <v>310</v>
      </c>
      <c r="E2221" t="s">
        <v>311</v>
      </c>
    </row>
    <row r="2222">
      <c r="A2222" s="232" t="s">
        <v>4371</v>
      </c>
      <c r="B2222" t="s">
        <v>4372</v>
      </c>
      <c r="C2222">
        <v>0.0</v>
      </c>
      <c r="D2222" t="s">
        <v>310</v>
      </c>
      <c r="E2222" t="s">
        <v>311</v>
      </c>
    </row>
    <row r="2223">
      <c r="A2223" s="232" t="s">
        <v>4373</v>
      </c>
      <c r="B2223" t="s">
        <v>4374</v>
      </c>
      <c r="C2223">
        <v>0.0</v>
      </c>
      <c r="D2223" t="s">
        <v>310</v>
      </c>
      <c r="E2223" t="s">
        <v>311</v>
      </c>
    </row>
    <row r="2224">
      <c r="A2224" s="232" t="s">
        <v>4375</v>
      </c>
      <c r="B2224" t="s">
        <v>4376</v>
      </c>
      <c r="C2224">
        <v>0.0</v>
      </c>
      <c r="D2224" t="s">
        <v>310</v>
      </c>
      <c r="E2224" t="s">
        <v>311</v>
      </c>
    </row>
    <row r="2225">
      <c r="A2225" s="232" t="s">
        <v>4377</v>
      </c>
      <c r="B2225" t="s">
        <v>4378</v>
      </c>
      <c r="C2225">
        <v>0.0</v>
      </c>
      <c r="D2225" t="s">
        <v>310</v>
      </c>
      <c r="E2225" t="s">
        <v>311</v>
      </c>
    </row>
    <row r="2226">
      <c r="A2226" s="232" t="s">
        <v>4379</v>
      </c>
      <c r="B2226" t="s">
        <v>4380</v>
      </c>
      <c r="C2226">
        <v>0.0</v>
      </c>
      <c r="D2226" t="s">
        <v>310</v>
      </c>
      <c r="E2226" t="s">
        <v>311</v>
      </c>
    </row>
    <row r="2227">
      <c r="A2227" s="232" t="s">
        <v>4381</v>
      </c>
      <c r="B2227" t="s">
        <v>4382</v>
      </c>
      <c r="C2227">
        <v>0.0</v>
      </c>
      <c r="D2227" t="s">
        <v>310</v>
      </c>
      <c r="E2227" t="s">
        <v>311</v>
      </c>
    </row>
    <row r="2228">
      <c r="A2228" s="232" t="s">
        <v>4383</v>
      </c>
      <c r="B2228" t="s">
        <v>4384</v>
      </c>
      <c r="C2228">
        <v>0.0</v>
      </c>
      <c r="D2228" t="s">
        <v>310</v>
      </c>
      <c r="E2228" t="s">
        <v>311</v>
      </c>
    </row>
    <row r="2229">
      <c r="A2229" s="232" t="s">
        <v>4385</v>
      </c>
      <c r="B2229" t="s">
        <v>4386</v>
      </c>
      <c r="C2229">
        <v>0.0</v>
      </c>
      <c r="D2229" t="s">
        <v>310</v>
      </c>
      <c r="E2229" t="s">
        <v>311</v>
      </c>
    </row>
    <row r="2230">
      <c r="A2230" s="232" t="s">
        <v>4387</v>
      </c>
      <c r="B2230" t="s">
        <v>4388</v>
      </c>
      <c r="C2230">
        <v>0.0</v>
      </c>
      <c r="D2230" t="s">
        <v>310</v>
      </c>
      <c r="E2230" t="s">
        <v>311</v>
      </c>
    </row>
    <row r="2231">
      <c r="A2231" s="232" t="s">
        <v>4389</v>
      </c>
      <c r="B2231" t="s">
        <v>4390</v>
      </c>
      <c r="C2231">
        <v>0.0</v>
      </c>
      <c r="D2231" t="s">
        <v>310</v>
      </c>
      <c r="E2231" t="s">
        <v>311</v>
      </c>
    </row>
    <row r="2232">
      <c r="A2232" s="232" t="s">
        <v>4391</v>
      </c>
      <c r="B2232" t="s">
        <v>4392</v>
      </c>
      <c r="C2232">
        <v>0.0</v>
      </c>
      <c r="D2232" t="s">
        <v>310</v>
      </c>
      <c r="E2232" t="s">
        <v>311</v>
      </c>
    </row>
    <row r="2233">
      <c r="A2233" s="232" t="s">
        <v>4393</v>
      </c>
      <c r="B2233" t="s">
        <v>4394</v>
      </c>
      <c r="C2233">
        <v>0.0</v>
      </c>
      <c r="D2233" t="s">
        <v>310</v>
      </c>
      <c r="E2233" t="s">
        <v>311</v>
      </c>
    </row>
    <row r="2234">
      <c r="A2234" s="232" t="s">
        <v>4395</v>
      </c>
      <c r="B2234" t="s">
        <v>4396</v>
      </c>
      <c r="C2234">
        <v>0.0</v>
      </c>
      <c r="D2234" t="s">
        <v>310</v>
      </c>
      <c r="E2234" t="s">
        <v>311</v>
      </c>
    </row>
    <row r="2235">
      <c r="A2235" s="232" t="s">
        <v>4397</v>
      </c>
      <c r="B2235" t="s">
        <v>4398</v>
      </c>
      <c r="C2235">
        <v>0.0</v>
      </c>
      <c r="D2235" t="s">
        <v>310</v>
      </c>
      <c r="E2235" t="s">
        <v>311</v>
      </c>
    </row>
    <row r="2236">
      <c r="A2236" s="232" t="s">
        <v>4399</v>
      </c>
      <c r="B2236" t="s">
        <v>4400</v>
      </c>
      <c r="C2236">
        <v>0.0</v>
      </c>
      <c r="D2236" t="s">
        <v>310</v>
      </c>
      <c r="E2236" t="s">
        <v>311</v>
      </c>
    </row>
    <row r="2237">
      <c r="A2237" s="232" t="s">
        <v>4401</v>
      </c>
      <c r="B2237" t="s">
        <v>4402</v>
      </c>
      <c r="C2237">
        <v>0.0</v>
      </c>
      <c r="D2237" t="s">
        <v>310</v>
      </c>
      <c r="E2237" t="s">
        <v>311</v>
      </c>
    </row>
    <row r="2238">
      <c r="A2238" s="232" t="s">
        <v>4403</v>
      </c>
      <c r="B2238" t="s">
        <v>4404</v>
      </c>
      <c r="C2238">
        <v>0.0</v>
      </c>
      <c r="D2238" t="s">
        <v>310</v>
      </c>
      <c r="E2238" t="s">
        <v>311</v>
      </c>
    </row>
    <row r="2239">
      <c r="A2239" s="232" t="s">
        <v>4405</v>
      </c>
      <c r="B2239" t="s">
        <v>4406</v>
      </c>
      <c r="C2239">
        <v>0.0</v>
      </c>
      <c r="D2239" t="s">
        <v>310</v>
      </c>
      <c r="E2239" t="s">
        <v>311</v>
      </c>
    </row>
    <row r="2240">
      <c r="A2240" s="232" t="s">
        <v>4407</v>
      </c>
      <c r="B2240" t="s">
        <v>4408</v>
      </c>
      <c r="C2240">
        <v>0.0</v>
      </c>
      <c r="D2240" t="s">
        <v>310</v>
      </c>
      <c r="E2240" t="s">
        <v>311</v>
      </c>
    </row>
    <row r="2241">
      <c r="A2241" s="232" t="s">
        <v>4409</v>
      </c>
      <c r="B2241" t="s">
        <v>4410</v>
      </c>
      <c r="C2241">
        <v>0.0</v>
      </c>
      <c r="D2241" t="s">
        <v>310</v>
      </c>
      <c r="E2241" t="s">
        <v>311</v>
      </c>
    </row>
    <row r="2242">
      <c r="A2242" s="232" t="s">
        <v>4411</v>
      </c>
      <c r="B2242" t="s">
        <v>4412</v>
      </c>
      <c r="C2242">
        <v>0.0</v>
      </c>
      <c r="D2242" t="s">
        <v>310</v>
      </c>
      <c r="E2242" t="s">
        <v>311</v>
      </c>
    </row>
    <row r="2243">
      <c r="A2243" s="232" t="s">
        <v>4413</v>
      </c>
      <c r="B2243" t="s">
        <v>4414</v>
      </c>
      <c r="C2243">
        <v>0.0</v>
      </c>
      <c r="D2243" t="s">
        <v>310</v>
      </c>
      <c r="E2243" t="s">
        <v>311</v>
      </c>
    </row>
    <row r="2244">
      <c r="A2244" s="232" t="s">
        <v>4415</v>
      </c>
      <c r="B2244" t="s">
        <v>4416</v>
      </c>
      <c r="C2244">
        <v>0.0</v>
      </c>
      <c r="D2244" t="s">
        <v>310</v>
      </c>
      <c r="E2244" t="s">
        <v>311</v>
      </c>
    </row>
    <row r="2245">
      <c r="A2245" s="232" t="s">
        <v>4417</v>
      </c>
      <c r="B2245" t="s">
        <v>4418</v>
      </c>
      <c r="C2245">
        <v>0.0</v>
      </c>
      <c r="D2245" t="s">
        <v>310</v>
      </c>
      <c r="E2245" t="s">
        <v>311</v>
      </c>
    </row>
    <row r="2246">
      <c r="A2246" s="232" t="s">
        <v>4419</v>
      </c>
      <c r="B2246" t="s">
        <v>4420</v>
      </c>
      <c r="C2246">
        <v>0.0</v>
      </c>
      <c r="D2246" t="s">
        <v>310</v>
      </c>
      <c r="E2246" t="s">
        <v>311</v>
      </c>
    </row>
    <row r="2247">
      <c r="A2247" s="232" t="s">
        <v>4421</v>
      </c>
      <c r="B2247" t="s">
        <v>4422</v>
      </c>
      <c r="C2247">
        <v>0.0</v>
      </c>
      <c r="D2247" t="s">
        <v>310</v>
      </c>
      <c r="E2247" t="s">
        <v>311</v>
      </c>
    </row>
    <row r="2248">
      <c r="A2248" s="232" t="s">
        <v>4423</v>
      </c>
      <c r="B2248" t="s">
        <v>4424</v>
      </c>
      <c r="C2248">
        <v>0.0</v>
      </c>
      <c r="D2248" t="s">
        <v>310</v>
      </c>
      <c r="E2248" t="s">
        <v>311</v>
      </c>
    </row>
    <row r="2249">
      <c r="A2249" s="232" t="s">
        <v>4425</v>
      </c>
      <c r="B2249" t="s">
        <v>4426</v>
      </c>
      <c r="C2249">
        <v>0.0</v>
      </c>
      <c r="D2249" t="s">
        <v>310</v>
      </c>
      <c r="E2249" t="s">
        <v>311</v>
      </c>
    </row>
    <row r="2250">
      <c r="A2250" s="232" t="s">
        <v>4427</v>
      </c>
      <c r="B2250" t="s">
        <v>4428</v>
      </c>
      <c r="C2250">
        <v>0.0</v>
      </c>
      <c r="D2250" t="s">
        <v>310</v>
      </c>
      <c r="E2250" t="s">
        <v>311</v>
      </c>
    </row>
    <row r="2251">
      <c r="A2251" s="232" t="s">
        <v>4429</v>
      </c>
      <c r="B2251" t="s">
        <v>4430</v>
      </c>
      <c r="C2251">
        <v>0.0</v>
      </c>
      <c r="D2251" t="s">
        <v>310</v>
      </c>
      <c r="E2251" t="s">
        <v>311</v>
      </c>
    </row>
    <row r="2252">
      <c r="A2252" s="232" t="s">
        <v>4431</v>
      </c>
      <c r="B2252" t="s">
        <v>4432</v>
      </c>
      <c r="C2252">
        <v>0.0</v>
      </c>
      <c r="D2252" t="s">
        <v>310</v>
      </c>
      <c r="E2252" t="s">
        <v>311</v>
      </c>
    </row>
    <row r="2253">
      <c r="A2253" s="232" t="s">
        <v>4433</v>
      </c>
      <c r="B2253" t="s">
        <v>4434</v>
      </c>
      <c r="C2253">
        <v>0.0</v>
      </c>
      <c r="D2253" t="s">
        <v>310</v>
      </c>
      <c r="E2253" t="s">
        <v>311</v>
      </c>
    </row>
    <row r="2254">
      <c r="A2254" s="232" t="s">
        <v>4435</v>
      </c>
      <c r="B2254" t="s">
        <v>4436</v>
      </c>
      <c r="C2254">
        <v>0.0</v>
      </c>
      <c r="D2254" t="s">
        <v>310</v>
      </c>
      <c r="E2254" t="s">
        <v>311</v>
      </c>
    </row>
    <row r="2255">
      <c r="A2255" s="232" t="s">
        <v>4437</v>
      </c>
      <c r="B2255" t="s">
        <v>4438</v>
      </c>
      <c r="C2255">
        <v>20990.0</v>
      </c>
      <c r="D2255" t="s">
        <v>330</v>
      </c>
      <c r="E2255" t="s">
        <v>311</v>
      </c>
    </row>
    <row r="2256">
      <c r="A2256" s="232" t="s">
        <v>4439</v>
      </c>
      <c r="B2256" t="s">
        <v>4440</v>
      </c>
      <c r="C2256">
        <v>0.0</v>
      </c>
      <c r="D2256" t="s">
        <v>330</v>
      </c>
      <c r="E2256" t="s">
        <v>311</v>
      </c>
    </row>
    <row r="2257">
      <c r="A2257" s="232" t="s">
        <v>4441</v>
      </c>
      <c r="B2257" t="s">
        <v>4442</v>
      </c>
      <c r="C2257">
        <v>0.0</v>
      </c>
      <c r="D2257" t="s">
        <v>310</v>
      </c>
      <c r="E2257" t="s">
        <v>311</v>
      </c>
    </row>
    <row r="2258">
      <c r="A2258" s="232" t="s">
        <v>4443</v>
      </c>
      <c r="B2258" t="s">
        <v>4444</v>
      </c>
      <c r="C2258">
        <v>9.0</v>
      </c>
      <c r="D2258" t="s">
        <v>330</v>
      </c>
      <c r="E2258" t="s">
        <v>565</v>
      </c>
    </row>
    <row r="2259">
      <c r="A2259" s="232" t="s">
        <v>4445</v>
      </c>
      <c r="B2259" t="s">
        <v>4446</v>
      </c>
      <c r="C2259">
        <v>0.0</v>
      </c>
      <c r="D2259" t="s">
        <v>330</v>
      </c>
      <c r="E2259" t="s">
        <v>311</v>
      </c>
    </row>
    <row r="2260">
      <c r="A2260" s="232" t="s">
        <v>4447</v>
      </c>
      <c r="B2260" t="s">
        <v>4448</v>
      </c>
      <c r="C2260">
        <v>0.0</v>
      </c>
      <c r="D2260" t="s">
        <v>310</v>
      </c>
      <c r="E2260" t="s">
        <v>311</v>
      </c>
    </row>
    <row r="2261">
      <c r="A2261" s="232" t="s">
        <v>4449</v>
      </c>
      <c r="B2261" t="s">
        <v>4450</v>
      </c>
      <c r="C2261">
        <v>0.0</v>
      </c>
      <c r="D2261" t="s">
        <v>310</v>
      </c>
      <c r="E2261" t="s">
        <v>311</v>
      </c>
    </row>
    <row r="2262">
      <c r="A2262" s="232" t="s">
        <v>4451</v>
      </c>
      <c r="B2262" t="s">
        <v>4452</v>
      </c>
      <c r="C2262">
        <v>0.0</v>
      </c>
      <c r="D2262" t="s">
        <v>310</v>
      </c>
      <c r="E2262" t="s">
        <v>311</v>
      </c>
    </row>
    <row r="2263">
      <c r="A2263" s="232" t="s">
        <v>4453</v>
      </c>
      <c r="B2263" t="s">
        <v>4454</v>
      </c>
      <c r="C2263">
        <v>0.0</v>
      </c>
      <c r="D2263" t="s">
        <v>310</v>
      </c>
      <c r="E2263" t="s">
        <v>311</v>
      </c>
    </row>
    <row r="2264">
      <c r="A2264" s="232" t="s">
        <v>4455</v>
      </c>
      <c r="B2264" t="s">
        <v>4456</v>
      </c>
      <c r="C2264">
        <v>0.0</v>
      </c>
      <c r="D2264" t="s">
        <v>310</v>
      </c>
      <c r="E2264" t="s">
        <v>311</v>
      </c>
    </row>
    <row r="2265">
      <c r="A2265" s="232" t="s">
        <v>4457</v>
      </c>
      <c r="B2265" t="s">
        <v>4458</v>
      </c>
      <c r="C2265">
        <v>0.0</v>
      </c>
      <c r="D2265" t="s">
        <v>310</v>
      </c>
      <c r="E2265" t="s">
        <v>311</v>
      </c>
    </row>
    <row r="2266">
      <c r="A2266" s="232" t="s">
        <v>4459</v>
      </c>
      <c r="B2266" t="s">
        <v>4460</v>
      </c>
      <c r="C2266">
        <v>0.0</v>
      </c>
      <c r="D2266" t="s">
        <v>310</v>
      </c>
      <c r="E2266" t="s">
        <v>311</v>
      </c>
    </row>
    <row r="2267">
      <c r="A2267" s="232" t="s">
        <v>4461</v>
      </c>
      <c r="B2267" t="s">
        <v>4462</v>
      </c>
      <c r="C2267">
        <v>0.0</v>
      </c>
      <c r="D2267" t="s">
        <v>310</v>
      </c>
      <c r="E2267" t="s">
        <v>311</v>
      </c>
    </row>
    <row r="2268">
      <c r="A2268" s="232" t="s">
        <v>4463</v>
      </c>
      <c r="B2268" t="s">
        <v>4464</v>
      </c>
      <c r="C2268">
        <v>0.0</v>
      </c>
      <c r="D2268" t="s">
        <v>310</v>
      </c>
      <c r="E2268" t="s">
        <v>311</v>
      </c>
    </row>
    <row r="2269">
      <c r="A2269" s="232" t="s">
        <v>4465</v>
      </c>
      <c r="B2269" t="s">
        <v>4466</v>
      </c>
      <c r="C2269">
        <v>0.0</v>
      </c>
      <c r="D2269" t="s">
        <v>310</v>
      </c>
      <c r="E2269" t="s">
        <v>311</v>
      </c>
    </row>
    <row r="2270">
      <c r="A2270" s="232" t="s">
        <v>4467</v>
      </c>
      <c r="B2270" t="s">
        <v>4468</v>
      </c>
      <c r="C2270">
        <v>0.0</v>
      </c>
      <c r="D2270" t="s">
        <v>310</v>
      </c>
      <c r="E2270" t="s">
        <v>311</v>
      </c>
    </row>
    <row r="2271">
      <c r="A2271" s="232">
        <v>5212.0</v>
      </c>
      <c r="B2271" t="s">
        <v>4469</v>
      </c>
      <c r="C2271">
        <v>0.0</v>
      </c>
      <c r="D2271" t="s">
        <v>310</v>
      </c>
      <c r="E2271" t="s">
        <v>311</v>
      </c>
    </row>
    <row r="2272">
      <c r="A2272" s="232" t="s">
        <v>4470</v>
      </c>
      <c r="B2272" t="s">
        <v>4471</v>
      </c>
      <c r="C2272">
        <v>0.0</v>
      </c>
      <c r="D2272" t="s">
        <v>310</v>
      </c>
      <c r="E2272" t="s">
        <v>311</v>
      </c>
    </row>
    <row r="2273">
      <c r="A2273" s="232" t="s">
        <v>4472</v>
      </c>
      <c r="B2273" t="s">
        <v>4473</v>
      </c>
      <c r="C2273">
        <v>0.0</v>
      </c>
      <c r="D2273" t="s">
        <v>310</v>
      </c>
      <c r="E2273" t="s">
        <v>311</v>
      </c>
    </row>
    <row r="2274">
      <c r="A2274" s="232" t="s">
        <v>4474</v>
      </c>
      <c r="B2274" t="s">
        <v>4475</v>
      </c>
      <c r="C2274">
        <v>0.0</v>
      </c>
      <c r="D2274" t="s">
        <v>310</v>
      </c>
      <c r="E2274" t="s">
        <v>311</v>
      </c>
    </row>
    <row r="2275">
      <c r="A2275" s="232" t="s">
        <v>4476</v>
      </c>
      <c r="B2275" t="s">
        <v>4477</v>
      </c>
      <c r="C2275">
        <v>0.0</v>
      </c>
      <c r="D2275" t="s">
        <v>310</v>
      </c>
      <c r="E2275" t="s">
        <v>311</v>
      </c>
    </row>
    <row r="2276">
      <c r="A2276" s="232" t="s">
        <v>4478</v>
      </c>
      <c r="B2276" t="s">
        <v>4479</v>
      </c>
      <c r="C2276">
        <v>0.0</v>
      </c>
      <c r="D2276" t="s">
        <v>330</v>
      </c>
      <c r="E2276" t="s">
        <v>311</v>
      </c>
    </row>
    <row r="2277">
      <c r="A2277" s="232" t="s">
        <v>4480</v>
      </c>
      <c r="B2277" t="s">
        <v>4481</v>
      </c>
      <c r="C2277">
        <v>304.0</v>
      </c>
      <c r="D2277" t="s">
        <v>330</v>
      </c>
      <c r="E2277" t="s">
        <v>311</v>
      </c>
    </row>
    <row r="2278">
      <c r="A2278" s="232" t="s">
        <v>4482</v>
      </c>
      <c r="B2278" t="s">
        <v>4483</v>
      </c>
      <c r="C2278">
        <v>673.0</v>
      </c>
      <c r="D2278" t="s">
        <v>330</v>
      </c>
      <c r="E2278" t="s">
        <v>311</v>
      </c>
    </row>
    <row r="2279">
      <c r="A2279" s="232" t="s">
        <v>4484</v>
      </c>
      <c r="B2279" t="s">
        <v>4485</v>
      </c>
      <c r="C2279">
        <v>788.0</v>
      </c>
      <c r="D2279" t="s">
        <v>330</v>
      </c>
      <c r="E2279" t="s">
        <v>311</v>
      </c>
    </row>
    <row r="2280">
      <c r="A2280" s="232" t="s">
        <v>4486</v>
      </c>
      <c r="B2280" t="s">
        <v>4487</v>
      </c>
      <c r="C2280">
        <v>307.0</v>
      </c>
      <c r="D2280" t="s">
        <v>330</v>
      </c>
      <c r="E2280" t="s">
        <v>311</v>
      </c>
    </row>
    <row r="2281">
      <c r="A2281" s="232" t="s">
        <v>4488</v>
      </c>
      <c r="B2281" t="s">
        <v>4489</v>
      </c>
      <c r="C2281">
        <v>549.0</v>
      </c>
      <c r="D2281" t="s">
        <v>330</v>
      </c>
      <c r="E2281" t="s">
        <v>311</v>
      </c>
    </row>
    <row r="2282">
      <c r="A2282" s="232" t="s">
        <v>4490</v>
      </c>
      <c r="B2282" t="s">
        <v>4491</v>
      </c>
      <c r="C2282">
        <v>359.0</v>
      </c>
      <c r="D2282" t="s">
        <v>330</v>
      </c>
      <c r="E2282" t="s">
        <v>311</v>
      </c>
    </row>
    <row r="2283">
      <c r="A2283" s="232" t="s">
        <v>4492</v>
      </c>
      <c r="B2283" t="s">
        <v>4493</v>
      </c>
      <c r="C2283">
        <v>837.0</v>
      </c>
      <c r="D2283" t="s">
        <v>330</v>
      </c>
      <c r="E2283" t="s">
        <v>311</v>
      </c>
    </row>
    <row r="2284">
      <c r="A2284" s="232" t="s">
        <v>4494</v>
      </c>
      <c r="B2284" t="s">
        <v>4495</v>
      </c>
      <c r="C2284">
        <v>346.0</v>
      </c>
      <c r="D2284" t="s">
        <v>330</v>
      </c>
      <c r="E2284" t="s">
        <v>311</v>
      </c>
    </row>
    <row r="2285">
      <c r="A2285" s="232" t="s">
        <v>4496</v>
      </c>
      <c r="B2285" t="s">
        <v>4497</v>
      </c>
      <c r="C2285">
        <v>273.0</v>
      </c>
      <c r="D2285" t="s">
        <v>330</v>
      </c>
      <c r="E2285" t="s">
        <v>311</v>
      </c>
    </row>
    <row r="2286">
      <c r="A2286" s="232" t="s">
        <v>4498</v>
      </c>
      <c r="B2286" t="s">
        <v>4499</v>
      </c>
      <c r="C2286">
        <v>392.0</v>
      </c>
      <c r="D2286" t="s">
        <v>330</v>
      </c>
      <c r="E2286" t="s">
        <v>311</v>
      </c>
    </row>
    <row r="2287">
      <c r="A2287" s="232" t="s">
        <v>4500</v>
      </c>
      <c r="B2287" t="s">
        <v>4501</v>
      </c>
      <c r="C2287">
        <v>365.0</v>
      </c>
      <c r="D2287" t="s">
        <v>330</v>
      </c>
      <c r="E2287" t="s">
        <v>311</v>
      </c>
    </row>
    <row r="2288">
      <c r="A2288" s="232" t="s">
        <v>4502</v>
      </c>
      <c r="B2288" t="s">
        <v>4503</v>
      </c>
      <c r="C2288">
        <v>571.0</v>
      </c>
      <c r="D2288" t="s">
        <v>330</v>
      </c>
      <c r="E2288" t="s">
        <v>311</v>
      </c>
    </row>
    <row r="2289">
      <c r="A2289" s="232" t="s">
        <v>4504</v>
      </c>
      <c r="B2289" t="s">
        <v>4505</v>
      </c>
      <c r="C2289">
        <v>0.0</v>
      </c>
      <c r="D2289" t="s">
        <v>310</v>
      </c>
      <c r="E2289" t="s">
        <v>311</v>
      </c>
    </row>
    <row r="2290">
      <c r="A2290" s="232" t="s">
        <v>4506</v>
      </c>
      <c r="B2290" t="s">
        <v>4507</v>
      </c>
      <c r="C2290">
        <v>560.0</v>
      </c>
      <c r="D2290" t="s">
        <v>330</v>
      </c>
      <c r="E2290" t="s">
        <v>311</v>
      </c>
    </row>
    <row r="2291">
      <c r="A2291" s="232" t="s">
        <v>4508</v>
      </c>
      <c r="B2291" t="s">
        <v>4509</v>
      </c>
      <c r="C2291">
        <v>0.0</v>
      </c>
      <c r="D2291" t="s">
        <v>310</v>
      </c>
      <c r="E2291" t="s">
        <v>311</v>
      </c>
    </row>
    <row r="2292">
      <c r="A2292" s="232" t="s">
        <v>4510</v>
      </c>
      <c r="B2292" t="s">
        <v>4511</v>
      </c>
      <c r="C2292">
        <v>0.0</v>
      </c>
      <c r="D2292" t="s">
        <v>310</v>
      </c>
      <c r="E2292" t="s">
        <v>311</v>
      </c>
    </row>
    <row r="2293">
      <c r="A2293" s="232" t="s">
        <v>4512</v>
      </c>
      <c r="B2293" t="s">
        <v>4513</v>
      </c>
      <c r="C2293">
        <v>0.0</v>
      </c>
      <c r="D2293" t="s">
        <v>330</v>
      </c>
      <c r="E2293" t="s">
        <v>311</v>
      </c>
    </row>
    <row r="2294">
      <c r="A2294" s="232" t="s">
        <v>4514</v>
      </c>
      <c r="B2294" t="s">
        <v>4515</v>
      </c>
      <c r="C2294">
        <v>1.0</v>
      </c>
      <c r="D2294" t="s">
        <v>330</v>
      </c>
      <c r="E2294" t="s">
        <v>565</v>
      </c>
    </row>
    <row r="2295">
      <c r="A2295" s="232" t="s">
        <v>4516</v>
      </c>
      <c r="B2295" t="s">
        <v>4517</v>
      </c>
      <c r="C2295">
        <v>0.0</v>
      </c>
      <c r="D2295" t="s">
        <v>330</v>
      </c>
      <c r="E2295" t="s">
        <v>311</v>
      </c>
    </row>
    <row r="2296">
      <c r="A2296" s="232" t="s">
        <v>4518</v>
      </c>
      <c r="B2296" t="s">
        <v>4519</v>
      </c>
      <c r="C2296">
        <v>0.0</v>
      </c>
      <c r="D2296" t="s">
        <v>330</v>
      </c>
      <c r="E2296" t="s">
        <v>311</v>
      </c>
    </row>
    <row r="2297">
      <c r="A2297" s="232" t="s">
        <v>4520</v>
      </c>
      <c r="B2297" t="s">
        <v>4521</v>
      </c>
      <c r="C2297">
        <v>0.0</v>
      </c>
      <c r="D2297" t="s">
        <v>330</v>
      </c>
      <c r="E2297" t="s">
        <v>311</v>
      </c>
    </row>
    <row r="2298">
      <c r="A2298" s="232" t="s">
        <v>4522</v>
      </c>
      <c r="B2298" t="s">
        <v>4523</v>
      </c>
      <c r="C2298">
        <v>0.0</v>
      </c>
      <c r="D2298" t="s">
        <v>330</v>
      </c>
      <c r="E2298" t="s">
        <v>311</v>
      </c>
    </row>
    <row r="2299">
      <c r="A2299" s="232" t="s">
        <v>4524</v>
      </c>
      <c r="B2299" t="s">
        <v>4525</v>
      </c>
      <c r="C2299">
        <v>0.0</v>
      </c>
      <c r="D2299" t="s">
        <v>330</v>
      </c>
      <c r="E2299" t="s">
        <v>311</v>
      </c>
    </row>
    <row r="2300">
      <c r="A2300" s="232" t="s">
        <v>4526</v>
      </c>
      <c r="B2300" t="s">
        <v>4527</v>
      </c>
      <c r="C2300">
        <v>0.0</v>
      </c>
      <c r="D2300" t="s">
        <v>330</v>
      </c>
      <c r="E2300" t="s">
        <v>311</v>
      </c>
    </row>
    <row r="2301">
      <c r="A2301" s="232" t="s">
        <v>4528</v>
      </c>
      <c r="B2301" t="s">
        <v>4529</v>
      </c>
      <c r="C2301">
        <v>0.0</v>
      </c>
      <c r="D2301" t="s">
        <v>330</v>
      </c>
      <c r="E2301" t="s">
        <v>311</v>
      </c>
    </row>
    <row r="2302">
      <c r="A2302" s="232" t="s">
        <v>4530</v>
      </c>
      <c r="B2302" t="s">
        <v>4531</v>
      </c>
      <c r="C2302">
        <v>0.0</v>
      </c>
      <c r="D2302" t="s">
        <v>330</v>
      </c>
      <c r="E2302" t="s">
        <v>311</v>
      </c>
    </row>
    <row r="2303">
      <c r="A2303" s="232" t="s">
        <v>4532</v>
      </c>
      <c r="B2303" t="s">
        <v>4533</v>
      </c>
      <c r="C2303">
        <v>0.0</v>
      </c>
      <c r="D2303" t="s">
        <v>330</v>
      </c>
      <c r="E2303" t="s">
        <v>311</v>
      </c>
    </row>
    <row r="2304">
      <c r="A2304" s="232" t="s">
        <v>4534</v>
      </c>
      <c r="B2304" t="s">
        <v>4535</v>
      </c>
      <c r="C2304">
        <v>0.0</v>
      </c>
      <c r="D2304" t="s">
        <v>330</v>
      </c>
      <c r="E2304" t="s">
        <v>311</v>
      </c>
    </row>
    <row r="2305">
      <c r="A2305" s="232" t="s">
        <v>4536</v>
      </c>
      <c r="B2305" t="s">
        <v>4537</v>
      </c>
      <c r="C2305">
        <v>0.0</v>
      </c>
      <c r="D2305" t="s">
        <v>330</v>
      </c>
      <c r="E2305" t="s">
        <v>311</v>
      </c>
    </row>
    <row r="2306">
      <c r="A2306" s="232" t="s">
        <v>4538</v>
      </c>
      <c r="B2306" t="s">
        <v>4539</v>
      </c>
      <c r="C2306">
        <v>0.0</v>
      </c>
      <c r="D2306" t="s">
        <v>330</v>
      </c>
      <c r="E2306" t="s">
        <v>311</v>
      </c>
    </row>
    <row r="2307">
      <c r="A2307" s="232" t="s">
        <v>4540</v>
      </c>
      <c r="B2307" t="s">
        <v>4541</v>
      </c>
      <c r="C2307">
        <v>0.0</v>
      </c>
      <c r="D2307" t="s">
        <v>330</v>
      </c>
      <c r="E2307" t="s">
        <v>311</v>
      </c>
    </row>
    <row r="2308">
      <c r="A2308" s="232" t="s">
        <v>4542</v>
      </c>
      <c r="B2308" t="s">
        <v>4543</v>
      </c>
      <c r="C2308">
        <v>0.0</v>
      </c>
      <c r="D2308" t="s">
        <v>330</v>
      </c>
      <c r="E2308" t="s">
        <v>311</v>
      </c>
    </row>
    <row r="2309">
      <c r="A2309" s="232" t="s">
        <v>4544</v>
      </c>
      <c r="B2309" t="s">
        <v>4545</v>
      </c>
      <c r="C2309">
        <v>0.0</v>
      </c>
      <c r="D2309" t="s">
        <v>330</v>
      </c>
      <c r="E2309" t="s">
        <v>311</v>
      </c>
    </row>
    <row r="2310">
      <c r="A2310" s="232" t="s">
        <v>4546</v>
      </c>
      <c r="B2310" t="s">
        <v>4547</v>
      </c>
      <c r="C2310">
        <v>0.0</v>
      </c>
      <c r="D2310" t="s">
        <v>330</v>
      </c>
      <c r="E2310" t="s">
        <v>311</v>
      </c>
    </row>
    <row r="2311">
      <c r="A2311" s="232" t="s">
        <v>4548</v>
      </c>
      <c r="B2311" t="s">
        <v>4549</v>
      </c>
      <c r="C2311">
        <v>0.0</v>
      </c>
      <c r="D2311" t="s">
        <v>330</v>
      </c>
      <c r="E2311" t="s">
        <v>311</v>
      </c>
    </row>
    <row r="2312">
      <c r="A2312" s="232" t="s">
        <v>4550</v>
      </c>
      <c r="B2312" t="s">
        <v>4551</v>
      </c>
      <c r="C2312">
        <v>0.0</v>
      </c>
      <c r="D2312" t="s">
        <v>330</v>
      </c>
      <c r="E2312" t="s">
        <v>311</v>
      </c>
    </row>
    <row r="2313">
      <c r="A2313" s="232" t="s">
        <v>4552</v>
      </c>
      <c r="B2313" t="s">
        <v>4553</v>
      </c>
      <c r="C2313">
        <v>0.0</v>
      </c>
      <c r="D2313" t="s">
        <v>330</v>
      </c>
      <c r="E2313" t="s">
        <v>311</v>
      </c>
    </row>
    <row r="2314">
      <c r="A2314" s="232" t="s">
        <v>4554</v>
      </c>
      <c r="B2314" t="s">
        <v>4555</v>
      </c>
      <c r="C2314">
        <v>0.0</v>
      </c>
      <c r="D2314" t="s">
        <v>330</v>
      </c>
      <c r="E2314" t="s">
        <v>311</v>
      </c>
    </row>
    <row r="2315">
      <c r="A2315" s="232" t="s">
        <v>4556</v>
      </c>
      <c r="B2315" t="s">
        <v>4557</v>
      </c>
      <c r="C2315">
        <v>0.0</v>
      </c>
      <c r="D2315" t="s">
        <v>330</v>
      </c>
      <c r="E2315" t="s">
        <v>311</v>
      </c>
    </row>
    <row r="2316">
      <c r="A2316" s="232" t="s">
        <v>4558</v>
      </c>
      <c r="B2316" t="s">
        <v>4559</v>
      </c>
      <c r="C2316">
        <v>0.0</v>
      </c>
      <c r="D2316" t="s">
        <v>330</v>
      </c>
      <c r="E2316" t="s">
        <v>311</v>
      </c>
    </row>
    <row r="2317">
      <c r="A2317" s="232" t="s">
        <v>4560</v>
      </c>
      <c r="B2317" t="s">
        <v>4561</v>
      </c>
      <c r="C2317">
        <v>0.0</v>
      </c>
      <c r="D2317" t="s">
        <v>330</v>
      </c>
      <c r="E2317" t="s">
        <v>311</v>
      </c>
    </row>
    <row r="2318">
      <c r="A2318" s="232" t="s">
        <v>4562</v>
      </c>
      <c r="B2318" t="s">
        <v>4563</v>
      </c>
      <c r="C2318">
        <v>0.0</v>
      </c>
      <c r="D2318" t="s">
        <v>330</v>
      </c>
      <c r="E2318" t="s">
        <v>311</v>
      </c>
    </row>
    <row r="2319">
      <c r="A2319" s="232" t="s">
        <v>4564</v>
      </c>
      <c r="B2319" t="s">
        <v>4565</v>
      </c>
      <c r="C2319">
        <v>0.0</v>
      </c>
      <c r="D2319" t="s">
        <v>330</v>
      </c>
      <c r="E2319" t="s">
        <v>311</v>
      </c>
    </row>
    <row r="2320">
      <c r="A2320" s="232" t="s">
        <v>4566</v>
      </c>
      <c r="B2320" t="s">
        <v>4567</v>
      </c>
      <c r="C2320">
        <v>0.0</v>
      </c>
      <c r="D2320" t="s">
        <v>330</v>
      </c>
      <c r="E2320" t="s">
        <v>311</v>
      </c>
    </row>
    <row r="2321">
      <c r="A2321" s="232" t="s">
        <v>4568</v>
      </c>
      <c r="B2321" t="s">
        <v>4569</v>
      </c>
      <c r="C2321">
        <v>0.0</v>
      </c>
      <c r="D2321" t="s">
        <v>330</v>
      </c>
      <c r="E2321" t="s">
        <v>311</v>
      </c>
    </row>
    <row r="2322">
      <c r="A2322" s="232" t="s">
        <v>4570</v>
      </c>
      <c r="B2322" t="s">
        <v>4571</v>
      </c>
      <c r="C2322">
        <v>0.0</v>
      </c>
      <c r="D2322" t="s">
        <v>330</v>
      </c>
      <c r="E2322" t="s">
        <v>311</v>
      </c>
    </row>
    <row r="2323">
      <c r="A2323" s="232" t="s">
        <v>4572</v>
      </c>
      <c r="B2323" t="s">
        <v>4573</v>
      </c>
      <c r="C2323">
        <v>0.0</v>
      </c>
      <c r="D2323" t="s">
        <v>330</v>
      </c>
      <c r="E2323" t="s">
        <v>311</v>
      </c>
    </row>
    <row r="2324">
      <c r="A2324" s="232" t="s">
        <v>4574</v>
      </c>
      <c r="B2324" t="s">
        <v>4575</v>
      </c>
      <c r="C2324">
        <v>0.0</v>
      </c>
      <c r="D2324" t="s">
        <v>330</v>
      </c>
      <c r="E2324" t="s">
        <v>311</v>
      </c>
    </row>
    <row r="2325">
      <c r="A2325" s="232" t="s">
        <v>4576</v>
      </c>
      <c r="B2325" t="s">
        <v>4577</v>
      </c>
      <c r="C2325">
        <v>0.0</v>
      </c>
      <c r="D2325" t="s">
        <v>330</v>
      </c>
      <c r="E2325" t="s">
        <v>311</v>
      </c>
    </row>
    <row r="2326">
      <c r="A2326" s="232" t="s">
        <v>4578</v>
      </c>
      <c r="B2326" t="s">
        <v>4579</v>
      </c>
      <c r="C2326">
        <v>0.0</v>
      </c>
      <c r="D2326" t="s">
        <v>330</v>
      </c>
      <c r="E2326" t="s">
        <v>311</v>
      </c>
    </row>
    <row r="2327">
      <c r="A2327" s="232" t="s">
        <v>4580</v>
      </c>
      <c r="B2327" t="s">
        <v>4581</v>
      </c>
      <c r="C2327">
        <v>0.0</v>
      </c>
      <c r="D2327" t="s">
        <v>330</v>
      </c>
      <c r="E2327" t="s">
        <v>311</v>
      </c>
    </row>
    <row r="2328">
      <c r="A2328" s="232" t="s">
        <v>4582</v>
      </c>
      <c r="B2328" t="s">
        <v>4583</v>
      </c>
      <c r="C2328">
        <v>0.0</v>
      </c>
      <c r="D2328" t="s">
        <v>330</v>
      </c>
      <c r="E2328" t="s">
        <v>311</v>
      </c>
    </row>
    <row r="2329">
      <c r="A2329" s="232" t="s">
        <v>4584</v>
      </c>
      <c r="B2329" t="s">
        <v>4585</v>
      </c>
      <c r="C2329">
        <v>0.0</v>
      </c>
      <c r="D2329" t="s">
        <v>330</v>
      </c>
      <c r="E2329" t="s">
        <v>311</v>
      </c>
    </row>
    <row r="2330">
      <c r="A2330" s="232" t="s">
        <v>4586</v>
      </c>
      <c r="B2330" t="s">
        <v>4587</v>
      </c>
      <c r="C2330">
        <v>0.0</v>
      </c>
      <c r="D2330" t="s">
        <v>330</v>
      </c>
      <c r="E2330" t="s">
        <v>311</v>
      </c>
    </row>
    <row r="2331">
      <c r="A2331" s="232" t="s">
        <v>4588</v>
      </c>
      <c r="B2331" t="s">
        <v>4589</v>
      </c>
      <c r="C2331">
        <v>0.0</v>
      </c>
      <c r="D2331" t="s">
        <v>330</v>
      </c>
      <c r="E2331" t="s">
        <v>311</v>
      </c>
    </row>
    <row r="2332">
      <c r="A2332" s="232" t="s">
        <v>4590</v>
      </c>
      <c r="B2332" t="s">
        <v>4591</v>
      </c>
      <c r="C2332">
        <v>0.0</v>
      </c>
      <c r="D2332" t="s">
        <v>330</v>
      </c>
      <c r="E2332" t="s">
        <v>311</v>
      </c>
    </row>
    <row r="2333">
      <c r="A2333" s="232" t="s">
        <v>4592</v>
      </c>
      <c r="B2333" t="s">
        <v>4593</v>
      </c>
      <c r="C2333">
        <v>0.0</v>
      </c>
      <c r="D2333" t="s">
        <v>330</v>
      </c>
      <c r="E2333" t="s">
        <v>311</v>
      </c>
    </row>
    <row r="2334">
      <c r="A2334" s="232" t="s">
        <v>4594</v>
      </c>
      <c r="B2334" t="s">
        <v>4595</v>
      </c>
      <c r="C2334">
        <v>0.0</v>
      </c>
      <c r="D2334" t="s">
        <v>330</v>
      </c>
      <c r="E2334" t="s">
        <v>311</v>
      </c>
    </row>
    <row r="2335">
      <c r="A2335" s="232" t="s">
        <v>4596</v>
      </c>
      <c r="B2335" t="s">
        <v>4597</v>
      </c>
      <c r="C2335">
        <v>0.0</v>
      </c>
      <c r="D2335" t="s">
        <v>330</v>
      </c>
      <c r="E2335" t="s">
        <v>311</v>
      </c>
    </row>
    <row r="2336">
      <c r="A2336" s="232" t="s">
        <v>4598</v>
      </c>
      <c r="B2336" t="s">
        <v>4599</v>
      </c>
      <c r="C2336">
        <v>0.0</v>
      </c>
      <c r="D2336" t="s">
        <v>330</v>
      </c>
      <c r="E2336" t="s">
        <v>311</v>
      </c>
    </row>
    <row r="2337">
      <c r="A2337" s="232" t="s">
        <v>4600</v>
      </c>
      <c r="B2337" t="s">
        <v>4601</v>
      </c>
      <c r="C2337">
        <v>0.0</v>
      </c>
      <c r="D2337" t="s">
        <v>330</v>
      </c>
      <c r="E2337" t="s">
        <v>311</v>
      </c>
    </row>
    <row r="2338">
      <c r="A2338" s="232" t="s">
        <v>4602</v>
      </c>
      <c r="B2338" t="s">
        <v>4603</v>
      </c>
      <c r="C2338">
        <v>0.0</v>
      </c>
      <c r="D2338" t="s">
        <v>330</v>
      </c>
      <c r="E2338" t="s">
        <v>311</v>
      </c>
    </row>
    <row r="2339">
      <c r="A2339" s="232" t="s">
        <v>4604</v>
      </c>
      <c r="B2339" t="s">
        <v>4605</v>
      </c>
      <c r="C2339">
        <v>0.0</v>
      </c>
      <c r="D2339" t="s">
        <v>330</v>
      </c>
      <c r="E2339" t="s">
        <v>311</v>
      </c>
    </row>
    <row r="2340">
      <c r="A2340" s="232" t="s">
        <v>4606</v>
      </c>
      <c r="B2340" t="s">
        <v>4607</v>
      </c>
      <c r="C2340">
        <v>0.0</v>
      </c>
      <c r="D2340" t="s">
        <v>330</v>
      </c>
      <c r="E2340" t="s">
        <v>311</v>
      </c>
    </row>
    <row r="2341">
      <c r="A2341" s="232" t="s">
        <v>4608</v>
      </c>
      <c r="B2341" t="s">
        <v>4609</v>
      </c>
      <c r="C2341">
        <v>0.0</v>
      </c>
      <c r="D2341" t="s">
        <v>330</v>
      </c>
      <c r="E2341" t="s">
        <v>311</v>
      </c>
    </row>
    <row r="2342">
      <c r="A2342" s="232" t="s">
        <v>4610</v>
      </c>
      <c r="B2342" t="s">
        <v>4611</v>
      </c>
      <c r="C2342">
        <v>0.0</v>
      </c>
      <c r="D2342" t="s">
        <v>330</v>
      </c>
      <c r="E2342" t="s">
        <v>311</v>
      </c>
    </row>
    <row r="2343">
      <c r="A2343" s="232" t="s">
        <v>4612</v>
      </c>
      <c r="B2343" t="s">
        <v>4613</v>
      </c>
      <c r="C2343">
        <v>0.0</v>
      </c>
      <c r="D2343" t="s">
        <v>330</v>
      </c>
      <c r="E2343" t="s">
        <v>311</v>
      </c>
    </row>
    <row r="2344">
      <c r="A2344" s="232" t="s">
        <v>4614</v>
      </c>
      <c r="B2344" t="s">
        <v>4615</v>
      </c>
      <c r="C2344">
        <v>0.0</v>
      </c>
      <c r="D2344" t="s">
        <v>330</v>
      </c>
      <c r="E2344" t="s">
        <v>311</v>
      </c>
    </row>
    <row r="2345">
      <c r="A2345" s="232" t="s">
        <v>4616</v>
      </c>
      <c r="B2345" t="s">
        <v>4617</v>
      </c>
      <c r="C2345">
        <v>0.0</v>
      </c>
      <c r="D2345" t="s">
        <v>310</v>
      </c>
      <c r="E2345" t="s">
        <v>311</v>
      </c>
    </row>
    <row r="2346">
      <c r="A2346" s="232" t="s">
        <v>4618</v>
      </c>
      <c r="B2346" t="s">
        <v>4619</v>
      </c>
      <c r="C2346">
        <v>0.0</v>
      </c>
      <c r="D2346" t="s">
        <v>310</v>
      </c>
      <c r="E2346" t="s">
        <v>311</v>
      </c>
    </row>
    <row r="2347">
      <c r="A2347" s="232" t="s">
        <v>4620</v>
      </c>
      <c r="B2347" t="s">
        <v>4621</v>
      </c>
      <c r="C2347">
        <v>0.0</v>
      </c>
      <c r="D2347" t="s">
        <v>310</v>
      </c>
      <c r="E2347" t="s">
        <v>311</v>
      </c>
    </row>
    <row r="2348">
      <c r="A2348" s="232" t="s">
        <v>4622</v>
      </c>
      <c r="B2348" t="s">
        <v>4623</v>
      </c>
      <c r="C2348">
        <v>0.0</v>
      </c>
      <c r="D2348" t="s">
        <v>310</v>
      </c>
      <c r="E2348" t="s">
        <v>311</v>
      </c>
    </row>
    <row r="2349">
      <c r="A2349" s="232" t="s">
        <v>4624</v>
      </c>
      <c r="B2349" t="s">
        <v>4625</v>
      </c>
      <c r="C2349">
        <v>0.0</v>
      </c>
      <c r="D2349" t="s">
        <v>310</v>
      </c>
      <c r="E2349" t="s">
        <v>311</v>
      </c>
    </row>
    <row r="2350">
      <c r="A2350" s="232" t="s">
        <v>4626</v>
      </c>
      <c r="B2350" t="s">
        <v>4627</v>
      </c>
      <c r="C2350">
        <v>0.0</v>
      </c>
      <c r="D2350" t="s">
        <v>310</v>
      </c>
      <c r="E2350" t="s">
        <v>311</v>
      </c>
    </row>
    <row r="2351">
      <c r="A2351" s="232" t="s">
        <v>4628</v>
      </c>
      <c r="B2351" t="s">
        <v>4629</v>
      </c>
      <c r="C2351">
        <v>0.0</v>
      </c>
      <c r="D2351" t="s">
        <v>310</v>
      </c>
      <c r="E2351" t="s">
        <v>311</v>
      </c>
    </row>
    <row r="2352">
      <c r="A2352" s="232" t="s">
        <v>4630</v>
      </c>
      <c r="B2352" t="s">
        <v>4631</v>
      </c>
      <c r="C2352">
        <v>0.0</v>
      </c>
      <c r="D2352" t="s">
        <v>310</v>
      </c>
      <c r="E2352" t="s">
        <v>311</v>
      </c>
    </row>
    <row r="2353">
      <c r="A2353" s="232" t="s">
        <v>4632</v>
      </c>
      <c r="B2353" t="s">
        <v>4633</v>
      </c>
      <c r="C2353">
        <v>0.0</v>
      </c>
      <c r="D2353" t="s">
        <v>310</v>
      </c>
      <c r="E2353" t="s">
        <v>311</v>
      </c>
    </row>
    <row r="2354">
      <c r="A2354" s="232" t="s">
        <v>4634</v>
      </c>
      <c r="B2354" t="s">
        <v>4635</v>
      </c>
      <c r="C2354">
        <v>0.0</v>
      </c>
      <c r="D2354" t="s">
        <v>310</v>
      </c>
      <c r="E2354" t="s">
        <v>311</v>
      </c>
    </row>
    <row r="2355">
      <c r="A2355" s="232" t="s">
        <v>4636</v>
      </c>
      <c r="B2355" t="s">
        <v>4637</v>
      </c>
      <c r="C2355">
        <v>0.0</v>
      </c>
      <c r="D2355" t="s">
        <v>310</v>
      </c>
      <c r="E2355" t="s">
        <v>311</v>
      </c>
    </row>
    <row r="2356">
      <c r="A2356" s="232" t="s">
        <v>4638</v>
      </c>
      <c r="B2356" t="s">
        <v>4639</v>
      </c>
      <c r="C2356">
        <v>0.0</v>
      </c>
      <c r="D2356" t="s">
        <v>310</v>
      </c>
      <c r="E2356" t="s">
        <v>311</v>
      </c>
    </row>
    <row r="2357">
      <c r="A2357" s="232" t="s">
        <v>4640</v>
      </c>
      <c r="B2357" t="s">
        <v>4641</v>
      </c>
      <c r="C2357">
        <v>0.0</v>
      </c>
      <c r="D2357" t="s">
        <v>310</v>
      </c>
      <c r="E2357" t="s">
        <v>311</v>
      </c>
    </row>
    <row r="2358">
      <c r="A2358" s="232" t="s">
        <v>4642</v>
      </c>
      <c r="B2358" t="s">
        <v>4643</v>
      </c>
      <c r="C2358">
        <v>0.0</v>
      </c>
      <c r="D2358" t="s">
        <v>310</v>
      </c>
      <c r="E2358" t="s">
        <v>311</v>
      </c>
    </row>
    <row r="2359">
      <c r="A2359" s="232" t="s">
        <v>4644</v>
      </c>
      <c r="B2359" t="s">
        <v>4645</v>
      </c>
      <c r="C2359">
        <v>0.0</v>
      </c>
      <c r="D2359" t="s">
        <v>310</v>
      </c>
      <c r="E2359" t="s">
        <v>311</v>
      </c>
    </row>
    <row r="2360">
      <c r="A2360" s="232" t="s">
        <v>4646</v>
      </c>
      <c r="B2360" t="s">
        <v>4647</v>
      </c>
      <c r="C2360">
        <v>0.0</v>
      </c>
      <c r="D2360" t="s">
        <v>310</v>
      </c>
      <c r="E2360" t="s">
        <v>311</v>
      </c>
    </row>
    <row r="2361">
      <c r="A2361" s="232" t="s">
        <v>4648</v>
      </c>
      <c r="B2361" t="s">
        <v>4649</v>
      </c>
      <c r="C2361">
        <v>713.0</v>
      </c>
      <c r="D2361" t="s">
        <v>330</v>
      </c>
      <c r="E2361" t="s">
        <v>311</v>
      </c>
    </row>
    <row r="2362">
      <c r="A2362" s="232" t="s">
        <v>4650</v>
      </c>
      <c r="B2362" t="s">
        <v>4651</v>
      </c>
      <c r="C2362">
        <v>0.0</v>
      </c>
      <c r="D2362" t="s">
        <v>310</v>
      </c>
      <c r="E2362" t="s">
        <v>311</v>
      </c>
    </row>
    <row r="2363">
      <c r="A2363" s="232" t="s">
        <v>4652</v>
      </c>
      <c r="B2363" t="s">
        <v>4653</v>
      </c>
      <c r="C2363">
        <v>0.0</v>
      </c>
      <c r="D2363" t="s">
        <v>310</v>
      </c>
      <c r="E2363" t="s">
        <v>311</v>
      </c>
    </row>
    <row r="2364">
      <c r="A2364" s="232" t="s">
        <v>4654</v>
      </c>
      <c r="B2364" t="s">
        <v>4655</v>
      </c>
      <c r="C2364">
        <v>0.0</v>
      </c>
      <c r="D2364" t="s">
        <v>310</v>
      </c>
      <c r="E2364" t="s">
        <v>311</v>
      </c>
    </row>
    <row r="2365">
      <c r="A2365" s="232" t="s">
        <v>4656</v>
      </c>
      <c r="B2365" t="s">
        <v>4657</v>
      </c>
      <c r="C2365">
        <v>0.0</v>
      </c>
      <c r="D2365" t="s">
        <v>310</v>
      </c>
      <c r="E2365" t="s">
        <v>311</v>
      </c>
    </row>
    <row r="2366">
      <c r="A2366" s="232" t="s">
        <v>4658</v>
      </c>
      <c r="B2366" t="s">
        <v>4659</v>
      </c>
      <c r="C2366">
        <v>0.0</v>
      </c>
      <c r="D2366" t="s">
        <v>310</v>
      </c>
      <c r="E2366" t="s">
        <v>311</v>
      </c>
    </row>
    <row r="2367">
      <c r="A2367" s="232" t="s">
        <v>4660</v>
      </c>
      <c r="B2367" t="s">
        <v>4661</v>
      </c>
      <c r="C2367">
        <v>0.0</v>
      </c>
      <c r="D2367" t="s">
        <v>310</v>
      </c>
      <c r="E2367" t="s">
        <v>311</v>
      </c>
    </row>
    <row r="2368">
      <c r="A2368" s="232" t="s">
        <v>4662</v>
      </c>
      <c r="B2368" t="s">
        <v>4663</v>
      </c>
      <c r="C2368">
        <v>0.0</v>
      </c>
      <c r="D2368" t="s">
        <v>310</v>
      </c>
      <c r="E2368" t="s">
        <v>311</v>
      </c>
    </row>
    <row r="2369">
      <c r="A2369" s="232" t="s">
        <v>4664</v>
      </c>
      <c r="B2369" t="s">
        <v>4665</v>
      </c>
      <c r="C2369">
        <v>0.0</v>
      </c>
      <c r="D2369" t="s">
        <v>310</v>
      </c>
      <c r="E2369" t="s">
        <v>311</v>
      </c>
    </row>
    <row r="2370">
      <c r="A2370" s="232" t="s">
        <v>4666</v>
      </c>
      <c r="B2370" t="s">
        <v>4667</v>
      </c>
      <c r="C2370">
        <v>0.0</v>
      </c>
      <c r="D2370" t="s">
        <v>310</v>
      </c>
      <c r="E2370" t="s">
        <v>311</v>
      </c>
    </row>
    <row r="2371">
      <c r="A2371" s="232" t="s">
        <v>4668</v>
      </c>
      <c r="B2371" t="s">
        <v>4669</v>
      </c>
      <c r="C2371">
        <v>0.0</v>
      </c>
      <c r="D2371" t="s">
        <v>310</v>
      </c>
      <c r="E2371" t="s">
        <v>311</v>
      </c>
    </row>
    <row r="2372">
      <c r="A2372" s="232" t="s">
        <v>4670</v>
      </c>
      <c r="B2372" t="s">
        <v>4671</v>
      </c>
      <c r="C2372">
        <v>0.0</v>
      </c>
      <c r="D2372" t="s">
        <v>310</v>
      </c>
      <c r="E2372" t="s">
        <v>311</v>
      </c>
    </row>
    <row r="2373">
      <c r="A2373" s="232" t="s">
        <v>4672</v>
      </c>
      <c r="B2373" t="s">
        <v>4673</v>
      </c>
      <c r="C2373">
        <v>0.0</v>
      </c>
      <c r="D2373" t="s">
        <v>310</v>
      </c>
      <c r="E2373" t="s">
        <v>311</v>
      </c>
    </row>
    <row r="2374">
      <c r="A2374" s="232" t="s">
        <v>4674</v>
      </c>
      <c r="B2374" t="s">
        <v>4675</v>
      </c>
      <c r="C2374">
        <v>0.0</v>
      </c>
      <c r="D2374" t="s">
        <v>310</v>
      </c>
      <c r="E2374" t="s">
        <v>311</v>
      </c>
    </row>
    <row r="2375">
      <c r="A2375" s="232" t="s">
        <v>4676</v>
      </c>
      <c r="B2375" t="s">
        <v>4677</v>
      </c>
      <c r="C2375">
        <v>0.0</v>
      </c>
      <c r="D2375" t="s">
        <v>310</v>
      </c>
      <c r="E2375" t="s">
        <v>311</v>
      </c>
    </row>
    <row r="2376">
      <c r="A2376" s="232" t="s">
        <v>4678</v>
      </c>
      <c r="B2376" t="s">
        <v>4679</v>
      </c>
      <c r="C2376">
        <v>0.0</v>
      </c>
      <c r="D2376" t="s">
        <v>310</v>
      </c>
      <c r="E2376" t="s">
        <v>311</v>
      </c>
    </row>
    <row r="2377">
      <c r="A2377" s="232" t="s">
        <v>4680</v>
      </c>
      <c r="B2377" t="s">
        <v>4681</v>
      </c>
      <c r="C2377">
        <v>0.0</v>
      </c>
      <c r="D2377" t="s">
        <v>310</v>
      </c>
      <c r="E2377" t="s">
        <v>311</v>
      </c>
    </row>
    <row r="2378">
      <c r="A2378" s="232" t="s">
        <v>4682</v>
      </c>
      <c r="B2378" t="s">
        <v>4683</v>
      </c>
      <c r="C2378">
        <v>0.0</v>
      </c>
      <c r="D2378" t="s">
        <v>310</v>
      </c>
      <c r="E2378" t="s">
        <v>311</v>
      </c>
    </row>
    <row r="2379">
      <c r="A2379" s="232" t="s">
        <v>4684</v>
      </c>
      <c r="B2379" t="s">
        <v>4685</v>
      </c>
      <c r="C2379">
        <v>0.0</v>
      </c>
      <c r="D2379" t="s">
        <v>310</v>
      </c>
      <c r="E2379" t="s">
        <v>311</v>
      </c>
    </row>
    <row r="2380">
      <c r="A2380" s="232" t="s">
        <v>4686</v>
      </c>
      <c r="B2380" t="s">
        <v>4687</v>
      </c>
      <c r="C2380">
        <v>0.0</v>
      </c>
      <c r="D2380" t="s">
        <v>310</v>
      </c>
      <c r="E2380" t="s">
        <v>311</v>
      </c>
    </row>
    <row r="2381">
      <c r="A2381" s="232" t="s">
        <v>4688</v>
      </c>
      <c r="B2381" t="s">
        <v>4689</v>
      </c>
      <c r="C2381">
        <v>0.0</v>
      </c>
      <c r="D2381" t="s">
        <v>310</v>
      </c>
      <c r="E2381" t="s">
        <v>311</v>
      </c>
    </row>
    <row r="2382">
      <c r="A2382" s="232" t="s">
        <v>4690</v>
      </c>
      <c r="B2382" t="s">
        <v>4691</v>
      </c>
      <c r="C2382">
        <v>0.0</v>
      </c>
      <c r="D2382" t="s">
        <v>310</v>
      </c>
      <c r="E2382" t="s">
        <v>311</v>
      </c>
    </row>
    <row r="2383">
      <c r="A2383" s="232" t="s">
        <v>4692</v>
      </c>
      <c r="B2383" t="s">
        <v>4693</v>
      </c>
      <c r="C2383">
        <v>0.0</v>
      </c>
      <c r="D2383" t="s">
        <v>310</v>
      </c>
      <c r="E2383" t="s">
        <v>311</v>
      </c>
    </row>
    <row r="2384">
      <c r="A2384" s="232" t="s">
        <v>4694</v>
      </c>
      <c r="B2384" t="s">
        <v>4695</v>
      </c>
      <c r="C2384">
        <v>0.0</v>
      </c>
      <c r="D2384" t="s">
        <v>310</v>
      </c>
      <c r="E2384" t="s">
        <v>311</v>
      </c>
    </row>
    <row r="2385">
      <c r="A2385" s="232" t="s">
        <v>4696</v>
      </c>
      <c r="B2385" t="s">
        <v>4697</v>
      </c>
      <c r="C2385">
        <v>0.0</v>
      </c>
      <c r="D2385" t="s">
        <v>310</v>
      </c>
      <c r="E2385" t="s">
        <v>311</v>
      </c>
    </row>
    <row r="2386">
      <c r="A2386" s="232" t="s">
        <v>4698</v>
      </c>
      <c r="B2386" t="s">
        <v>4699</v>
      </c>
      <c r="C2386">
        <v>0.0</v>
      </c>
      <c r="D2386" t="s">
        <v>310</v>
      </c>
      <c r="E2386" t="s">
        <v>311</v>
      </c>
    </row>
    <row r="2387">
      <c r="A2387" s="232" t="s">
        <v>4700</v>
      </c>
      <c r="B2387" t="s">
        <v>4701</v>
      </c>
      <c r="C2387">
        <v>0.0</v>
      </c>
      <c r="D2387" t="s">
        <v>310</v>
      </c>
      <c r="E2387" t="s">
        <v>311</v>
      </c>
    </row>
    <row r="2388">
      <c r="A2388" s="232" t="s">
        <v>4702</v>
      </c>
      <c r="B2388" t="s">
        <v>4703</v>
      </c>
      <c r="C2388">
        <v>0.0</v>
      </c>
      <c r="D2388" t="s">
        <v>310</v>
      </c>
      <c r="E2388" t="s">
        <v>311</v>
      </c>
    </row>
    <row r="2389">
      <c r="A2389" s="232" t="s">
        <v>4704</v>
      </c>
      <c r="B2389" t="s">
        <v>4705</v>
      </c>
      <c r="C2389">
        <v>0.0</v>
      </c>
      <c r="D2389" t="s">
        <v>310</v>
      </c>
      <c r="E2389" t="s">
        <v>311</v>
      </c>
    </row>
    <row r="2390">
      <c r="A2390" s="232" t="s">
        <v>4706</v>
      </c>
      <c r="B2390" t="s">
        <v>4707</v>
      </c>
      <c r="C2390">
        <v>0.0</v>
      </c>
      <c r="D2390" t="s">
        <v>310</v>
      </c>
      <c r="E2390" t="s">
        <v>311</v>
      </c>
    </row>
    <row r="2391">
      <c r="A2391" s="232" t="s">
        <v>4708</v>
      </c>
      <c r="B2391" t="s">
        <v>4709</v>
      </c>
      <c r="C2391">
        <v>0.0</v>
      </c>
      <c r="D2391" t="s">
        <v>310</v>
      </c>
      <c r="E2391" t="s">
        <v>311</v>
      </c>
    </row>
    <row r="2392">
      <c r="A2392" s="232" t="s">
        <v>4710</v>
      </c>
      <c r="B2392" t="s">
        <v>4711</v>
      </c>
      <c r="C2392">
        <v>0.0</v>
      </c>
      <c r="D2392" t="s">
        <v>310</v>
      </c>
      <c r="E2392" t="s">
        <v>311</v>
      </c>
    </row>
    <row r="2393">
      <c r="A2393" s="232" t="s">
        <v>4712</v>
      </c>
      <c r="B2393" t="s">
        <v>4713</v>
      </c>
      <c r="C2393">
        <v>0.0</v>
      </c>
      <c r="D2393" t="s">
        <v>310</v>
      </c>
      <c r="E2393" t="s">
        <v>311</v>
      </c>
    </row>
    <row r="2394">
      <c r="A2394" s="232" t="s">
        <v>4714</v>
      </c>
      <c r="B2394" t="s">
        <v>4715</v>
      </c>
      <c r="C2394">
        <v>0.0</v>
      </c>
      <c r="D2394" t="s">
        <v>310</v>
      </c>
      <c r="E2394" t="s">
        <v>311</v>
      </c>
    </row>
    <row r="2395">
      <c r="A2395" s="232" t="s">
        <v>4716</v>
      </c>
      <c r="B2395" t="s">
        <v>4717</v>
      </c>
      <c r="C2395">
        <v>0.0</v>
      </c>
      <c r="D2395" t="s">
        <v>310</v>
      </c>
      <c r="E2395" t="s">
        <v>311</v>
      </c>
    </row>
    <row r="2396">
      <c r="A2396" s="232" t="s">
        <v>4718</v>
      </c>
      <c r="B2396" t="s">
        <v>4719</v>
      </c>
      <c r="C2396">
        <v>0.0</v>
      </c>
      <c r="D2396" t="s">
        <v>310</v>
      </c>
      <c r="E2396" t="s">
        <v>311</v>
      </c>
    </row>
    <row r="2397">
      <c r="A2397" s="232" t="s">
        <v>4720</v>
      </c>
      <c r="B2397" t="s">
        <v>4721</v>
      </c>
      <c r="C2397">
        <v>1.0</v>
      </c>
      <c r="D2397" t="s">
        <v>330</v>
      </c>
      <c r="E2397" t="s">
        <v>565</v>
      </c>
    </row>
    <row r="2398">
      <c r="A2398" s="232" t="s">
        <v>4722</v>
      </c>
      <c r="B2398" t="s">
        <v>4723</v>
      </c>
      <c r="C2398">
        <v>0.0</v>
      </c>
      <c r="D2398" t="s">
        <v>310</v>
      </c>
      <c r="E2398" t="s">
        <v>311</v>
      </c>
    </row>
    <row r="2399">
      <c r="A2399" s="232" t="s">
        <v>4724</v>
      </c>
      <c r="B2399" t="s">
        <v>4725</v>
      </c>
      <c r="C2399">
        <v>0.0</v>
      </c>
      <c r="D2399" t="s">
        <v>310</v>
      </c>
      <c r="E2399" t="s">
        <v>311</v>
      </c>
    </row>
    <row r="2400">
      <c r="A2400" s="232" t="s">
        <v>4726</v>
      </c>
      <c r="B2400" t="s">
        <v>4727</v>
      </c>
      <c r="C2400">
        <v>0.0</v>
      </c>
      <c r="D2400" t="s">
        <v>310</v>
      </c>
      <c r="E2400" t="s">
        <v>311</v>
      </c>
    </row>
    <row r="2401">
      <c r="A2401" s="232">
        <v>92203.0</v>
      </c>
      <c r="B2401" t="s">
        <v>4728</v>
      </c>
      <c r="C2401">
        <v>0.0</v>
      </c>
      <c r="D2401" t="s">
        <v>310</v>
      </c>
      <c r="E2401" t="s">
        <v>311</v>
      </c>
    </row>
    <row r="2402">
      <c r="A2402" s="232">
        <v>92509.0</v>
      </c>
      <c r="B2402" t="s">
        <v>4729</v>
      </c>
      <c r="C2402">
        <v>0.0</v>
      </c>
      <c r="D2402" t="s">
        <v>310</v>
      </c>
      <c r="E2402" t="s">
        <v>311</v>
      </c>
    </row>
    <row r="2403">
      <c r="A2403" s="232">
        <v>2502.0</v>
      </c>
      <c r="B2403" t="s">
        <v>4730</v>
      </c>
      <c r="C2403">
        <v>0.0</v>
      </c>
      <c r="D2403" t="s">
        <v>310</v>
      </c>
      <c r="E2403" t="s">
        <v>311</v>
      </c>
    </row>
    <row r="2404">
      <c r="A2404" s="232">
        <v>2509.0</v>
      </c>
      <c r="B2404" t="s">
        <v>4731</v>
      </c>
      <c r="C2404">
        <v>0.0</v>
      </c>
      <c r="D2404" t="s">
        <v>310</v>
      </c>
      <c r="E2404" t="s">
        <v>311</v>
      </c>
    </row>
    <row r="2405">
      <c r="A2405" s="232">
        <v>2512.0</v>
      </c>
      <c r="B2405" t="s">
        <v>4732</v>
      </c>
      <c r="C2405">
        <v>0.0</v>
      </c>
      <c r="D2405" t="s">
        <v>310</v>
      </c>
      <c r="E2405" t="s">
        <v>311</v>
      </c>
    </row>
    <row r="2406">
      <c r="A2406" s="232">
        <v>2505.0</v>
      </c>
      <c r="B2406" t="s">
        <v>4733</v>
      </c>
      <c r="C2406">
        <v>0.0</v>
      </c>
      <c r="D2406" t="s">
        <v>310</v>
      </c>
      <c r="E2406" t="s">
        <v>311</v>
      </c>
    </row>
    <row r="2407">
      <c r="A2407" s="232">
        <v>2506.0</v>
      </c>
      <c r="B2407" t="s">
        <v>4734</v>
      </c>
      <c r="C2407">
        <v>0.0</v>
      </c>
      <c r="D2407" t="s">
        <v>310</v>
      </c>
      <c r="E2407" t="s">
        <v>311</v>
      </c>
    </row>
    <row r="2408">
      <c r="A2408" s="232">
        <v>2510.0</v>
      </c>
      <c r="B2408" t="s">
        <v>4735</v>
      </c>
      <c r="C2408">
        <v>0.0</v>
      </c>
      <c r="D2408" t="s">
        <v>310</v>
      </c>
      <c r="E2408" t="s">
        <v>311</v>
      </c>
    </row>
    <row r="2409">
      <c r="A2409" s="232">
        <v>2511.0</v>
      </c>
      <c r="B2409" t="s">
        <v>4736</v>
      </c>
      <c r="C2409">
        <v>0.0</v>
      </c>
      <c r="D2409" t="s">
        <v>310</v>
      </c>
      <c r="E2409" t="s">
        <v>311</v>
      </c>
    </row>
    <row r="2410">
      <c r="A2410" s="232">
        <v>2507.0</v>
      </c>
      <c r="B2410" t="s">
        <v>4737</v>
      </c>
      <c r="C2410">
        <v>0.0</v>
      </c>
      <c r="D2410" t="s">
        <v>310</v>
      </c>
      <c r="E2410" t="s">
        <v>311</v>
      </c>
    </row>
    <row r="2411">
      <c r="A2411" s="232">
        <v>2508.0</v>
      </c>
      <c r="B2411" t="s">
        <v>4738</v>
      </c>
      <c r="C2411">
        <v>0.0</v>
      </c>
      <c r="D2411" t="s">
        <v>310</v>
      </c>
      <c r="E2411" t="s">
        <v>311</v>
      </c>
    </row>
    <row r="2412">
      <c r="A2412" s="232" t="s">
        <v>4739</v>
      </c>
      <c r="B2412" t="s">
        <v>4740</v>
      </c>
      <c r="C2412">
        <v>0.0</v>
      </c>
      <c r="D2412" t="s">
        <v>310</v>
      </c>
      <c r="E2412" t="s">
        <v>311</v>
      </c>
    </row>
    <row r="2413">
      <c r="A2413" s="232" t="s">
        <v>4741</v>
      </c>
      <c r="B2413" t="s">
        <v>4742</v>
      </c>
      <c r="C2413">
        <v>0.0</v>
      </c>
      <c r="D2413" t="s">
        <v>310</v>
      </c>
      <c r="E2413" t="s">
        <v>311</v>
      </c>
    </row>
    <row r="2414">
      <c r="A2414" s="232" t="s">
        <v>4743</v>
      </c>
      <c r="B2414" t="s">
        <v>4744</v>
      </c>
      <c r="C2414">
        <v>0.0</v>
      </c>
      <c r="D2414" t="s">
        <v>310</v>
      </c>
      <c r="E2414" t="s">
        <v>311</v>
      </c>
    </row>
    <row r="2415">
      <c r="A2415" s="232" t="s">
        <v>4745</v>
      </c>
      <c r="B2415" t="s">
        <v>4746</v>
      </c>
      <c r="C2415">
        <v>0.0</v>
      </c>
      <c r="D2415" t="s">
        <v>310</v>
      </c>
      <c r="E2415" t="s">
        <v>311</v>
      </c>
    </row>
    <row r="2416">
      <c r="A2416" s="232" t="s">
        <v>4747</v>
      </c>
      <c r="B2416" t="s">
        <v>4748</v>
      </c>
      <c r="C2416">
        <v>0.0</v>
      </c>
      <c r="D2416" t="s">
        <v>310</v>
      </c>
      <c r="E2416" t="s">
        <v>311</v>
      </c>
    </row>
    <row r="2417">
      <c r="A2417" s="232" t="s">
        <v>4749</v>
      </c>
      <c r="B2417" t="s">
        <v>4750</v>
      </c>
      <c r="C2417">
        <v>0.0</v>
      </c>
      <c r="D2417" t="s">
        <v>310</v>
      </c>
      <c r="E2417" t="s">
        <v>311</v>
      </c>
    </row>
    <row r="2418">
      <c r="A2418" s="232" t="s">
        <v>4751</v>
      </c>
      <c r="B2418" t="s">
        <v>4752</v>
      </c>
      <c r="C2418">
        <v>0.0</v>
      </c>
      <c r="D2418" t="s">
        <v>310</v>
      </c>
      <c r="E2418" t="s">
        <v>311</v>
      </c>
    </row>
    <row r="2419">
      <c r="A2419" s="232" t="s">
        <v>4753</v>
      </c>
      <c r="B2419" t="s">
        <v>4754</v>
      </c>
      <c r="C2419">
        <v>0.0</v>
      </c>
      <c r="D2419" t="s">
        <v>310</v>
      </c>
      <c r="E2419" t="s">
        <v>311</v>
      </c>
    </row>
    <row r="2420">
      <c r="A2420" s="232" t="s">
        <v>4755</v>
      </c>
      <c r="B2420" t="s">
        <v>4756</v>
      </c>
      <c r="C2420">
        <v>364.0</v>
      </c>
      <c r="D2420" t="s">
        <v>330</v>
      </c>
      <c r="E2420" t="s">
        <v>311</v>
      </c>
    </row>
    <row r="2421">
      <c r="A2421" s="232" t="s">
        <v>4757</v>
      </c>
      <c r="B2421" t="s">
        <v>4758</v>
      </c>
      <c r="C2421">
        <v>0.0</v>
      </c>
      <c r="D2421" t="s">
        <v>310</v>
      </c>
      <c r="E2421" t="s">
        <v>311</v>
      </c>
    </row>
    <row r="2422">
      <c r="A2422" s="232" t="s">
        <v>4759</v>
      </c>
      <c r="B2422" t="s">
        <v>4760</v>
      </c>
      <c r="C2422">
        <v>0.0</v>
      </c>
      <c r="D2422" t="s">
        <v>310</v>
      </c>
      <c r="E2422" t="s">
        <v>311</v>
      </c>
    </row>
    <row r="2423">
      <c r="A2423" s="232" t="s">
        <v>4761</v>
      </c>
      <c r="B2423" t="s">
        <v>4762</v>
      </c>
      <c r="C2423">
        <v>0.0</v>
      </c>
      <c r="D2423" t="s">
        <v>310</v>
      </c>
      <c r="E2423" t="s">
        <v>311</v>
      </c>
    </row>
    <row r="2424">
      <c r="A2424" s="232" t="s">
        <v>4763</v>
      </c>
      <c r="B2424" t="s">
        <v>4764</v>
      </c>
      <c r="C2424">
        <v>0.0</v>
      </c>
      <c r="D2424" t="s">
        <v>310</v>
      </c>
      <c r="E2424" t="s">
        <v>311</v>
      </c>
    </row>
    <row r="2425">
      <c r="A2425" s="232" t="s">
        <v>4765</v>
      </c>
      <c r="B2425" t="s">
        <v>4766</v>
      </c>
      <c r="C2425">
        <v>0.0</v>
      </c>
      <c r="D2425" t="s">
        <v>310</v>
      </c>
      <c r="E2425" t="s">
        <v>311</v>
      </c>
    </row>
    <row r="2426">
      <c r="A2426" s="232" t="s">
        <v>4767</v>
      </c>
      <c r="B2426" t="s">
        <v>4768</v>
      </c>
      <c r="C2426">
        <v>0.0</v>
      </c>
      <c r="D2426" t="s">
        <v>310</v>
      </c>
      <c r="E2426" t="s">
        <v>311</v>
      </c>
    </row>
    <row r="2427">
      <c r="A2427" s="232" t="s">
        <v>4769</v>
      </c>
      <c r="B2427" t="s">
        <v>4770</v>
      </c>
      <c r="C2427">
        <v>0.0</v>
      </c>
      <c r="D2427" t="s">
        <v>310</v>
      </c>
      <c r="E2427" t="s">
        <v>311</v>
      </c>
    </row>
    <row r="2428">
      <c r="A2428" s="232" t="s">
        <v>4771</v>
      </c>
      <c r="B2428" t="s">
        <v>4772</v>
      </c>
      <c r="C2428">
        <v>0.0</v>
      </c>
      <c r="D2428" t="s">
        <v>310</v>
      </c>
      <c r="E2428" t="s">
        <v>311</v>
      </c>
    </row>
    <row r="2429">
      <c r="A2429" s="232" t="s">
        <v>4773</v>
      </c>
      <c r="B2429" t="s">
        <v>4774</v>
      </c>
      <c r="C2429">
        <v>0.0</v>
      </c>
      <c r="D2429" t="s">
        <v>310</v>
      </c>
      <c r="E2429" t="s">
        <v>311</v>
      </c>
    </row>
    <row r="2430">
      <c r="A2430" s="232" t="s">
        <v>4775</v>
      </c>
      <c r="B2430" t="s">
        <v>4776</v>
      </c>
      <c r="C2430">
        <v>0.0</v>
      </c>
      <c r="D2430" t="s">
        <v>310</v>
      </c>
      <c r="E2430" t="s">
        <v>311</v>
      </c>
    </row>
    <row r="2431">
      <c r="A2431" s="232" t="s">
        <v>4777</v>
      </c>
      <c r="B2431" t="s">
        <v>4778</v>
      </c>
      <c r="C2431">
        <v>0.0</v>
      </c>
      <c r="D2431" t="s">
        <v>310</v>
      </c>
      <c r="E2431" t="s">
        <v>311</v>
      </c>
    </row>
    <row r="2432">
      <c r="A2432" s="232" t="s">
        <v>4779</v>
      </c>
      <c r="B2432" t="s">
        <v>4780</v>
      </c>
      <c r="C2432">
        <v>0.0</v>
      </c>
      <c r="D2432" t="s">
        <v>310</v>
      </c>
      <c r="E2432" t="s">
        <v>311</v>
      </c>
    </row>
    <row r="2433">
      <c r="A2433" s="232" t="s">
        <v>4781</v>
      </c>
      <c r="B2433" t="s">
        <v>4782</v>
      </c>
      <c r="C2433">
        <v>0.0</v>
      </c>
      <c r="D2433" t="s">
        <v>310</v>
      </c>
      <c r="E2433" t="s">
        <v>311</v>
      </c>
    </row>
    <row r="2434">
      <c r="A2434" s="232" t="s">
        <v>4783</v>
      </c>
      <c r="B2434" t="s">
        <v>4784</v>
      </c>
      <c r="C2434">
        <v>0.0</v>
      </c>
      <c r="D2434" t="s">
        <v>310</v>
      </c>
      <c r="E2434" t="s">
        <v>311</v>
      </c>
    </row>
    <row r="2435">
      <c r="A2435" s="232" t="s">
        <v>4785</v>
      </c>
      <c r="B2435" t="s">
        <v>4786</v>
      </c>
      <c r="C2435">
        <v>0.0</v>
      </c>
      <c r="D2435" t="s">
        <v>310</v>
      </c>
      <c r="E2435" t="s">
        <v>311</v>
      </c>
    </row>
    <row r="2436">
      <c r="A2436" s="232" t="s">
        <v>4787</v>
      </c>
      <c r="B2436" t="s">
        <v>4788</v>
      </c>
      <c r="C2436">
        <v>0.0</v>
      </c>
      <c r="D2436" t="s">
        <v>310</v>
      </c>
      <c r="E2436" t="s">
        <v>311</v>
      </c>
    </row>
    <row r="2437">
      <c r="A2437" s="232" t="s">
        <v>4789</v>
      </c>
      <c r="B2437" t="s">
        <v>4790</v>
      </c>
      <c r="C2437">
        <v>0.0</v>
      </c>
      <c r="D2437" t="s">
        <v>310</v>
      </c>
      <c r="E2437" t="s">
        <v>311</v>
      </c>
    </row>
    <row r="2438">
      <c r="A2438" s="232" t="s">
        <v>4791</v>
      </c>
      <c r="B2438" t="s">
        <v>4792</v>
      </c>
      <c r="C2438">
        <v>0.0</v>
      </c>
      <c r="D2438" t="s">
        <v>310</v>
      </c>
      <c r="E2438" t="s">
        <v>311</v>
      </c>
    </row>
    <row r="2439">
      <c r="A2439" s="232">
        <v>30905.0</v>
      </c>
      <c r="B2439" t="s">
        <v>4793</v>
      </c>
      <c r="C2439">
        <v>0.0</v>
      </c>
      <c r="D2439" t="s">
        <v>310</v>
      </c>
      <c r="E2439" t="s">
        <v>311</v>
      </c>
    </row>
    <row r="2440">
      <c r="A2440" s="232">
        <v>30907.0</v>
      </c>
      <c r="B2440" t="s">
        <v>4794</v>
      </c>
      <c r="C2440">
        <v>0.0</v>
      </c>
      <c r="D2440" t="s">
        <v>310</v>
      </c>
      <c r="E2440" t="s">
        <v>311</v>
      </c>
    </row>
    <row r="2441">
      <c r="A2441" s="232" t="s">
        <v>4795</v>
      </c>
      <c r="B2441" t="s">
        <v>4796</v>
      </c>
      <c r="C2441">
        <v>0.0</v>
      </c>
      <c r="D2441" t="s">
        <v>310</v>
      </c>
      <c r="E2441" t="s">
        <v>311</v>
      </c>
    </row>
    <row r="2442">
      <c r="A2442" s="232" t="s">
        <v>4797</v>
      </c>
      <c r="B2442" t="s">
        <v>4798</v>
      </c>
      <c r="C2442">
        <v>0.0</v>
      </c>
      <c r="D2442" t="s">
        <v>310</v>
      </c>
      <c r="E2442" t="s">
        <v>311</v>
      </c>
    </row>
    <row r="2443">
      <c r="A2443" s="232" t="s">
        <v>4799</v>
      </c>
      <c r="B2443" t="s">
        <v>4800</v>
      </c>
      <c r="C2443">
        <v>0.0</v>
      </c>
      <c r="D2443" t="s">
        <v>310</v>
      </c>
      <c r="E2443" t="s">
        <v>311</v>
      </c>
    </row>
    <row r="2444">
      <c r="A2444" s="232" t="s">
        <v>4801</v>
      </c>
      <c r="B2444" t="s">
        <v>4802</v>
      </c>
      <c r="C2444">
        <v>0.0</v>
      </c>
      <c r="D2444" t="s">
        <v>310</v>
      </c>
      <c r="E2444" t="s">
        <v>311</v>
      </c>
    </row>
    <row r="2445">
      <c r="A2445" s="232" t="s">
        <v>4803</v>
      </c>
      <c r="B2445" t="s">
        <v>4804</v>
      </c>
      <c r="C2445">
        <v>0.0</v>
      </c>
      <c r="D2445" t="s">
        <v>310</v>
      </c>
      <c r="E2445" t="s">
        <v>311</v>
      </c>
    </row>
    <row r="2446">
      <c r="A2446" s="232" t="s">
        <v>4805</v>
      </c>
      <c r="B2446" t="s">
        <v>4806</v>
      </c>
      <c r="C2446">
        <v>0.0</v>
      </c>
      <c r="D2446" t="s">
        <v>310</v>
      </c>
      <c r="E2446" t="s">
        <v>311</v>
      </c>
    </row>
    <row r="2447">
      <c r="A2447" s="232" t="s">
        <v>4807</v>
      </c>
      <c r="B2447" t="s">
        <v>4808</v>
      </c>
      <c r="C2447">
        <v>0.0</v>
      </c>
      <c r="D2447" t="s">
        <v>310</v>
      </c>
      <c r="E2447" t="s">
        <v>311</v>
      </c>
    </row>
    <row r="2448">
      <c r="A2448" s="232" t="s">
        <v>4809</v>
      </c>
      <c r="B2448" t="s">
        <v>4810</v>
      </c>
      <c r="C2448">
        <v>0.0</v>
      </c>
      <c r="D2448" t="s">
        <v>310</v>
      </c>
      <c r="E2448" t="s">
        <v>311</v>
      </c>
    </row>
    <row r="2449">
      <c r="A2449" s="232" t="s">
        <v>4811</v>
      </c>
      <c r="B2449" t="s">
        <v>4812</v>
      </c>
      <c r="C2449">
        <v>0.0</v>
      </c>
      <c r="D2449" t="s">
        <v>310</v>
      </c>
      <c r="E2449" t="s">
        <v>311</v>
      </c>
    </row>
    <row r="2450">
      <c r="A2450" s="232" t="s">
        <v>4813</v>
      </c>
      <c r="B2450" t="s">
        <v>4814</v>
      </c>
      <c r="C2450">
        <v>0.0</v>
      </c>
      <c r="D2450" t="s">
        <v>310</v>
      </c>
      <c r="E2450" t="s">
        <v>311</v>
      </c>
    </row>
    <row r="2451">
      <c r="A2451" s="232" t="s">
        <v>4815</v>
      </c>
      <c r="B2451" t="s">
        <v>4816</v>
      </c>
      <c r="C2451">
        <v>0.0</v>
      </c>
      <c r="D2451" t="s">
        <v>310</v>
      </c>
      <c r="E2451" t="s">
        <v>311</v>
      </c>
    </row>
    <row r="2452">
      <c r="A2452" s="232" t="s">
        <v>4817</v>
      </c>
      <c r="B2452" t="s">
        <v>4818</v>
      </c>
      <c r="C2452">
        <v>0.0</v>
      </c>
      <c r="D2452" t="s">
        <v>310</v>
      </c>
      <c r="E2452" t="s">
        <v>311</v>
      </c>
    </row>
    <row r="2453">
      <c r="A2453" s="232" t="s">
        <v>4819</v>
      </c>
      <c r="B2453" t="s">
        <v>4820</v>
      </c>
      <c r="C2453">
        <v>173.0</v>
      </c>
      <c r="D2453" t="s">
        <v>330</v>
      </c>
      <c r="E2453" t="s">
        <v>552</v>
      </c>
    </row>
    <row r="2454">
      <c r="A2454" s="232" t="s">
        <v>4821</v>
      </c>
      <c r="B2454" t="s">
        <v>4822</v>
      </c>
      <c r="C2454">
        <v>0.0</v>
      </c>
      <c r="D2454" t="s">
        <v>310</v>
      </c>
      <c r="E2454" t="s">
        <v>311</v>
      </c>
    </row>
    <row r="2455">
      <c r="A2455" s="232" t="s">
        <v>4823</v>
      </c>
      <c r="B2455" t="s">
        <v>4824</v>
      </c>
      <c r="C2455">
        <v>2278.0</v>
      </c>
      <c r="D2455" t="s">
        <v>330</v>
      </c>
      <c r="E2455" t="s">
        <v>311</v>
      </c>
    </row>
    <row r="2456">
      <c r="A2456" s="232" t="s">
        <v>4825</v>
      </c>
      <c r="B2456" t="s">
        <v>4826</v>
      </c>
      <c r="C2456">
        <v>3000.0</v>
      </c>
      <c r="D2456" t="s">
        <v>330</v>
      </c>
      <c r="E2456" t="s">
        <v>311</v>
      </c>
    </row>
    <row r="2457">
      <c r="A2457" s="232" t="s">
        <v>61</v>
      </c>
      <c r="B2457" t="s">
        <v>60</v>
      </c>
      <c r="C2457">
        <v>4709.0</v>
      </c>
      <c r="D2457" t="s">
        <v>330</v>
      </c>
      <c r="E2457" t="s">
        <v>311</v>
      </c>
    </row>
    <row r="2458">
      <c r="A2458" s="232" t="s">
        <v>66</v>
      </c>
      <c r="B2458" t="s">
        <v>65</v>
      </c>
      <c r="C2458">
        <v>2851.0</v>
      </c>
      <c r="D2458" t="s">
        <v>330</v>
      </c>
      <c r="E2458" t="s">
        <v>311</v>
      </c>
    </row>
    <row r="2459">
      <c r="A2459" s="232" t="s">
        <v>68</v>
      </c>
      <c r="B2459" t="s">
        <v>67</v>
      </c>
      <c r="C2459">
        <v>2323.0</v>
      </c>
      <c r="D2459" t="s">
        <v>330</v>
      </c>
      <c r="E2459" t="s">
        <v>311</v>
      </c>
    </row>
    <row r="2460">
      <c r="A2460" s="232" t="s">
        <v>63</v>
      </c>
      <c r="B2460" t="s">
        <v>62</v>
      </c>
      <c r="C2460">
        <v>1696.0</v>
      </c>
      <c r="D2460" t="s">
        <v>330</v>
      </c>
      <c r="E2460" t="s">
        <v>311</v>
      </c>
    </row>
    <row r="2461">
      <c r="A2461" s="232" t="s">
        <v>209</v>
      </c>
      <c r="B2461" t="s">
        <v>208</v>
      </c>
      <c r="C2461">
        <v>7.0</v>
      </c>
      <c r="D2461" t="s">
        <v>330</v>
      </c>
      <c r="E2461" t="s">
        <v>311</v>
      </c>
    </row>
    <row r="2462">
      <c r="A2462" s="232" t="s">
        <v>4827</v>
      </c>
      <c r="B2462" t="s">
        <v>4828</v>
      </c>
      <c r="C2462">
        <v>0.0</v>
      </c>
      <c r="D2462" t="s">
        <v>330</v>
      </c>
      <c r="E2462" t="s">
        <v>565</v>
      </c>
    </row>
    <row r="2463">
      <c r="A2463" s="232">
        <v>51537.0</v>
      </c>
      <c r="B2463" t="s">
        <v>4829</v>
      </c>
      <c r="C2463">
        <v>0.0</v>
      </c>
      <c r="D2463" t="s">
        <v>310</v>
      </c>
      <c r="E2463" t="s">
        <v>311</v>
      </c>
    </row>
    <row r="2464">
      <c r="A2464" s="232">
        <v>51536.0</v>
      </c>
      <c r="B2464" t="s">
        <v>4830</v>
      </c>
      <c r="C2464">
        <v>0.0</v>
      </c>
      <c r="D2464" t="s">
        <v>310</v>
      </c>
      <c r="E2464" t="s">
        <v>311</v>
      </c>
    </row>
    <row r="2465">
      <c r="A2465" s="232">
        <v>51543.0</v>
      </c>
      <c r="B2465" t="s">
        <v>4831</v>
      </c>
      <c r="C2465">
        <v>0.0</v>
      </c>
      <c r="D2465" t="s">
        <v>310</v>
      </c>
      <c r="E2465" t="s">
        <v>311</v>
      </c>
    </row>
    <row r="2466">
      <c r="A2466" s="232">
        <v>34601.0</v>
      </c>
      <c r="B2466" t="s">
        <v>4832</v>
      </c>
      <c r="C2466">
        <v>0.0</v>
      </c>
      <c r="D2466" t="s">
        <v>310</v>
      </c>
      <c r="E2466" t="s">
        <v>311</v>
      </c>
    </row>
    <row r="2467">
      <c r="A2467" s="232">
        <v>34602.0</v>
      </c>
      <c r="B2467" t="s">
        <v>4833</v>
      </c>
      <c r="C2467">
        <v>0.0</v>
      </c>
      <c r="D2467" t="s">
        <v>310</v>
      </c>
      <c r="E2467" t="s">
        <v>311</v>
      </c>
    </row>
    <row r="2468">
      <c r="A2468" s="232">
        <v>34603.0</v>
      </c>
      <c r="B2468" t="s">
        <v>4834</v>
      </c>
      <c r="C2468">
        <v>0.0</v>
      </c>
      <c r="D2468" t="s">
        <v>310</v>
      </c>
      <c r="E2468" t="s">
        <v>311</v>
      </c>
    </row>
    <row r="2469">
      <c r="A2469" s="232">
        <v>34604.0</v>
      </c>
      <c r="B2469" t="s">
        <v>4835</v>
      </c>
      <c r="C2469">
        <v>0.0</v>
      </c>
      <c r="D2469" t="s">
        <v>310</v>
      </c>
      <c r="E2469" t="s">
        <v>311</v>
      </c>
    </row>
    <row r="2470">
      <c r="A2470" s="232">
        <v>34605.0</v>
      </c>
      <c r="B2470" t="s">
        <v>4836</v>
      </c>
      <c r="C2470">
        <v>0.0</v>
      </c>
      <c r="D2470" t="s">
        <v>310</v>
      </c>
      <c r="E2470" t="s">
        <v>311</v>
      </c>
    </row>
    <row r="2471">
      <c r="A2471" s="232">
        <v>34606.0</v>
      </c>
      <c r="B2471" t="s">
        <v>4837</v>
      </c>
      <c r="C2471">
        <v>0.0</v>
      </c>
      <c r="D2471" t="s">
        <v>310</v>
      </c>
      <c r="E2471" t="s">
        <v>311</v>
      </c>
    </row>
    <row r="2472">
      <c r="A2472" s="232">
        <v>34501.0</v>
      </c>
      <c r="B2472" t="s">
        <v>4838</v>
      </c>
      <c r="C2472">
        <v>0.0</v>
      </c>
      <c r="D2472" t="s">
        <v>310</v>
      </c>
      <c r="E2472" t="s">
        <v>311</v>
      </c>
    </row>
    <row r="2473">
      <c r="A2473" s="232">
        <v>34503.0</v>
      </c>
      <c r="B2473" t="s">
        <v>4839</v>
      </c>
      <c r="C2473">
        <v>0.0</v>
      </c>
      <c r="D2473" t="s">
        <v>310</v>
      </c>
      <c r="E2473" t="s">
        <v>311</v>
      </c>
    </row>
    <row r="2474">
      <c r="A2474" s="232">
        <v>34505.0</v>
      </c>
      <c r="B2474" t="s">
        <v>4840</v>
      </c>
      <c r="C2474">
        <v>0.0</v>
      </c>
      <c r="D2474" t="s">
        <v>310</v>
      </c>
      <c r="E2474" t="s">
        <v>311</v>
      </c>
    </row>
    <row r="2475">
      <c r="A2475" s="232">
        <v>34508.0</v>
      </c>
      <c r="B2475" t="s">
        <v>4841</v>
      </c>
      <c r="C2475">
        <v>0.0</v>
      </c>
      <c r="D2475" t="s">
        <v>310</v>
      </c>
      <c r="E2475" t="s">
        <v>311</v>
      </c>
    </row>
    <row r="2476">
      <c r="A2476" s="232">
        <v>34510.0</v>
      </c>
      <c r="B2476" t="s">
        <v>4842</v>
      </c>
      <c r="C2476">
        <v>0.0</v>
      </c>
      <c r="D2476" t="s">
        <v>310</v>
      </c>
      <c r="E2476" t="s">
        <v>311</v>
      </c>
    </row>
    <row r="2477">
      <c r="A2477" s="232">
        <v>34513.0</v>
      </c>
      <c r="B2477" t="s">
        <v>4843</v>
      </c>
      <c r="C2477">
        <v>0.0</v>
      </c>
      <c r="D2477" t="s">
        <v>310</v>
      </c>
      <c r="E2477" t="s">
        <v>311</v>
      </c>
    </row>
    <row r="2478">
      <c r="A2478" s="232">
        <v>34519.0</v>
      </c>
      <c r="B2478" t="s">
        <v>4844</v>
      </c>
      <c r="C2478">
        <v>0.0</v>
      </c>
      <c r="D2478" t="s">
        <v>310</v>
      </c>
      <c r="E2478" t="s">
        <v>311</v>
      </c>
    </row>
    <row r="2479">
      <c r="A2479" s="232">
        <v>34509.0</v>
      </c>
      <c r="B2479" t="s">
        <v>4845</v>
      </c>
      <c r="C2479">
        <v>0.0</v>
      </c>
      <c r="D2479" t="s">
        <v>310</v>
      </c>
      <c r="E2479" t="s">
        <v>311</v>
      </c>
    </row>
    <row r="2480">
      <c r="A2480" s="232" t="s">
        <v>4846</v>
      </c>
      <c r="B2480" t="s">
        <v>4847</v>
      </c>
      <c r="C2480">
        <v>0.0</v>
      </c>
      <c r="D2480" t="s">
        <v>310</v>
      </c>
      <c r="E2480" t="s">
        <v>311</v>
      </c>
    </row>
    <row r="2481">
      <c r="A2481" s="232" t="s">
        <v>4848</v>
      </c>
      <c r="B2481" t="s">
        <v>4849</v>
      </c>
      <c r="C2481">
        <v>0.0</v>
      </c>
      <c r="D2481" t="s">
        <v>310</v>
      </c>
      <c r="E2481" t="s">
        <v>311</v>
      </c>
    </row>
    <row r="2482">
      <c r="A2482" s="232" t="s">
        <v>4850</v>
      </c>
      <c r="B2482" t="s">
        <v>4851</v>
      </c>
      <c r="C2482">
        <v>0.0</v>
      </c>
      <c r="D2482" t="s">
        <v>310</v>
      </c>
      <c r="E2482" t="s">
        <v>311</v>
      </c>
    </row>
    <row r="2483">
      <c r="A2483" s="232" t="s">
        <v>4852</v>
      </c>
      <c r="B2483" t="s">
        <v>4853</v>
      </c>
      <c r="C2483">
        <v>0.0</v>
      </c>
      <c r="D2483" t="s">
        <v>310</v>
      </c>
      <c r="E2483" t="s">
        <v>311</v>
      </c>
    </row>
    <row r="2484">
      <c r="A2484" s="232" t="s">
        <v>4854</v>
      </c>
      <c r="B2484" t="s">
        <v>4855</v>
      </c>
      <c r="C2484">
        <v>0.0</v>
      </c>
      <c r="D2484" t="s">
        <v>310</v>
      </c>
      <c r="E2484" t="s">
        <v>311</v>
      </c>
    </row>
    <row r="2485">
      <c r="A2485" s="232" t="s">
        <v>4856</v>
      </c>
      <c r="B2485" t="s">
        <v>4857</v>
      </c>
      <c r="C2485">
        <v>0.0</v>
      </c>
      <c r="D2485" t="s">
        <v>310</v>
      </c>
      <c r="E2485" t="s">
        <v>311</v>
      </c>
    </row>
    <row r="2486">
      <c r="A2486" s="232" t="s">
        <v>4858</v>
      </c>
      <c r="B2486" t="s">
        <v>4859</v>
      </c>
      <c r="C2486">
        <v>0.0</v>
      </c>
      <c r="D2486" t="s">
        <v>310</v>
      </c>
      <c r="E2486" t="s">
        <v>311</v>
      </c>
    </row>
    <row r="2487">
      <c r="A2487" s="232" t="s">
        <v>4860</v>
      </c>
      <c r="B2487" t="s">
        <v>4861</v>
      </c>
      <c r="C2487">
        <v>0.0</v>
      </c>
      <c r="D2487" t="s">
        <v>310</v>
      </c>
      <c r="E2487" t="s">
        <v>311</v>
      </c>
    </row>
    <row r="2488">
      <c r="A2488" s="232" t="s">
        <v>4862</v>
      </c>
      <c r="B2488" t="s">
        <v>4863</v>
      </c>
      <c r="C2488">
        <v>0.0</v>
      </c>
      <c r="D2488" t="s">
        <v>310</v>
      </c>
      <c r="E2488" t="s">
        <v>311</v>
      </c>
    </row>
    <row r="2489">
      <c r="A2489" s="232" t="s">
        <v>4864</v>
      </c>
      <c r="B2489" t="s">
        <v>4865</v>
      </c>
      <c r="C2489">
        <v>0.0</v>
      </c>
      <c r="D2489" t="s">
        <v>310</v>
      </c>
      <c r="E2489" t="s">
        <v>311</v>
      </c>
    </row>
    <row r="2490">
      <c r="A2490" s="232" t="s">
        <v>4866</v>
      </c>
      <c r="B2490" t="s">
        <v>4867</v>
      </c>
      <c r="C2490">
        <v>0.0</v>
      </c>
      <c r="D2490" t="s">
        <v>310</v>
      </c>
      <c r="E2490" t="s">
        <v>311</v>
      </c>
    </row>
    <row r="2491">
      <c r="A2491" s="232" t="s">
        <v>4868</v>
      </c>
      <c r="B2491" t="s">
        <v>4869</v>
      </c>
      <c r="C2491">
        <v>0.0</v>
      </c>
      <c r="D2491" t="s">
        <v>310</v>
      </c>
      <c r="E2491" t="s">
        <v>311</v>
      </c>
    </row>
    <row r="2492">
      <c r="A2492" s="232" t="s">
        <v>4870</v>
      </c>
      <c r="B2492" t="s">
        <v>4871</v>
      </c>
      <c r="C2492">
        <v>0.0</v>
      </c>
      <c r="D2492" t="s">
        <v>310</v>
      </c>
      <c r="E2492" t="s">
        <v>311</v>
      </c>
    </row>
    <row r="2493">
      <c r="A2493" s="232" t="s">
        <v>4872</v>
      </c>
      <c r="B2493" t="s">
        <v>4873</v>
      </c>
      <c r="C2493">
        <v>0.0</v>
      </c>
      <c r="D2493" t="s">
        <v>310</v>
      </c>
      <c r="E2493" t="s">
        <v>311</v>
      </c>
    </row>
    <row r="2494">
      <c r="A2494" s="232" t="s">
        <v>4874</v>
      </c>
      <c r="B2494" t="s">
        <v>4875</v>
      </c>
      <c r="C2494">
        <v>0.0</v>
      </c>
      <c r="D2494" t="s">
        <v>310</v>
      </c>
      <c r="E2494" t="s">
        <v>311</v>
      </c>
    </row>
    <row r="2495">
      <c r="A2495" s="232" t="s">
        <v>4876</v>
      </c>
      <c r="B2495" t="s">
        <v>4877</v>
      </c>
      <c r="C2495">
        <v>0.0</v>
      </c>
      <c r="D2495" t="s">
        <v>330</v>
      </c>
      <c r="E2495" t="s">
        <v>565</v>
      </c>
    </row>
    <row r="2496">
      <c r="A2496" s="232" t="s">
        <v>4878</v>
      </c>
      <c r="B2496" t="s">
        <v>4879</v>
      </c>
      <c r="C2496">
        <v>0.0</v>
      </c>
      <c r="D2496" t="s">
        <v>330</v>
      </c>
      <c r="E2496" t="s">
        <v>565</v>
      </c>
    </row>
    <row r="2497">
      <c r="A2497" s="232" t="s">
        <v>4880</v>
      </c>
      <c r="B2497" t="s">
        <v>4881</v>
      </c>
      <c r="C2497">
        <v>0.0</v>
      </c>
      <c r="D2497" t="s">
        <v>330</v>
      </c>
      <c r="E2497" t="s">
        <v>565</v>
      </c>
    </row>
    <row r="2498">
      <c r="A2498" s="232" t="s">
        <v>4882</v>
      </c>
      <c r="B2498" t="s">
        <v>4883</v>
      </c>
      <c r="C2498">
        <v>0.0</v>
      </c>
      <c r="D2498" t="s">
        <v>330</v>
      </c>
      <c r="E2498" t="s">
        <v>565</v>
      </c>
    </row>
    <row r="2499">
      <c r="A2499" s="232">
        <v>91801.0</v>
      </c>
      <c r="B2499" t="s">
        <v>4884</v>
      </c>
      <c r="C2499">
        <v>0.0</v>
      </c>
      <c r="D2499" t="s">
        <v>310</v>
      </c>
      <c r="E2499" t="s">
        <v>311</v>
      </c>
    </row>
    <row r="2500">
      <c r="A2500" s="232">
        <v>91803.0</v>
      </c>
      <c r="B2500" t="s">
        <v>4885</v>
      </c>
      <c r="C2500">
        <v>0.0</v>
      </c>
      <c r="D2500" t="s">
        <v>310</v>
      </c>
      <c r="E2500" t="s">
        <v>311</v>
      </c>
    </row>
    <row r="2501">
      <c r="A2501" s="232">
        <v>91804.0</v>
      </c>
      <c r="B2501" t="s">
        <v>4886</v>
      </c>
      <c r="C2501">
        <v>0.0</v>
      </c>
      <c r="D2501" t="s">
        <v>310</v>
      </c>
      <c r="E2501" t="s">
        <v>311</v>
      </c>
    </row>
    <row r="2502">
      <c r="A2502" s="232">
        <v>91802.0</v>
      </c>
      <c r="B2502" t="s">
        <v>4887</v>
      </c>
      <c r="C2502">
        <v>0.0</v>
      </c>
      <c r="D2502" t="s">
        <v>310</v>
      </c>
      <c r="E2502" t="s">
        <v>311</v>
      </c>
    </row>
    <row r="2503">
      <c r="A2503" s="232" t="s">
        <v>4888</v>
      </c>
      <c r="B2503" t="s">
        <v>4889</v>
      </c>
      <c r="C2503">
        <v>0.0</v>
      </c>
      <c r="D2503" t="s">
        <v>310</v>
      </c>
      <c r="E2503" t="s">
        <v>311</v>
      </c>
    </row>
    <row r="2504">
      <c r="A2504" s="232" t="s">
        <v>4890</v>
      </c>
      <c r="B2504" t="s">
        <v>4891</v>
      </c>
      <c r="C2504">
        <v>0.0</v>
      </c>
      <c r="D2504" t="s">
        <v>310</v>
      </c>
      <c r="E2504" t="s">
        <v>311</v>
      </c>
    </row>
    <row r="2505">
      <c r="A2505" s="232" t="s">
        <v>4892</v>
      </c>
      <c r="B2505" t="s">
        <v>4893</v>
      </c>
      <c r="C2505">
        <v>12.0</v>
      </c>
      <c r="D2505" t="s">
        <v>330</v>
      </c>
      <c r="E2505" t="s">
        <v>565</v>
      </c>
    </row>
    <row r="2506">
      <c r="A2506" s="232" t="s">
        <v>4894</v>
      </c>
      <c r="B2506" t="s">
        <v>4895</v>
      </c>
      <c r="C2506">
        <v>1.0</v>
      </c>
      <c r="D2506" t="s">
        <v>330</v>
      </c>
      <c r="E2506" t="s">
        <v>565</v>
      </c>
    </row>
    <row r="2507">
      <c r="A2507" s="232" t="s">
        <v>4896</v>
      </c>
      <c r="B2507" t="s">
        <v>4897</v>
      </c>
      <c r="C2507">
        <v>0.0</v>
      </c>
      <c r="D2507" t="s">
        <v>310</v>
      </c>
      <c r="E2507" t="s">
        <v>311</v>
      </c>
    </row>
    <row r="2508">
      <c r="A2508" s="232" t="s">
        <v>4898</v>
      </c>
      <c r="B2508" t="s">
        <v>4899</v>
      </c>
      <c r="C2508">
        <v>0.0</v>
      </c>
      <c r="D2508" t="s">
        <v>310</v>
      </c>
      <c r="E2508" t="s">
        <v>311</v>
      </c>
    </row>
    <row r="2509">
      <c r="A2509" s="232" t="s">
        <v>4900</v>
      </c>
      <c r="B2509" t="s">
        <v>4901</v>
      </c>
      <c r="C2509">
        <v>328.0</v>
      </c>
      <c r="D2509" t="s">
        <v>330</v>
      </c>
      <c r="E2509" t="s">
        <v>311</v>
      </c>
    </row>
    <row r="2510">
      <c r="A2510" s="232" t="s">
        <v>4902</v>
      </c>
      <c r="B2510" t="s">
        <v>4903</v>
      </c>
      <c r="C2510">
        <v>412.0</v>
      </c>
      <c r="D2510" t="s">
        <v>330</v>
      </c>
      <c r="E2510" t="s">
        <v>311</v>
      </c>
    </row>
    <row r="2511">
      <c r="A2511" s="232" t="s">
        <v>4904</v>
      </c>
      <c r="B2511" t="s">
        <v>4905</v>
      </c>
      <c r="C2511">
        <v>456.0</v>
      </c>
      <c r="D2511" t="s">
        <v>330</v>
      </c>
      <c r="E2511" t="s">
        <v>311</v>
      </c>
    </row>
    <row r="2512">
      <c r="A2512" s="232" t="s">
        <v>4906</v>
      </c>
      <c r="B2512" t="s">
        <v>4907</v>
      </c>
      <c r="C2512">
        <v>357.0</v>
      </c>
      <c r="D2512" t="s">
        <v>330</v>
      </c>
      <c r="E2512" t="s">
        <v>311</v>
      </c>
    </row>
    <row r="2513">
      <c r="A2513" s="232" t="s">
        <v>4908</v>
      </c>
      <c r="B2513" t="s">
        <v>4909</v>
      </c>
      <c r="C2513">
        <v>413.0</v>
      </c>
      <c r="D2513" t="s">
        <v>330</v>
      </c>
      <c r="E2513" t="s">
        <v>311</v>
      </c>
    </row>
    <row r="2514">
      <c r="A2514" s="232" t="s">
        <v>4910</v>
      </c>
      <c r="B2514" t="s">
        <v>4911</v>
      </c>
      <c r="C2514">
        <v>360.0</v>
      </c>
      <c r="D2514" t="s">
        <v>330</v>
      </c>
      <c r="E2514" t="s">
        <v>311</v>
      </c>
    </row>
    <row r="2515">
      <c r="A2515" s="232" t="s">
        <v>4912</v>
      </c>
      <c r="B2515" t="s">
        <v>4913</v>
      </c>
      <c r="C2515">
        <v>0.0</v>
      </c>
      <c r="D2515" t="s">
        <v>310</v>
      </c>
      <c r="E2515" t="s">
        <v>311</v>
      </c>
    </row>
    <row r="2516">
      <c r="A2516" s="232" t="s">
        <v>4914</v>
      </c>
      <c r="B2516" t="s">
        <v>4915</v>
      </c>
      <c r="C2516">
        <v>0.0</v>
      </c>
      <c r="D2516" t="s">
        <v>310</v>
      </c>
      <c r="E2516" t="s">
        <v>311</v>
      </c>
    </row>
    <row r="2517">
      <c r="A2517" s="232" t="s">
        <v>4916</v>
      </c>
      <c r="B2517" t="s">
        <v>4917</v>
      </c>
      <c r="C2517">
        <v>0.0</v>
      </c>
      <c r="D2517" t="s">
        <v>310</v>
      </c>
      <c r="E2517" t="s">
        <v>311</v>
      </c>
    </row>
    <row r="2518">
      <c r="A2518" s="232" t="s">
        <v>4918</v>
      </c>
      <c r="B2518" t="s">
        <v>4919</v>
      </c>
      <c r="C2518">
        <v>400.0</v>
      </c>
      <c r="D2518" t="s">
        <v>310</v>
      </c>
      <c r="E2518" t="s">
        <v>311</v>
      </c>
    </row>
    <row r="2519">
      <c r="A2519" s="232" t="s">
        <v>4920</v>
      </c>
      <c r="B2519" t="s">
        <v>4921</v>
      </c>
      <c r="C2519">
        <v>0.0</v>
      </c>
      <c r="D2519" t="s">
        <v>330</v>
      </c>
      <c r="E2519" t="s">
        <v>311</v>
      </c>
    </row>
    <row r="2520">
      <c r="A2520" s="232" t="s">
        <v>4922</v>
      </c>
      <c r="B2520" t="s">
        <v>4923</v>
      </c>
      <c r="C2520">
        <v>0.0</v>
      </c>
      <c r="D2520" t="s">
        <v>310</v>
      </c>
      <c r="E2520" t="s">
        <v>311</v>
      </c>
    </row>
    <row r="2521">
      <c r="A2521" s="232" t="s">
        <v>4924</v>
      </c>
      <c r="B2521" t="s">
        <v>4925</v>
      </c>
      <c r="C2521">
        <v>0.0</v>
      </c>
      <c r="D2521" t="s">
        <v>310</v>
      </c>
      <c r="E2521" t="s">
        <v>311</v>
      </c>
    </row>
    <row r="2522">
      <c r="A2522" s="232" t="s">
        <v>4926</v>
      </c>
      <c r="B2522" t="s">
        <v>4927</v>
      </c>
      <c r="C2522">
        <v>0.0</v>
      </c>
      <c r="D2522" t="s">
        <v>310</v>
      </c>
      <c r="E2522" t="s">
        <v>311</v>
      </c>
    </row>
    <row r="2523">
      <c r="A2523" s="232" t="s">
        <v>4928</v>
      </c>
      <c r="B2523" t="s">
        <v>4929</v>
      </c>
      <c r="C2523">
        <v>0.0</v>
      </c>
      <c r="D2523" t="s">
        <v>330</v>
      </c>
      <c r="E2523" t="s">
        <v>311</v>
      </c>
    </row>
    <row r="2524">
      <c r="A2524" s="232" t="s">
        <v>4930</v>
      </c>
      <c r="B2524" t="s">
        <v>4931</v>
      </c>
      <c r="C2524">
        <v>0.0</v>
      </c>
      <c r="D2524" t="s">
        <v>330</v>
      </c>
      <c r="E2524" t="s">
        <v>311</v>
      </c>
    </row>
    <row r="2525">
      <c r="A2525" s="232" t="s">
        <v>4932</v>
      </c>
      <c r="B2525" t="s">
        <v>4933</v>
      </c>
      <c r="C2525">
        <v>0.0</v>
      </c>
      <c r="D2525" t="s">
        <v>330</v>
      </c>
      <c r="E2525" t="s">
        <v>311</v>
      </c>
    </row>
    <row r="2526">
      <c r="A2526" s="232" t="s">
        <v>4934</v>
      </c>
      <c r="B2526" t="s">
        <v>4935</v>
      </c>
      <c r="C2526">
        <v>0.0</v>
      </c>
      <c r="D2526" t="s">
        <v>330</v>
      </c>
      <c r="E2526" t="s">
        <v>311</v>
      </c>
    </row>
    <row r="2527">
      <c r="A2527" s="232" t="s">
        <v>4936</v>
      </c>
      <c r="B2527" t="s">
        <v>4937</v>
      </c>
      <c r="C2527">
        <v>0.0</v>
      </c>
      <c r="D2527" t="s">
        <v>330</v>
      </c>
      <c r="E2527" t="s">
        <v>311</v>
      </c>
    </row>
    <row r="2528">
      <c r="A2528" s="232" t="s">
        <v>4938</v>
      </c>
      <c r="B2528" t="s">
        <v>4939</v>
      </c>
      <c r="C2528">
        <v>0.0</v>
      </c>
      <c r="D2528" t="s">
        <v>310</v>
      </c>
      <c r="E2528" t="s">
        <v>311</v>
      </c>
    </row>
    <row r="2529">
      <c r="A2529" s="232" t="s">
        <v>4940</v>
      </c>
      <c r="B2529" t="s">
        <v>4941</v>
      </c>
      <c r="C2529">
        <v>0.0</v>
      </c>
      <c r="D2529" t="s">
        <v>310</v>
      </c>
      <c r="E2529" t="s">
        <v>311</v>
      </c>
    </row>
    <row r="2530">
      <c r="A2530" s="232" t="s">
        <v>4942</v>
      </c>
      <c r="B2530" t="s">
        <v>4943</v>
      </c>
      <c r="C2530">
        <v>0.0</v>
      </c>
      <c r="D2530" t="s">
        <v>330</v>
      </c>
      <c r="E2530" t="s">
        <v>311</v>
      </c>
    </row>
    <row r="2531">
      <c r="A2531" s="232" t="s">
        <v>4944</v>
      </c>
      <c r="B2531" t="s">
        <v>4945</v>
      </c>
      <c r="C2531">
        <v>0.0</v>
      </c>
      <c r="D2531" t="s">
        <v>310</v>
      </c>
      <c r="E2531" t="s">
        <v>311</v>
      </c>
    </row>
    <row r="2532">
      <c r="A2532" s="232" t="s">
        <v>4946</v>
      </c>
      <c r="B2532" t="s">
        <v>4947</v>
      </c>
      <c r="C2532">
        <v>0.0</v>
      </c>
      <c r="D2532" t="s">
        <v>330</v>
      </c>
      <c r="E2532" t="s">
        <v>311</v>
      </c>
    </row>
    <row r="2533">
      <c r="A2533" s="232" t="s">
        <v>4948</v>
      </c>
      <c r="B2533" t="s">
        <v>4949</v>
      </c>
      <c r="C2533">
        <v>0.0</v>
      </c>
      <c r="D2533" t="s">
        <v>310</v>
      </c>
      <c r="E2533" t="s">
        <v>311</v>
      </c>
    </row>
    <row r="2534">
      <c r="A2534" s="232" t="s">
        <v>4950</v>
      </c>
      <c r="B2534" t="s">
        <v>4951</v>
      </c>
      <c r="C2534">
        <v>0.0</v>
      </c>
      <c r="D2534" t="s">
        <v>330</v>
      </c>
      <c r="E2534" t="s">
        <v>311</v>
      </c>
    </row>
    <row r="2535">
      <c r="A2535" s="232" t="s">
        <v>4952</v>
      </c>
      <c r="B2535" t="s">
        <v>4953</v>
      </c>
      <c r="C2535">
        <v>0.0</v>
      </c>
      <c r="D2535" t="s">
        <v>330</v>
      </c>
      <c r="E2535" t="s">
        <v>311</v>
      </c>
    </row>
    <row r="2536">
      <c r="A2536" s="232" t="s">
        <v>4954</v>
      </c>
      <c r="B2536" t="s">
        <v>4955</v>
      </c>
      <c r="C2536">
        <v>0.0</v>
      </c>
      <c r="D2536" t="s">
        <v>330</v>
      </c>
      <c r="E2536" t="s">
        <v>311</v>
      </c>
    </row>
    <row r="2537">
      <c r="A2537" s="232" t="s">
        <v>4956</v>
      </c>
      <c r="B2537" t="s">
        <v>4957</v>
      </c>
      <c r="C2537">
        <v>0.0</v>
      </c>
      <c r="D2537" t="s">
        <v>310</v>
      </c>
      <c r="E2537" t="s">
        <v>311</v>
      </c>
    </row>
    <row r="2538">
      <c r="A2538" s="232" t="s">
        <v>4958</v>
      </c>
      <c r="B2538" t="s">
        <v>4959</v>
      </c>
      <c r="C2538">
        <v>100.0</v>
      </c>
      <c r="D2538" t="s">
        <v>330</v>
      </c>
      <c r="E2538" t="s">
        <v>311</v>
      </c>
    </row>
    <row r="2539">
      <c r="A2539" s="232" t="s">
        <v>4960</v>
      </c>
      <c r="B2539" t="s">
        <v>4961</v>
      </c>
      <c r="C2539">
        <v>0.0</v>
      </c>
      <c r="D2539" t="s">
        <v>310</v>
      </c>
      <c r="E2539" t="s">
        <v>311</v>
      </c>
    </row>
    <row r="2540">
      <c r="A2540" s="232" t="s">
        <v>4962</v>
      </c>
      <c r="B2540" t="s">
        <v>4963</v>
      </c>
      <c r="C2540">
        <v>0.0</v>
      </c>
      <c r="D2540" t="s">
        <v>310</v>
      </c>
      <c r="E2540" t="s">
        <v>311</v>
      </c>
    </row>
    <row r="2541">
      <c r="A2541" s="232" t="s">
        <v>4964</v>
      </c>
      <c r="B2541" t="s">
        <v>4965</v>
      </c>
      <c r="C2541">
        <v>300.0</v>
      </c>
      <c r="D2541" t="s">
        <v>310</v>
      </c>
      <c r="E2541" t="s">
        <v>311</v>
      </c>
    </row>
    <row r="2542">
      <c r="A2542" s="232" t="s">
        <v>4966</v>
      </c>
      <c r="B2542" t="s">
        <v>4967</v>
      </c>
      <c r="C2542">
        <v>0.0</v>
      </c>
      <c r="D2542" t="s">
        <v>310</v>
      </c>
      <c r="E2542" t="s">
        <v>311</v>
      </c>
    </row>
    <row r="2543">
      <c r="A2543" s="232" t="s">
        <v>4968</v>
      </c>
      <c r="B2543" t="s">
        <v>4969</v>
      </c>
      <c r="C2543">
        <v>0.0</v>
      </c>
      <c r="D2543" t="s">
        <v>310</v>
      </c>
      <c r="E2543" t="s">
        <v>311</v>
      </c>
    </row>
    <row r="2544">
      <c r="A2544" s="232" t="s">
        <v>4970</v>
      </c>
      <c r="B2544" t="s">
        <v>4971</v>
      </c>
      <c r="C2544">
        <v>0.0</v>
      </c>
      <c r="D2544" t="s">
        <v>310</v>
      </c>
      <c r="E2544" t="s">
        <v>311</v>
      </c>
    </row>
    <row r="2545">
      <c r="A2545" s="232" t="s">
        <v>4972</v>
      </c>
      <c r="B2545" t="s">
        <v>4973</v>
      </c>
      <c r="C2545">
        <v>250.0</v>
      </c>
      <c r="D2545" t="s">
        <v>310</v>
      </c>
      <c r="E2545" t="s">
        <v>311</v>
      </c>
    </row>
    <row r="2546">
      <c r="A2546" s="232" t="s">
        <v>4974</v>
      </c>
      <c r="B2546" t="s">
        <v>4975</v>
      </c>
      <c r="C2546">
        <v>0.0</v>
      </c>
      <c r="D2546" t="s">
        <v>310</v>
      </c>
      <c r="E2546" t="s">
        <v>311</v>
      </c>
    </row>
    <row r="2547">
      <c r="A2547" s="232" t="s">
        <v>4976</v>
      </c>
      <c r="B2547" t="s">
        <v>4977</v>
      </c>
      <c r="C2547">
        <v>0.0</v>
      </c>
      <c r="D2547" t="s">
        <v>310</v>
      </c>
      <c r="E2547" t="s">
        <v>311</v>
      </c>
    </row>
    <row r="2548">
      <c r="A2548" s="232" t="s">
        <v>4978</v>
      </c>
      <c r="B2548" t="s">
        <v>4979</v>
      </c>
      <c r="C2548">
        <v>0.0</v>
      </c>
      <c r="D2548" t="s">
        <v>310</v>
      </c>
      <c r="E2548" t="s">
        <v>311</v>
      </c>
    </row>
    <row r="2549">
      <c r="A2549" s="232" t="s">
        <v>4980</v>
      </c>
      <c r="B2549" t="s">
        <v>4981</v>
      </c>
      <c r="C2549">
        <v>0.0</v>
      </c>
      <c r="D2549" t="s">
        <v>310</v>
      </c>
      <c r="E2549" t="s">
        <v>311</v>
      </c>
    </row>
    <row r="2550">
      <c r="A2550" s="232" t="s">
        <v>4982</v>
      </c>
      <c r="B2550" t="s">
        <v>4983</v>
      </c>
      <c r="C2550">
        <v>0.0</v>
      </c>
      <c r="D2550" t="s">
        <v>310</v>
      </c>
      <c r="E2550" t="s">
        <v>311</v>
      </c>
    </row>
    <row r="2551">
      <c r="A2551" s="232" t="s">
        <v>4984</v>
      </c>
      <c r="B2551" t="s">
        <v>4985</v>
      </c>
      <c r="C2551">
        <v>0.0</v>
      </c>
      <c r="D2551" t="s">
        <v>310</v>
      </c>
      <c r="E2551" t="s">
        <v>311</v>
      </c>
    </row>
    <row r="2552">
      <c r="A2552" s="232" t="s">
        <v>4986</v>
      </c>
      <c r="B2552" t="s">
        <v>4987</v>
      </c>
      <c r="C2552">
        <v>0.0</v>
      </c>
      <c r="D2552" t="s">
        <v>310</v>
      </c>
      <c r="E2552" t="s">
        <v>311</v>
      </c>
    </row>
    <row r="2553">
      <c r="A2553" s="232" t="s">
        <v>4988</v>
      </c>
      <c r="B2553" t="s">
        <v>4989</v>
      </c>
      <c r="C2553">
        <v>0.0</v>
      </c>
      <c r="D2553" t="s">
        <v>330</v>
      </c>
      <c r="E2553" t="s">
        <v>311</v>
      </c>
    </row>
    <row r="2554">
      <c r="A2554" s="232" t="s">
        <v>4990</v>
      </c>
      <c r="B2554" t="s">
        <v>4991</v>
      </c>
      <c r="C2554">
        <v>50.0</v>
      </c>
      <c r="D2554" t="s">
        <v>330</v>
      </c>
      <c r="E2554" t="s">
        <v>311</v>
      </c>
    </row>
    <row r="2555">
      <c r="A2555" s="232" t="s">
        <v>4992</v>
      </c>
      <c r="B2555" t="s">
        <v>4993</v>
      </c>
      <c r="C2555">
        <v>50.0</v>
      </c>
      <c r="D2555" t="s">
        <v>330</v>
      </c>
      <c r="E2555" t="s">
        <v>311</v>
      </c>
    </row>
    <row r="2556">
      <c r="A2556" s="232" t="s">
        <v>4994</v>
      </c>
      <c r="B2556" t="s">
        <v>4995</v>
      </c>
      <c r="C2556">
        <v>0.0</v>
      </c>
      <c r="D2556" t="s">
        <v>330</v>
      </c>
      <c r="E2556" t="s">
        <v>311</v>
      </c>
    </row>
    <row r="2557">
      <c r="A2557" s="232" t="s">
        <v>4996</v>
      </c>
      <c r="B2557" t="s">
        <v>4997</v>
      </c>
      <c r="C2557">
        <v>0.0</v>
      </c>
      <c r="D2557" t="s">
        <v>330</v>
      </c>
      <c r="E2557" t="s">
        <v>311</v>
      </c>
    </row>
    <row r="2558">
      <c r="A2558" s="232" t="s">
        <v>4998</v>
      </c>
      <c r="B2558" t="s">
        <v>4999</v>
      </c>
      <c r="C2558">
        <v>0.0</v>
      </c>
      <c r="D2558" t="s">
        <v>330</v>
      </c>
      <c r="E2558" t="s">
        <v>311</v>
      </c>
    </row>
    <row r="2559">
      <c r="A2559" s="232" t="s">
        <v>5000</v>
      </c>
      <c r="B2559" t="s">
        <v>5001</v>
      </c>
      <c r="C2559">
        <v>0.0</v>
      </c>
      <c r="D2559" t="s">
        <v>330</v>
      </c>
      <c r="E2559" t="s">
        <v>311</v>
      </c>
    </row>
    <row r="2560">
      <c r="A2560" s="232" t="s">
        <v>5002</v>
      </c>
      <c r="B2560" t="s">
        <v>5003</v>
      </c>
      <c r="C2560">
        <v>0.0</v>
      </c>
      <c r="D2560" t="s">
        <v>330</v>
      </c>
      <c r="E2560" t="s">
        <v>311</v>
      </c>
    </row>
    <row r="2561">
      <c r="A2561" s="232" t="s">
        <v>5004</v>
      </c>
      <c r="B2561" t="s">
        <v>5005</v>
      </c>
      <c r="C2561">
        <v>0.0</v>
      </c>
      <c r="D2561" t="s">
        <v>330</v>
      </c>
      <c r="E2561" t="s">
        <v>311</v>
      </c>
    </row>
    <row r="2562">
      <c r="A2562" s="232" t="s">
        <v>5006</v>
      </c>
      <c r="B2562" t="s">
        <v>5007</v>
      </c>
      <c r="C2562">
        <v>0.0</v>
      </c>
      <c r="D2562" t="s">
        <v>330</v>
      </c>
      <c r="E2562" t="s">
        <v>311</v>
      </c>
    </row>
    <row r="2563">
      <c r="A2563" s="232" t="s">
        <v>5008</v>
      </c>
      <c r="B2563" t="s">
        <v>5009</v>
      </c>
      <c r="C2563">
        <v>0.0</v>
      </c>
      <c r="D2563" t="s">
        <v>330</v>
      </c>
      <c r="E2563" t="s">
        <v>311</v>
      </c>
    </row>
    <row r="2564">
      <c r="A2564" s="232" t="s">
        <v>5010</v>
      </c>
      <c r="B2564" t="s">
        <v>5011</v>
      </c>
      <c r="C2564">
        <v>0.0</v>
      </c>
      <c r="D2564" t="s">
        <v>330</v>
      </c>
      <c r="E2564" t="s">
        <v>311</v>
      </c>
    </row>
    <row r="2565">
      <c r="A2565" s="232" t="s">
        <v>5012</v>
      </c>
      <c r="B2565" t="s">
        <v>5013</v>
      </c>
      <c r="C2565">
        <v>0.0</v>
      </c>
      <c r="D2565" t="s">
        <v>330</v>
      </c>
      <c r="E2565" t="s">
        <v>311</v>
      </c>
    </row>
    <row r="2566">
      <c r="A2566" s="232" t="s">
        <v>5014</v>
      </c>
      <c r="B2566" t="s">
        <v>5015</v>
      </c>
      <c r="C2566">
        <v>50.0</v>
      </c>
      <c r="D2566" t="s">
        <v>330</v>
      </c>
      <c r="E2566" t="s">
        <v>311</v>
      </c>
    </row>
    <row r="2567">
      <c r="A2567" s="232" t="s">
        <v>5016</v>
      </c>
      <c r="B2567" t="s">
        <v>5017</v>
      </c>
      <c r="C2567">
        <v>50.0</v>
      </c>
      <c r="D2567" t="s">
        <v>330</v>
      </c>
      <c r="E2567" t="s">
        <v>311</v>
      </c>
    </row>
    <row r="2568">
      <c r="A2568" s="232" t="s">
        <v>5018</v>
      </c>
      <c r="B2568" t="s">
        <v>5019</v>
      </c>
      <c r="C2568">
        <v>50.0</v>
      </c>
      <c r="D2568" t="s">
        <v>330</v>
      </c>
      <c r="E2568" t="s">
        <v>311</v>
      </c>
    </row>
    <row r="2569">
      <c r="A2569" s="232" t="s">
        <v>5020</v>
      </c>
      <c r="B2569" t="s">
        <v>5021</v>
      </c>
      <c r="C2569">
        <v>50.0</v>
      </c>
      <c r="D2569" t="s">
        <v>330</v>
      </c>
      <c r="E2569" t="s">
        <v>311</v>
      </c>
    </row>
    <row r="2570">
      <c r="A2570" s="232" t="s">
        <v>5022</v>
      </c>
      <c r="B2570" t="s">
        <v>5023</v>
      </c>
      <c r="C2570">
        <v>50.0</v>
      </c>
      <c r="D2570" t="s">
        <v>330</v>
      </c>
      <c r="E2570" t="s">
        <v>311</v>
      </c>
    </row>
    <row r="2571">
      <c r="A2571" s="232" t="s">
        <v>5024</v>
      </c>
      <c r="B2571" t="s">
        <v>5025</v>
      </c>
      <c r="C2571">
        <v>100.0</v>
      </c>
      <c r="D2571" t="s">
        <v>330</v>
      </c>
      <c r="E2571" t="s">
        <v>311</v>
      </c>
    </row>
    <row r="2572">
      <c r="A2572" s="232" t="s">
        <v>5026</v>
      </c>
      <c r="B2572" t="s">
        <v>5027</v>
      </c>
      <c r="C2572">
        <v>50.0</v>
      </c>
      <c r="D2572" t="s">
        <v>330</v>
      </c>
      <c r="E2572" t="s">
        <v>311</v>
      </c>
    </row>
    <row r="2573">
      <c r="A2573" s="232" t="s">
        <v>5028</v>
      </c>
      <c r="B2573" t="s">
        <v>5029</v>
      </c>
      <c r="C2573">
        <v>1000.0</v>
      </c>
      <c r="D2573" t="s">
        <v>330</v>
      </c>
      <c r="E2573" t="s">
        <v>311</v>
      </c>
    </row>
    <row r="2574">
      <c r="A2574" s="232" t="s">
        <v>5030</v>
      </c>
      <c r="B2574" t="s">
        <v>5031</v>
      </c>
      <c r="C2574">
        <v>1000.0</v>
      </c>
      <c r="D2574" t="s">
        <v>330</v>
      </c>
      <c r="E2574" t="s">
        <v>311</v>
      </c>
    </row>
    <row r="2575">
      <c r="A2575" s="232" t="s">
        <v>5032</v>
      </c>
      <c r="B2575" t="s">
        <v>5033</v>
      </c>
      <c r="C2575">
        <v>1000.0</v>
      </c>
      <c r="D2575" t="s">
        <v>330</v>
      </c>
      <c r="E2575" t="s">
        <v>311</v>
      </c>
    </row>
    <row r="2576">
      <c r="A2576" s="232" t="s">
        <v>5034</v>
      </c>
      <c r="B2576" t="s">
        <v>5035</v>
      </c>
      <c r="C2576">
        <v>0.0</v>
      </c>
      <c r="D2576" t="s">
        <v>310</v>
      </c>
      <c r="E2576" t="s">
        <v>311</v>
      </c>
    </row>
    <row r="2577">
      <c r="A2577" s="232" t="s">
        <v>5036</v>
      </c>
      <c r="B2577" t="s">
        <v>5037</v>
      </c>
      <c r="C2577">
        <v>0.0</v>
      </c>
      <c r="D2577" t="s">
        <v>310</v>
      </c>
      <c r="E2577" t="s">
        <v>311</v>
      </c>
    </row>
    <row r="2578">
      <c r="A2578" s="232" t="s">
        <v>5038</v>
      </c>
      <c r="B2578" t="s">
        <v>5039</v>
      </c>
      <c r="C2578">
        <v>0.0</v>
      </c>
      <c r="D2578" t="s">
        <v>310</v>
      </c>
      <c r="E2578" t="s">
        <v>311</v>
      </c>
    </row>
    <row r="2579">
      <c r="A2579" s="232" t="s">
        <v>5040</v>
      </c>
      <c r="B2579" t="s">
        <v>5041</v>
      </c>
      <c r="C2579">
        <v>0.0</v>
      </c>
      <c r="D2579" t="s">
        <v>310</v>
      </c>
      <c r="E2579" t="s">
        <v>311</v>
      </c>
    </row>
    <row r="2580">
      <c r="A2580" s="232" t="s">
        <v>5042</v>
      </c>
      <c r="B2580" t="s">
        <v>5043</v>
      </c>
      <c r="C2580">
        <v>0.0</v>
      </c>
      <c r="D2580" t="s">
        <v>310</v>
      </c>
      <c r="E2580" t="s">
        <v>311</v>
      </c>
    </row>
    <row r="2581">
      <c r="A2581" s="232" t="s">
        <v>5044</v>
      </c>
      <c r="B2581" t="s">
        <v>5045</v>
      </c>
      <c r="C2581">
        <v>0.0</v>
      </c>
      <c r="D2581" t="s">
        <v>310</v>
      </c>
      <c r="E2581" t="s">
        <v>311</v>
      </c>
    </row>
    <row r="2582">
      <c r="A2582" s="232" t="s">
        <v>5046</v>
      </c>
      <c r="B2582" t="s">
        <v>5047</v>
      </c>
      <c r="C2582">
        <v>0.0</v>
      </c>
      <c r="D2582" t="s">
        <v>310</v>
      </c>
      <c r="E2582" t="s">
        <v>311</v>
      </c>
    </row>
    <row r="2583">
      <c r="A2583" s="232" t="s">
        <v>5048</v>
      </c>
      <c r="B2583" t="s">
        <v>5049</v>
      </c>
      <c r="C2583">
        <v>0.0</v>
      </c>
      <c r="D2583" t="s">
        <v>310</v>
      </c>
      <c r="E2583" t="s">
        <v>311</v>
      </c>
    </row>
    <row r="2584">
      <c r="A2584" s="232" t="s">
        <v>5050</v>
      </c>
      <c r="B2584" t="s">
        <v>5051</v>
      </c>
      <c r="C2584">
        <v>0.0</v>
      </c>
      <c r="D2584" t="s">
        <v>310</v>
      </c>
      <c r="E2584" t="s">
        <v>311</v>
      </c>
    </row>
    <row r="2585">
      <c r="A2585" s="232" t="s">
        <v>5052</v>
      </c>
      <c r="B2585" t="s">
        <v>5053</v>
      </c>
      <c r="C2585">
        <v>0.0</v>
      </c>
      <c r="D2585" t="s">
        <v>310</v>
      </c>
      <c r="E2585" t="s">
        <v>311</v>
      </c>
    </row>
    <row r="2586">
      <c r="A2586" s="232" t="s">
        <v>5054</v>
      </c>
      <c r="B2586" t="s">
        <v>5055</v>
      </c>
      <c r="C2586">
        <v>0.0</v>
      </c>
      <c r="D2586" t="s">
        <v>310</v>
      </c>
      <c r="E2586" t="s">
        <v>311</v>
      </c>
    </row>
    <row r="2587">
      <c r="A2587" s="232" t="s">
        <v>5056</v>
      </c>
      <c r="B2587" t="s">
        <v>5057</v>
      </c>
      <c r="C2587">
        <v>0.0</v>
      </c>
      <c r="D2587" t="s">
        <v>310</v>
      </c>
      <c r="E2587" t="s">
        <v>311</v>
      </c>
    </row>
    <row r="2588">
      <c r="A2588" s="232" t="s">
        <v>5058</v>
      </c>
      <c r="B2588" t="s">
        <v>5059</v>
      </c>
      <c r="C2588">
        <v>0.0</v>
      </c>
      <c r="D2588" t="s">
        <v>310</v>
      </c>
      <c r="E2588" t="s">
        <v>311</v>
      </c>
    </row>
    <row r="2589">
      <c r="A2589" s="232" t="s">
        <v>5060</v>
      </c>
      <c r="B2589" t="s">
        <v>5061</v>
      </c>
      <c r="C2589">
        <v>0.0</v>
      </c>
      <c r="D2589" t="s">
        <v>310</v>
      </c>
      <c r="E2589" t="s">
        <v>311</v>
      </c>
    </row>
    <row r="2590">
      <c r="A2590" s="232" t="s">
        <v>5062</v>
      </c>
      <c r="B2590" t="s">
        <v>5063</v>
      </c>
      <c r="C2590">
        <v>0.0</v>
      </c>
      <c r="D2590" t="s">
        <v>310</v>
      </c>
      <c r="E2590" t="s">
        <v>311</v>
      </c>
    </row>
    <row r="2591">
      <c r="A2591" s="232" t="s">
        <v>5064</v>
      </c>
      <c r="B2591" t="s">
        <v>5065</v>
      </c>
      <c r="C2591">
        <v>0.0</v>
      </c>
      <c r="D2591" t="s">
        <v>310</v>
      </c>
      <c r="E2591" t="s">
        <v>311</v>
      </c>
    </row>
    <row r="2592">
      <c r="A2592" s="232" t="s">
        <v>5066</v>
      </c>
      <c r="B2592" t="s">
        <v>5067</v>
      </c>
      <c r="C2592">
        <v>0.0</v>
      </c>
      <c r="D2592" t="s">
        <v>310</v>
      </c>
      <c r="E2592" t="s">
        <v>311</v>
      </c>
    </row>
    <row r="2593">
      <c r="A2593" s="232" t="s">
        <v>5068</v>
      </c>
      <c r="B2593" t="s">
        <v>5069</v>
      </c>
      <c r="C2593">
        <v>0.0</v>
      </c>
      <c r="D2593" t="s">
        <v>310</v>
      </c>
      <c r="E2593" t="s">
        <v>311</v>
      </c>
    </row>
    <row r="2594">
      <c r="A2594" s="232" t="s">
        <v>5070</v>
      </c>
      <c r="B2594" t="s">
        <v>5071</v>
      </c>
      <c r="C2594">
        <v>0.0</v>
      </c>
      <c r="D2594" t="s">
        <v>310</v>
      </c>
      <c r="E2594" t="s">
        <v>311</v>
      </c>
    </row>
    <row r="2595">
      <c r="A2595" s="232" t="s">
        <v>5072</v>
      </c>
      <c r="B2595" t="s">
        <v>5073</v>
      </c>
      <c r="C2595">
        <v>0.0</v>
      </c>
      <c r="D2595" t="s">
        <v>310</v>
      </c>
      <c r="E2595" t="s">
        <v>311</v>
      </c>
    </row>
    <row r="2596">
      <c r="A2596" s="232" t="s">
        <v>5074</v>
      </c>
      <c r="B2596" t="s">
        <v>5075</v>
      </c>
      <c r="C2596">
        <v>0.0</v>
      </c>
      <c r="D2596" t="s">
        <v>310</v>
      </c>
      <c r="E2596" t="s">
        <v>311</v>
      </c>
    </row>
    <row r="2597">
      <c r="A2597" s="232" t="s">
        <v>5076</v>
      </c>
      <c r="B2597" t="s">
        <v>5077</v>
      </c>
      <c r="C2597">
        <v>0.0</v>
      </c>
      <c r="D2597" t="s">
        <v>310</v>
      </c>
      <c r="E2597" t="s">
        <v>311</v>
      </c>
    </row>
    <row r="2598">
      <c r="A2598" s="232" t="s">
        <v>5078</v>
      </c>
      <c r="B2598" t="s">
        <v>5079</v>
      </c>
      <c r="C2598">
        <v>0.0</v>
      </c>
      <c r="D2598" t="s">
        <v>310</v>
      </c>
      <c r="E2598" t="s">
        <v>311</v>
      </c>
    </row>
    <row r="2599">
      <c r="A2599" s="232">
        <v>37501.0</v>
      </c>
      <c r="B2599" t="s">
        <v>5080</v>
      </c>
      <c r="C2599">
        <v>0.0</v>
      </c>
      <c r="D2599" t="s">
        <v>310</v>
      </c>
      <c r="E2599" t="s">
        <v>311</v>
      </c>
    </row>
    <row r="2600">
      <c r="A2600" s="232">
        <v>37502.0</v>
      </c>
      <c r="B2600" t="s">
        <v>5081</v>
      </c>
      <c r="C2600">
        <v>0.0</v>
      </c>
      <c r="D2600" t="s">
        <v>310</v>
      </c>
      <c r="E2600" t="s">
        <v>311</v>
      </c>
    </row>
    <row r="2601">
      <c r="A2601" s="232">
        <v>37503.0</v>
      </c>
      <c r="B2601" t="s">
        <v>5082</v>
      </c>
      <c r="C2601">
        <v>0.0</v>
      </c>
      <c r="D2601" t="s">
        <v>310</v>
      </c>
      <c r="E2601" t="s">
        <v>311</v>
      </c>
    </row>
    <row r="2602">
      <c r="A2602" s="232">
        <v>32002.0</v>
      </c>
      <c r="B2602" t="s">
        <v>5083</v>
      </c>
      <c r="C2602">
        <v>0.0</v>
      </c>
      <c r="D2602" t="s">
        <v>310</v>
      </c>
      <c r="E2602" t="s">
        <v>311</v>
      </c>
    </row>
    <row r="2603">
      <c r="A2603" s="232">
        <v>32006.0</v>
      </c>
      <c r="B2603" t="s">
        <v>5084</v>
      </c>
      <c r="C2603">
        <v>0.0</v>
      </c>
      <c r="D2603" t="s">
        <v>310</v>
      </c>
      <c r="E2603" t="s">
        <v>311</v>
      </c>
    </row>
    <row r="2604">
      <c r="A2604" s="232">
        <v>32001.0</v>
      </c>
      <c r="B2604" t="s">
        <v>5085</v>
      </c>
      <c r="C2604">
        <v>0.0</v>
      </c>
      <c r="D2604" t="s">
        <v>310</v>
      </c>
      <c r="E2604" t="s">
        <v>311</v>
      </c>
    </row>
    <row r="2605">
      <c r="A2605" s="232">
        <v>32005.0</v>
      </c>
      <c r="B2605" t="s">
        <v>5086</v>
      </c>
      <c r="C2605">
        <v>0.0</v>
      </c>
      <c r="D2605" t="s">
        <v>310</v>
      </c>
      <c r="E2605" t="s">
        <v>311</v>
      </c>
    </row>
    <row r="2606">
      <c r="A2606" s="232">
        <v>32004.0</v>
      </c>
      <c r="B2606" t="s">
        <v>5087</v>
      </c>
      <c r="C2606">
        <v>0.0</v>
      </c>
      <c r="D2606" t="s">
        <v>310</v>
      </c>
      <c r="E2606" t="s">
        <v>311</v>
      </c>
    </row>
    <row r="2607">
      <c r="A2607" s="232">
        <v>32003.0</v>
      </c>
      <c r="B2607" t="s">
        <v>5088</v>
      </c>
      <c r="C2607">
        <v>0.0</v>
      </c>
      <c r="D2607" t="s">
        <v>310</v>
      </c>
      <c r="E2607" t="s">
        <v>311</v>
      </c>
    </row>
    <row r="2608">
      <c r="A2608" s="232" t="s">
        <v>5089</v>
      </c>
      <c r="B2608" t="s">
        <v>5090</v>
      </c>
      <c r="C2608">
        <v>1.0</v>
      </c>
      <c r="D2608" t="s">
        <v>330</v>
      </c>
      <c r="E2608" t="s">
        <v>311</v>
      </c>
    </row>
    <row r="2609">
      <c r="A2609" s="232" t="s">
        <v>5091</v>
      </c>
      <c r="B2609" t="s">
        <v>5092</v>
      </c>
      <c r="C2609">
        <v>0.0</v>
      </c>
      <c r="D2609" t="s">
        <v>310</v>
      </c>
      <c r="E2609" t="s">
        <v>311</v>
      </c>
    </row>
    <row r="2610">
      <c r="A2610" s="232" t="s">
        <v>5093</v>
      </c>
      <c r="B2610" t="s">
        <v>5094</v>
      </c>
      <c r="C2610">
        <v>-2.0</v>
      </c>
      <c r="D2610" t="s">
        <v>330</v>
      </c>
      <c r="E2610" t="s">
        <v>311</v>
      </c>
    </row>
    <row r="2611">
      <c r="A2611" s="232" t="s">
        <v>5095</v>
      </c>
      <c r="B2611" t="s">
        <v>5096</v>
      </c>
      <c r="C2611">
        <v>0.0</v>
      </c>
      <c r="D2611" t="s">
        <v>310</v>
      </c>
      <c r="E2611" t="s">
        <v>311</v>
      </c>
    </row>
    <row r="2612">
      <c r="A2612" s="232" t="s">
        <v>5097</v>
      </c>
      <c r="B2612" t="s">
        <v>5098</v>
      </c>
      <c r="C2612">
        <v>1.0</v>
      </c>
      <c r="D2612" t="s">
        <v>310</v>
      </c>
      <c r="E2612" t="s">
        <v>311</v>
      </c>
    </row>
    <row r="2613">
      <c r="A2613" s="232" t="s">
        <v>5099</v>
      </c>
      <c r="B2613" t="s">
        <v>5100</v>
      </c>
      <c r="C2613">
        <v>0.0</v>
      </c>
      <c r="D2613" t="s">
        <v>310</v>
      </c>
      <c r="E2613" t="s">
        <v>311</v>
      </c>
    </row>
    <row r="2614">
      <c r="A2614" s="232" t="s">
        <v>5101</v>
      </c>
      <c r="B2614" t="s">
        <v>5102</v>
      </c>
      <c r="C2614">
        <v>0.0</v>
      </c>
      <c r="D2614" t="s">
        <v>310</v>
      </c>
      <c r="E2614" t="s">
        <v>311</v>
      </c>
    </row>
    <row r="2615">
      <c r="A2615" s="232" t="s">
        <v>5103</v>
      </c>
      <c r="B2615" t="s">
        <v>5104</v>
      </c>
      <c r="C2615">
        <v>0.0</v>
      </c>
      <c r="D2615" t="s">
        <v>330</v>
      </c>
      <c r="E2615" t="s">
        <v>311</v>
      </c>
    </row>
    <row r="2616">
      <c r="A2616" s="232" t="s">
        <v>5105</v>
      </c>
      <c r="B2616" t="s">
        <v>5106</v>
      </c>
      <c r="C2616">
        <v>0.0</v>
      </c>
      <c r="D2616" t="s">
        <v>310</v>
      </c>
      <c r="E2616" t="s">
        <v>311</v>
      </c>
    </row>
    <row r="2617">
      <c r="A2617" s="232" t="s">
        <v>5107</v>
      </c>
      <c r="B2617" t="s">
        <v>5108</v>
      </c>
      <c r="C2617">
        <v>12.0</v>
      </c>
      <c r="D2617" t="s">
        <v>330</v>
      </c>
      <c r="E2617" t="s">
        <v>311</v>
      </c>
    </row>
    <row r="2618">
      <c r="A2618" s="232" t="s">
        <v>5109</v>
      </c>
      <c r="B2618" t="s">
        <v>5110</v>
      </c>
      <c r="C2618">
        <v>0.0</v>
      </c>
      <c r="D2618" t="s">
        <v>310</v>
      </c>
      <c r="E2618" t="s">
        <v>311</v>
      </c>
    </row>
    <row r="2619">
      <c r="A2619" s="232" t="s">
        <v>5111</v>
      </c>
      <c r="B2619" t="s">
        <v>5112</v>
      </c>
      <c r="C2619">
        <v>0.0</v>
      </c>
      <c r="D2619" t="s">
        <v>310</v>
      </c>
      <c r="E2619" t="s">
        <v>311</v>
      </c>
    </row>
    <row r="2620">
      <c r="A2620" s="232" t="s">
        <v>5113</v>
      </c>
      <c r="B2620" t="s">
        <v>5114</v>
      </c>
      <c r="C2620">
        <v>0.0</v>
      </c>
      <c r="D2620" t="s">
        <v>310</v>
      </c>
      <c r="E2620" t="s">
        <v>311</v>
      </c>
    </row>
    <row r="2621">
      <c r="A2621" s="232" t="s">
        <v>5115</v>
      </c>
      <c r="B2621" t="s">
        <v>5116</v>
      </c>
      <c r="C2621">
        <v>0.0</v>
      </c>
      <c r="D2621" t="s">
        <v>310</v>
      </c>
      <c r="E2621" t="s">
        <v>311</v>
      </c>
    </row>
    <row r="2622">
      <c r="A2622" s="232" t="s">
        <v>5117</v>
      </c>
      <c r="B2622" t="s">
        <v>5118</v>
      </c>
      <c r="C2622">
        <v>8.0</v>
      </c>
      <c r="D2622" t="s">
        <v>330</v>
      </c>
      <c r="E2622" t="s">
        <v>311</v>
      </c>
    </row>
    <row r="2623">
      <c r="A2623" s="232" t="s">
        <v>5119</v>
      </c>
      <c r="B2623" t="s">
        <v>5120</v>
      </c>
      <c r="C2623">
        <v>14.0</v>
      </c>
      <c r="D2623" t="s">
        <v>330</v>
      </c>
      <c r="E2623" t="s">
        <v>311</v>
      </c>
    </row>
    <row r="2624">
      <c r="A2624" s="232" t="s">
        <v>5121</v>
      </c>
      <c r="B2624" t="s">
        <v>5122</v>
      </c>
      <c r="C2624">
        <v>0.0</v>
      </c>
      <c r="D2624" t="s">
        <v>310</v>
      </c>
      <c r="E2624" t="s">
        <v>311</v>
      </c>
    </row>
    <row r="2625">
      <c r="A2625" s="232" t="s">
        <v>5123</v>
      </c>
      <c r="B2625" t="s">
        <v>5124</v>
      </c>
      <c r="C2625">
        <v>31.0</v>
      </c>
      <c r="D2625" t="s">
        <v>330</v>
      </c>
      <c r="E2625" t="s">
        <v>311</v>
      </c>
    </row>
    <row r="2626">
      <c r="A2626" s="232" t="s">
        <v>5125</v>
      </c>
      <c r="B2626" t="s">
        <v>5126</v>
      </c>
      <c r="C2626">
        <v>24.0</v>
      </c>
      <c r="D2626" t="s">
        <v>330</v>
      </c>
      <c r="E2626" t="s">
        <v>311</v>
      </c>
    </row>
    <row r="2627">
      <c r="A2627" s="232" t="s">
        <v>5127</v>
      </c>
      <c r="B2627" t="s">
        <v>5128</v>
      </c>
      <c r="C2627">
        <v>0.0</v>
      </c>
      <c r="D2627" t="s">
        <v>310</v>
      </c>
      <c r="E2627" t="s">
        <v>311</v>
      </c>
    </row>
    <row r="2628">
      <c r="A2628" s="232" t="s">
        <v>5129</v>
      </c>
      <c r="B2628" t="s">
        <v>5130</v>
      </c>
      <c r="C2628">
        <v>11.0</v>
      </c>
      <c r="D2628" t="s">
        <v>330</v>
      </c>
      <c r="E2628" t="s">
        <v>311</v>
      </c>
    </row>
    <row r="2629">
      <c r="A2629" s="232" t="s">
        <v>5131</v>
      </c>
      <c r="B2629" t="s">
        <v>5132</v>
      </c>
      <c r="C2629">
        <v>12.0</v>
      </c>
      <c r="D2629" t="s">
        <v>330</v>
      </c>
      <c r="E2629" t="s">
        <v>311</v>
      </c>
    </row>
    <row r="2630">
      <c r="A2630" s="232" t="s">
        <v>5133</v>
      </c>
      <c r="B2630" t="s">
        <v>5134</v>
      </c>
      <c r="C2630">
        <v>10.0</v>
      </c>
      <c r="D2630" t="s">
        <v>330</v>
      </c>
      <c r="E2630" t="s">
        <v>311</v>
      </c>
    </row>
    <row r="2631">
      <c r="A2631" s="232" t="s">
        <v>5135</v>
      </c>
      <c r="B2631" t="s">
        <v>5136</v>
      </c>
      <c r="C2631">
        <v>0.0</v>
      </c>
      <c r="D2631" t="s">
        <v>310</v>
      </c>
      <c r="E2631" t="s">
        <v>311</v>
      </c>
    </row>
    <row r="2632">
      <c r="A2632" s="232" t="s">
        <v>5137</v>
      </c>
      <c r="B2632" t="s">
        <v>5138</v>
      </c>
      <c r="C2632">
        <v>0.0</v>
      </c>
      <c r="D2632" t="s">
        <v>310</v>
      </c>
      <c r="E2632" t="s">
        <v>311</v>
      </c>
    </row>
    <row r="2633">
      <c r="A2633" s="232" t="s">
        <v>5139</v>
      </c>
      <c r="B2633" t="s">
        <v>5140</v>
      </c>
      <c r="C2633">
        <v>25.0</v>
      </c>
      <c r="D2633" t="s">
        <v>330</v>
      </c>
      <c r="E2633" t="s">
        <v>311</v>
      </c>
    </row>
    <row r="2634">
      <c r="A2634" s="232" t="s">
        <v>5141</v>
      </c>
      <c r="B2634" t="s">
        <v>5142</v>
      </c>
      <c r="C2634">
        <v>125.0</v>
      </c>
      <c r="D2634" t="s">
        <v>330</v>
      </c>
      <c r="E2634" t="s">
        <v>311</v>
      </c>
    </row>
    <row r="2635">
      <c r="A2635" s="232" t="s">
        <v>5143</v>
      </c>
      <c r="B2635" t="s">
        <v>5144</v>
      </c>
      <c r="C2635">
        <v>67.0</v>
      </c>
      <c r="D2635" t="s">
        <v>330</v>
      </c>
      <c r="E2635" t="s">
        <v>311</v>
      </c>
    </row>
    <row r="2636">
      <c r="A2636" s="232" t="s">
        <v>5145</v>
      </c>
      <c r="B2636" t="s">
        <v>5146</v>
      </c>
      <c r="C2636">
        <v>38.0</v>
      </c>
      <c r="D2636" t="s">
        <v>330</v>
      </c>
      <c r="E2636" t="s">
        <v>311</v>
      </c>
    </row>
    <row r="2637">
      <c r="A2637" s="232" t="s">
        <v>5147</v>
      </c>
      <c r="B2637" t="s">
        <v>5148</v>
      </c>
      <c r="C2637">
        <v>0.0</v>
      </c>
      <c r="D2637" t="s">
        <v>310</v>
      </c>
      <c r="E2637" t="s">
        <v>311</v>
      </c>
    </row>
    <row r="2638">
      <c r="A2638" s="232" t="s">
        <v>5149</v>
      </c>
      <c r="B2638" t="s">
        <v>5150</v>
      </c>
      <c r="C2638">
        <v>8.0</v>
      </c>
      <c r="D2638" t="s">
        <v>330</v>
      </c>
      <c r="E2638" t="s">
        <v>311</v>
      </c>
    </row>
    <row r="2639">
      <c r="A2639" s="232" t="s">
        <v>5151</v>
      </c>
      <c r="B2639" t="s">
        <v>5152</v>
      </c>
      <c r="C2639">
        <v>43.0</v>
      </c>
      <c r="D2639" t="s">
        <v>330</v>
      </c>
      <c r="E2639" t="s">
        <v>311</v>
      </c>
    </row>
    <row r="2640">
      <c r="A2640" s="232" t="s">
        <v>5153</v>
      </c>
      <c r="B2640" t="s">
        <v>5154</v>
      </c>
      <c r="C2640">
        <v>72.0</v>
      </c>
      <c r="D2640" t="s">
        <v>330</v>
      </c>
      <c r="E2640" t="s">
        <v>311</v>
      </c>
    </row>
    <row r="2641">
      <c r="A2641" s="232" t="s">
        <v>5155</v>
      </c>
      <c r="B2641" t="s">
        <v>5156</v>
      </c>
      <c r="C2641">
        <v>56.0</v>
      </c>
      <c r="D2641" t="s">
        <v>330</v>
      </c>
      <c r="E2641" t="s">
        <v>311</v>
      </c>
    </row>
    <row r="2642">
      <c r="A2642" s="232" t="s">
        <v>5157</v>
      </c>
      <c r="B2642" t="s">
        <v>5158</v>
      </c>
      <c r="C2642">
        <v>0.0</v>
      </c>
      <c r="D2642" t="s">
        <v>310</v>
      </c>
      <c r="E2642" t="s">
        <v>311</v>
      </c>
    </row>
    <row r="2643">
      <c r="A2643" s="232" t="s">
        <v>5159</v>
      </c>
      <c r="B2643" t="s">
        <v>5160</v>
      </c>
      <c r="C2643">
        <v>31.0</v>
      </c>
      <c r="D2643" t="s">
        <v>330</v>
      </c>
      <c r="E2643" t="s">
        <v>311</v>
      </c>
    </row>
    <row r="2644">
      <c r="A2644" s="232" t="s">
        <v>5161</v>
      </c>
      <c r="B2644" t="s">
        <v>5162</v>
      </c>
      <c r="C2644">
        <v>35.0</v>
      </c>
      <c r="D2644" t="s">
        <v>330</v>
      </c>
      <c r="E2644" t="s">
        <v>311</v>
      </c>
    </row>
    <row r="2645">
      <c r="A2645" s="232" t="s">
        <v>5163</v>
      </c>
      <c r="B2645" t="s">
        <v>5164</v>
      </c>
      <c r="C2645">
        <v>37.0</v>
      </c>
      <c r="D2645" t="s">
        <v>330</v>
      </c>
      <c r="E2645" t="s">
        <v>311</v>
      </c>
    </row>
    <row r="2646">
      <c r="A2646" s="232" t="s">
        <v>5165</v>
      </c>
      <c r="B2646" t="s">
        <v>5166</v>
      </c>
      <c r="C2646">
        <v>18.0</v>
      </c>
      <c r="D2646" t="s">
        <v>330</v>
      </c>
      <c r="E2646" t="s">
        <v>311</v>
      </c>
    </row>
    <row r="2647">
      <c r="A2647" s="232" t="s">
        <v>5167</v>
      </c>
      <c r="B2647" t="s">
        <v>5168</v>
      </c>
      <c r="C2647">
        <v>-2.0</v>
      </c>
      <c r="D2647" t="s">
        <v>330</v>
      </c>
      <c r="E2647" t="s">
        <v>311</v>
      </c>
    </row>
    <row r="2648">
      <c r="A2648" s="232" t="s">
        <v>5169</v>
      </c>
      <c r="B2648" t="s">
        <v>5170</v>
      </c>
      <c r="C2648">
        <v>38.0</v>
      </c>
      <c r="D2648" t="s">
        <v>330</v>
      </c>
      <c r="E2648" t="s">
        <v>311</v>
      </c>
    </row>
    <row r="2649">
      <c r="A2649" s="232" t="s">
        <v>5171</v>
      </c>
      <c r="B2649" t="s">
        <v>5172</v>
      </c>
      <c r="C2649">
        <v>-2.0</v>
      </c>
      <c r="D2649" t="s">
        <v>330</v>
      </c>
      <c r="E2649" t="s">
        <v>311</v>
      </c>
    </row>
    <row r="2650">
      <c r="A2650" s="232" t="s">
        <v>5173</v>
      </c>
      <c r="B2650" t="s">
        <v>5174</v>
      </c>
      <c r="C2650">
        <v>15.0</v>
      </c>
      <c r="D2650" t="s">
        <v>330</v>
      </c>
      <c r="E2650" t="s">
        <v>311</v>
      </c>
    </row>
    <row r="2651">
      <c r="A2651" s="232" t="s">
        <v>5175</v>
      </c>
      <c r="B2651" t="s">
        <v>5176</v>
      </c>
      <c r="C2651">
        <v>6.0</v>
      </c>
      <c r="D2651" t="s">
        <v>330</v>
      </c>
      <c r="E2651" t="s">
        <v>311</v>
      </c>
    </row>
    <row r="2652">
      <c r="A2652" s="232" t="s">
        <v>5177</v>
      </c>
      <c r="B2652" t="s">
        <v>5178</v>
      </c>
      <c r="C2652">
        <v>1.0</v>
      </c>
      <c r="D2652" t="s">
        <v>330</v>
      </c>
      <c r="E2652" t="s">
        <v>311</v>
      </c>
    </row>
    <row r="2653">
      <c r="A2653" s="232" t="s">
        <v>5179</v>
      </c>
      <c r="B2653" t="s">
        <v>5180</v>
      </c>
      <c r="C2653">
        <v>1.0</v>
      </c>
      <c r="D2653" t="s">
        <v>330</v>
      </c>
      <c r="E2653" t="s">
        <v>311</v>
      </c>
    </row>
    <row r="2654">
      <c r="A2654" s="232" t="s">
        <v>5181</v>
      </c>
      <c r="B2654" t="s">
        <v>5182</v>
      </c>
      <c r="C2654">
        <v>33.0</v>
      </c>
      <c r="D2654" t="s">
        <v>330</v>
      </c>
      <c r="E2654" t="s">
        <v>311</v>
      </c>
    </row>
    <row r="2655">
      <c r="A2655" s="232" t="s">
        <v>5183</v>
      </c>
      <c r="B2655" t="s">
        <v>5184</v>
      </c>
      <c r="C2655">
        <v>1.0</v>
      </c>
      <c r="D2655" t="s">
        <v>330</v>
      </c>
      <c r="E2655" t="s">
        <v>311</v>
      </c>
    </row>
    <row r="2656">
      <c r="A2656" s="232" t="s">
        <v>5185</v>
      </c>
      <c r="B2656" t="s">
        <v>5186</v>
      </c>
      <c r="C2656">
        <v>11.0</v>
      </c>
      <c r="D2656" t="s">
        <v>330</v>
      </c>
      <c r="E2656" t="s">
        <v>311</v>
      </c>
    </row>
    <row r="2657">
      <c r="A2657" s="232" t="s">
        <v>5187</v>
      </c>
      <c r="B2657" t="s">
        <v>5188</v>
      </c>
      <c r="C2657">
        <v>26431.0</v>
      </c>
      <c r="D2657" t="s">
        <v>330</v>
      </c>
      <c r="E2657" t="s">
        <v>311</v>
      </c>
    </row>
    <row r="2658">
      <c r="A2658" s="232" t="s">
        <v>5189</v>
      </c>
      <c r="B2658" t="s">
        <v>5189</v>
      </c>
      <c r="C2658">
        <v>51.0</v>
      </c>
      <c r="D2658" t="s">
        <v>330</v>
      </c>
      <c r="E2658" t="s">
        <v>311</v>
      </c>
    </row>
    <row r="2659">
      <c r="A2659" s="232" t="s">
        <v>5190</v>
      </c>
      <c r="B2659" t="s">
        <v>5191</v>
      </c>
      <c r="C2659">
        <v>4.0</v>
      </c>
      <c r="D2659" t="s">
        <v>330</v>
      </c>
      <c r="E2659" t="s">
        <v>311</v>
      </c>
    </row>
    <row r="2660">
      <c r="A2660" s="232" t="s">
        <v>5192</v>
      </c>
      <c r="B2660" t="s">
        <v>5193</v>
      </c>
      <c r="C2660">
        <v>4.0</v>
      </c>
      <c r="D2660" t="s">
        <v>330</v>
      </c>
      <c r="E2660" t="s">
        <v>311</v>
      </c>
    </row>
    <row r="2661">
      <c r="A2661" s="232">
        <v>61285.0</v>
      </c>
      <c r="B2661" t="s">
        <v>5194</v>
      </c>
      <c r="C2661">
        <v>0.0</v>
      </c>
      <c r="D2661" t="s">
        <v>310</v>
      </c>
      <c r="E2661" t="s">
        <v>311</v>
      </c>
    </row>
    <row r="2662">
      <c r="A2662" s="232">
        <v>61286.0</v>
      </c>
      <c r="B2662" t="s">
        <v>5195</v>
      </c>
      <c r="C2662">
        <v>0.0</v>
      </c>
      <c r="D2662" t="s">
        <v>310</v>
      </c>
      <c r="E2662" t="s">
        <v>311</v>
      </c>
    </row>
    <row r="2663">
      <c r="A2663" s="232" t="s">
        <v>5196</v>
      </c>
      <c r="B2663" t="s">
        <v>5197</v>
      </c>
      <c r="C2663">
        <v>180.0</v>
      </c>
      <c r="D2663" t="s">
        <v>330</v>
      </c>
      <c r="E2663" t="s">
        <v>565</v>
      </c>
    </row>
    <row r="2664">
      <c r="A2664" s="232" t="s">
        <v>5198</v>
      </c>
      <c r="B2664" t="s">
        <v>5199</v>
      </c>
      <c r="C2664">
        <v>373.0</v>
      </c>
      <c r="D2664" t="s">
        <v>330</v>
      </c>
      <c r="E2664" t="s">
        <v>311</v>
      </c>
    </row>
    <row r="2665">
      <c r="A2665" s="232" t="s">
        <v>5200</v>
      </c>
      <c r="B2665" t="s">
        <v>5201</v>
      </c>
      <c r="C2665">
        <v>-39.0</v>
      </c>
      <c r="D2665" t="s">
        <v>330</v>
      </c>
      <c r="E2665" t="s">
        <v>311</v>
      </c>
    </row>
    <row r="2666">
      <c r="A2666" s="232" t="s">
        <v>5202</v>
      </c>
      <c r="B2666" t="s">
        <v>5203</v>
      </c>
      <c r="C2666">
        <v>468.0</v>
      </c>
      <c r="D2666" t="s">
        <v>330</v>
      </c>
      <c r="E2666" t="s">
        <v>311</v>
      </c>
    </row>
    <row r="2667">
      <c r="A2667" s="232" t="s">
        <v>5204</v>
      </c>
      <c r="B2667" t="s">
        <v>5205</v>
      </c>
      <c r="C2667">
        <v>450.0</v>
      </c>
      <c r="D2667" t="s">
        <v>330</v>
      </c>
      <c r="E2667" t="s">
        <v>311</v>
      </c>
    </row>
    <row r="2668">
      <c r="A2668" s="232" t="s">
        <v>5206</v>
      </c>
      <c r="B2668" t="s">
        <v>5207</v>
      </c>
      <c r="C2668">
        <v>-54.0</v>
      </c>
      <c r="D2668" t="s">
        <v>330</v>
      </c>
      <c r="E2668" t="s">
        <v>311</v>
      </c>
    </row>
    <row r="2669">
      <c r="A2669" s="232" t="s">
        <v>5208</v>
      </c>
      <c r="B2669" t="s">
        <v>5209</v>
      </c>
      <c r="C2669">
        <v>414.0</v>
      </c>
      <c r="D2669" t="s">
        <v>330</v>
      </c>
      <c r="E2669" t="s">
        <v>311</v>
      </c>
    </row>
    <row r="2670">
      <c r="A2670" s="232" t="s">
        <v>5210</v>
      </c>
      <c r="B2670" t="s">
        <v>5211</v>
      </c>
      <c r="C2670">
        <v>431.0</v>
      </c>
      <c r="D2670" t="s">
        <v>330</v>
      </c>
      <c r="E2670" t="s">
        <v>311</v>
      </c>
    </row>
    <row r="2671">
      <c r="A2671" s="232" t="s">
        <v>5212</v>
      </c>
      <c r="B2671" t="s">
        <v>5213</v>
      </c>
      <c r="C2671">
        <v>516.0</v>
      </c>
      <c r="D2671" t="s">
        <v>330</v>
      </c>
      <c r="E2671" t="s">
        <v>311</v>
      </c>
    </row>
    <row r="2672">
      <c r="A2672" s="232" t="s">
        <v>5214</v>
      </c>
      <c r="B2672" t="s">
        <v>5215</v>
      </c>
      <c r="C2672">
        <v>0.0</v>
      </c>
      <c r="D2672" t="s">
        <v>310</v>
      </c>
      <c r="E2672" t="s">
        <v>311</v>
      </c>
    </row>
    <row r="2673">
      <c r="A2673" s="232" t="s">
        <v>5216</v>
      </c>
      <c r="B2673" t="s">
        <v>5217</v>
      </c>
      <c r="C2673">
        <v>0.0</v>
      </c>
      <c r="D2673" t="s">
        <v>310</v>
      </c>
      <c r="E2673" t="s">
        <v>311</v>
      </c>
    </row>
    <row r="2674">
      <c r="A2674" s="232" t="s">
        <v>5218</v>
      </c>
      <c r="B2674" t="s">
        <v>5219</v>
      </c>
      <c r="C2674">
        <v>0.0</v>
      </c>
      <c r="D2674" t="s">
        <v>310</v>
      </c>
      <c r="E2674" t="s">
        <v>311</v>
      </c>
    </row>
    <row r="2675">
      <c r="A2675" s="232" t="s">
        <v>5220</v>
      </c>
      <c r="B2675" t="s">
        <v>5221</v>
      </c>
      <c r="C2675">
        <v>0.0</v>
      </c>
      <c r="D2675" t="s">
        <v>310</v>
      </c>
      <c r="E2675" t="s">
        <v>311</v>
      </c>
    </row>
    <row r="2676">
      <c r="A2676" s="232" t="s">
        <v>5222</v>
      </c>
      <c r="B2676" t="s">
        <v>5223</v>
      </c>
      <c r="C2676">
        <v>2.0</v>
      </c>
      <c r="D2676" t="s">
        <v>330</v>
      </c>
      <c r="E2676" t="s">
        <v>311</v>
      </c>
    </row>
    <row r="2677">
      <c r="A2677" s="232" t="s">
        <v>5224</v>
      </c>
      <c r="B2677" t="s">
        <v>5225</v>
      </c>
      <c r="C2677">
        <v>68.0</v>
      </c>
      <c r="D2677" t="s">
        <v>330</v>
      </c>
      <c r="E2677" t="s">
        <v>311</v>
      </c>
    </row>
    <row r="2678">
      <c r="A2678" s="232" t="s">
        <v>5226</v>
      </c>
      <c r="B2678" t="s">
        <v>5227</v>
      </c>
      <c r="C2678">
        <v>57.0</v>
      </c>
      <c r="D2678" t="s">
        <v>330</v>
      </c>
      <c r="E2678" t="s">
        <v>311</v>
      </c>
    </row>
    <row r="2679">
      <c r="A2679" s="232" t="s">
        <v>5228</v>
      </c>
      <c r="B2679" t="s">
        <v>5229</v>
      </c>
      <c r="C2679">
        <v>0.0</v>
      </c>
      <c r="D2679" t="s">
        <v>310</v>
      </c>
      <c r="E2679" t="s">
        <v>311</v>
      </c>
    </row>
    <row r="2680">
      <c r="A2680" s="232" t="s">
        <v>5230</v>
      </c>
      <c r="B2680" t="s">
        <v>5231</v>
      </c>
      <c r="C2680">
        <v>0.0</v>
      </c>
      <c r="D2680" t="s">
        <v>310</v>
      </c>
      <c r="E2680" t="s">
        <v>311</v>
      </c>
    </row>
    <row r="2681">
      <c r="A2681" s="232" t="s">
        <v>5232</v>
      </c>
      <c r="B2681" t="s">
        <v>5233</v>
      </c>
      <c r="C2681">
        <v>0.0</v>
      </c>
      <c r="D2681" t="s">
        <v>310</v>
      </c>
      <c r="E2681" t="s">
        <v>311</v>
      </c>
    </row>
    <row r="2682">
      <c r="A2682" s="232" t="s">
        <v>5234</v>
      </c>
      <c r="B2682" t="s">
        <v>5235</v>
      </c>
      <c r="C2682">
        <v>14.0</v>
      </c>
      <c r="D2682" t="s">
        <v>330</v>
      </c>
      <c r="E2682" t="s">
        <v>311</v>
      </c>
    </row>
    <row r="2683">
      <c r="A2683" s="232" t="s">
        <v>5236</v>
      </c>
      <c r="B2683" t="s">
        <v>5237</v>
      </c>
      <c r="C2683">
        <v>73.0</v>
      </c>
      <c r="D2683" t="s">
        <v>330</v>
      </c>
      <c r="E2683" t="s">
        <v>311</v>
      </c>
    </row>
    <row r="2684">
      <c r="A2684" s="232" t="s">
        <v>5238</v>
      </c>
      <c r="B2684" t="s">
        <v>5239</v>
      </c>
      <c r="C2684">
        <v>31.0</v>
      </c>
      <c r="D2684" t="s">
        <v>330</v>
      </c>
      <c r="E2684" t="s">
        <v>311</v>
      </c>
    </row>
    <row r="2685">
      <c r="A2685" s="232" t="s">
        <v>5240</v>
      </c>
      <c r="B2685" t="s">
        <v>5241</v>
      </c>
      <c r="C2685">
        <v>76.0</v>
      </c>
      <c r="D2685" t="s">
        <v>330</v>
      </c>
      <c r="E2685" t="s">
        <v>311</v>
      </c>
    </row>
    <row r="2686">
      <c r="A2686" s="232" t="s">
        <v>5242</v>
      </c>
      <c r="B2686" t="s">
        <v>5243</v>
      </c>
      <c r="C2686">
        <v>72.0</v>
      </c>
      <c r="D2686" t="s">
        <v>330</v>
      </c>
      <c r="E2686" t="s">
        <v>311</v>
      </c>
    </row>
    <row r="2687">
      <c r="A2687" s="232" t="s">
        <v>5244</v>
      </c>
      <c r="B2687" t="s">
        <v>5245</v>
      </c>
      <c r="C2687">
        <v>97.0</v>
      </c>
      <c r="D2687" t="s">
        <v>330</v>
      </c>
      <c r="E2687" t="s">
        <v>311</v>
      </c>
    </row>
    <row r="2688">
      <c r="A2688" s="232" t="s">
        <v>5246</v>
      </c>
      <c r="B2688" t="s">
        <v>5247</v>
      </c>
      <c r="C2688">
        <v>0.0</v>
      </c>
      <c r="D2688" t="s">
        <v>330</v>
      </c>
      <c r="E2688" t="s">
        <v>311</v>
      </c>
    </row>
    <row r="2689">
      <c r="A2689" s="232" t="s">
        <v>5248</v>
      </c>
      <c r="B2689" t="s">
        <v>5249</v>
      </c>
      <c r="C2689">
        <v>0.0</v>
      </c>
      <c r="D2689" t="s">
        <v>310</v>
      </c>
      <c r="E2689" t="s">
        <v>311</v>
      </c>
    </row>
    <row r="2690">
      <c r="A2690" s="232" t="s">
        <v>5250</v>
      </c>
      <c r="B2690" t="s">
        <v>5251</v>
      </c>
      <c r="C2690">
        <v>0.0</v>
      </c>
      <c r="D2690" t="s">
        <v>310</v>
      </c>
      <c r="E2690" t="s">
        <v>311</v>
      </c>
    </row>
    <row r="2691">
      <c r="A2691" s="232" t="s">
        <v>5252</v>
      </c>
      <c r="B2691" t="s">
        <v>5253</v>
      </c>
      <c r="C2691">
        <v>0.0</v>
      </c>
      <c r="D2691" t="s">
        <v>310</v>
      </c>
      <c r="E2691" t="s">
        <v>311</v>
      </c>
    </row>
    <row r="2692">
      <c r="A2692" s="232" t="s">
        <v>5254</v>
      </c>
      <c r="B2692" t="s">
        <v>5255</v>
      </c>
      <c r="C2692">
        <v>24.0</v>
      </c>
      <c r="D2692" t="s">
        <v>330</v>
      </c>
      <c r="E2692" t="s">
        <v>311</v>
      </c>
    </row>
    <row r="2693">
      <c r="A2693" s="232" t="s">
        <v>5256</v>
      </c>
      <c r="B2693" t="s">
        <v>5257</v>
      </c>
      <c r="C2693">
        <v>0.0</v>
      </c>
      <c r="D2693" t="s">
        <v>310</v>
      </c>
      <c r="E2693" t="s">
        <v>311</v>
      </c>
    </row>
    <row r="2694">
      <c r="A2694" s="232" t="s">
        <v>5258</v>
      </c>
      <c r="B2694" t="s">
        <v>5259</v>
      </c>
      <c r="C2694">
        <v>282.0</v>
      </c>
      <c r="D2694" t="s">
        <v>330</v>
      </c>
      <c r="E2694" t="s">
        <v>565</v>
      </c>
    </row>
    <row r="2695">
      <c r="A2695" s="232" t="s">
        <v>5260</v>
      </c>
      <c r="B2695" t="s">
        <v>5261</v>
      </c>
      <c r="C2695">
        <v>426.0</v>
      </c>
      <c r="D2695" t="s">
        <v>330</v>
      </c>
      <c r="E2695" t="s">
        <v>565</v>
      </c>
    </row>
    <row r="2696">
      <c r="A2696" s="232" t="s">
        <v>5262</v>
      </c>
      <c r="B2696" t="s">
        <v>5263</v>
      </c>
      <c r="C2696">
        <v>0.0</v>
      </c>
      <c r="D2696" t="s">
        <v>310</v>
      </c>
      <c r="E2696" t="s">
        <v>311</v>
      </c>
    </row>
    <row r="2697">
      <c r="A2697" s="232" t="s">
        <v>5264</v>
      </c>
      <c r="B2697" t="s">
        <v>5265</v>
      </c>
      <c r="C2697">
        <v>0.0</v>
      </c>
      <c r="D2697" t="s">
        <v>310</v>
      </c>
      <c r="E2697" t="s">
        <v>311</v>
      </c>
    </row>
    <row r="2698">
      <c r="A2698" s="232" t="s">
        <v>5266</v>
      </c>
      <c r="B2698" t="s">
        <v>5267</v>
      </c>
      <c r="C2698">
        <v>0.0</v>
      </c>
      <c r="D2698" t="s">
        <v>310</v>
      </c>
      <c r="E2698" t="s">
        <v>311</v>
      </c>
    </row>
    <row r="2699">
      <c r="A2699" s="232" t="s">
        <v>5268</v>
      </c>
      <c r="B2699" t="s">
        <v>5269</v>
      </c>
      <c r="C2699">
        <v>0.0</v>
      </c>
      <c r="D2699" t="s">
        <v>330</v>
      </c>
      <c r="E2699" t="s">
        <v>311</v>
      </c>
    </row>
    <row r="2700">
      <c r="A2700" s="232" t="s">
        <v>5270</v>
      </c>
      <c r="B2700" t="s">
        <v>5271</v>
      </c>
      <c r="C2700">
        <v>510.0</v>
      </c>
      <c r="D2700" t="s">
        <v>330</v>
      </c>
      <c r="E2700" t="s">
        <v>565</v>
      </c>
    </row>
    <row r="2701">
      <c r="A2701" s="232" t="s">
        <v>5272</v>
      </c>
      <c r="B2701" t="s">
        <v>5273</v>
      </c>
      <c r="C2701">
        <v>186.0</v>
      </c>
      <c r="D2701" t="s">
        <v>330</v>
      </c>
      <c r="E2701" t="s">
        <v>565</v>
      </c>
    </row>
    <row r="2702">
      <c r="A2702" s="232" t="s">
        <v>5274</v>
      </c>
      <c r="B2702" t="s">
        <v>5275</v>
      </c>
      <c r="C2702">
        <v>0.0</v>
      </c>
      <c r="D2702" t="s">
        <v>310</v>
      </c>
      <c r="E2702" t="s">
        <v>311</v>
      </c>
    </row>
    <row r="2703">
      <c r="A2703" s="232" t="s">
        <v>5276</v>
      </c>
      <c r="B2703" t="s">
        <v>5277</v>
      </c>
      <c r="C2703">
        <v>405.0</v>
      </c>
      <c r="D2703" t="s">
        <v>330</v>
      </c>
      <c r="E2703" t="s">
        <v>311</v>
      </c>
    </row>
    <row r="2704">
      <c r="A2704" s="232" t="s">
        <v>5278</v>
      </c>
      <c r="B2704" t="s">
        <v>5279</v>
      </c>
      <c r="C2704">
        <v>381.0</v>
      </c>
      <c r="D2704" t="s">
        <v>330</v>
      </c>
      <c r="E2704" t="s">
        <v>311</v>
      </c>
    </row>
    <row r="2705">
      <c r="A2705" s="232" t="s">
        <v>5280</v>
      </c>
      <c r="B2705" t="s">
        <v>5281</v>
      </c>
      <c r="C2705">
        <v>347.0</v>
      </c>
      <c r="D2705" t="s">
        <v>330</v>
      </c>
      <c r="E2705" t="s">
        <v>311</v>
      </c>
    </row>
    <row r="2706">
      <c r="A2706" s="232" t="s">
        <v>5282</v>
      </c>
      <c r="B2706" t="s">
        <v>5283</v>
      </c>
      <c r="C2706">
        <v>302.0</v>
      </c>
      <c r="D2706" t="s">
        <v>330</v>
      </c>
      <c r="E2706" t="s">
        <v>311</v>
      </c>
    </row>
    <row r="2707">
      <c r="A2707" s="232" t="s">
        <v>5284</v>
      </c>
      <c r="B2707" t="s">
        <v>5285</v>
      </c>
      <c r="C2707">
        <v>224.0</v>
      </c>
      <c r="D2707" t="s">
        <v>330</v>
      </c>
      <c r="E2707" t="s">
        <v>311</v>
      </c>
    </row>
    <row r="2708">
      <c r="A2708" s="232" t="s">
        <v>5286</v>
      </c>
      <c r="B2708" t="s">
        <v>5287</v>
      </c>
      <c r="C2708">
        <v>276.0</v>
      </c>
      <c r="D2708" t="s">
        <v>330</v>
      </c>
      <c r="E2708" t="s">
        <v>311</v>
      </c>
    </row>
    <row r="2709">
      <c r="A2709" s="232" t="s">
        <v>5288</v>
      </c>
      <c r="B2709" t="s">
        <v>5289</v>
      </c>
      <c r="C2709">
        <v>405.0</v>
      </c>
      <c r="D2709" t="s">
        <v>330</v>
      </c>
      <c r="E2709" t="s">
        <v>311</v>
      </c>
    </row>
    <row r="2710">
      <c r="A2710" s="232" t="s">
        <v>5290</v>
      </c>
      <c r="B2710" t="s">
        <v>5291</v>
      </c>
      <c r="C2710">
        <v>420.0</v>
      </c>
      <c r="D2710" t="s">
        <v>330</v>
      </c>
      <c r="E2710" t="s">
        <v>311</v>
      </c>
    </row>
    <row r="2711">
      <c r="A2711" s="232" t="s">
        <v>5292</v>
      </c>
      <c r="B2711" t="s">
        <v>5293</v>
      </c>
      <c r="C2711">
        <v>423.0</v>
      </c>
      <c r="D2711" t="s">
        <v>330</v>
      </c>
      <c r="E2711" t="s">
        <v>311</v>
      </c>
    </row>
    <row r="2712">
      <c r="A2712" s="232" t="s">
        <v>5294</v>
      </c>
      <c r="B2712" t="s">
        <v>5295</v>
      </c>
      <c r="C2712">
        <v>390.0</v>
      </c>
      <c r="D2712" t="s">
        <v>330</v>
      </c>
      <c r="E2712" t="s">
        <v>311</v>
      </c>
    </row>
    <row r="2713">
      <c r="A2713" s="232" t="s">
        <v>5296</v>
      </c>
      <c r="B2713" t="s">
        <v>5297</v>
      </c>
      <c r="C2713">
        <v>321.0</v>
      </c>
      <c r="D2713" t="s">
        <v>330</v>
      </c>
      <c r="E2713" t="s">
        <v>311</v>
      </c>
    </row>
    <row r="2714">
      <c r="A2714" s="232" t="s">
        <v>5298</v>
      </c>
      <c r="B2714" t="s">
        <v>5299</v>
      </c>
      <c r="C2714">
        <v>363.0</v>
      </c>
      <c r="D2714" t="s">
        <v>330</v>
      </c>
      <c r="E2714" t="s">
        <v>311</v>
      </c>
    </row>
    <row r="2715">
      <c r="A2715" s="232" t="s">
        <v>5300</v>
      </c>
      <c r="B2715" t="s">
        <v>5301</v>
      </c>
      <c r="C2715">
        <v>0.0</v>
      </c>
      <c r="D2715" t="s">
        <v>330</v>
      </c>
      <c r="E2715" t="s">
        <v>565</v>
      </c>
    </row>
    <row r="2716">
      <c r="A2716" s="232" t="s">
        <v>5302</v>
      </c>
      <c r="B2716" t="s">
        <v>5303</v>
      </c>
      <c r="C2716">
        <v>7.0</v>
      </c>
      <c r="D2716" t="s">
        <v>330</v>
      </c>
      <c r="E2716" t="s">
        <v>565</v>
      </c>
    </row>
    <row r="2717">
      <c r="A2717" s="232" t="s">
        <v>5304</v>
      </c>
      <c r="B2717" t="s">
        <v>5305</v>
      </c>
      <c r="C2717">
        <v>0.0</v>
      </c>
      <c r="D2717" t="s">
        <v>310</v>
      </c>
      <c r="E2717" t="s">
        <v>311</v>
      </c>
    </row>
    <row r="2718">
      <c r="A2718" s="232" t="s">
        <v>5306</v>
      </c>
      <c r="B2718" t="s">
        <v>5307</v>
      </c>
      <c r="C2718">
        <v>0.0</v>
      </c>
      <c r="D2718" t="s">
        <v>310</v>
      </c>
      <c r="E2718" t="s">
        <v>311</v>
      </c>
    </row>
    <row r="2719">
      <c r="A2719" s="232" t="s">
        <v>5308</v>
      </c>
      <c r="B2719" t="s">
        <v>5309</v>
      </c>
      <c r="C2719">
        <v>0.0</v>
      </c>
      <c r="D2719" t="s">
        <v>310</v>
      </c>
      <c r="E2719" t="s">
        <v>311</v>
      </c>
    </row>
    <row r="2720">
      <c r="A2720" s="232" t="s">
        <v>5310</v>
      </c>
      <c r="B2720" t="s">
        <v>5311</v>
      </c>
      <c r="C2720">
        <v>0.0</v>
      </c>
      <c r="D2720" t="s">
        <v>310</v>
      </c>
      <c r="E2720" t="s">
        <v>311</v>
      </c>
    </row>
    <row r="2721">
      <c r="A2721" s="232" t="s">
        <v>5312</v>
      </c>
      <c r="B2721" t="s">
        <v>5313</v>
      </c>
      <c r="C2721">
        <v>0.0</v>
      </c>
      <c r="D2721" t="s">
        <v>310</v>
      </c>
      <c r="E2721" t="s">
        <v>311</v>
      </c>
    </row>
    <row r="2722">
      <c r="A2722" s="232" t="s">
        <v>5314</v>
      </c>
      <c r="B2722" t="s">
        <v>5315</v>
      </c>
      <c r="C2722">
        <v>0.0</v>
      </c>
      <c r="D2722" t="s">
        <v>310</v>
      </c>
      <c r="E2722" t="s">
        <v>311</v>
      </c>
    </row>
    <row r="2723">
      <c r="A2723" s="232" t="s">
        <v>5316</v>
      </c>
      <c r="B2723" t="s">
        <v>5317</v>
      </c>
      <c r="C2723">
        <v>0.0</v>
      </c>
      <c r="D2723" t="s">
        <v>310</v>
      </c>
      <c r="E2723" t="s">
        <v>311</v>
      </c>
    </row>
    <row r="2724">
      <c r="A2724" s="232" t="s">
        <v>5318</v>
      </c>
      <c r="B2724" t="s">
        <v>5319</v>
      </c>
      <c r="C2724">
        <v>0.0</v>
      </c>
      <c r="D2724" t="s">
        <v>310</v>
      </c>
      <c r="E2724" t="s">
        <v>311</v>
      </c>
    </row>
    <row r="2725">
      <c r="A2725" s="232" t="s">
        <v>5320</v>
      </c>
      <c r="B2725" t="s">
        <v>5321</v>
      </c>
      <c r="C2725">
        <v>0.0</v>
      </c>
      <c r="D2725" t="s">
        <v>310</v>
      </c>
      <c r="E2725" t="s">
        <v>311</v>
      </c>
    </row>
    <row r="2726">
      <c r="A2726" s="232" t="s">
        <v>5322</v>
      </c>
      <c r="B2726" t="s">
        <v>5323</v>
      </c>
      <c r="C2726">
        <v>0.0</v>
      </c>
      <c r="D2726" t="s">
        <v>310</v>
      </c>
      <c r="E2726" t="s">
        <v>311</v>
      </c>
    </row>
    <row r="2727">
      <c r="A2727" s="232" t="s">
        <v>5324</v>
      </c>
      <c r="B2727" t="s">
        <v>5325</v>
      </c>
      <c r="C2727">
        <v>0.0</v>
      </c>
      <c r="D2727" t="s">
        <v>310</v>
      </c>
      <c r="E2727" t="s">
        <v>311</v>
      </c>
    </row>
    <row r="2728">
      <c r="A2728" s="232" t="s">
        <v>5326</v>
      </c>
      <c r="B2728" t="s">
        <v>5327</v>
      </c>
      <c r="C2728">
        <v>0.0</v>
      </c>
      <c r="D2728" t="s">
        <v>310</v>
      </c>
      <c r="E2728" t="s">
        <v>311</v>
      </c>
    </row>
    <row r="2729">
      <c r="A2729" s="232" t="s">
        <v>5328</v>
      </c>
      <c r="B2729" t="s">
        <v>5329</v>
      </c>
      <c r="C2729">
        <v>0.0</v>
      </c>
      <c r="D2729" t="s">
        <v>310</v>
      </c>
      <c r="E2729" t="s">
        <v>311</v>
      </c>
    </row>
    <row r="2730">
      <c r="A2730" s="232" t="s">
        <v>5330</v>
      </c>
      <c r="B2730" t="s">
        <v>5331</v>
      </c>
      <c r="C2730">
        <v>0.0</v>
      </c>
      <c r="D2730" t="s">
        <v>310</v>
      </c>
      <c r="E2730" t="s">
        <v>311</v>
      </c>
    </row>
    <row r="2731">
      <c r="A2731" s="232" t="s">
        <v>5332</v>
      </c>
      <c r="B2731" t="s">
        <v>5333</v>
      </c>
      <c r="C2731">
        <v>0.0</v>
      </c>
      <c r="D2731" t="s">
        <v>310</v>
      </c>
      <c r="E2731" t="s">
        <v>311</v>
      </c>
    </row>
    <row r="2732">
      <c r="A2732" s="232" t="s">
        <v>5334</v>
      </c>
      <c r="B2732" t="s">
        <v>5335</v>
      </c>
      <c r="C2732">
        <v>0.0</v>
      </c>
      <c r="D2732" t="s">
        <v>310</v>
      </c>
      <c r="E2732" t="s">
        <v>311</v>
      </c>
    </row>
    <row r="2733">
      <c r="A2733" s="232" t="s">
        <v>5336</v>
      </c>
      <c r="B2733" t="s">
        <v>5337</v>
      </c>
      <c r="C2733">
        <v>0.0</v>
      </c>
      <c r="D2733" t="s">
        <v>310</v>
      </c>
      <c r="E2733" t="s">
        <v>311</v>
      </c>
    </row>
    <row r="2734">
      <c r="A2734" s="232" t="s">
        <v>5338</v>
      </c>
      <c r="B2734" t="s">
        <v>5339</v>
      </c>
      <c r="C2734">
        <v>0.0</v>
      </c>
      <c r="D2734" t="s">
        <v>310</v>
      </c>
      <c r="E2734" t="s">
        <v>311</v>
      </c>
    </row>
    <row r="2735">
      <c r="A2735" s="232" t="s">
        <v>5340</v>
      </c>
      <c r="B2735" t="s">
        <v>5341</v>
      </c>
      <c r="C2735">
        <v>0.0</v>
      </c>
      <c r="D2735" t="s">
        <v>310</v>
      </c>
      <c r="E2735" t="s">
        <v>311</v>
      </c>
    </row>
    <row r="2736">
      <c r="A2736" s="232" t="s">
        <v>5342</v>
      </c>
      <c r="B2736" t="s">
        <v>5343</v>
      </c>
      <c r="C2736">
        <v>0.0</v>
      </c>
      <c r="D2736" t="s">
        <v>310</v>
      </c>
      <c r="E2736" t="s">
        <v>311</v>
      </c>
    </row>
    <row r="2737">
      <c r="A2737" s="232" t="s">
        <v>5344</v>
      </c>
      <c r="B2737" t="s">
        <v>5345</v>
      </c>
      <c r="C2737">
        <v>0.0</v>
      </c>
      <c r="D2737" t="s">
        <v>310</v>
      </c>
      <c r="E2737" t="s">
        <v>311</v>
      </c>
    </row>
    <row r="2738">
      <c r="A2738" s="232" t="s">
        <v>5346</v>
      </c>
      <c r="B2738" t="s">
        <v>5347</v>
      </c>
      <c r="C2738">
        <v>0.0</v>
      </c>
      <c r="D2738" t="s">
        <v>310</v>
      </c>
      <c r="E2738" t="s">
        <v>311</v>
      </c>
    </row>
    <row r="2739">
      <c r="A2739" s="232" t="s">
        <v>5348</v>
      </c>
      <c r="B2739" t="s">
        <v>5349</v>
      </c>
      <c r="C2739">
        <v>0.0</v>
      </c>
      <c r="D2739" t="s">
        <v>310</v>
      </c>
      <c r="E2739" t="s">
        <v>311</v>
      </c>
    </row>
    <row r="2740">
      <c r="A2740" s="232" t="s">
        <v>5350</v>
      </c>
      <c r="B2740" t="s">
        <v>5351</v>
      </c>
      <c r="C2740">
        <v>0.0</v>
      </c>
      <c r="D2740" t="s">
        <v>310</v>
      </c>
      <c r="E2740" t="s">
        <v>311</v>
      </c>
    </row>
    <row r="2741">
      <c r="A2741" s="232" t="s">
        <v>5352</v>
      </c>
      <c r="B2741" t="s">
        <v>5353</v>
      </c>
      <c r="C2741">
        <v>0.0</v>
      </c>
      <c r="D2741" t="s">
        <v>310</v>
      </c>
      <c r="E2741" t="s">
        <v>311</v>
      </c>
    </row>
    <row r="2742">
      <c r="A2742" s="232" t="s">
        <v>5354</v>
      </c>
      <c r="B2742" t="s">
        <v>5355</v>
      </c>
      <c r="C2742">
        <v>171.0</v>
      </c>
      <c r="D2742" t="s">
        <v>330</v>
      </c>
      <c r="E2742" t="s">
        <v>5356</v>
      </c>
    </row>
    <row r="2743">
      <c r="A2743" s="232" t="s">
        <v>5357</v>
      </c>
      <c r="B2743" t="s">
        <v>5358</v>
      </c>
      <c r="C2743">
        <v>171.0</v>
      </c>
      <c r="D2743" t="s">
        <v>330</v>
      </c>
      <c r="E2743" t="s">
        <v>5356</v>
      </c>
    </row>
    <row r="2744">
      <c r="A2744" s="232" t="s">
        <v>5359</v>
      </c>
      <c r="B2744" t="s">
        <v>5360</v>
      </c>
      <c r="C2744">
        <v>171.0</v>
      </c>
      <c r="D2744" t="s">
        <v>330</v>
      </c>
      <c r="E2744" t="s">
        <v>5356</v>
      </c>
    </row>
    <row r="2745">
      <c r="A2745" s="232" t="s">
        <v>5361</v>
      </c>
      <c r="B2745" t="s">
        <v>5362</v>
      </c>
      <c r="C2745">
        <v>171.0</v>
      </c>
      <c r="D2745" t="s">
        <v>330</v>
      </c>
      <c r="E2745" t="s">
        <v>5356</v>
      </c>
    </row>
    <row r="2746">
      <c r="A2746" s="232" t="s">
        <v>5363</v>
      </c>
      <c r="B2746" t="s">
        <v>5364</v>
      </c>
      <c r="C2746">
        <v>171.0</v>
      </c>
      <c r="D2746" t="s">
        <v>330</v>
      </c>
      <c r="E2746" t="s">
        <v>5356</v>
      </c>
    </row>
    <row r="2747">
      <c r="A2747" s="232" t="s">
        <v>5365</v>
      </c>
      <c r="B2747" t="s">
        <v>5366</v>
      </c>
      <c r="C2747">
        <v>0.0</v>
      </c>
      <c r="D2747" t="s">
        <v>310</v>
      </c>
      <c r="E2747" t="s">
        <v>311</v>
      </c>
    </row>
    <row r="2748">
      <c r="A2748" s="232" t="s">
        <v>5367</v>
      </c>
      <c r="B2748" t="s">
        <v>5368</v>
      </c>
      <c r="C2748">
        <v>0.0</v>
      </c>
      <c r="D2748" t="s">
        <v>310</v>
      </c>
      <c r="E2748" t="s">
        <v>311</v>
      </c>
    </row>
    <row r="2749">
      <c r="A2749" s="232" t="s">
        <v>5369</v>
      </c>
      <c r="B2749" t="s">
        <v>5370</v>
      </c>
      <c r="C2749">
        <v>0.0</v>
      </c>
      <c r="D2749" t="s">
        <v>310</v>
      </c>
      <c r="E2749" t="s">
        <v>1208</v>
      </c>
    </row>
    <row r="2750">
      <c r="A2750" s="232" t="s">
        <v>5371</v>
      </c>
      <c r="B2750" t="s">
        <v>5372</v>
      </c>
      <c r="C2750">
        <v>0.0</v>
      </c>
      <c r="D2750" t="s">
        <v>310</v>
      </c>
      <c r="E2750" t="s">
        <v>1208</v>
      </c>
    </row>
    <row r="2751">
      <c r="A2751" s="232" t="s">
        <v>5373</v>
      </c>
      <c r="B2751" t="s">
        <v>5374</v>
      </c>
      <c r="C2751">
        <v>0.0</v>
      </c>
      <c r="D2751" t="s">
        <v>310</v>
      </c>
      <c r="E2751" t="s">
        <v>1208</v>
      </c>
    </row>
    <row r="2752">
      <c r="A2752" s="232" t="s">
        <v>5375</v>
      </c>
      <c r="B2752" t="s">
        <v>5376</v>
      </c>
      <c r="C2752">
        <v>0.0</v>
      </c>
      <c r="D2752" t="s">
        <v>310</v>
      </c>
      <c r="E2752" t="s">
        <v>1208</v>
      </c>
    </row>
    <row r="2753">
      <c r="A2753" s="232" t="s">
        <v>5377</v>
      </c>
      <c r="B2753" t="s">
        <v>5378</v>
      </c>
      <c r="C2753">
        <v>0.0</v>
      </c>
      <c r="D2753" t="s">
        <v>310</v>
      </c>
      <c r="E2753" t="s">
        <v>311</v>
      </c>
    </row>
    <row r="2754">
      <c r="A2754" s="232" t="s">
        <v>5379</v>
      </c>
      <c r="B2754" t="s">
        <v>5380</v>
      </c>
      <c r="C2754">
        <v>0.0</v>
      </c>
      <c r="D2754" t="s">
        <v>310</v>
      </c>
      <c r="E2754" t="s">
        <v>311</v>
      </c>
    </row>
    <row r="2755">
      <c r="A2755" s="232" t="s">
        <v>5381</v>
      </c>
      <c r="B2755" t="s">
        <v>5382</v>
      </c>
      <c r="C2755">
        <v>0.0</v>
      </c>
      <c r="D2755" t="s">
        <v>310</v>
      </c>
      <c r="E2755" t="s">
        <v>311</v>
      </c>
    </row>
    <row r="2756">
      <c r="A2756" s="232" t="s">
        <v>5383</v>
      </c>
      <c r="B2756" t="s">
        <v>5384</v>
      </c>
      <c r="C2756">
        <v>20000.0</v>
      </c>
      <c r="D2756" t="s">
        <v>330</v>
      </c>
      <c r="E2756" t="s">
        <v>311</v>
      </c>
    </row>
    <row r="2757">
      <c r="A2757" s="232" t="s">
        <v>5385</v>
      </c>
      <c r="B2757" t="s">
        <v>5386</v>
      </c>
      <c r="C2757">
        <v>81.0</v>
      </c>
      <c r="D2757" t="s">
        <v>330</v>
      </c>
      <c r="E2757" t="s">
        <v>552</v>
      </c>
    </row>
    <row r="2758">
      <c r="A2758" s="232" t="s">
        <v>5387</v>
      </c>
      <c r="B2758" t="s">
        <v>5388</v>
      </c>
      <c r="C2758">
        <v>196.2</v>
      </c>
      <c r="D2758" t="s">
        <v>330</v>
      </c>
      <c r="E2758" t="s">
        <v>5356</v>
      </c>
    </row>
    <row r="2759">
      <c r="A2759" s="232" t="s">
        <v>5389</v>
      </c>
      <c r="B2759" t="s">
        <v>5390</v>
      </c>
      <c r="C2759">
        <v>196.2</v>
      </c>
      <c r="D2759" t="s">
        <v>330</v>
      </c>
      <c r="E2759" t="s">
        <v>5356</v>
      </c>
    </row>
    <row r="2760">
      <c r="A2760" s="232" t="s">
        <v>5391</v>
      </c>
      <c r="B2760" t="s">
        <v>5392</v>
      </c>
      <c r="C2760">
        <v>196.2</v>
      </c>
      <c r="D2760" t="s">
        <v>330</v>
      </c>
      <c r="E2760" t="s">
        <v>5356</v>
      </c>
    </row>
    <row r="2761">
      <c r="A2761" s="232" t="s">
        <v>5393</v>
      </c>
      <c r="B2761" t="s">
        <v>5394</v>
      </c>
      <c r="C2761">
        <v>196.2</v>
      </c>
      <c r="D2761" t="s">
        <v>330</v>
      </c>
      <c r="E2761" t="s">
        <v>5356</v>
      </c>
    </row>
    <row r="2762">
      <c r="A2762" s="232" t="s">
        <v>5395</v>
      </c>
      <c r="B2762" t="s">
        <v>5396</v>
      </c>
      <c r="C2762">
        <v>196.2</v>
      </c>
      <c r="D2762" t="s">
        <v>330</v>
      </c>
      <c r="E2762" t="s">
        <v>5356</v>
      </c>
    </row>
    <row r="2763">
      <c r="A2763" s="232" t="s">
        <v>5397</v>
      </c>
      <c r="B2763" t="s">
        <v>5398</v>
      </c>
      <c r="C2763">
        <v>0.0</v>
      </c>
      <c r="D2763" t="s">
        <v>310</v>
      </c>
      <c r="E2763" t="s">
        <v>311</v>
      </c>
    </row>
    <row r="2764">
      <c r="A2764" s="232" t="s">
        <v>5399</v>
      </c>
      <c r="B2764" t="s">
        <v>5400</v>
      </c>
      <c r="C2764">
        <v>300.0</v>
      </c>
      <c r="D2764" t="s">
        <v>330</v>
      </c>
      <c r="E2764" t="s">
        <v>311</v>
      </c>
    </row>
    <row r="2765">
      <c r="A2765" s="232" t="s">
        <v>5401</v>
      </c>
      <c r="B2765" t="s">
        <v>5402</v>
      </c>
      <c r="C2765">
        <v>300.0</v>
      </c>
      <c r="D2765" t="s">
        <v>330</v>
      </c>
      <c r="E2765" t="s">
        <v>311</v>
      </c>
    </row>
    <row r="2766">
      <c r="A2766" s="232" t="s">
        <v>5403</v>
      </c>
      <c r="B2766" t="s">
        <v>5404</v>
      </c>
      <c r="C2766">
        <v>300.0</v>
      </c>
      <c r="D2766" t="s">
        <v>330</v>
      </c>
      <c r="E2766" t="s">
        <v>311</v>
      </c>
    </row>
    <row r="2767">
      <c r="A2767" s="232" t="s">
        <v>5405</v>
      </c>
      <c r="B2767" t="s">
        <v>5406</v>
      </c>
      <c r="C2767">
        <v>0.0</v>
      </c>
      <c r="D2767" t="s">
        <v>310</v>
      </c>
      <c r="E2767" t="s">
        <v>311</v>
      </c>
    </row>
    <row r="2768">
      <c r="A2768" s="232" t="s">
        <v>5407</v>
      </c>
      <c r="B2768" t="s">
        <v>5408</v>
      </c>
      <c r="C2768">
        <v>0.0</v>
      </c>
      <c r="D2768" t="s">
        <v>310</v>
      </c>
      <c r="E2768" t="s">
        <v>311</v>
      </c>
    </row>
    <row r="2769">
      <c r="A2769" s="232" t="s">
        <v>5409</v>
      </c>
      <c r="B2769" t="s">
        <v>5410</v>
      </c>
      <c r="C2769">
        <v>0.0</v>
      </c>
      <c r="D2769" t="s">
        <v>330</v>
      </c>
      <c r="E2769" t="s">
        <v>311</v>
      </c>
    </row>
    <row r="2770">
      <c r="A2770" s="232" t="s">
        <v>5411</v>
      </c>
      <c r="B2770" t="s">
        <v>5412</v>
      </c>
      <c r="C2770">
        <v>0.0</v>
      </c>
      <c r="D2770" t="s">
        <v>310</v>
      </c>
      <c r="E2770" t="s">
        <v>311</v>
      </c>
    </row>
    <row r="2771">
      <c r="A2771" s="232" t="s">
        <v>5413</v>
      </c>
      <c r="B2771" t="s">
        <v>5414</v>
      </c>
      <c r="C2771">
        <v>0.0</v>
      </c>
      <c r="D2771" t="s">
        <v>310</v>
      </c>
      <c r="E2771" t="s">
        <v>311</v>
      </c>
    </row>
    <row r="2772">
      <c r="A2772" s="232" t="s">
        <v>5415</v>
      </c>
      <c r="B2772" t="s">
        <v>5416</v>
      </c>
      <c r="C2772">
        <v>0.0</v>
      </c>
      <c r="D2772" t="s">
        <v>310</v>
      </c>
      <c r="E2772" t="s">
        <v>311</v>
      </c>
    </row>
    <row r="2773">
      <c r="A2773" s="232" t="s">
        <v>5417</v>
      </c>
      <c r="B2773" t="s">
        <v>5418</v>
      </c>
      <c r="C2773">
        <v>0.0</v>
      </c>
      <c r="D2773" t="s">
        <v>330</v>
      </c>
      <c r="E2773" t="s">
        <v>565</v>
      </c>
    </row>
    <row r="2774">
      <c r="A2774" s="232" t="s">
        <v>5419</v>
      </c>
      <c r="B2774" t="s">
        <v>5420</v>
      </c>
      <c r="C2774">
        <v>161.0</v>
      </c>
      <c r="D2774" t="s">
        <v>330</v>
      </c>
      <c r="E2774" t="s">
        <v>565</v>
      </c>
    </row>
    <row r="2775">
      <c r="A2775" s="232" t="s">
        <v>5421</v>
      </c>
      <c r="B2775" t="s">
        <v>5422</v>
      </c>
      <c r="C2775">
        <v>504.0</v>
      </c>
      <c r="D2775" t="s">
        <v>330</v>
      </c>
      <c r="E2775" t="s">
        <v>565</v>
      </c>
    </row>
    <row r="2776">
      <c r="A2776" s="232" t="s">
        <v>5423</v>
      </c>
      <c r="B2776" t="s">
        <v>5424</v>
      </c>
      <c r="C2776">
        <v>5.0</v>
      </c>
      <c r="D2776" t="s">
        <v>330</v>
      </c>
      <c r="E2776" t="s">
        <v>565</v>
      </c>
    </row>
    <row r="2777">
      <c r="A2777" s="232" t="s">
        <v>5425</v>
      </c>
      <c r="B2777" t="s">
        <v>5426</v>
      </c>
      <c r="C2777">
        <v>0.0</v>
      </c>
      <c r="D2777" t="s">
        <v>310</v>
      </c>
      <c r="E2777" t="s">
        <v>311</v>
      </c>
    </row>
    <row r="2778">
      <c r="A2778" s="232" t="s">
        <v>5427</v>
      </c>
      <c r="B2778" t="s">
        <v>5428</v>
      </c>
      <c r="C2778">
        <v>30.0</v>
      </c>
      <c r="D2778" t="s">
        <v>330</v>
      </c>
      <c r="E2778" t="s">
        <v>311</v>
      </c>
    </row>
    <row r="2779">
      <c r="A2779" s="232" t="s">
        <v>5429</v>
      </c>
      <c r="B2779" t="s">
        <v>5430</v>
      </c>
      <c r="C2779">
        <v>359.0</v>
      </c>
      <c r="D2779" t="s">
        <v>330</v>
      </c>
      <c r="E2779" t="s">
        <v>311</v>
      </c>
    </row>
    <row r="2780">
      <c r="A2780" s="232" t="s">
        <v>5431</v>
      </c>
      <c r="B2780" t="s">
        <v>5432</v>
      </c>
      <c r="C2780">
        <v>503.0</v>
      </c>
      <c r="D2780" t="s">
        <v>330</v>
      </c>
      <c r="E2780" t="s">
        <v>311</v>
      </c>
    </row>
    <row r="2781">
      <c r="A2781" s="232" t="s">
        <v>5433</v>
      </c>
      <c r="B2781" t="s">
        <v>5434</v>
      </c>
      <c r="C2781">
        <v>641.0</v>
      </c>
      <c r="D2781" t="s">
        <v>330</v>
      </c>
      <c r="E2781" t="s">
        <v>311</v>
      </c>
    </row>
    <row r="2782">
      <c r="A2782" s="232" t="s">
        <v>5435</v>
      </c>
      <c r="B2782" t="s">
        <v>5436</v>
      </c>
      <c r="C2782">
        <v>828.0</v>
      </c>
      <c r="D2782" t="s">
        <v>330</v>
      </c>
      <c r="E2782" t="s">
        <v>311</v>
      </c>
    </row>
    <row r="2783">
      <c r="A2783" s="232" t="s">
        <v>5437</v>
      </c>
      <c r="B2783" t="s">
        <v>5438</v>
      </c>
      <c r="C2783">
        <v>968.0</v>
      </c>
      <c r="D2783" t="s">
        <v>330</v>
      </c>
      <c r="E2783" t="s">
        <v>311</v>
      </c>
    </row>
    <row r="2784">
      <c r="A2784" s="232" t="s">
        <v>5439</v>
      </c>
      <c r="B2784" t="s">
        <v>5440</v>
      </c>
      <c r="C2784">
        <v>0.0</v>
      </c>
      <c r="D2784" t="s">
        <v>310</v>
      </c>
      <c r="E2784" t="s">
        <v>565</v>
      </c>
    </row>
    <row r="2785">
      <c r="A2785" s="232" t="s">
        <v>5441</v>
      </c>
      <c r="B2785" t="s">
        <v>5442</v>
      </c>
      <c r="C2785">
        <v>-1.0</v>
      </c>
      <c r="D2785" t="s">
        <v>330</v>
      </c>
    </row>
    <row r="2786">
      <c r="A2786" s="232" t="s">
        <v>5443</v>
      </c>
      <c r="B2786" t="s">
        <v>5444</v>
      </c>
      <c r="C2786">
        <v>4.0</v>
      </c>
      <c r="D2786" t="s">
        <v>330</v>
      </c>
      <c r="E2786" t="s">
        <v>311</v>
      </c>
    </row>
    <row r="2787">
      <c r="A2787" s="232" t="s">
        <v>5445</v>
      </c>
      <c r="B2787" t="s">
        <v>5446</v>
      </c>
      <c r="C2787">
        <v>0.0</v>
      </c>
      <c r="D2787" t="s">
        <v>330</v>
      </c>
      <c r="E2787" t="s">
        <v>311</v>
      </c>
    </row>
    <row r="2788">
      <c r="A2788" s="232" t="s">
        <v>5447</v>
      </c>
      <c r="B2788" t="s">
        <v>5448</v>
      </c>
      <c r="C2788">
        <v>0.0</v>
      </c>
      <c r="D2788" t="s">
        <v>310</v>
      </c>
      <c r="E2788" t="s">
        <v>311</v>
      </c>
    </row>
    <row r="2789">
      <c r="A2789" s="232" t="s">
        <v>112</v>
      </c>
      <c r="B2789" t="s">
        <v>111</v>
      </c>
      <c r="C2789">
        <v>1180.0</v>
      </c>
      <c r="D2789" t="s">
        <v>330</v>
      </c>
      <c r="E2789" t="s">
        <v>311</v>
      </c>
    </row>
    <row r="2790">
      <c r="A2790" s="232" t="s">
        <v>106</v>
      </c>
      <c r="B2790" t="s">
        <v>105</v>
      </c>
      <c r="C2790">
        <v>3387.0</v>
      </c>
      <c r="D2790" t="s">
        <v>330</v>
      </c>
      <c r="E2790" t="s">
        <v>311</v>
      </c>
    </row>
    <row r="2791">
      <c r="A2791" s="232" t="s">
        <v>138</v>
      </c>
      <c r="B2791" t="s">
        <v>137</v>
      </c>
      <c r="C2791">
        <v>796.0</v>
      </c>
      <c r="D2791" t="s">
        <v>330</v>
      </c>
      <c r="E2791" t="s">
        <v>311</v>
      </c>
    </row>
    <row r="2792">
      <c r="A2792" s="232" t="s">
        <v>118</v>
      </c>
      <c r="B2792" t="s">
        <v>117</v>
      </c>
      <c r="C2792">
        <v>4657.0</v>
      </c>
      <c r="D2792" t="s">
        <v>330</v>
      </c>
      <c r="E2792" t="s">
        <v>311</v>
      </c>
    </row>
    <row r="2793">
      <c r="A2793" s="232" t="s">
        <v>104</v>
      </c>
      <c r="B2793" t="s">
        <v>103</v>
      </c>
      <c r="C2793">
        <v>4083.0</v>
      </c>
      <c r="D2793" t="s">
        <v>330</v>
      </c>
      <c r="E2793" t="s">
        <v>311</v>
      </c>
    </row>
    <row r="2794">
      <c r="A2794" s="232" t="s">
        <v>124</v>
      </c>
      <c r="B2794" t="s">
        <v>123</v>
      </c>
      <c r="C2794">
        <v>1480.0</v>
      </c>
      <c r="D2794" t="s">
        <v>330</v>
      </c>
      <c r="E2794" t="s">
        <v>311</v>
      </c>
    </row>
    <row r="2795">
      <c r="A2795" s="232" t="s">
        <v>130</v>
      </c>
      <c r="B2795" t="s">
        <v>129</v>
      </c>
      <c r="C2795">
        <v>1925.0</v>
      </c>
      <c r="D2795" t="s">
        <v>330</v>
      </c>
      <c r="E2795" t="s">
        <v>311</v>
      </c>
    </row>
    <row r="2796">
      <c r="A2796" s="232" t="s">
        <v>120</v>
      </c>
      <c r="B2796" t="s">
        <v>119</v>
      </c>
      <c r="C2796">
        <v>1943.0</v>
      </c>
      <c r="D2796" t="s">
        <v>330</v>
      </c>
      <c r="E2796" t="s">
        <v>311</v>
      </c>
    </row>
    <row r="2797">
      <c r="A2797" s="232" t="s">
        <v>136</v>
      </c>
      <c r="B2797" t="s">
        <v>135</v>
      </c>
      <c r="C2797">
        <v>791.0</v>
      </c>
      <c r="D2797" t="s">
        <v>330</v>
      </c>
      <c r="E2797" t="s">
        <v>311</v>
      </c>
    </row>
    <row r="2798">
      <c r="A2798" s="232" t="s">
        <v>128</v>
      </c>
      <c r="B2798" t="s">
        <v>127</v>
      </c>
      <c r="C2798">
        <v>1327.0</v>
      </c>
      <c r="D2798" t="s">
        <v>330</v>
      </c>
      <c r="E2798" t="s">
        <v>311</v>
      </c>
    </row>
    <row r="2799">
      <c r="A2799" s="232" t="s">
        <v>126</v>
      </c>
      <c r="B2799" t="s">
        <v>125</v>
      </c>
      <c r="C2799">
        <v>1005.0</v>
      </c>
      <c r="D2799" t="s">
        <v>330</v>
      </c>
      <c r="E2799" t="s">
        <v>311</v>
      </c>
    </row>
    <row r="2800">
      <c r="A2800" s="232" t="s">
        <v>110</v>
      </c>
      <c r="B2800" t="s">
        <v>109</v>
      </c>
      <c r="C2800">
        <v>2215.0</v>
      </c>
      <c r="D2800" t="s">
        <v>330</v>
      </c>
      <c r="E2800" t="s">
        <v>311</v>
      </c>
    </row>
    <row r="2801">
      <c r="A2801" s="232" t="s">
        <v>114</v>
      </c>
      <c r="B2801" t="s">
        <v>113</v>
      </c>
      <c r="C2801">
        <v>858.0</v>
      </c>
      <c r="D2801" t="s">
        <v>330</v>
      </c>
      <c r="E2801" t="s">
        <v>311</v>
      </c>
    </row>
    <row r="2802">
      <c r="A2802" s="232" t="s">
        <v>108</v>
      </c>
      <c r="B2802" t="s">
        <v>107</v>
      </c>
      <c r="C2802">
        <v>3367.0</v>
      </c>
      <c r="D2802" t="s">
        <v>330</v>
      </c>
      <c r="E2802" t="s">
        <v>311</v>
      </c>
    </row>
    <row r="2803">
      <c r="A2803" s="232" t="s">
        <v>140</v>
      </c>
      <c r="B2803" t="s">
        <v>139</v>
      </c>
      <c r="C2803">
        <v>1626.0</v>
      </c>
      <c r="D2803" t="s">
        <v>330</v>
      </c>
      <c r="E2803" t="s">
        <v>311</v>
      </c>
    </row>
    <row r="2804">
      <c r="A2804" s="232" t="s">
        <v>102</v>
      </c>
      <c r="B2804" t="s">
        <v>101</v>
      </c>
      <c r="C2804">
        <v>1184.0</v>
      </c>
      <c r="D2804" t="s">
        <v>330</v>
      </c>
      <c r="E2804" t="s">
        <v>311</v>
      </c>
    </row>
    <row r="2805">
      <c r="A2805" s="232" t="s">
        <v>5449</v>
      </c>
      <c r="B2805" t="s">
        <v>5450</v>
      </c>
      <c r="C2805">
        <v>0.0</v>
      </c>
      <c r="D2805" t="s">
        <v>310</v>
      </c>
      <c r="E2805" t="s">
        <v>311</v>
      </c>
    </row>
    <row r="2806">
      <c r="A2806" s="232" t="s">
        <v>134</v>
      </c>
      <c r="B2806" t="s">
        <v>133</v>
      </c>
      <c r="C2806">
        <v>1793.0</v>
      </c>
      <c r="D2806" t="s">
        <v>330</v>
      </c>
      <c r="E2806" t="s">
        <v>311</v>
      </c>
    </row>
    <row r="2807">
      <c r="A2807" s="232" t="s">
        <v>142</v>
      </c>
      <c r="B2807" t="s">
        <v>141</v>
      </c>
      <c r="C2807">
        <v>1642.0</v>
      </c>
      <c r="D2807" t="s">
        <v>330</v>
      </c>
      <c r="E2807" t="s">
        <v>311</v>
      </c>
    </row>
    <row r="2808">
      <c r="A2808" s="232" t="s">
        <v>132</v>
      </c>
      <c r="B2808" t="s">
        <v>131</v>
      </c>
      <c r="C2808">
        <v>1356.0</v>
      </c>
      <c r="D2808" t="s">
        <v>330</v>
      </c>
      <c r="E2808" t="s">
        <v>311</v>
      </c>
    </row>
    <row r="2809">
      <c r="A2809" s="232" t="s">
        <v>122</v>
      </c>
      <c r="B2809" t="s">
        <v>121</v>
      </c>
      <c r="C2809">
        <v>2236.0</v>
      </c>
      <c r="D2809" t="s">
        <v>330</v>
      </c>
      <c r="E2809" t="s">
        <v>311</v>
      </c>
    </row>
    <row r="2810">
      <c r="A2810" s="232" t="s">
        <v>100</v>
      </c>
      <c r="B2810" t="s">
        <v>99</v>
      </c>
      <c r="C2810">
        <v>5166.0</v>
      </c>
      <c r="D2810" t="s">
        <v>330</v>
      </c>
      <c r="E2810" t="s">
        <v>311</v>
      </c>
    </row>
    <row r="2811">
      <c r="A2811" s="232" t="s">
        <v>116</v>
      </c>
      <c r="B2811" t="s">
        <v>115</v>
      </c>
      <c r="C2811">
        <v>1311.0</v>
      </c>
      <c r="D2811" t="s">
        <v>330</v>
      </c>
      <c r="E2811" t="s">
        <v>311</v>
      </c>
    </row>
    <row r="2812">
      <c r="A2812" s="232" t="s">
        <v>5451</v>
      </c>
      <c r="B2812" t="s">
        <v>5452</v>
      </c>
      <c r="C2812">
        <v>0.0</v>
      </c>
      <c r="D2812" t="s">
        <v>330</v>
      </c>
      <c r="E2812" t="s">
        <v>311</v>
      </c>
    </row>
    <row r="2813">
      <c r="A2813" s="232" t="s">
        <v>146</v>
      </c>
      <c r="B2813" t="s">
        <v>145</v>
      </c>
      <c r="C2813">
        <v>2.0</v>
      </c>
      <c r="D2813" t="s">
        <v>330</v>
      </c>
      <c r="E2813" t="s">
        <v>311</v>
      </c>
    </row>
    <row r="2814">
      <c r="A2814" s="232" t="s">
        <v>144</v>
      </c>
      <c r="B2814" t="s">
        <v>143</v>
      </c>
      <c r="C2814">
        <v>-2.0</v>
      </c>
      <c r="D2814" t="s">
        <v>330</v>
      </c>
      <c r="E2814" t="s">
        <v>311</v>
      </c>
    </row>
    <row r="2815">
      <c r="A2815" s="232" t="s">
        <v>5453</v>
      </c>
      <c r="B2815" t="s">
        <v>5454</v>
      </c>
      <c r="C2815">
        <v>0.0</v>
      </c>
      <c r="D2815" t="s">
        <v>330</v>
      </c>
      <c r="E2815" t="s">
        <v>565</v>
      </c>
    </row>
    <row r="2816">
      <c r="A2816" s="232" t="s">
        <v>5455</v>
      </c>
      <c r="B2816" t="s">
        <v>5456</v>
      </c>
      <c r="C2816">
        <v>0.0</v>
      </c>
      <c r="D2816" t="s">
        <v>310</v>
      </c>
      <c r="E2816" t="s">
        <v>311</v>
      </c>
    </row>
    <row r="2817">
      <c r="A2817" s="232" t="s">
        <v>5457</v>
      </c>
      <c r="B2817" t="s">
        <v>5458</v>
      </c>
      <c r="C2817">
        <v>0.0</v>
      </c>
      <c r="D2817" t="s">
        <v>310</v>
      </c>
      <c r="E2817" t="s">
        <v>311</v>
      </c>
    </row>
    <row r="2818">
      <c r="A2818" s="232" t="s">
        <v>5459</v>
      </c>
      <c r="B2818" t="s">
        <v>5460</v>
      </c>
      <c r="C2818">
        <v>0.0</v>
      </c>
      <c r="D2818" t="s">
        <v>310</v>
      </c>
      <c r="E2818" t="s">
        <v>311</v>
      </c>
    </row>
    <row r="2819">
      <c r="A2819" s="232" t="s">
        <v>5461</v>
      </c>
      <c r="B2819" t="s">
        <v>5462</v>
      </c>
      <c r="C2819">
        <v>0.0</v>
      </c>
      <c r="D2819" t="s">
        <v>310</v>
      </c>
      <c r="E2819" t="s">
        <v>311</v>
      </c>
    </row>
    <row r="2820">
      <c r="A2820" s="232" t="s">
        <v>5463</v>
      </c>
      <c r="B2820" t="s">
        <v>5464</v>
      </c>
      <c r="C2820">
        <v>0.0</v>
      </c>
      <c r="D2820" t="s">
        <v>310</v>
      </c>
      <c r="E2820" t="s">
        <v>311</v>
      </c>
    </row>
    <row r="2821">
      <c r="A2821" s="232" t="s">
        <v>5465</v>
      </c>
      <c r="B2821" t="s">
        <v>5466</v>
      </c>
      <c r="C2821">
        <v>0.0</v>
      </c>
      <c r="D2821" t="s">
        <v>310</v>
      </c>
      <c r="E2821" t="s">
        <v>311</v>
      </c>
    </row>
    <row r="2822">
      <c r="A2822" s="232" t="s">
        <v>5467</v>
      </c>
      <c r="B2822" t="s">
        <v>5468</v>
      </c>
      <c r="C2822">
        <v>1.0</v>
      </c>
      <c r="D2822" t="s">
        <v>310</v>
      </c>
      <c r="E2822" t="s">
        <v>311</v>
      </c>
    </row>
    <row r="2823">
      <c r="A2823" s="232" t="s">
        <v>5469</v>
      </c>
      <c r="B2823" t="s">
        <v>5470</v>
      </c>
      <c r="C2823">
        <v>0.0</v>
      </c>
      <c r="D2823" t="s">
        <v>310</v>
      </c>
      <c r="E2823" t="s">
        <v>311</v>
      </c>
    </row>
    <row r="2824">
      <c r="A2824" s="232" t="s">
        <v>5471</v>
      </c>
      <c r="B2824" t="s">
        <v>5472</v>
      </c>
      <c r="C2824">
        <v>0.0</v>
      </c>
      <c r="D2824" t="s">
        <v>310</v>
      </c>
      <c r="E2824" t="s">
        <v>311</v>
      </c>
    </row>
    <row r="2825">
      <c r="A2825" s="232">
        <v>400402.0</v>
      </c>
      <c r="B2825" t="s">
        <v>5473</v>
      </c>
      <c r="C2825">
        <v>0.0</v>
      </c>
      <c r="D2825" t="s">
        <v>310</v>
      </c>
      <c r="E2825" t="s">
        <v>1208</v>
      </c>
    </row>
    <row r="2826">
      <c r="A2826" s="232" t="s">
        <v>5474</v>
      </c>
      <c r="B2826" t="s">
        <v>5475</v>
      </c>
      <c r="C2826">
        <v>0.0</v>
      </c>
      <c r="D2826" t="s">
        <v>310</v>
      </c>
      <c r="E2826" t="s">
        <v>311</v>
      </c>
    </row>
    <row r="2827">
      <c r="A2827" s="232" t="s">
        <v>5476</v>
      </c>
      <c r="B2827" t="s">
        <v>5477</v>
      </c>
      <c r="C2827">
        <v>0.0</v>
      </c>
      <c r="D2827" t="s">
        <v>310</v>
      </c>
      <c r="E2827" t="s">
        <v>311</v>
      </c>
    </row>
    <row r="2828">
      <c r="A2828" s="232" t="s">
        <v>5478</v>
      </c>
      <c r="B2828" t="s">
        <v>5479</v>
      </c>
      <c r="C2828">
        <v>0.0</v>
      </c>
      <c r="D2828" t="s">
        <v>310</v>
      </c>
      <c r="E2828" t="s">
        <v>311</v>
      </c>
    </row>
    <row r="2829">
      <c r="A2829" s="232" t="s">
        <v>5480</v>
      </c>
      <c r="B2829" t="s">
        <v>5481</v>
      </c>
      <c r="C2829">
        <v>0.0</v>
      </c>
      <c r="D2829" t="s">
        <v>310</v>
      </c>
      <c r="E2829" t="s">
        <v>311</v>
      </c>
    </row>
    <row r="2830">
      <c r="A2830" s="232" t="s">
        <v>5482</v>
      </c>
      <c r="B2830" t="s">
        <v>5483</v>
      </c>
      <c r="C2830">
        <v>8.0</v>
      </c>
      <c r="D2830" t="s">
        <v>330</v>
      </c>
      <c r="E2830" t="s">
        <v>311</v>
      </c>
    </row>
    <row r="2831">
      <c r="A2831" s="232" t="s">
        <v>5484</v>
      </c>
      <c r="B2831" t="s">
        <v>5485</v>
      </c>
      <c r="C2831">
        <v>183.0</v>
      </c>
      <c r="D2831" t="s">
        <v>330</v>
      </c>
      <c r="E2831" t="s">
        <v>311</v>
      </c>
    </row>
    <row r="2832">
      <c r="A2832" s="232" t="s">
        <v>5486</v>
      </c>
      <c r="B2832" t="s">
        <v>5487</v>
      </c>
      <c r="C2832">
        <v>332.0</v>
      </c>
      <c r="D2832" t="s">
        <v>330</v>
      </c>
      <c r="E2832" t="s">
        <v>311</v>
      </c>
    </row>
    <row r="2833">
      <c r="A2833" s="232" t="s">
        <v>5488</v>
      </c>
      <c r="B2833" t="s">
        <v>5489</v>
      </c>
      <c r="C2833">
        <v>-72.0</v>
      </c>
      <c r="D2833" t="s">
        <v>330</v>
      </c>
      <c r="E2833" t="s">
        <v>311</v>
      </c>
    </row>
    <row r="2834">
      <c r="A2834" s="232" t="s">
        <v>5490</v>
      </c>
      <c r="B2834" t="s">
        <v>5491</v>
      </c>
      <c r="C2834">
        <v>-48.0</v>
      </c>
      <c r="D2834" t="s">
        <v>330</v>
      </c>
      <c r="E2834" t="s">
        <v>311</v>
      </c>
    </row>
    <row r="2835">
      <c r="A2835" s="232" t="s">
        <v>5492</v>
      </c>
      <c r="B2835" t="s">
        <v>5493</v>
      </c>
      <c r="C2835">
        <v>-40.0</v>
      </c>
      <c r="D2835" t="s">
        <v>330</v>
      </c>
      <c r="E2835" t="s">
        <v>311</v>
      </c>
    </row>
    <row r="2836">
      <c r="A2836" s="232" t="s">
        <v>5494</v>
      </c>
      <c r="B2836" t="s">
        <v>5495</v>
      </c>
      <c r="C2836">
        <v>358.0</v>
      </c>
      <c r="D2836" t="s">
        <v>330</v>
      </c>
      <c r="E2836" t="s">
        <v>311</v>
      </c>
    </row>
    <row r="2837">
      <c r="A2837" s="232" t="s">
        <v>5496</v>
      </c>
      <c r="B2837" t="s">
        <v>5497</v>
      </c>
      <c r="C2837">
        <v>156.0</v>
      </c>
      <c r="D2837" t="s">
        <v>330</v>
      </c>
      <c r="E2837" t="s">
        <v>311</v>
      </c>
    </row>
    <row r="2838">
      <c r="A2838" s="232" t="s">
        <v>5498</v>
      </c>
      <c r="B2838" t="s">
        <v>5499</v>
      </c>
      <c r="C2838">
        <v>342.0</v>
      </c>
      <c r="D2838" t="s">
        <v>330</v>
      </c>
      <c r="E2838" t="s">
        <v>311</v>
      </c>
    </row>
    <row r="2839">
      <c r="A2839" s="232" t="s">
        <v>5500</v>
      </c>
      <c r="B2839" t="s">
        <v>5501</v>
      </c>
      <c r="C2839">
        <v>0.0</v>
      </c>
      <c r="D2839" t="s">
        <v>310</v>
      </c>
      <c r="E2839" t="s">
        <v>311</v>
      </c>
    </row>
    <row r="2840">
      <c r="A2840" s="232" t="s">
        <v>5502</v>
      </c>
      <c r="B2840" t="s">
        <v>5503</v>
      </c>
      <c r="C2840">
        <v>0.0</v>
      </c>
      <c r="D2840" t="s">
        <v>310</v>
      </c>
      <c r="E2840" t="s">
        <v>311</v>
      </c>
    </row>
    <row r="2841">
      <c r="A2841" s="232" t="s">
        <v>5504</v>
      </c>
      <c r="B2841" t="s">
        <v>5505</v>
      </c>
      <c r="C2841">
        <v>956.0</v>
      </c>
      <c r="D2841" t="s">
        <v>330</v>
      </c>
      <c r="E2841" t="s">
        <v>311</v>
      </c>
    </row>
    <row r="2842">
      <c r="A2842" s="232" t="s">
        <v>5506</v>
      </c>
      <c r="B2842" t="s">
        <v>5507</v>
      </c>
      <c r="C2842">
        <v>172.0</v>
      </c>
      <c r="D2842" t="s">
        <v>330</v>
      </c>
      <c r="E2842" t="s">
        <v>311</v>
      </c>
    </row>
    <row r="2843">
      <c r="A2843" s="232" t="s">
        <v>5508</v>
      </c>
      <c r="B2843" t="s">
        <v>5509</v>
      </c>
      <c r="C2843">
        <v>463.0</v>
      </c>
      <c r="D2843" t="s">
        <v>330</v>
      </c>
      <c r="E2843" t="s">
        <v>311</v>
      </c>
    </row>
    <row r="2844">
      <c r="A2844" s="232" t="s">
        <v>5510</v>
      </c>
      <c r="B2844" t="s">
        <v>5511</v>
      </c>
      <c r="C2844">
        <v>0.0</v>
      </c>
      <c r="D2844" t="s">
        <v>310</v>
      </c>
      <c r="E2844" t="s">
        <v>311</v>
      </c>
    </row>
    <row r="2845">
      <c r="A2845" s="232" t="s">
        <v>5512</v>
      </c>
      <c r="B2845" t="s">
        <v>5513</v>
      </c>
      <c r="C2845">
        <v>236.0</v>
      </c>
      <c r="D2845" t="s">
        <v>330</v>
      </c>
      <c r="E2845" t="s">
        <v>311</v>
      </c>
    </row>
    <row r="2846">
      <c r="A2846" s="232" t="s">
        <v>5514</v>
      </c>
      <c r="B2846" t="s">
        <v>5515</v>
      </c>
      <c r="C2846">
        <v>-48.0</v>
      </c>
      <c r="D2846" t="s">
        <v>330</v>
      </c>
      <c r="E2846" t="s">
        <v>311</v>
      </c>
    </row>
    <row r="2847">
      <c r="A2847" s="232" t="s">
        <v>5516</v>
      </c>
      <c r="B2847" t="s">
        <v>5517</v>
      </c>
      <c r="C2847">
        <v>-52.0</v>
      </c>
      <c r="D2847" t="s">
        <v>330</v>
      </c>
      <c r="E2847" t="s">
        <v>311</v>
      </c>
    </row>
    <row r="2848">
      <c r="A2848" s="232" t="s">
        <v>5518</v>
      </c>
      <c r="B2848" t="s">
        <v>5519</v>
      </c>
      <c r="C2848">
        <v>-84.0</v>
      </c>
      <c r="D2848" t="s">
        <v>330</v>
      </c>
      <c r="E2848" t="s">
        <v>311</v>
      </c>
    </row>
    <row r="2849">
      <c r="A2849" s="232" t="s">
        <v>5520</v>
      </c>
      <c r="B2849" t="s">
        <v>5521</v>
      </c>
      <c r="C2849">
        <v>0.0</v>
      </c>
      <c r="D2849" t="s">
        <v>310</v>
      </c>
      <c r="E2849" t="s">
        <v>311</v>
      </c>
    </row>
    <row r="2850">
      <c r="A2850" s="232" t="s">
        <v>5522</v>
      </c>
      <c r="B2850" t="s">
        <v>5523</v>
      </c>
      <c r="C2850">
        <v>-68.0</v>
      </c>
      <c r="D2850" t="s">
        <v>330</v>
      </c>
      <c r="E2850" t="s">
        <v>311</v>
      </c>
    </row>
    <row r="2851">
      <c r="A2851" s="232" t="s">
        <v>5524</v>
      </c>
      <c r="B2851" t="s">
        <v>5525</v>
      </c>
      <c r="C2851">
        <v>0.0</v>
      </c>
      <c r="D2851" t="s">
        <v>330</v>
      </c>
      <c r="E2851" t="s">
        <v>311</v>
      </c>
    </row>
    <row r="2852">
      <c r="A2852" s="232" t="s">
        <v>5526</v>
      </c>
      <c r="B2852" t="s">
        <v>5527</v>
      </c>
      <c r="C2852">
        <v>-76.0</v>
      </c>
      <c r="D2852" t="s">
        <v>330</v>
      </c>
      <c r="E2852" t="s">
        <v>311</v>
      </c>
    </row>
    <row r="2853">
      <c r="A2853" s="232" t="s">
        <v>5528</v>
      </c>
      <c r="B2853" t="s">
        <v>5529</v>
      </c>
      <c r="C2853">
        <v>-41.0</v>
      </c>
      <c r="D2853" t="s">
        <v>330</v>
      </c>
      <c r="E2853" t="s">
        <v>311</v>
      </c>
    </row>
    <row r="2854">
      <c r="A2854" s="232" t="s">
        <v>5530</v>
      </c>
      <c r="B2854" t="s">
        <v>5531</v>
      </c>
      <c r="C2854">
        <v>64.0</v>
      </c>
      <c r="D2854" t="s">
        <v>330</v>
      </c>
      <c r="E2854" t="s">
        <v>311</v>
      </c>
    </row>
    <row r="2855">
      <c r="A2855" s="232" t="s">
        <v>5532</v>
      </c>
      <c r="B2855" t="s">
        <v>5533</v>
      </c>
      <c r="C2855">
        <v>449.0</v>
      </c>
      <c r="D2855" t="s">
        <v>330</v>
      </c>
      <c r="E2855" t="s">
        <v>311</v>
      </c>
    </row>
    <row r="2856">
      <c r="A2856" s="232" t="s">
        <v>5534</v>
      </c>
      <c r="B2856" t="s">
        <v>5535</v>
      </c>
      <c r="C2856">
        <v>227.0</v>
      </c>
      <c r="D2856" t="s">
        <v>330</v>
      </c>
      <c r="E2856" t="s">
        <v>311</v>
      </c>
    </row>
    <row r="2857">
      <c r="A2857" s="232" t="s">
        <v>5536</v>
      </c>
      <c r="B2857" t="s">
        <v>5537</v>
      </c>
      <c r="C2857">
        <v>259.0</v>
      </c>
      <c r="D2857" t="s">
        <v>330</v>
      </c>
      <c r="E2857" t="s">
        <v>311</v>
      </c>
    </row>
    <row r="2858">
      <c r="A2858" s="232" t="s">
        <v>5538</v>
      </c>
      <c r="B2858" t="s">
        <v>5539</v>
      </c>
      <c r="C2858">
        <v>414.0</v>
      </c>
      <c r="D2858" t="s">
        <v>330</v>
      </c>
      <c r="E2858" t="s">
        <v>311</v>
      </c>
    </row>
    <row r="2859">
      <c r="A2859" s="232" t="s">
        <v>5540</v>
      </c>
      <c r="B2859" t="s">
        <v>5541</v>
      </c>
      <c r="C2859">
        <v>0.0</v>
      </c>
      <c r="D2859" t="s">
        <v>310</v>
      </c>
      <c r="E2859" t="s">
        <v>311</v>
      </c>
    </row>
    <row r="2860">
      <c r="A2860" s="232" t="s">
        <v>5542</v>
      </c>
      <c r="B2860" t="s">
        <v>5543</v>
      </c>
      <c r="C2860">
        <v>0.0</v>
      </c>
      <c r="D2860" t="s">
        <v>310</v>
      </c>
      <c r="E2860" t="s">
        <v>311</v>
      </c>
    </row>
    <row r="2861">
      <c r="A2861" s="232" t="s">
        <v>5544</v>
      </c>
      <c r="B2861" t="s">
        <v>5545</v>
      </c>
      <c r="C2861">
        <v>0.0</v>
      </c>
      <c r="D2861" t="s">
        <v>310</v>
      </c>
      <c r="E2861" t="s">
        <v>311</v>
      </c>
    </row>
    <row r="2862">
      <c r="A2862" s="232" t="s">
        <v>5546</v>
      </c>
      <c r="B2862" t="s">
        <v>5547</v>
      </c>
      <c r="C2862">
        <v>0.0</v>
      </c>
      <c r="D2862" t="s">
        <v>310</v>
      </c>
      <c r="E2862" t="s">
        <v>311</v>
      </c>
    </row>
    <row r="2863">
      <c r="A2863" s="232" t="s">
        <v>5548</v>
      </c>
      <c r="B2863" t="s">
        <v>5549</v>
      </c>
      <c r="C2863">
        <v>0.0</v>
      </c>
      <c r="D2863" t="s">
        <v>310</v>
      </c>
      <c r="E2863" t="s">
        <v>311</v>
      </c>
    </row>
    <row r="2864">
      <c r="A2864" s="232" t="s">
        <v>5550</v>
      </c>
      <c r="B2864" t="s">
        <v>5551</v>
      </c>
      <c r="C2864">
        <v>237.0</v>
      </c>
      <c r="D2864" t="s">
        <v>330</v>
      </c>
      <c r="E2864" t="s">
        <v>311</v>
      </c>
    </row>
    <row r="2865">
      <c r="A2865" s="232" t="s">
        <v>5552</v>
      </c>
      <c r="B2865" t="s">
        <v>5553</v>
      </c>
      <c r="C2865">
        <v>0.0</v>
      </c>
      <c r="D2865" t="s">
        <v>310</v>
      </c>
      <c r="E2865" t="s">
        <v>311</v>
      </c>
    </row>
    <row r="2866">
      <c r="A2866" s="232" t="s">
        <v>5554</v>
      </c>
      <c r="B2866" t="s">
        <v>5555</v>
      </c>
      <c r="C2866">
        <v>0.0</v>
      </c>
      <c r="D2866" t="s">
        <v>310</v>
      </c>
      <c r="E2866" t="s">
        <v>311</v>
      </c>
    </row>
    <row r="2867">
      <c r="A2867" s="232" t="s">
        <v>5556</v>
      </c>
      <c r="B2867" t="s">
        <v>5557</v>
      </c>
      <c r="C2867">
        <v>432.0</v>
      </c>
      <c r="D2867" t="s">
        <v>330</v>
      </c>
      <c r="E2867" t="s">
        <v>311</v>
      </c>
    </row>
    <row r="2868">
      <c r="A2868" s="232" t="s">
        <v>5558</v>
      </c>
      <c r="B2868" t="s">
        <v>5559</v>
      </c>
      <c r="C2868">
        <v>-45.0</v>
      </c>
      <c r="D2868" t="s">
        <v>330</v>
      </c>
      <c r="E2868" t="s">
        <v>311</v>
      </c>
    </row>
    <row r="2869">
      <c r="A2869" s="232" t="s">
        <v>5560</v>
      </c>
      <c r="B2869" t="s">
        <v>5561</v>
      </c>
      <c r="C2869">
        <v>140.0</v>
      </c>
      <c r="D2869" t="s">
        <v>330</v>
      </c>
      <c r="E2869" t="s">
        <v>311</v>
      </c>
    </row>
    <row r="2870">
      <c r="A2870" s="232" t="s">
        <v>5562</v>
      </c>
      <c r="B2870" t="s">
        <v>5563</v>
      </c>
      <c r="C2870">
        <v>143.0</v>
      </c>
      <c r="D2870" t="s">
        <v>330</v>
      </c>
      <c r="E2870" t="s">
        <v>311</v>
      </c>
    </row>
    <row r="2871">
      <c r="A2871" s="232" t="s">
        <v>5564</v>
      </c>
      <c r="B2871" t="s">
        <v>5565</v>
      </c>
      <c r="C2871">
        <v>112.0</v>
      </c>
      <c r="D2871" t="s">
        <v>330</v>
      </c>
      <c r="E2871" t="s">
        <v>311</v>
      </c>
    </row>
    <row r="2872">
      <c r="A2872" s="232" t="s">
        <v>5566</v>
      </c>
      <c r="B2872" t="s">
        <v>5567</v>
      </c>
      <c r="C2872">
        <v>0.0</v>
      </c>
      <c r="D2872" t="s">
        <v>310</v>
      </c>
      <c r="E2872" t="s">
        <v>311</v>
      </c>
    </row>
    <row r="2873">
      <c r="A2873" s="232" t="s">
        <v>5568</v>
      </c>
      <c r="B2873" t="s">
        <v>5569</v>
      </c>
      <c r="C2873">
        <v>0.0</v>
      </c>
      <c r="D2873" t="s">
        <v>310</v>
      </c>
      <c r="E2873" t="s">
        <v>311</v>
      </c>
    </row>
    <row r="2874">
      <c r="A2874" s="232" t="s">
        <v>5570</v>
      </c>
      <c r="B2874" t="s">
        <v>5571</v>
      </c>
      <c r="C2874">
        <v>3.0</v>
      </c>
      <c r="D2874" t="s">
        <v>330</v>
      </c>
      <c r="E2874" t="s">
        <v>311</v>
      </c>
    </row>
    <row r="2875">
      <c r="A2875" s="232" t="s">
        <v>5572</v>
      </c>
      <c r="B2875" t="s">
        <v>5573</v>
      </c>
      <c r="C2875">
        <v>0.0</v>
      </c>
      <c r="D2875" t="s">
        <v>310</v>
      </c>
      <c r="E2875" t="s">
        <v>311</v>
      </c>
    </row>
    <row r="2876">
      <c r="A2876" s="232" t="s">
        <v>5574</v>
      </c>
      <c r="B2876" t="s">
        <v>5575</v>
      </c>
      <c r="C2876">
        <v>0.0</v>
      </c>
      <c r="D2876" t="s">
        <v>310</v>
      </c>
      <c r="E2876" t="s">
        <v>311</v>
      </c>
    </row>
    <row r="2877">
      <c r="A2877" s="232" t="s">
        <v>5576</v>
      </c>
      <c r="B2877" t="s">
        <v>5577</v>
      </c>
      <c r="C2877">
        <v>0.0</v>
      </c>
      <c r="D2877" t="s">
        <v>310</v>
      </c>
      <c r="E2877" t="s">
        <v>311</v>
      </c>
    </row>
    <row r="2878">
      <c r="A2878" s="232" t="s">
        <v>5578</v>
      </c>
      <c r="B2878" t="s">
        <v>5579</v>
      </c>
      <c r="C2878">
        <v>2.0</v>
      </c>
      <c r="D2878" t="s">
        <v>330</v>
      </c>
      <c r="E2878" t="s">
        <v>311</v>
      </c>
    </row>
    <row r="2879">
      <c r="A2879" s="232" t="s">
        <v>5580</v>
      </c>
      <c r="B2879" t="s">
        <v>5581</v>
      </c>
      <c r="C2879">
        <v>0.0</v>
      </c>
      <c r="D2879" t="s">
        <v>310</v>
      </c>
      <c r="E2879" t="s">
        <v>311</v>
      </c>
    </row>
    <row r="2880">
      <c r="A2880" s="232" t="s">
        <v>5582</v>
      </c>
      <c r="B2880" t="s">
        <v>5583</v>
      </c>
      <c r="C2880">
        <v>0.0</v>
      </c>
      <c r="D2880" t="s">
        <v>310</v>
      </c>
      <c r="E2880" t="s">
        <v>311</v>
      </c>
    </row>
    <row r="2881">
      <c r="A2881" s="232" t="s">
        <v>5584</v>
      </c>
      <c r="B2881" t="s">
        <v>5585</v>
      </c>
      <c r="C2881">
        <v>1.0</v>
      </c>
      <c r="D2881" t="s">
        <v>330</v>
      </c>
      <c r="E2881" t="s">
        <v>311</v>
      </c>
    </row>
    <row r="2882">
      <c r="A2882" s="232" t="s">
        <v>5586</v>
      </c>
      <c r="B2882" t="s">
        <v>5587</v>
      </c>
      <c r="C2882">
        <v>0.0</v>
      </c>
      <c r="D2882" t="s">
        <v>310</v>
      </c>
      <c r="E2882" t="s">
        <v>311</v>
      </c>
    </row>
    <row r="2883">
      <c r="A2883" s="232" t="s">
        <v>5588</v>
      </c>
      <c r="B2883" t="s">
        <v>5589</v>
      </c>
      <c r="C2883">
        <v>0.0</v>
      </c>
      <c r="D2883" t="s">
        <v>310</v>
      </c>
      <c r="E2883" t="s">
        <v>311</v>
      </c>
    </row>
    <row r="2884">
      <c r="A2884" s="232" t="s">
        <v>5590</v>
      </c>
      <c r="B2884" t="s">
        <v>5591</v>
      </c>
      <c r="C2884">
        <v>0.0</v>
      </c>
      <c r="D2884" t="s">
        <v>330</v>
      </c>
      <c r="E2884" t="s">
        <v>311</v>
      </c>
    </row>
    <row r="2885">
      <c r="A2885" s="232" t="s">
        <v>5592</v>
      </c>
      <c r="B2885" t="s">
        <v>5593</v>
      </c>
      <c r="C2885">
        <v>2.0</v>
      </c>
      <c r="D2885" t="s">
        <v>330</v>
      </c>
      <c r="E2885" t="s">
        <v>311</v>
      </c>
    </row>
    <row r="2886">
      <c r="A2886" s="232" t="s">
        <v>5594</v>
      </c>
      <c r="B2886" t="s">
        <v>5595</v>
      </c>
      <c r="C2886">
        <v>1.0</v>
      </c>
      <c r="D2886" t="s">
        <v>330</v>
      </c>
      <c r="E2886" t="s">
        <v>311</v>
      </c>
    </row>
    <row r="2887">
      <c r="A2887" s="232" t="s">
        <v>5596</v>
      </c>
      <c r="B2887" t="s">
        <v>5597</v>
      </c>
      <c r="C2887">
        <v>0.0</v>
      </c>
      <c r="D2887" t="s">
        <v>310</v>
      </c>
      <c r="E2887" t="s">
        <v>311</v>
      </c>
    </row>
    <row r="2888">
      <c r="A2888" s="232" t="s">
        <v>5598</v>
      </c>
      <c r="B2888" t="s">
        <v>5599</v>
      </c>
      <c r="C2888">
        <v>0.0</v>
      </c>
      <c r="D2888" t="s">
        <v>330</v>
      </c>
      <c r="E2888" t="s">
        <v>311</v>
      </c>
    </row>
    <row r="2889">
      <c r="A2889" s="232" t="s">
        <v>5600</v>
      </c>
      <c r="B2889" t="s">
        <v>5601</v>
      </c>
      <c r="C2889">
        <v>-2.0</v>
      </c>
      <c r="D2889" t="s">
        <v>330</v>
      </c>
      <c r="E2889" t="s">
        <v>311</v>
      </c>
    </row>
    <row r="2890">
      <c r="A2890" s="232" t="s">
        <v>5602</v>
      </c>
      <c r="B2890" t="s">
        <v>5603</v>
      </c>
      <c r="C2890">
        <v>0.0</v>
      </c>
      <c r="D2890" t="s">
        <v>330</v>
      </c>
      <c r="E2890" t="s">
        <v>311</v>
      </c>
    </row>
    <row r="2891">
      <c r="A2891" s="232" t="s">
        <v>5604</v>
      </c>
      <c r="B2891" t="s">
        <v>5605</v>
      </c>
      <c r="C2891">
        <v>-2.0</v>
      </c>
      <c r="D2891" t="s">
        <v>330</v>
      </c>
      <c r="E2891" t="s">
        <v>311</v>
      </c>
    </row>
    <row r="2892">
      <c r="A2892" s="232">
        <v>5111.0</v>
      </c>
      <c r="B2892" t="s">
        <v>5606</v>
      </c>
      <c r="C2892">
        <v>0.0</v>
      </c>
      <c r="D2892" t="s">
        <v>310</v>
      </c>
      <c r="E2892" t="s">
        <v>311</v>
      </c>
    </row>
    <row r="2893">
      <c r="A2893" s="232">
        <v>5107.0</v>
      </c>
      <c r="B2893" t="s">
        <v>5607</v>
      </c>
      <c r="C2893">
        <v>0.0</v>
      </c>
      <c r="D2893" t="s">
        <v>310</v>
      </c>
      <c r="E2893" t="s">
        <v>311</v>
      </c>
    </row>
    <row r="2894">
      <c r="A2894" s="232">
        <v>5113.0</v>
      </c>
      <c r="B2894" t="s">
        <v>5608</v>
      </c>
      <c r="C2894">
        <v>0.0</v>
      </c>
      <c r="D2894" t="s">
        <v>310</v>
      </c>
      <c r="E2894" t="s">
        <v>311</v>
      </c>
    </row>
    <row r="2895">
      <c r="A2895" s="232">
        <v>5102.0</v>
      </c>
      <c r="B2895" t="s">
        <v>5609</v>
      </c>
      <c r="C2895">
        <v>0.0</v>
      </c>
      <c r="D2895" t="s">
        <v>310</v>
      </c>
      <c r="E2895" t="s">
        <v>311</v>
      </c>
    </row>
    <row r="2896">
      <c r="A2896" s="232">
        <v>5101.0</v>
      </c>
      <c r="B2896" t="s">
        <v>5610</v>
      </c>
      <c r="C2896">
        <v>0.0</v>
      </c>
      <c r="D2896" t="s">
        <v>310</v>
      </c>
      <c r="E2896" t="s">
        <v>311</v>
      </c>
    </row>
    <row r="2897">
      <c r="A2897" s="232">
        <v>5108.0</v>
      </c>
      <c r="B2897" t="s">
        <v>5611</v>
      </c>
      <c r="C2897">
        <v>0.0</v>
      </c>
      <c r="D2897" t="s">
        <v>310</v>
      </c>
      <c r="E2897" t="s">
        <v>311</v>
      </c>
    </row>
    <row r="2898">
      <c r="A2898" s="232">
        <v>5115.0</v>
      </c>
      <c r="B2898" t="s">
        <v>5612</v>
      </c>
      <c r="C2898">
        <v>0.0</v>
      </c>
      <c r="D2898" t="s">
        <v>310</v>
      </c>
      <c r="E2898" t="s">
        <v>311</v>
      </c>
    </row>
    <row r="2899">
      <c r="A2899" s="232">
        <v>5109.0</v>
      </c>
      <c r="B2899" t="s">
        <v>5613</v>
      </c>
      <c r="C2899">
        <v>0.0</v>
      </c>
      <c r="D2899" t="s">
        <v>310</v>
      </c>
      <c r="E2899" t="s">
        <v>311</v>
      </c>
    </row>
    <row r="2900">
      <c r="A2900" s="232">
        <v>5103.0</v>
      </c>
      <c r="B2900" t="s">
        <v>5614</v>
      </c>
      <c r="C2900">
        <v>0.0</v>
      </c>
      <c r="D2900" t="s">
        <v>310</v>
      </c>
      <c r="E2900" t="s">
        <v>311</v>
      </c>
    </row>
    <row r="2901">
      <c r="A2901" s="232" t="s">
        <v>5615</v>
      </c>
      <c r="B2901" t="s">
        <v>5616</v>
      </c>
      <c r="C2901">
        <v>0.0</v>
      </c>
      <c r="D2901" t="s">
        <v>310</v>
      </c>
      <c r="E2901" t="s">
        <v>311</v>
      </c>
    </row>
    <row r="2902">
      <c r="A2902" s="232" t="s">
        <v>5617</v>
      </c>
      <c r="B2902" t="s">
        <v>5618</v>
      </c>
      <c r="C2902">
        <v>0.0</v>
      </c>
      <c r="D2902" t="s">
        <v>310</v>
      </c>
      <c r="E2902" t="s">
        <v>311</v>
      </c>
    </row>
    <row r="2903">
      <c r="A2903" s="232" t="s">
        <v>5619</v>
      </c>
      <c r="B2903" t="s">
        <v>5620</v>
      </c>
      <c r="C2903">
        <v>0.0</v>
      </c>
      <c r="D2903" t="s">
        <v>330</v>
      </c>
      <c r="E2903" t="s">
        <v>311</v>
      </c>
    </row>
    <row r="2904">
      <c r="A2904" s="232" t="s">
        <v>5621</v>
      </c>
      <c r="B2904" t="s">
        <v>5622</v>
      </c>
      <c r="C2904">
        <v>0.0</v>
      </c>
      <c r="D2904" t="s">
        <v>330</v>
      </c>
      <c r="E2904" t="s">
        <v>311</v>
      </c>
    </row>
    <row r="2905">
      <c r="A2905" s="232" t="s">
        <v>5623</v>
      </c>
      <c r="B2905" t="s">
        <v>5624</v>
      </c>
      <c r="C2905">
        <v>0.0</v>
      </c>
      <c r="D2905" t="s">
        <v>330</v>
      </c>
      <c r="E2905" t="s">
        <v>311</v>
      </c>
    </row>
    <row r="2906">
      <c r="A2906" s="232" t="s">
        <v>5625</v>
      </c>
      <c r="B2906" t="s">
        <v>5626</v>
      </c>
      <c r="C2906">
        <v>0.0</v>
      </c>
      <c r="D2906" t="s">
        <v>330</v>
      </c>
      <c r="E2906" t="s">
        <v>311</v>
      </c>
    </row>
    <row r="2907">
      <c r="A2907" s="232" t="s">
        <v>5627</v>
      </c>
      <c r="B2907" t="s">
        <v>5628</v>
      </c>
      <c r="C2907">
        <v>0.0</v>
      </c>
      <c r="D2907" t="s">
        <v>330</v>
      </c>
      <c r="E2907" t="s">
        <v>311</v>
      </c>
    </row>
    <row r="2908">
      <c r="A2908" s="232" t="s">
        <v>5629</v>
      </c>
      <c r="B2908" t="s">
        <v>5630</v>
      </c>
      <c r="C2908">
        <v>0.0</v>
      </c>
      <c r="D2908" t="s">
        <v>330</v>
      </c>
      <c r="E2908" t="s">
        <v>311</v>
      </c>
    </row>
    <row r="2909">
      <c r="A2909" s="232" t="s">
        <v>5631</v>
      </c>
      <c r="B2909" t="s">
        <v>5632</v>
      </c>
      <c r="C2909">
        <v>0.0</v>
      </c>
      <c r="D2909" t="s">
        <v>310</v>
      </c>
      <c r="E2909" t="s">
        <v>311</v>
      </c>
    </row>
    <row r="2910">
      <c r="A2910" s="232" t="s">
        <v>5633</v>
      </c>
      <c r="B2910" t="s">
        <v>5634</v>
      </c>
      <c r="C2910">
        <v>0.0</v>
      </c>
      <c r="D2910" t="s">
        <v>330</v>
      </c>
      <c r="E2910" t="s">
        <v>565</v>
      </c>
    </row>
    <row r="2911">
      <c r="A2911" s="232" t="s">
        <v>5635</v>
      </c>
      <c r="B2911" t="s">
        <v>5636</v>
      </c>
      <c r="C2911">
        <v>402.0</v>
      </c>
      <c r="D2911" t="s">
        <v>330</v>
      </c>
      <c r="E2911" t="s">
        <v>311</v>
      </c>
    </row>
    <row r="2912">
      <c r="A2912" s="232" t="s">
        <v>5637</v>
      </c>
      <c r="B2912" t="s">
        <v>5638</v>
      </c>
      <c r="C2912">
        <v>-51.0</v>
      </c>
      <c r="D2912" t="s">
        <v>330</v>
      </c>
      <c r="E2912" t="s">
        <v>311</v>
      </c>
    </row>
    <row r="2913">
      <c r="A2913" s="232" t="s">
        <v>5639</v>
      </c>
      <c r="B2913" t="s">
        <v>5640</v>
      </c>
      <c r="C2913">
        <v>878.0</v>
      </c>
      <c r="D2913" t="s">
        <v>330</v>
      </c>
      <c r="E2913" t="s">
        <v>311</v>
      </c>
    </row>
    <row r="2914">
      <c r="A2914" s="232" t="s">
        <v>5641</v>
      </c>
      <c r="B2914" t="s">
        <v>5642</v>
      </c>
      <c r="C2914">
        <v>980.0</v>
      </c>
      <c r="D2914" t="s">
        <v>330</v>
      </c>
      <c r="E2914" t="s">
        <v>311</v>
      </c>
    </row>
    <row r="2915">
      <c r="A2915" s="232" t="s">
        <v>5643</v>
      </c>
      <c r="B2915" t="s">
        <v>5644</v>
      </c>
      <c r="C2915">
        <v>26.0</v>
      </c>
      <c r="D2915" t="s">
        <v>330</v>
      </c>
      <c r="E2915" t="s">
        <v>311</v>
      </c>
    </row>
    <row r="2916">
      <c r="A2916" s="232" t="s">
        <v>5645</v>
      </c>
      <c r="B2916" t="s">
        <v>5646</v>
      </c>
      <c r="C2916">
        <v>629.0</v>
      </c>
      <c r="D2916" t="s">
        <v>330</v>
      </c>
      <c r="E2916" t="s">
        <v>311</v>
      </c>
    </row>
    <row r="2917">
      <c r="A2917" s="232" t="s">
        <v>5647</v>
      </c>
      <c r="B2917" t="s">
        <v>5648</v>
      </c>
      <c r="C2917">
        <v>-75.0</v>
      </c>
      <c r="D2917" t="s">
        <v>330</v>
      </c>
      <c r="E2917" t="s">
        <v>311</v>
      </c>
    </row>
    <row r="2918">
      <c r="A2918" s="232" t="s">
        <v>5649</v>
      </c>
      <c r="B2918" t="s">
        <v>5650</v>
      </c>
      <c r="C2918">
        <v>89.0</v>
      </c>
      <c r="D2918" t="s">
        <v>330</v>
      </c>
      <c r="E2918" t="s">
        <v>311</v>
      </c>
    </row>
    <row r="2919">
      <c r="A2919" s="232" t="s">
        <v>5651</v>
      </c>
      <c r="B2919" t="s">
        <v>5652</v>
      </c>
      <c r="C2919">
        <v>74.0</v>
      </c>
      <c r="D2919" t="s">
        <v>330</v>
      </c>
      <c r="E2919" t="s">
        <v>311</v>
      </c>
    </row>
    <row r="2920">
      <c r="A2920" s="232" t="s">
        <v>5653</v>
      </c>
      <c r="B2920" t="s">
        <v>5654</v>
      </c>
      <c r="C2920">
        <v>344.0</v>
      </c>
      <c r="D2920" t="s">
        <v>330</v>
      </c>
      <c r="E2920" t="s">
        <v>311</v>
      </c>
    </row>
    <row r="2921">
      <c r="A2921" s="232" t="s">
        <v>5655</v>
      </c>
      <c r="B2921" t="s">
        <v>5656</v>
      </c>
      <c r="C2921">
        <v>685.0</v>
      </c>
      <c r="D2921" t="s">
        <v>330</v>
      </c>
      <c r="E2921" t="s">
        <v>311</v>
      </c>
    </row>
    <row r="2922">
      <c r="A2922" s="232" t="s">
        <v>5657</v>
      </c>
      <c r="B2922" t="s">
        <v>5658</v>
      </c>
      <c r="C2922">
        <v>356.0</v>
      </c>
      <c r="D2922" t="s">
        <v>330</v>
      </c>
      <c r="E2922" t="s">
        <v>311</v>
      </c>
    </row>
    <row r="2923">
      <c r="A2923" s="232" t="s">
        <v>5659</v>
      </c>
      <c r="B2923" t="s">
        <v>5660</v>
      </c>
      <c r="C2923">
        <v>2.0</v>
      </c>
      <c r="D2923" t="s">
        <v>330</v>
      </c>
      <c r="E2923" t="s">
        <v>311</v>
      </c>
    </row>
    <row r="2924">
      <c r="A2924" s="232" t="s">
        <v>5661</v>
      </c>
      <c r="B2924" t="s">
        <v>5662</v>
      </c>
      <c r="C2924">
        <v>5.0</v>
      </c>
      <c r="D2924" t="s">
        <v>330</v>
      </c>
      <c r="E2924" t="s">
        <v>565</v>
      </c>
    </row>
    <row r="2925">
      <c r="A2925" s="232" t="s">
        <v>5663</v>
      </c>
      <c r="B2925" t="s">
        <v>5664</v>
      </c>
      <c r="C2925">
        <v>1.0</v>
      </c>
      <c r="D2925" t="s">
        <v>330</v>
      </c>
      <c r="E2925" t="s">
        <v>565</v>
      </c>
    </row>
    <row r="2926">
      <c r="A2926" s="232" t="s">
        <v>5665</v>
      </c>
      <c r="B2926" t="s">
        <v>5666</v>
      </c>
      <c r="C2926">
        <v>0.0</v>
      </c>
      <c r="D2926" t="s">
        <v>330</v>
      </c>
      <c r="E2926" t="s">
        <v>565</v>
      </c>
    </row>
    <row r="2927">
      <c r="A2927" s="232" t="s">
        <v>5667</v>
      </c>
      <c r="B2927" t="s">
        <v>5668</v>
      </c>
      <c r="C2927">
        <v>0.0</v>
      </c>
      <c r="D2927" t="s">
        <v>330</v>
      </c>
      <c r="E2927" t="s">
        <v>311</v>
      </c>
    </row>
    <row r="2928">
      <c r="A2928" s="232" t="s">
        <v>5669</v>
      </c>
      <c r="B2928" t="s">
        <v>5670</v>
      </c>
      <c r="C2928">
        <v>295.0</v>
      </c>
      <c r="D2928" t="s">
        <v>330</v>
      </c>
      <c r="E2928" t="s">
        <v>311</v>
      </c>
    </row>
    <row r="2929">
      <c r="A2929" s="232" t="s">
        <v>5671</v>
      </c>
      <c r="B2929" t="s">
        <v>5672</v>
      </c>
      <c r="C2929">
        <v>324.0</v>
      </c>
      <c r="D2929" t="s">
        <v>330</v>
      </c>
      <c r="E2929" t="s">
        <v>311</v>
      </c>
    </row>
    <row r="2930">
      <c r="A2930" s="232" t="s">
        <v>5673</v>
      </c>
      <c r="B2930" t="s">
        <v>5674</v>
      </c>
      <c r="C2930">
        <v>372.0</v>
      </c>
      <c r="D2930" t="s">
        <v>330</v>
      </c>
      <c r="E2930" t="s">
        <v>311</v>
      </c>
    </row>
    <row r="2931">
      <c r="A2931" s="232" t="s">
        <v>5675</v>
      </c>
      <c r="B2931" t="s">
        <v>5676</v>
      </c>
      <c r="C2931">
        <v>339.0</v>
      </c>
      <c r="D2931" t="s">
        <v>330</v>
      </c>
      <c r="E2931" t="s">
        <v>311</v>
      </c>
    </row>
    <row r="2932">
      <c r="A2932" s="232" t="s">
        <v>5677</v>
      </c>
      <c r="B2932" t="s">
        <v>5678</v>
      </c>
      <c r="C2932">
        <v>110.0</v>
      </c>
      <c r="D2932" t="s">
        <v>330</v>
      </c>
      <c r="E2932" t="s">
        <v>311</v>
      </c>
    </row>
    <row r="2933">
      <c r="A2933" s="232" t="s">
        <v>5679</v>
      </c>
      <c r="B2933" t="s">
        <v>5680</v>
      </c>
      <c r="C2933">
        <v>315.0</v>
      </c>
      <c r="D2933" t="s">
        <v>330</v>
      </c>
      <c r="E2933" t="s">
        <v>311</v>
      </c>
    </row>
    <row r="2934">
      <c r="A2934" s="232" t="s">
        <v>5681</v>
      </c>
      <c r="B2934" t="s">
        <v>5682</v>
      </c>
      <c r="C2934">
        <v>418.0</v>
      </c>
      <c r="D2934" t="s">
        <v>330</v>
      </c>
      <c r="E2934" t="s">
        <v>565</v>
      </c>
    </row>
    <row r="2935">
      <c r="A2935" s="232" t="s">
        <v>5683</v>
      </c>
      <c r="B2935" t="s">
        <v>5684</v>
      </c>
      <c r="C2935">
        <v>232.0</v>
      </c>
      <c r="D2935" t="s">
        <v>330</v>
      </c>
      <c r="E2935" t="s">
        <v>565</v>
      </c>
    </row>
    <row r="2936">
      <c r="A2936" s="232" t="s">
        <v>5685</v>
      </c>
      <c r="B2936" t="s">
        <v>5686</v>
      </c>
      <c r="C2936">
        <v>0.0</v>
      </c>
      <c r="D2936" t="s">
        <v>310</v>
      </c>
      <c r="E2936" t="s">
        <v>311</v>
      </c>
    </row>
    <row r="2937">
      <c r="A2937" s="232" t="s">
        <v>5687</v>
      </c>
      <c r="B2937" t="s">
        <v>5688</v>
      </c>
      <c r="C2937">
        <v>0.0</v>
      </c>
      <c r="D2937" t="s">
        <v>310</v>
      </c>
      <c r="E2937" t="s">
        <v>311</v>
      </c>
    </row>
    <row r="2938">
      <c r="A2938" s="232" t="s">
        <v>5689</v>
      </c>
      <c r="B2938" t="s">
        <v>5690</v>
      </c>
      <c r="C2938">
        <v>0.0</v>
      </c>
      <c r="D2938" t="s">
        <v>310</v>
      </c>
      <c r="E2938" t="s">
        <v>311</v>
      </c>
    </row>
    <row r="2939">
      <c r="A2939" s="232" t="s">
        <v>5691</v>
      </c>
      <c r="B2939" t="s">
        <v>5692</v>
      </c>
      <c r="C2939">
        <v>0.0</v>
      </c>
      <c r="D2939" t="s">
        <v>310</v>
      </c>
      <c r="E2939" t="s">
        <v>311</v>
      </c>
    </row>
    <row r="2940">
      <c r="A2940" s="232" t="s">
        <v>5693</v>
      </c>
      <c r="B2940" t="s">
        <v>5694</v>
      </c>
      <c r="C2940">
        <v>0.0</v>
      </c>
      <c r="D2940" t="s">
        <v>310</v>
      </c>
      <c r="E2940" t="s">
        <v>311</v>
      </c>
    </row>
    <row r="2941">
      <c r="A2941" s="232" t="s">
        <v>5695</v>
      </c>
      <c r="B2941" t="s">
        <v>5696</v>
      </c>
      <c r="C2941">
        <v>0.0</v>
      </c>
      <c r="D2941" t="s">
        <v>310</v>
      </c>
      <c r="E2941" t="s">
        <v>311</v>
      </c>
    </row>
    <row r="2942">
      <c r="A2942" s="232" t="s">
        <v>5697</v>
      </c>
      <c r="B2942" t="s">
        <v>5698</v>
      </c>
      <c r="C2942">
        <v>0.0</v>
      </c>
      <c r="D2942" t="s">
        <v>310</v>
      </c>
      <c r="E2942" t="s">
        <v>311</v>
      </c>
    </row>
    <row r="2943">
      <c r="A2943" s="232" t="s">
        <v>5699</v>
      </c>
      <c r="B2943" t="s">
        <v>5700</v>
      </c>
      <c r="C2943">
        <v>0.0</v>
      </c>
      <c r="D2943" t="s">
        <v>310</v>
      </c>
      <c r="E2943" t="s">
        <v>311</v>
      </c>
    </row>
    <row r="2944">
      <c r="A2944" s="232" t="s">
        <v>5701</v>
      </c>
      <c r="B2944" t="s">
        <v>5702</v>
      </c>
      <c r="C2944">
        <v>0.0</v>
      </c>
      <c r="D2944" t="s">
        <v>310</v>
      </c>
      <c r="E2944" t="s">
        <v>311</v>
      </c>
    </row>
    <row r="2945">
      <c r="A2945" s="232" t="s">
        <v>5703</v>
      </c>
      <c r="B2945" t="s">
        <v>5704</v>
      </c>
      <c r="C2945">
        <v>0.0</v>
      </c>
      <c r="D2945" t="s">
        <v>310</v>
      </c>
      <c r="E2945" t="s">
        <v>311</v>
      </c>
    </row>
    <row r="2946">
      <c r="A2946" s="232" t="s">
        <v>5705</v>
      </c>
      <c r="B2946" t="s">
        <v>5706</v>
      </c>
      <c r="C2946">
        <v>-3.0</v>
      </c>
      <c r="D2946" t="s">
        <v>330</v>
      </c>
      <c r="E2946" t="s">
        <v>311</v>
      </c>
    </row>
    <row r="2947">
      <c r="A2947" s="232" t="s">
        <v>5707</v>
      </c>
      <c r="B2947" t="s">
        <v>5708</v>
      </c>
      <c r="C2947">
        <v>306.0</v>
      </c>
      <c r="D2947" t="s">
        <v>330</v>
      </c>
      <c r="E2947" t="s">
        <v>565</v>
      </c>
    </row>
    <row r="2948">
      <c r="A2948" s="232" t="s">
        <v>5709</v>
      </c>
      <c r="B2948" t="s">
        <v>5710</v>
      </c>
      <c r="C2948">
        <v>24.0</v>
      </c>
      <c r="D2948" t="s">
        <v>330</v>
      </c>
      <c r="E2948" t="s">
        <v>565</v>
      </c>
    </row>
    <row r="2949">
      <c r="A2949" s="232" t="s">
        <v>5711</v>
      </c>
      <c r="B2949" t="s">
        <v>5712</v>
      </c>
      <c r="C2949">
        <v>280.0</v>
      </c>
      <c r="D2949" t="s">
        <v>330</v>
      </c>
      <c r="E2949" t="s">
        <v>311</v>
      </c>
    </row>
    <row r="2950">
      <c r="A2950" s="232" t="s">
        <v>5713</v>
      </c>
      <c r="B2950" t="s">
        <v>5714</v>
      </c>
      <c r="C2950">
        <v>0.0</v>
      </c>
      <c r="D2950" t="s">
        <v>330</v>
      </c>
      <c r="E2950" t="s">
        <v>311</v>
      </c>
    </row>
    <row r="2951">
      <c r="A2951" s="232" t="s">
        <v>5715</v>
      </c>
      <c r="B2951" t="s">
        <v>5716</v>
      </c>
      <c r="C2951">
        <v>0.0</v>
      </c>
      <c r="D2951" t="s">
        <v>310</v>
      </c>
      <c r="E2951" t="s">
        <v>311</v>
      </c>
    </row>
    <row r="2952">
      <c r="A2952" s="232" t="s">
        <v>5717</v>
      </c>
      <c r="B2952" t="s">
        <v>5718</v>
      </c>
      <c r="C2952">
        <v>0.0</v>
      </c>
      <c r="D2952" t="s">
        <v>310</v>
      </c>
      <c r="E2952" t="s">
        <v>311</v>
      </c>
    </row>
    <row r="2953">
      <c r="A2953" s="232" t="s">
        <v>5719</v>
      </c>
      <c r="B2953" t="s">
        <v>5720</v>
      </c>
      <c r="C2953">
        <v>152.0</v>
      </c>
      <c r="D2953" t="s">
        <v>330</v>
      </c>
      <c r="E2953" t="s">
        <v>311</v>
      </c>
    </row>
    <row r="2954">
      <c r="A2954" s="232" t="s">
        <v>5721</v>
      </c>
      <c r="B2954" t="s">
        <v>5722</v>
      </c>
      <c r="C2954">
        <v>0.0</v>
      </c>
      <c r="D2954" t="s">
        <v>310</v>
      </c>
      <c r="E2954" t="s">
        <v>311</v>
      </c>
    </row>
    <row r="2955">
      <c r="A2955" s="232" t="s">
        <v>5723</v>
      </c>
      <c r="B2955" t="s">
        <v>5724</v>
      </c>
      <c r="C2955">
        <v>0.0</v>
      </c>
      <c r="D2955" t="s">
        <v>310</v>
      </c>
      <c r="E2955" t="s">
        <v>311</v>
      </c>
    </row>
    <row r="2956">
      <c r="A2956" s="232" t="s">
        <v>5725</v>
      </c>
      <c r="B2956" t="s">
        <v>5726</v>
      </c>
      <c r="C2956">
        <v>80.0</v>
      </c>
      <c r="D2956" t="s">
        <v>330</v>
      </c>
      <c r="E2956" t="s">
        <v>311</v>
      </c>
    </row>
    <row r="2957">
      <c r="A2957" s="232" t="s">
        <v>5727</v>
      </c>
      <c r="B2957" t="s">
        <v>5728</v>
      </c>
      <c r="C2957">
        <v>0.0</v>
      </c>
      <c r="D2957" t="s">
        <v>310</v>
      </c>
      <c r="E2957" t="s">
        <v>311</v>
      </c>
    </row>
    <row r="2958">
      <c r="A2958" s="232" t="s">
        <v>5729</v>
      </c>
      <c r="B2958" t="s">
        <v>5730</v>
      </c>
      <c r="C2958">
        <v>123.0</v>
      </c>
      <c r="D2958" t="s">
        <v>330</v>
      </c>
      <c r="E2958" t="s">
        <v>311</v>
      </c>
    </row>
    <row r="2959">
      <c r="A2959" s="232" t="s">
        <v>5731</v>
      </c>
      <c r="B2959" t="s">
        <v>5732</v>
      </c>
      <c r="C2959">
        <v>163.0</v>
      </c>
      <c r="D2959" t="s">
        <v>330</v>
      </c>
      <c r="E2959" t="s">
        <v>311</v>
      </c>
    </row>
    <row r="2960">
      <c r="A2960" s="232" t="s">
        <v>5733</v>
      </c>
      <c r="B2960" t="s">
        <v>5734</v>
      </c>
      <c r="C2960">
        <v>11.0</v>
      </c>
      <c r="D2960" t="s">
        <v>330</v>
      </c>
      <c r="E2960" t="s">
        <v>311</v>
      </c>
    </row>
    <row r="2961">
      <c r="A2961" s="232" t="s">
        <v>5735</v>
      </c>
      <c r="B2961" t="s">
        <v>5736</v>
      </c>
      <c r="C2961">
        <v>70.0</v>
      </c>
      <c r="D2961" t="s">
        <v>330</v>
      </c>
      <c r="E2961" t="s">
        <v>311</v>
      </c>
    </row>
    <row r="2962">
      <c r="A2962" s="232" t="s">
        <v>5737</v>
      </c>
      <c r="B2962" t="s">
        <v>5738</v>
      </c>
      <c r="C2962">
        <v>256.0</v>
      </c>
      <c r="D2962" t="s">
        <v>330</v>
      </c>
      <c r="E2962" t="s">
        <v>311</v>
      </c>
    </row>
    <row r="2963">
      <c r="A2963" s="232" t="s">
        <v>5739</v>
      </c>
      <c r="B2963" t="s">
        <v>5740</v>
      </c>
      <c r="C2963">
        <v>2.0</v>
      </c>
      <c r="D2963" t="s">
        <v>330</v>
      </c>
      <c r="E2963" t="s">
        <v>565</v>
      </c>
    </row>
    <row r="2964">
      <c r="A2964" s="232" t="s">
        <v>5741</v>
      </c>
      <c r="B2964" t="s">
        <v>5742</v>
      </c>
      <c r="C2964">
        <v>0.0</v>
      </c>
      <c r="D2964" t="s">
        <v>310</v>
      </c>
      <c r="E2964" t="s">
        <v>565</v>
      </c>
    </row>
    <row r="2965">
      <c r="A2965" s="232" t="s">
        <v>5743</v>
      </c>
      <c r="B2965" t="s">
        <v>5744</v>
      </c>
      <c r="C2965">
        <v>0.0</v>
      </c>
      <c r="D2965" t="s">
        <v>310</v>
      </c>
      <c r="E2965" t="s">
        <v>565</v>
      </c>
    </row>
    <row r="2966">
      <c r="A2966" s="232" t="s">
        <v>5745</v>
      </c>
      <c r="B2966" t="s">
        <v>5746</v>
      </c>
      <c r="C2966">
        <v>2.0</v>
      </c>
      <c r="D2966" t="s">
        <v>310</v>
      </c>
      <c r="E2966" t="s">
        <v>565</v>
      </c>
    </row>
    <row r="2967">
      <c r="A2967" s="232" t="s">
        <v>5747</v>
      </c>
      <c r="B2967" t="s">
        <v>5748</v>
      </c>
      <c r="C2967">
        <v>0.0</v>
      </c>
      <c r="D2967" t="s">
        <v>310</v>
      </c>
      <c r="E2967" t="s">
        <v>311</v>
      </c>
    </row>
    <row r="2968">
      <c r="A2968" s="232" t="s">
        <v>5749</v>
      </c>
      <c r="B2968" t="s">
        <v>5750</v>
      </c>
      <c r="C2968">
        <v>0.0</v>
      </c>
      <c r="D2968" t="s">
        <v>310</v>
      </c>
      <c r="E2968" t="s">
        <v>311</v>
      </c>
    </row>
    <row r="2969">
      <c r="A2969" s="232" t="s">
        <v>5751</v>
      </c>
      <c r="B2969" t="s">
        <v>5752</v>
      </c>
      <c r="C2969">
        <v>0.0</v>
      </c>
      <c r="D2969" t="s">
        <v>310</v>
      </c>
      <c r="E2969" t="s">
        <v>311</v>
      </c>
    </row>
    <row r="2970">
      <c r="A2970" s="232" t="s">
        <v>5753</v>
      </c>
      <c r="B2970" t="s">
        <v>5754</v>
      </c>
      <c r="C2970">
        <v>0.0</v>
      </c>
      <c r="D2970" t="s">
        <v>310</v>
      </c>
      <c r="E2970" t="s">
        <v>311</v>
      </c>
    </row>
    <row r="2971">
      <c r="A2971" s="232" t="s">
        <v>5755</v>
      </c>
      <c r="B2971" t="s">
        <v>5756</v>
      </c>
      <c r="C2971">
        <v>0.0</v>
      </c>
      <c r="D2971" t="s">
        <v>310</v>
      </c>
      <c r="E2971" t="s">
        <v>311</v>
      </c>
    </row>
    <row r="2972">
      <c r="A2972" s="232" t="s">
        <v>5757</v>
      </c>
      <c r="B2972" t="s">
        <v>5758</v>
      </c>
      <c r="C2972">
        <v>0.0</v>
      </c>
      <c r="D2972" t="s">
        <v>310</v>
      </c>
      <c r="E2972" t="s">
        <v>311</v>
      </c>
    </row>
    <row r="2973">
      <c r="A2973" s="232" t="s">
        <v>5759</v>
      </c>
      <c r="B2973" t="s">
        <v>5760</v>
      </c>
      <c r="C2973">
        <v>0.0</v>
      </c>
      <c r="D2973" t="s">
        <v>310</v>
      </c>
      <c r="E2973" t="s">
        <v>311</v>
      </c>
    </row>
    <row r="2974">
      <c r="A2974" s="232" t="s">
        <v>5761</v>
      </c>
      <c r="B2974" t="s">
        <v>5762</v>
      </c>
      <c r="C2974">
        <v>0.0</v>
      </c>
      <c r="D2974" t="s">
        <v>310</v>
      </c>
      <c r="E2974" t="s">
        <v>311</v>
      </c>
    </row>
    <row r="2975">
      <c r="A2975" s="232" t="s">
        <v>5763</v>
      </c>
      <c r="B2975" t="s">
        <v>5764</v>
      </c>
      <c r="C2975">
        <v>0.0</v>
      </c>
      <c r="D2975" t="s">
        <v>310</v>
      </c>
      <c r="E2975" t="s">
        <v>311</v>
      </c>
    </row>
    <row r="2976">
      <c r="A2976" s="232" t="s">
        <v>5765</v>
      </c>
      <c r="B2976" t="s">
        <v>5766</v>
      </c>
      <c r="C2976">
        <v>0.0</v>
      </c>
      <c r="D2976" t="s">
        <v>310</v>
      </c>
      <c r="E2976" t="s">
        <v>311</v>
      </c>
    </row>
    <row r="2977">
      <c r="A2977" s="232" t="s">
        <v>5767</v>
      </c>
      <c r="B2977" t="s">
        <v>5768</v>
      </c>
      <c r="C2977">
        <v>0.0</v>
      </c>
      <c r="D2977" t="s">
        <v>310</v>
      </c>
      <c r="E2977" t="s">
        <v>311</v>
      </c>
    </row>
    <row r="2978">
      <c r="A2978" s="232" t="s">
        <v>5769</v>
      </c>
      <c r="B2978" t="s">
        <v>5770</v>
      </c>
      <c r="C2978">
        <v>259.0</v>
      </c>
      <c r="D2978" t="s">
        <v>330</v>
      </c>
      <c r="E2978" t="s">
        <v>311</v>
      </c>
    </row>
    <row r="2979">
      <c r="A2979" s="232" t="s">
        <v>5771</v>
      </c>
      <c r="B2979" t="s">
        <v>5772</v>
      </c>
      <c r="C2979">
        <v>258.0</v>
      </c>
      <c r="D2979" t="s">
        <v>330</v>
      </c>
      <c r="E2979" t="s">
        <v>311</v>
      </c>
    </row>
    <row r="2980">
      <c r="A2980" s="232" t="s">
        <v>5773</v>
      </c>
      <c r="B2980" t="s">
        <v>5774</v>
      </c>
      <c r="C2980">
        <v>0.0</v>
      </c>
      <c r="D2980" t="s">
        <v>310</v>
      </c>
      <c r="E2980" t="s">
        <v>311</v>
      </c>
    </row>
    <row r="2981">
      <c r="A2981" s="232" t="s">
        <v>5775</v>
      </c>
      <c r="B2981" t="s">
        <v>5776</v>
      </c>
      <c r="C2981">
        <v>26.0</v>
      </c>
      <c r="D2981" t="s">
        <v>330</v>
      </c>
      <c r="E2981" t="s">
        <v>311</v>
      </c>
    </row>
    <row r="2982">
      <c r="A2982" s="232" t="s">
        <v>5777</v>
      </c>
      <c r="B2982" t="s">
        <v>5778</v>
      </c>
      <c r="C2982">
        <v>-76.0</v>
      </c>
      <c r="D2982" t="s">
        <v>330</v>
      </c>
      <c r="E2982" t="s">
        <v>311</v>
      </c>
    </row>
    <row r="2983">
      <c r="A2983" s="232" t="s">
        <v>5779</v>
      </c>
      <c r="B2983" t="s">
        <v>5780</v>
      </c>
      <c r="C2983">
        <v>0.0</v>
      </c>
      <c r="D2983" t="s">
        <v>330</v>
      </c>
      <c r="E2983" t="s">
        <v>311</v>
      </c>
    </row>
    <row r="2984">
      <c r="A2984" s="232" t="s">
        <v>5781</v>
      </c>
      <c r="B2984" t="s">
        <v>5782</v>
      </c>
      <c r="C2984">
        <v>771.0</v>
      </c>
      <c r="D2984" t="s">
        <v>330</v>
      </c>
      <c r="E2984" t="s">
        <v>311</v>
      </c>
    </row>
    <row r="2985">
      <c r="A2985" s="232" t="s">
        <v>5783</v>
      </c>
      <c r="B2985" t="s">
        <v>5784</v>
      </c>
      <c r="C2985">
        <v>81.0</v>
      </c>
      <c r="D2985" t="s">
        <v>330</v>
      </c>
      <c r="E2985" t="s">
        <v>311</v>
      </c>
    </row>
    <row r="2986">
      <c r="A2986" s="232" t="s">
        <v>5785</v>
      </c>
      <c r="B2986" t="s">
        <v>5786</v>
      </c>
      <c r="C2986">
        <v>163.0</v>
      </c>
      <c r="D2986" t="s">
        <v>330</v>
      </c>
      <c r="E2986" t="s">
        <v>311</v>
      </c>
    </row>
    <row r="2987">
      <c r="A2987" s="232" t="s">
        <v>5787</v>
      </c>
      <c r="B2987" t="s">
        <v>5788</v>
      </c>
      <c r="C2987">
        <v>0.0</v>
      </c>
      <c r="D2987" t="s">
        <v>310</v>
      </c>
      <c r="E2987" t="s">
        <v>311</v>
      </c>
    </row>
    <row r="2988">
      <c r="A2988" s="232" t="s">
        <v>5789</v>
      </c>
      <c r="B2988" t="s">
        <v>5790</v>
      </c>
      <c r="C2988">
        <v>330.0</v>
      </c>
      <c r="D2988" t="s">
        <v>330</v>
      </c>
      <c r="E2988" t="s">
        <v>311</v>
      </c>
    </row>
    <row r="2989">
      <c r="A2989" s="232" t="s">
        <v>5791</v>
      </c>
      <c r="B2989" t="s">
        <v>5792</v>
      </c>
      <c r="C2989">
        <v>329.0</v>
      </c>
      <c r="D2989" t="s">
        <v>330</v>
      </c>
      <c r="E2989" t="s">
        <v>311</v>
      </c>
    </row>
    <row r="2990">
      <c r="A2990" s="232" t="s">
        <v>5793</v>
      </c>
      <c r="B2990" t="s">
        <v>5794</v>
      </c>
      <c r="C2990">
        <v>229.0</v>
      </c>
      <c r="D2990" t="s">
        <v>330</v>
      </c>
      <c r="E2990" t="s">
        <v>311</v>
      </c>
    </row>
    <row r="2991">
      <c r="A2991" s="232" t="s">
        <v>5795</v>
      </c>
      <c r="B2991" t="s">
        <v>5796</v>
      </c>
      <c r="C2991">
        <v>-92.0</v>
      </c>
      <c r="D2991" t="s">
        <v>330</v>
      </c>
      <c r="E2991" t="s">
        <v>311</v>
      </c>
    </row>
    <row r="2992">
      <c r="A2992" s="232" t="s">
        <v>5797</v>
      </c>
      <c r="B2992" t="s">
        <v>5798</v>
      </c>
      <c r="C2992">
        <v>0.0</v>
      </c>
      <c r="D2992" t="s">
        <v>310</v>
      </c>
      <c r="E2992" t="s">
        <v>311</v>
      </c>
    </row>
    <row r="2993">
      <c r="A2993" s="232" t="s">
        <v>5799</v>
      </c>
      <c r="B2993" t="s">
        <v>5800</v>
      </c>
      <c r="C2993">
        <v>0.0</v>
      </c>
      <c r="D2993" t="s">
        <v>310</v>
      </c>
      <c r="E2993" t="s">
        <v>311</v>
      </c>
    </row>
    <row r="2994">
      <c r="A2994" s="232" t="s">
        <v>5801</v>
      </c>
      <c r="B2994" t="s">
        <v>5802</v>
      </c>
      <c r="C2994">
        <v>0.0</v>
      </c>
      <c r="D2994" t="s">
        <v>310</v>
      </c>
      <c r="E2994" t="s">
        <v>311</v>
      </c>
    </row>
    <row r="2995">
      <c r="A2995" s="232" t="s">
        <v>5803</v>
      </c>
      <c r="B2995" t="s">
        <v>5804</v>
      </c>
      <c r="C2995">
        <v>221.0</v>
      </c>
      <c r="D2995" t="s">
        <v>330</v>
      </c>
      <c r="E2995" t="s">
        <v>311</v>
      </c>
    </row>
    <row r="2996">
      <c r="A2996" s="232" t="s">
        <v>5805</v>
      </c>
      <c r="B2996" t="s">
        <v>5806</v>
      </c>
      <c r="C2996">
        <v>772.0</v>
      </c>
      <c r="D2996" t="s">
        <v>330</v>
      </c>
      <c r="E2996" t="s">
        <v>311</v>
      </c>
    </row>
    <row r="2997">
      <c r="A2997" s="232" t="s">
        <v>5807</v>
      </c>
      <c r="B2997" t="s">
        <v>5808</v>
      </c>
      <c r="C2997">
        <v>330.0</v>
      </c>
      <c r="D2997" t="s">
        <v>330</v>
      </c>
      <c r="E2997" t="s">
        <v>311</v>
      </c>
    </row>
    <row r="2998">
      <c r="A2998" s="232" t="s">
        <v>5809</v>
      </c>
      <c r="B2998" t="s">
        <v>5810</v>
      </c>
      <c r="C2998">
        <v>76.0</v>
      </c>
      <c r="D2998" t="s">
        <v>330</v>
      </c>
      <c r="E2998" t="s">
        <v>311</v>
      </c>
    </row>
    <row r="2999">
      <c r="A2999" s="232" t="s">
        <v>5811</v>
      </c>
      <c r="B2999" t="s">
        <v>5812</v>
      </c>
      <c r="C2999">
        <v>346.0</v>
      </c>
      <c r="D2999" t="s">
        <v>330</v>
      </c>
      <c r="E2999" t="s">
        <v>311</v>
      </c>
    </row>
    <row r="3000">
      <c r="A3000" s="232" t="s">
        <v>5813</v>
      </c>
      <c r="B3000" t="s">
        <v>5814</v>
      </c>
      <c r="C3000">
        <v>0.0</v>
      </c>
      <c r="D3000" t="s">
        <v>310</v>
      </c>
      <c r="E3000" t="s">
        <v>311</v>
      </c>
    </row>
    <row r="3001">
      <c r="A3001" s="232" t="s">
        <v>5815</v>
      </c>
      <c r="B3001" t="s">
        <v>5816</v>
      </c>
      <c r="C3001">
        <v>0.0</v>
      </c>
      <c r="D3001" t="s">
        <v>310</v>
      </c>
      <c r="E3001" t="s">
        <v>311</v>
      </c>
    </row>
    <row r="3002">
      <c r="A3002" s="232" t="s">
        <v>5817</v>
      </c>
      <c r="B3002" t="s">
        <v>5818</v>
      </c>
      <c r="C3002">
        <v>1.0</v>
      </c>
      <c r="D3002" t="s">
        <v>330</v>
      </c>
      <c r="E3002" t="s">
        <v>311</v>
      </c>
    </row>
    <row r="3003">
      <c r="A3003" s="232" t="s">
        <v>5819</v>
      </c>
      <c r="B3003" t="s">
        <v>5820</v>
      </c>
      <c r="C3003">
        <v>0.0</v>
      </c>
      <c r="D3003" t="s">
        <v>330</v>
      </c>
      <c r="E3003" t="s">
        <v>311</v>
      </c>
    </row>
    <row r="3004">
      <c r="A3004" s="232" t="s">
        <v>5821</v>
      </c>
      <c r="B3004" t="s">
        <v>5822</v>
      </c>
      <c r="C3004">
        <v>0.0</v>
      </c>
      <c r="D3004" t="s">
        <v>330</v>
      </c>
      <c r="E3004" t="s">
        <v>311</v>
      </c>
    </row>
    <row r="3005">
      <c r="A3005" s="232" t="s">
        <v>5823</v>
      </c>
      <c r="B3005" t="s">
        <v>5824</v>
      </c>
      <c r="C3005">
        <v>0.0</v>
      </c>
      <c r="D3005" t="s">
        <v>330</v>
      </c>
      <c r="E3005" t="s">
        <v>311</v>
      </c>
    </row>
    <row r="3006">
      <c r="A3006" s="232" t="s">
        <v>5825</v>
      </c>
      <c r="B3006" t="s">
        <v>5826</v>
      </c>
      <c r="C3006">
        <v>0.0</v>
      </c>
      <c r="D3006" t="s">
        <v>330</v>
      </c>
      <c r="E3006" t="s">
        <v>311</v>
      </c>
    </row>
    <row r="3007">
      <c r="A3007" s="232" t="s">
        <v>5827</v>
      </c>
      <c r="B3007" t="s">
        <v>5828</v>
      </c>
      <c r="C3007">
        <v>3.0</v>
      </c>
      <c r="D3007" t="s">
        <v>330</v>
      </c>
      <c r="E3007" t="s">
        <v>565</v>
      </c>
    </row>
    <row r="3008">
      <c r="A3008" s="232" t="s">
        <v>5829</v>
      </c>
      <c r="B3008" t="s">
        <v>5830</v>
      </c>
      <c r="C3008">
        <v>3.0</v>
      </c>
      <c r="D3008" t="s">
        <v>330</v>
      </c>
      <c r="E3008" t="s">
        <v>565</v>
      </c>
    </row>
    <row r="3009">
      <c r="A3009" s="232" t="s">
        <v>5831</v>
      </c>
      <c r="B3009" t="s">
        <v>5832</v>
      </c>
      <c r="C3009">
        <v>500.0</v>
      </c>
      <c r="D3009" t="s">
        <v>330</v>
      </c>
      <c r="E3009" t="s">
        <v>311</v>
      </c>
    </row>
    <row r="3010">
      <c r="A3010" s="232" t="s">
        <v>5833</v>
      </c>
      <c r="B3010" t="s">
        <v>5834</v>
      </c>
      <c r="C3010">
        <v>500.0</v>
      </c>
      <c r="D3010" t="s">
        <v>330</v>
      </c>
      <c r="E3010" t="s">
        <v>311</v>
      </c>
    </row>
    <row r="3011">
      <c r="A3011" s="232" t="s">
        <v>5835</v>
      </c>
      <c r="B3011" t="s">
        <v>5836</v>
      </c>
      <c r="C3011">
        <v>500.0</v>
      </c>
      <c r="D3011" t="s">
        <v>330</v>
      </c>
      <c r="E3011" t="s">
        <v>311</v>
      </c>
    </row>
    <row r="3012">
      <c r="A3012" s="232" t="s">
        <v>5837</v>
      </c>
      <c r="B3012" t="s">
        <v>5838</v>
      </c>
      <c r="C3012">
        <v>500.0</v>
      </c>
      <c r="D3012" t="s">
        <v>330</v>
      </c>
      <c r="E3012" t="s">
        <v>311</v>
      </c>
    </row>
    <row r="3013">
      <c r="A3013" s="232" t="s">
        <v>5839</v>
      </c>
      <c r="B3013" t="s">
        <v>5840</v>
      </c>
      <c r="C3013">
        <v>500.0</v>
      </c>
      <c r="D3013" t="s">
        <v>330</v>
      </c>
      <c r="E3013" t="s">
        <v>311</v>
      </c>
    </row>
    <row r="3014">
      <c r="A3014" s="232" t="s">
        <v>5841</v>
      </c>
      <c r="B3014" t="s">
        <v>5842</v>
      </c>
      <c r="C3014">
        <v>500.0</v>
      </c>
      <c r="D3014" t="s">
        <v>330</v>
      </c>
      <c r="E3014" t="s">
        <v>311</v>
      </c>
    </row>
    <row r="3015">
      <c r="A3015" s="232" t="s">
        <v>5843</v>
      </c>
      <c r="B3015" t="s">
        <v>5844</v>
      </c>
      <c r="C3015">
        <v>500.0</v>
      </c>
      <c r="D3015" t="s">
        <v>330</v>
      </c>
      <c r="E3015" t="s">
        <v>311</v>
      </c>
    </row>
    <row r="3016">
      <c r="A3016" s="232" t="s">
        <v>5845</v>
      </c>
      <c r="B3016" t="s">
        <v>5846</v>
      </c>
      <c r="C3016">
        <v>500.0</v>
      </c>
      <c r="D3016" t="s">
        <v>330</v>
      </c>
      <c r="E3016" t="s">
        <v>311</v>
      </c>
    </row>
    <row r="3017">
      <c r="A3017" s="232" t="s">
        <v>5847</v>
      </c>
      <c r="B3017" t="s">
        <v>5848</v>
      </c>
      <c r="C3017">
        <v>500.0</v>
      </c>
      <c r="D3017" t="s">
        <v>330</v>
      </c>
      <c r="E3017" t="s">
        <v>311</v>
      </c>
    </row>
    <row r="3018">
      <c r="A3018" s="232">
        <v>99307.0</v>
      </c>
      <c r="B3018" t="s">
        <v>5849</v>
      </c>
      <c r="C3018">
        <v>0.0</v>
      </c>
      <c r="D3018" t="s">
        <v>310</v>
      </c>
      <c r="E3018" t="s">
        <v>311</v>
      </c>
    </row>
    <row r="3019">
      <c r="A3019" s="232" t="s">
        <v>5850</v>
      </c>
      <c r="B3019" t="s">
        <v>5851</v>
      </c>
      <c r="C3019">
        <v>0.0</v>
      </c>
      <c r="D3019" t="s">
        <v>310</v>
      </c>
      <c r="E3019" t="s">
        <v>311</v>
      </c>
    </row>
    <row r="3020">
      <c r="A3020" s="232" t="s">
        <v>5852</v>
      </c>
      <c r="B3020" t="s">
        <v>5853</v>
      </c>
      <c r="C3020">
        <v>0.0</v>
      </c>
      <c r="D3020" t="s">
        <v>310</v>
      </c>
      <c r="E3020" t="s">
        <v>311</v>
      </c>
    </row>
    <row r="3021">
      <c r="A3021" s="232" t="s">
        <v>5854</v>
      </c>
      <c r="B3021" t="s">
        <v>5855</v>
      </c>
      <c r="C3021">
        <v>0.0</v>
      </c>
      <c r="D3021" t="s">
        <v>310</v>
      </c>
      <c r="E3021" t="s">
        <v>311</v>
      </c>
    </row>
    <row r="3022">
      <c r="A3022" s="232">
        <v>32719.0</v>
      </c>
      <c r="B3022" t="s">
        <v>5856</v>
      </c>
      <c r="C3022">
        <v>0.0</v>
      </c>
      <c r="D3022" t="s">
        <v>310</v>
      </c>
      <c r="E3022" t="s">
        <v>311</v>
      </c>
    </row>
    <row r="3023">
      <c r="A3023" s="232">
        <v>32701.0</v>
      </c>
      <c r="B3023" t="s">
        <v>5857</v>
      </c>
      <c r="C3023">
        <v>0.0</v>
      </c>
      <c r="D3023" t="s">
        <v>310</v>
      </c>
      <c r="E3023" t="s">
        <v>311</v>
      </c>
    </row>
    <row r="3024">
      <c r="A3024" s="232">
        <v>32702.0</v>
      </c>
      <c r="B3024" t="s">
        <v>5858</v>
      </c>
      <c r="C3024">
        <v>0.0</v>
      </c>
      <c r="D3024" t="s">
        <v>310</v>
      </c>
      <c r="E3024" t="s">
        <v>311</v>
      </c>
    </row>
    <row r="3025">
      <c r="A3025" s="232">
        <v>32720.0</v>
      </c>
      <c r="B3025" t="s">
        <v>5859</v>
      </c>
      <c r="C3025">
        <v>0.0</v>
      </c>
      <c r="D3025" t="s">
        <v>310</v>
      </c>
      <c r="E3025" t="s">
        <v>311</v>
      </c>
    </row>
    <row r="3026">
      <c r="A3026" s="232">
        <v>32703.0</v>
      </c>
      <c r="B3026" t="s">
        <v>5860</v>
      </c>
      <c r="C3026">
        <v>0.0</v>
      </c>
      <c r="D3026" t="s">
        <v>310</v>
      </c>
      <c r="E3026" t="s">
        <v>311</v>
      </c>
    </row>
    <row r="3027">
      <c r="A3027" s="232">
        <v>32722.0</v>
      </c>
      <c r="B3027" t="s">
        <v>5861</v>
      </c>
      <c r="C3027">
        <v>0.0</v>
      </c>
      <c r="D3027" t="s">
        <v>310</v>
      </c>
      <c r="E3027" t="s">
        <v>311</v>
      </c>
    </row>
    <row r="3028">
      <c r="A3028" s="232">
        <v>32723.0</v>
      </c>
      <c r="B3028" t="s">
        <v>5862</v>
      </c>
      <c r="C3028">
        <v>0.0</v>
      </c>
      <c r="D3028" t="s">
        <v>310</v>
      </c>
      <c r="E3028" t="s">
        <v>311</v>
      </c>
    </row>
    <row r="3029">
      <c r="A3029" s="232">
        <v>32705.0</v>
      </c>
      <c r="B3029" t="s">
        <v>5863</v>
      </c>
      <c r="C3029">
        <v>0.0</v>
      </c>
      <c r="D3029" t="s">
        <v>310</v>
      </c>
      <c r="E3029" t="s">
        <v>311</v>
      </c>
    </row>
    <row r="3030">
      <c r="A3030" s="232">
        <v>32724.0</v>
      </c>
      <c r="B3030" t="s">
        <v>5864</v>
      </c>
      <c r="C3030">
        <v>0.0</v>
      </c>
      <c r="D3030" t="s">
        <v>310</v>
      </c>
      <c r="E3030" t="s">
        <v>311</v>
      </c>
    </row>
    <row r="3031">
      <c r="A3031" s="232">
        <v>32708.0</v>
      </c>
      <c r="B3031" t="s">
        <v>5865</v>
      </c>
      <c r="C3031">
        <v>0.0</v>
      </c>
      <c r="D3031" t="s">
        <v>310</v>
      </c>
      <c r="E3031" t="s">
        <v>311</v>
      </c>
    </row>
    <row r="3032">
      <c r="A3032" s="232">
        <v>32725.0</v>
      </c>
      <c r="B3032" t="s">
        <v>5866</v>
      </c>
      <c r="C3032">
        <v>0.0</v>
      </c>
      <c r="D3032" t="s">
        <v>310</v>
      </c>
      <c r="E3032" t="s">
        <v>311</v>
      </c>
    </row>
    <row r="3033">
      <c r="A3033" s="232">
        <v>32726.0</v>
      </c>
      <c r="B3033" t="s">
        <v>5867</v>
      </c>
      <c r="C3033">
        <v>0.0</v>
      </c>
      <c r="D3033" t="s">
        <v>310</v>
      </c>
      <c r="E3033" t="s">
        <v>311</v>
      </c>
    </row>
    <row r="3034">
      <c r="A3034" s="232">
        <v>32727.0</v>
      </c>
      <c r="B3034" t="s">
        <v>5868</v>
      </c>
      <c r="C3034">
        <v>0.0</v>
      </c>
      <c r="D3034" t="s">
        <v>310</v>
      </c>
      <c r="E3034" t="s">
        <v>311</v>
      </c>
    </row>
    <row r="3035">
      <c r="A3035" s="232">
        <v>32728.0</v>
      </c>
      <c r="B3035" t="s">
        <v>5869</v>
      </c>
      <c r="C3035">
        <v>0.0</v>
      </c>
      <c r="D3035" t="s">
        <v>310</v>
      </c>
      <c r="E3035" t="s">
        <v>311</v>
      </c>
    </row>
    <row r="3036">
      <c r="A3036" s="232">
        <v>32709.0</v>
      </c>
      <c r="B3036" t="s">
        <v>5870</v>
      </c>
      <c r="C3036">
        <v>0.0</v>
      </c>
      <c r="D3036" t="s">
        <v>310</v>
      </c>
      <c r="E3036" t="s">
        <v>311</v>
      </c>
    </row>
    <row r="3037">
      <c r="A3037" s="232">
        <v>32710.0</v>
      </c>
      <c r="B3037" t="s">
        <v>5871</v>
      </c>
      <c r="C3037">
        <v>0.0</v>
      </c>
      <c r="D3037" t="s">
        <v>310</v>
      </c>
      <c r="E3037" t="s">
        <v>311</v>
      </c>
    </row>
    <row r="3038">
      <c r="A3038" s="232">
        <v>32729.0</v>
      </c>
      <c r="B3038" t="s">
        <v>5872</v>
      </c>
      <c r="C3038">
        <v>0.0</v>
      </c>
      <c r="D3038" t="s">
        <v>310</v>
      </c>
      <c r="E3038" t="s">
        <v>311</v>
      </c>
    </row>
    <row r="3039">
      <c r="A3039" s="232">
        <v>32711.0</v>
      </c>
      <c r="B3039" t="s">
        <v>5873</v>
      </c>
      <c r="C3039">
        <v>0.0</v>
      </c>
      <c r="D3039" t="s">
        <v>310</v>
      </c>
      <c r="E3039" t="s">
        <v>311</v>
      </c>
    </row>
    <row r="3040">
      <c r="A3040" s="232" t="s">
        <v>5874</v>
      </c>
      <c r="B3040" t="s">
        <v>5875</v>
      </c>
      <c r="C3040">
        <v>0.0</v>
      </c>
      <c r="D3040" t="s">
        <v>310</v>
      </c>
      <c r="E3040" t="s">
        <v>1208</v>
      </c>
    </row>
    <row r="3041">
      <c r="A3041" s="232">
        <v>32730.0</v>
      </c>
      <c r="B3041" t="s">
        <v>5876</v>
      </c>
      <c r="C3041">
        <v>0.0</v>
      </c>
      <c r="D3041" t="s">
        <v>310</v>
      </c>
      <c r="E3041" t="s">
        <v>311</v>
      </c>
    </row>
    <row r="3042">
      <c r="A3042" s="232">
        <v>32713.0</v>
      </c>
      <c r="B3042" t="s">
        <v>5877</v>
      </c>
      <c r="C3042">
        <v>0.0</v>
      </c>
      <c r="D3042" t="s">
        <v>310</v>
      </c>
      <c r="E3042" t="s">
        <v>311</v>
      </c>
    </row>
    <row r="3043">
      <c r="A3043" s="232">
        <v>32714.0</v>
      </c>
      <c r="B3043" t="s">
        <v>5878</v>
      </c>
      <c r="C3043">
        <v>0.0</v>
      </c>
      <c r="D3043" t="s">
        <v>310</v>
      </c>
      <c r="E3043" t="s">
        <v>311</v>
      </c>
    </row>
    <row r="3044">
      <c r="A3044" s="232">
        <v>32721.0</v>
      </c>
      <c r="B3044" t="s">
        <v>5879</v>
      </c>
      <c r="C3044">
        <v>0.0</v>
      </c>
      <c r="D3044" t="s">
        <v>310</v>
      </c>
      <c r="E3044" t="s">
        <v>311</v>
      </c>
    </row>
    <row r="3045">
      <c r="A3045" s="232">
        <v>32718.0</v>
      </c>
      <c r="B3045" t="s">
        <v>5880</v>
      </c>
      <c r="C3045">
        <v>0.0</v>
      </c>
      <c r="D3045" t="s">
        <v>310</v>
      </c>
      <c r="E3045" t="s">
        <v>311</v>
      </c>
    </row>
    <row r="3046">
      <c r="A3046" s="232">
        <v>32715.0</v>
      </c>
      <c r="B3046" t="s">
        <v>5881</v>
      </c>
      <c r="C3046">
        <v>0.0</v>
      </c>
      <c r="D3046" t="s">
        <v>310</v>
      </c>
      <c r="E3046" t="s">
        <v>311</v>
      </c>
    </row>
    <row r="3047">
      <c r="A3047" s="232">
        <v>32716.0</v>
      </c>
      <c r="B3047" t="s">
        <v>5882</v>
      </c>
      <c r="C3047">
        <v>0.0</v>
      </c>
      <c r="D3047" t="s">
        <v>310</v>
      </c>
      <c r="E3047" t="s">
        <v>311</v>
      </c>
    </row>
    <row r="3048">
      <c r="A3048" s="232">
        <v>32731.0</v>
      </c>
      <c r="B3048" t="s">
        <v>5883</v>
      </c>
      <c r="C3048">
        <v>0.0</v>
      </c>
      <c r="D3048" t="s">
        <v>310</v>
      </c>
      <c r="E3048" t="s">
        <v>311</v>
      </c>
    </row>
    <row r="3049">
      <c r="A3049" s="232" t="s">
        <v>5884</v>
      </c>
      <c r="B3049" t="s">
        <v>5885</v>
      </c>
      <c r="C3049">
        <v>0.0</v>
      </c>
      <c r="D3049" t="s">
        <v>310</v>
      </c>
      <c r="E3049" t="s">
        <v>311</v>
      </c>
    </row>
    <row r="3050">
      <c r="A3050" s="232" t="s">
        <v>5886</v>
      </c>
      <c r="B3050" t="s">
        <v>5887</v>
      </c>
      <c r="C3050">
        <v>0.0</v>
      </c>
      <c r="D3050" t="s">
        <v>310</v>
      </c>
      <c r="E3050" t="s">
        <v>311</v>
      </c>
    </row>
    <row r="3051">
      <c r="A3051" s="232" t="s">
        <v>5888</v>
      </c>
      <c r="B3051" t="s">
        <v>5889</v>
      </c>
      <c r="C3051">
        <v>0.0</v>
      </c>
      <c r="D3051" t="s">
        <v>330</v>
      </c>
      <c r="E3051" t="s">
        <v>565</v>
      </c>
    </row>
    <row r="3052">
      <c r="A3052" s="232" t="s">
        <v>5890</v>
      </c>
      <c r="B3052" t="s">
        <v>5891</v>
      </c>
      <c r="C3052">
        <v>0.0</v>
      </c>
      <c r="D3052" t="s">
        <v>310</v>
      </c>
      <c r="E3052" t="s">
        <v>565</v>
      </c>
    </row>
    <row r="3053">
      <c r="A3053" s="232" t="s">
        <v>5892</v>
      </c>
      <c r="B3053" t="s">
        <v>5893</v>
      </c>
      <c r="C3053">
        <v>0.0</v>
      </c>
      <c r="D3053" t="s">
        <v>330</v>
      </c>
      <c r="E3053" t="s">
        <v>311</v>
      </c>
    </row>
    <row r="3054">
      <c r="A3054" s="232" t="s">
        <v>5894</v>
      </c>
      <c r="B3054" t="s">
        <v>5895</v>
      </c>
      <c r="C3054">
        <v>0.0</v>
      </c>
      <c r="D3054" t="s">
        <v>330</v>
      </c>
      <c r="E3054" t="s">
        <v>311</v>
      </c>
    </row>
    <row r="3055">
      <c r="A3055" s="232" t="s">
        <v>5896</v>
      </c>
      <c r="B3055" t="s">
        <v>5897</v>
      </c>
      <c r="C3055">
        <v>0.0</v>
      </c>
      <c r="D3055" t="s">
        <v>330</v>
      </c>
      <c r="E3055" t="s">
        <v>311</v>
      </c>
    </row>
    <row r="3056">
      <c r="A3056" s="232" t="s">
        <v>5898</v>
      </c>
      <c r="B3056" t="s">
        <v>5899</v>
      </c>
      <c r="C3056">
        <v>0.0</v>
      </c>
      <c r="D3056" t="s">
        <v>330</v>
      </c>
      <c r="E3056" t="s">
        <v>311</v>
      </c>
    </row>
    <row r="3057">
      <c r="A3057" s="232" t="s">
        <v>5900</v>
      </c>
      <c r="B3057" t="s">
        <v>5901</v>
      </c>
      <c r="C3057">
        <v>0.0</v>
      </c>
      <c r="D3057" t="s">
        <v>330</v>
      </c>
      <c r="E3057" t="s">
        <v>311</v>
      </c>
    </row>
    <row r="3058">
      <c r="A3058" s="232" t="s">
        <v>5902</v>
      </c>
      <c r="B3058" t="s">
        <v>5903</v>
      </c>
      <c r="C3058">
        <v>0.0</v>
      </c>
      <c r="D3058" t="s">
        <v>330</v>
      </c>
      <c r="E3058" t="s">
        <v>311</v>
      </c>
    </row>
    <row r="3059">
      <c r="A3059" s="232" t="s">
        <v>5904</v>
      </c>
      <c r="B3059" t="s">
        <v>5905</v>
      </c>
      <c r="C3059">
        <v>0.0</v>
      </c>
      <c r="D3059" t="s">
        <v>330</v>
      </c>
      <c r="E3059" t="s">
        <v>311</v>
      </c>
    </row>
    <row r="3060">
      <c r="A3060" s="232" t="s">
        <v>5906</v>
      </c>
      <c r="B3060" t="s">
        <v>5907</v>
      </c>
      <c r="C3060">
        <v>135.0</v>
      </c>
      <c r="D3060" t="s">
        <v>330</v>
      </c>
      <c r="E3060" t="s">
        <v>311</v>
      </c>
    </row>
    <row r="3061">
      <c r="A3061" s="232" t="s">
        <v>5908</v>
      </c>
      <c r="B3061" t="s">
        <v>5909</v>
      </c>
      <c r="C3061">
        <v>0.0</v>
      </c>
      <c r="D3061" t="s">
        <v>330</v>
      </c>
      <c r="E3061" t="s">
        <v>311</v>
      </c>
    </row>
    <row r="3062">
      <c r="A3062" s="232" t="s">
        <v>5910</v>
      </c>
      <c r="B3062" t="s">
        <v>5911</v>
      </c>
      <c r="C3062">
        <v>4.0</v>
      </c>
      <c r="D3062" t="s">
        <v>330</v>
      </c>
      <c r="E3062" t="s">
        <v>311</v>
      </c>
    </row>
    <row r="3063">
      <c r="A3063" s="232" t="s">
        <v>5912</v>
      </c>
      <c r="B3063" t="s">
        <v>5913</v>
      </c>
      <c r="C3063">
        <v>0.0</v>
      </c>
      <c r="D3063" t="s">
        <v>330</v>
      </c>
      <c r="E3063" t="s">
        <v>311</v>
      </c>
    </row>
    <row r="3064">
      <c r="A3064" s="232" t="s">
        <v>5914</v>
      </c>
      <c r="B3064" t="s">
        <v>5915</v>
      </c>
      <c r="C3064">
        <v>52.0</v>
      </c>
      <c r="D3064" t="s">
        <v>330</v>
      </c>
      <c r="E3064" t="s">
        <v>311</v>
      </c>
    </row>
    <row r="3065">
      <c r="A3065" s="232" t="s">
        <v>5916</v>
      </c>
      <c r="B3065" t="s">
        <v>5917</v>
      </c>
      <c r="C3065">
        <v>0.0</v>
      </c>
      <c r="D3065" t="s">
        <v>330</v>
      </c>
      <c r="E3065" t="s">
        <v>311</v>
      </c>
    </row>
    <row r="3066">
      <c r="A3066" s="232" t="s">
        <v>5918</v>
      </c>
      <c r="B3066" t="s">
        <v>5919</v>
      </c>
      <c r="C3066">
        <v>0.0</v>
      </c>
      <c r="D3066" t="s">
        <v>330</v>
      </c>
      <c r="E3066" t="s">
        <v>311</v>
      </c>
    </row>
    <row r="3067">
      <c r="A3067" s="232" t="s">
        <v>5920</v>
      </c>
      <c r="B3067" t="s">
        <v>5921</v>
      </c>
      <c r="C3067">
        <v>0.0</v>
      </c>
      <c r="D3067" t="s">
        <v>330</v>
      </c>
      <c r="E3067" t="s">
        <v>311</v>
      </c>
    </row>
    <row r="3068">
      <c r="A3068" s="232" t="s">
        <v>5922</v>
      </c>
      <c r="B3068" t="s">
        <v>5923</v>
      </c>
      <c r="C3068">
        <v>0.0</v>
      </c>
      <c r="D3068" t="s">
        <v>330</v>
      </c>
      <c r="E3068" t="s">
        <v>311</v>
      </c>
    </row>
    <row r="3069">
      <c r="A3069" s="232" t="s">
        <v>5924</v>
      </c>
      <c r="B3069" t="s">
        <v>5923</v>
      </c>
      <c r="C3069">
        <v>0.0</v>
      </c>
      <c r="D3069" t="s">
        <v>330</v>
      </c>
      <c r="E3069" t="s">
        <v>311</v>
      </c>
    </row>
    <row r="3070">
      <c r="A3070" s="232" t="s">
        <v>5925</v>
      </c>
      <c r="B3070" t="s">
        <v>5926</v>
      </c>
      <c r="C3070">
        <v>0.0</v>
      </c>
      <c r="D3070" t="s">
        <v>330</v>
      </c>
      <c r="E3070" t="s">
        <v>311</v>
      </c>
    </row>
    <row r="3071">
      <c r="A3071" s="232" t="s">
        <v>5927</v>
      </c>
      <c r="B3071" t="s">
        <v>5928</v>
      </c>
      <c r="C3071">
        <v>60.0</v>
      </c>
      <c r="D3071" t="s">
        <v>330</v>
      </c>
      <c r="E3071" t="s">
        <v>565</v>
      </c>
    </row>
    <row r="3072">
      <c r="A3072" s="232" t="s">
        <v>5929</v>
      </c>
      <c r="B3072" t="s">
        <v>5930</v>
      </c>
      <c r="C3072">
        <v>0.0</v>
      </c>
      <c r="D3072" t="s">
        <v>310</v>
      </c>
      <c r="E3072" t="s">
        <v>311</v>
      </c>
    </row>
    <row r="3073">
      <c r="A3073" s="232" t="s">
        <v>5931</v>
      </c>
      <c r="B3073" t="s">
        <v>5932</v>
      </c>
      <c r="C3073">
        <v>0.0</v>
      </c>
      <c r="D3073" t="s">
        <v>310</v>
      </c>
      <c r="E3073" t="s">
        <v>1208</v>
      </c>
    </row>
    <row r="3074">
      <c r="A3074" s="232" t="s">
        <v>5933</v>
      </c>
      <c r="B3074" t="s">
        <v>5934</v>
      </c>
      <c r="C3074">
        <v>0.0</v>
      </c>
      <c r="D3074" t="s">
        <v>310</v>
      </c>
      <c r="E3074" t="s">
        <v>311</v>
      </c>
    </row>
    <row r="3075">
      <c r="A3075" s="232" t="s">
        <v>5935</v>
      </c>
      <c r="B3075" t="s">
        <v>5936</v>
      </c>
      <c r="C3075">
        <v>0.0</v>
      </c>
      <c r="D3075" t="s">
        <v>310</v>
      </c>
      <c r="E3075" t="s">
        <v>311</v>
      </c>
    </row>
    <row r="3076">
      <c r="A3076" s="232" t="s">
        <v>5937</v>
      </c>
      <c r="B3076" t="s">
        <v>5938</v>
      </c>
      <c r="C3076">
        <v>0.0</v>
      </c>
      <c r="D3076" t="s">
        <v>310</v>
      </c>
      <c r="E3076" t="s">
        <v>311</v>
      </c>
    </row>
    <row r="3077">
      <c r="A3077" s="232" t="s">
        <v>5939</v>
      </c>
      <c r="B3077" t="s">
        <v>5940</v>
      </c>
      <c r="C3077">
        <v>723.0</v>
      </c>
      <c r="D3077" t="s">
        <v>330</v>
      </c>
      <c r="E3077" t="s">
        <v>311</v>
      </c>
    </row>
    <row r="3078">
      <c r="A3078" s="232" t="s">
        <v>5941</v>
      </c>
      <c r="B3078" t="s">
        <v>5942</v>
      </c>
      <c r="C3078">
        <v>687.0</v>
      </c>
      <c r="D3078" t="s">
        <v>330</v>
      </c>
      <c r="E3078" t="s">
        <v>311</v>
      </c>
    </row>
    <row r="3079">
      <c r="A3079" s="232" t="s">
        <v>5943</v>
      </c>
      <c r="B3079" t="s">
        <v>5944</v>
      </c>
      <c r="C3079">
        <v>868.0</v>
      </c>
      <c r="D3079" t="s">
        <v>330</v>
      </c>
      <c r="E3079" t="s">
        <v>311</v>
      </c>
    </row>
    <row r="3080">
      <c r="A3080" s="232" t="s">
        <v>5945</v>
      </c>
      <c r="B3080" t="s">
        <v>5946</v>
      </c>
      <c r="C3080">
        <v>495.0</v>
      </c>
      <c r="D3080" t="s">
        <v>330</v>
      </c>
      <c r="E3080" t="s">
        <v>311</v>
      </c>
    </row>
    <row r="3081">
      <c r="A3081" s="232" t="s">
        <v>5947</v>
      </c>
      <c r="B3081" t="s">
        <v>5948</v>
      </c>
      <c r="C3081">
        <v>298.0</v>
      </c>
      <c r="D3081" t="s">
        <v>330</v>
      </c>
      <c r="E3081" t="s">
        <v>311</v>
      </c>
    </row>
    <row r="3082">
      <c r="A3082" s="232" t="s">
        <v>5949</v>
      </c>
      <c r="B3082" t="s">
        <v>5950</v>
      </c>
      <c r="C3082">
        <v>948.0</v>
      </c>
      <c r="D3082" t="s">
        <v>330</v>
      </c>
      <c r="E3082" t="s">
        <v>311</v>
      </c>
    </row>
    <row r="3083">
      <c r="A3083" s="232" t="s">
        <v>5951</v>
      </c>
      <c r="B3083" t="s">
        <v>5952</v>
      </c>
      <c r="C3083">
        <v>482.0</v>
      </c>
      <c r="D3083" t="s">
        <v>330</v>
      </c>
      <c r="E3083" t="s">
        <v>311</v>
      </c>
    </row>
    <row r="3084">
      <c r="A3084" s="232" t="s">
        <v>5953</v>
      </c>
      <c r="B3084" t="s">
        <v>5954</v>
      </c>
      <c r="C3084">
        <v>370.0</v>
      </c>
      <c r="D3084" t="s">
        <v>330</v>
      </c>
      <c r="E3084" t="s">
        <v>311</v>
      </c>
    </row>
    <row r="3085">
      <c r="A3085" s="232" t="s">
        <v>5955</v>
      </c>
      <c r="B3085" t="s">
        <v>5956</v>
      </c>
      <c r="C3085">
        <v>646.0</v>
      </c>
      <c r="D3085" t="s">
        <v>330</v>
      </c>
      <c r="E3085" t="s">
        <v>311</v>
      </c>
    </row>
    <row r="3086">
      <c r="A3086" s="232" t="s">
        <v>5957</v>
      </c>
      <c r="B3086" t="s">
        <v>5958</v>
      </c>
      <c r="C3086">
        <v>616.0</v>
      </c>
      <c r="D3086" t="s">
        <v>330</v>
      </c>
      <c r="E3086" t="s">
        <v>311</v>
      </c>
    </row>
    <row r="3087">
      <c r="A3087" s="232" t="s">
        <v>5959</v>
      </c>
      <c r="B3087" t="s">
        <v>5960</v>
      </c>
      <c r="C3087">
        <v>771.0</v>
      </c>
      <c r="D3087" t="s">
        <v>330</v>
      </c>
      <c r="E3087" t="s">
        <v>311</v>
      </c>
    </row>
    <row r="3088">
      <c r="A3088" s="232" t="s">
        <v>5961</v>
      </c>
      <c r="B3088" t="s">
        <v>5962</v>
      </c>
      <c r="C3088">
        <v>99.0</v>
      </c>
      <c r="D3088" t="s">
        <v>330</v>
      </c>
      <c r="E3088" t="s">
        <v>311</v>
      </c>
    </row>
    <row r="3089">
      <c r="A3089" s="232" t="s">
        <v>5963</v>
      </c>
      <c r="B3089" t="s">
        <v>5964</v>
      </c>
      <c r="C3089">
        <v>252.0</v>
      </c>
      <c r="D3089" t="s">
        <v>330</v>
      </c>
      <c r="E3089" t="s">
        <v>311</v>
      </c>
    </row>
    <row r="3090">
      <c r="A3090" s="232" t="s">
        <v>5965</v>
      </c>
      <c r="B3090" t="s">
        <v>5966</v>
      </c>
      <c r="C3090">
        <v>1.0</v>
      </c>
      <c r="D3090" t="s">
        <v>330</v>
      </c>
      <c r="E3090" t="s">
        <v>311</v>
      </c>
    </row>
    <row r="3091">
      <c r="A3091" s="232" t="s">
        <v>5967</v>
      </c>
      <c r="B3091" t="s">
        <v>5968</v>
      </c>
      <c r="C3091">
        <v>0.0</v>
      </c>
      <c r="D3091" t="s">
        <v>310</v>
      </c>
      <c r="E3091" t="s">
        <v>311</v>
      </c>
    </row>
    <row r="3092">
      <c r="A3092" s="232" t="s">
        <v>5969</v>
      </c>
      <c r="B3092" t="s">
        <v>5970</v>
      </c>
      <c r="C3092">
        <v>0.0</v>
      </c>
      <c r="D3092" t="s">
        <v>330</v>
      </c>
      <c r="E3092" t="s">
        <v>311</v>
      </c>
    </row>
    <row r="3093">
      <c r="A3093" s="232" t="s">
        <v>5971</v>
      </c>
      <c r="B3093" t="s">
        <v>5972</v>
      </c>
      <c r="C3093">
        <v>111.0</v>
      </c>
      <c r="D3093" t="s">
        <v>330</v>
      </c>
      <c r="E3093" t="s">
        <v>311</v>
      </c>
    </row>
    <row r="3094">
      <c r="A3094" s="232" t="s">
        <v>5973</v>
      </c>
      <c r="B3094" t="s">
        <v>5974</v>
      </c>
      <c r="C3094">
        <v>0.0</v>
      </c>
      <c r="D3094" t="s">
        <v>330</v>
      </c>
      <c r="E3094" t="s">
        <v>311</v>
      </c>
    </row>
    <row r="3095">
      <c r="A3095" s="232" t="s">
        <v>5975</v>
      </c>
      <c r="B3095" t="s">
        <v>5976</v>
      </c>
      <c r="C3095">
        <v>164.0</v>
      </c>
      <c r="D3095" t="s">
        <v>330</v>
      </c>
      <c r="E3095" t="s">
        <v>311</v>
      </c>
    </row>
    <row r="3096">
      <c r="A3096" s="232" t="s">
        <v>5977</v>
      </c>
      <c r="B3096" t="s">
        <v>5978</v>
      </c>
      <c r="C3096">
        <v>564.0</v>
      </c>
      <c r="D3096" t="s">
        <v>330</v>
      </c>
      <c r="E3096" t="s">
        <v>311</v>
      </c>
    </row>
    <row r="3097">
      <c r="A3097" s="232" t="s">
        <v>5979</v>
      </c>
      <c r="B3097" t="s">
        <v>5980</v>
      </c>
      <c r="C3097">
        <v>238.0</v>
      </c>
      <c r="D3097" t="s">
        <v>330</v>
      </c>
      <c r="E3097" t="s">
        <v>311</v>
      </c>
    </row>
    <row r="3098">
      <c r="A3098" s="232" t="s">
        <v>5981</v>
      </c>
      <c r="B3098" t="s">
        <v>5982</v>
      </c>
      <c r="C3098">
        <v>94.0</v>
      </c>
      <c r="D3098" t="s">
        <v>330</v>
      </c>
      <c r="E3098" t="s">
        <v>311</v>
      </c>
    </row>
    <row r="3099">
      <c r="A3099" s="232" t="s">
        <v>5983</v>
      </c>
      <c r="B3099" t="s">
        <v>5984</v>
      </c>
      <c r="C3099">
        <v>0.0</v>
      </c>
      <c r="D3099" t="s">
        <v>330</v>
      </c>
      <c r="E3099" t="s">
        <v>311</v>
      </c>
    </row>
    <row r="3100">
      <c r="A3100" s="232" t="s">
        <v>5985</v>
      </c>
      <c r="B3100" t="s">
        <v>5986</v>
      </c>
      <c r="C3100">
        <v>120.0</v>
      </c>
      <c r="D3100" t="s">
        <v>330</v>
      </c>
      <c r="E3100" t="s">
        <v>311</v>
      </c>
    </row>
    <row r="3101">
      <c r="A3101" s="232" t="s">
        <v>5987</v>
      </c>
      <c r="B3101" t="s">
        <v>5988</v>
      </c>
      <c r="C3101">
        <v>182.0</v>
      </c>
      <c r="D3101" t="s">
        <v>330</v>
      </c>
      <c r="E3101" t="s">
        <v>311</v>
      </c>
    </row>
    <row r="3102">
      <c r="A3102" s="232" t="s">
        <v>5989</v>
      </c>
      <c r="B3102" t="s">
        <v>5990</v>
      </c>
      <c r="C3102">
        <v>293.0</v>
      </c>
      <c r="D3102" t="s">
        <v>330</v>
      </c>
      <c r="E3102" t="s">
        <v>311</v>
      </c>
    </row>
    <row r="3103">
      <c r="A3103" s="232" t="s">
        <v>5991</v>
      </c>
      <c r="B3103" t="s">
        <v>5992</v>
      </c>
      <c r="C3103">
        <v>418.0</v>
      </c>
      <c r="D3103" t="s">
        <v>330</v>
      </c>
      <c r="E3103" t="s">
        <v>311</v>
      </c>
    </row>
    <row r="3104">
      <c r="A3104" s="232" t="s">
        <v>5993</v>
      </c>
      <c r="B3104" t="s">
        <v>5994</v>
      </c>
      <c r="C3104">
        <v>155.0</v>
      </c>
      <c r="D3104" t="s">
        <v>330</v>
      </c>
      <c r="E3104" t="s">
        <v>311</v>
      </c>
    </row>
    <row r="3105">
      <c r="A3105" s="232" t="s">
        <v>5995</v>
      </c>
      <c r="B3105" t="s">
        <v>5996</v>
      </c>
      <c r="C3105">
        <v>77.0</v>
      </c>
      <c r="D3105" t="s">
        <v>330</v>
      </c>
      <c r="E3105" t="s">
        <v>311</v>
      </c>
    </row>
    <row r="3106">
      <c r="A3106" s="232" t="s">
        <v>5997</v>
      </c>
      <c r="B3106" t="s">
        <v>5998</v>
      </c>
      <c r="C3106">
        <v>87.0</v>
      </c>
      <c r="D3106" t="s">
        <v>330</v>
      </c>
      <c r="E3106" t="s">
        <v>311</v>
      </c>
    </row>
    <row r="3107">
      <c r="A3107" s="232" t="s">
        <v>5999</v>
      </c>
      <c r="B3107" t="s">
        <v>6000</v>
      </c>
      <c r="C3107">
        <v>127.0</v>
      </c>
      <c r="D3107" t="s">
        <v>330</v>
      </c>
      <c r="E3107" t="s">
        <v>311</v>
      </c>
    </row>
    <row r="3108">
      <c r="A3108" s="232" t="s">
        <v>6001</v>
      </c>
      <c r="B3108" t="s">
        <v>6002</v>
      </c>
      <c r="C3108">
        <v>187.0</v>
      </c>
      <c r="D3108" t="s">
        <v>330</v>
      </c>
      <c r="E3108" t="s">
        <v>311</v>
      </c>
    </row>
    <row r="3109">
      <c r="A3109" s="232" t="s">
        <v>6003</v>
      </c>
      <c r="B3109" t="s">
        <v>6004</v>
      </c>
      <c r="C3109">
        <v>1.0</v>
      </c>
      <c r="D3109" t="s">
        <v>330</v>
      </c>
      <c r="E3109" t="s">
        <v>311</v>
      </c>
    </row>
    <row r="3110">
      <c r="A3110" s="232" t="s">
        <v>6005</v>
      </c>
      <c r="B3110" t="s">
        <v>6006</v>
      </c>
      <c r="C3110">
        <v>170.0</v>
      </c>
      <c r="D3110" t="s">
        <v>330</v>
      </c>
      <c r="E3110" t="s">
        <v>311</v>
      </c>
    </row>
    <row r="3111">
      <c r="A3111" s="232" t="s">
        <v>6007</v>
      </c>
      <c r="B3111" t="s">
        <v>6008</v>
      </c>
      <c r="C3111">
        <v>123.0</v>
      </c>
      <c r="D3111" t="s">
        <v>330</v>
      </c>
      <c r="E3111" t="s">
        <v>311</v>
      </c>
    </row>
    <row r="3112">
      <c r="A3112" s="232" t="s">
        <v>6009</v>
      </c>
      <c r="B3112" t="s">
        <v>6010</v>
      </c>
      <c r="C3112">
        <v>370.0</v>
      </c>
      <c r="D3112" t="s">
        <v>330</v>
      </c>
      <c r="E3112" t="s">
        <v>311</v>
      </c>
    </row>
    <row r="3113">
      <c r="A3113" s="232" t="s">
        <v>6011</v>
      </c>
      <c r="B3113" t="s">
        <v>6012</v>
      </c>
      <c r="C3113">
        <v>0.0</v>
      </c>
      <c r="D3113" t="s">
        <v>310</v>
      </c>
      <c r="E3113" t="s">
        <v>311</v>
      </c>
    </row>
    <row r="3114">
      <c r="A3114" s="232" t="s">
        <v>6013</v>
      </c>
      <c r="B3114" t="s">
        <v>6014</v>
      </c>
      <c r="C3114">
        <v>0.0</v>
      </c>
      <c r="D3114" t="s">
        <v>310</v>
      </c>
      <c r="E3114" t="s">
        <v>311</v>
      </c>
    </row>
    <row r="3115">
      <c r="A3115" s="232" t="s">
        <v>6015</v>
      </c>
      <c r="B3115" t="s">
        <v>6016</v>
      </c>
      <c r="C3115">
        <v>454.0</v>
      </c>
      <c r="D3115" t="s">
        <v>330</v>
      </c>
      <c r="E3115" t="s">
        <v>311</v>
      </c>
    </row>
    <row r="3116">
      <c r="A3116" s="232" t="s">
        <v>6017</v>
      </c>
      <c r="B3116" t="s">
        <v>6018</v>
      </c>
      <c r="C3116">
        <v>0.0</v>
      </c>
      <c r="D3116" t="s">
        <v>310</v>
      </c>
      <c r="E3116" t="s">
        <v>311</v>
      </c>
    </row>
    <row r="3117">
      <c r="A3117" s="232" t="s">
        <v>6019</v>
      </c>
      <c r="B3117" t="s">
        <v>6020</v>
      </c>
      <c r="C3117">
        <v>125.0</v>
      </c>
      <c r="D3117" t="s">
        <v>330</v>
      </c>
      <c r="E3117" t="s">
        <v>311</v>
      </c>
    </row>
    <row r="3118">
      <c r="A3118" s="232" t="s">
        <v>6021</v>
      </c>
      <c r="B3118" t="s">
        <v>6022</v>
      </c>
      <c r="C3118">
        <v>0.0</v>
      </c>
      <c r="D3118" t="s">
        <v>310</v>
      </c>
      <c r="E3118" t="s">
        <v>311</v>
      </c>
    </row>
    <row r="3119">
      <c r="A3119" s="232" t="s">
        <v>6023</v>
      </c>
      <c r="B3119" t="s">
        <v>6024</v>
      </c>
      <c r="C3119">
        <v>0.0</v>
      </c>
      <c r="D3119" t="s">
        <v>310</v>
      </c>
      <c r="E3119" t="s">
        <v>311</v>
      </c>
    </row>
    <row r="3120">
      <c r="A3120" s="232" t="s">
        <v>6025</v>
      </c>
      <c r="B3120" t="s">
        <v>6026</v>
      </c>
      <c r="C3120">
        <v>0.0</v>
      </c>
      <c r="D3120" t="s">
        <v>310</v>
      </c>
      <c r="E3120" t="s">
        <v>311</v>
      </c>
    </row>
    <row r="3121">
      <c r="A3121" s="232" t="s">
        <v>6027</v>
      </c>
      <c r="B3121" t="s">
        <v>6028</v>
      </c>
      <c r="C3121">
        <v>0.0</v>
      </c>
      <c r="D3121" t="s">
        <v>310</v>
      </c>
      <c r="E3121" t="s">
        <v>311</v>
      </c>
    </row>
    <row r="3122">
      <c r="A3122" s="232" t="s">
        <v>6029</v>
      </c>
      <c r="B3122" t="s">
        <v>6030</v>
      </c>
      <c r="C3122">
        <v>0.0</v>
      </c>
      <c r="D3122" t="s">
        <v>310</v>
      </c>
      <c r="E3122" t="s">
        <v>311</v>
      </c>
    </row>
    <row r="3123">
      <c r="A3123" s="232" t="s">
        <v>6031</v>
      </c>
      <c r="B3123" t="s">
        <v>6032</v>
      </c>
      <c r="C3123">
        <v>0.0</v>
      </c>
      <c r="D3123" t="s">
        <v>310</v>
      </c>
      <c r="E3123" t="s">
        <v>311</v>
      </c>
    </row>
    <row r="3124">
      <c r="A3124" s="232" t="s">
        <v>6033</v>
      </c>
      <c r="B3124" t="s">
        <v>6034</v>
      </c>
      <c r="C3124">
        <v>0.0</v>
      </c>
      <c r="D3124" t="s">
        <v>310</v>
      </c>
      <c r="E3124" t="s">
        <v>311</v>
      </c>
    </row>
    <row r="3125">
      <c r="A3125" s="232" t="s">
        <v>6035</v>
      </c>
      <c r="B3125" t="s">
        <v>6036</v>
      </c>
      <c r="C3125">
        <v>0.0</v>
      </c>
      <c r="D3125" t="s">
        <v>310</v>
      </c>
      <c r="E3125" t="s">
        <v>311</v>
      </c>
    </row>
    <row r="3126">
      <c r="A3126" s="232" t="s">
        <v>6037</v>
      </c>
      <c r="B3126" t="s">
        <v>6038</v>
      </c>
      <c r="C3126">
        <v>600.0</v>
      </c>
      <c r="D3126" t="s">
        <v>330</v>
      </c>
      <c r="E3126" t="s">
        <v>6039</v>
      </c>
    </row>
    <row r="3127">
      <c r="A3127" s="232">
        <v>40407.0</v>
      </c>
      <c r="B3127" t="s">
        <v>6040</v>
      </c>
      <c r="C3127">
        <v>42.0</v>
      </c>
      <c r="D3127" t="s">
        <v>330</v>
      </c>
      <c r="E3127" t="s">
        <v>311</v>
      </c>
    </row>
    <row r="3128">
      <c r="A3128" s="232">
        <v>40408.0</v>
      </c>
      <c r="B3128" t="s">
        <v>6041</v>
      </c>
      <c r="C3128">
        <v>69.0</v>
      </c>
      <c r="D3128" t="s">
        <v>330</v>
      </c>
      <c r="E3128" t="s">
        <v>311</v>
      </c>
    </row>
    <row r="3129">
      <c r="A3129" s="232">
        <v>40409.0</v>
      </c>
      <c r="B3129" t="s">
        <v>6042</v>
      </c>
      <c r="C3129">
        <v>36.0</v>
      </c>
      <c r="D3129" t="s">
        <v>330</v>
      </c>
      <c r="E3129" t="s">
        <v>311</v>
      </c>
    </row>
    <row r="3130">
      <c r="A3130" s="232">
        <v>40402.0</v>
      </c>
      <c r="B3130" t="s">
        <v>6043</v>
      </c>
      <c r="C3130">
        <v>60.0</v>
      </c>
      <c r="D3130" t="s">
        <v>330</v>
      </c>
      <c r="E3130" t="s">
        <v>311</v>
      </c>
    </row>
    <row r="3131">
      <c r="A3131" s="232">
        <v>40403.0</v>
      </c>
      <c r="B3131" t="s">
        <v>6044</v>
      </c>
      <c r="C3131">
        <v>94.0</v>
      </c>
      <c r="D3131" t="s">
        <v>330</v>
      </c>
      <c r="E3131" t="s">
        <v>311</v>
      </c>
    </row>
    <row r="3132">
      <c r="A3132" s="232">
        <v>40404.0</v>
      </c>
      <c r="B3132" t="s">
        <v>6045</v>
      </c>
      <c r="C3132">
        <v>61.0</v>
      </c>
      <c r="D3132" t="s">
        <v>330</v>
      </c>
      <c r="E3132" t="s">
        <v>311</v>
      </c>
    </row>
    <row r="3133">
      <c r="A3133" s="232" t="s">
        <v>6046</v>
      </c>
      <c r="B3133" t="s">
        <v>6047</v>
      </c>
      <c r="C3133">
        <v>0.0</v>
      </c>
      <c r="D3133" t="s">
        <v>330</v>
      </c>
      <c r="E3133" t="s">
        <v>565</v>
      </c>
    </row>
    <row r="3134">
      <c r="A3134" s="232" t="s">
        <v>6048</v>
      </c>
      <c r="B3134" t="s">
        <v>6049</v>
      </c>
      <c r="C3134">
        <v>0.0</v>
      </c>
      <c r="D3134" t="s">
        <v>310</v>
      </c>
      <c r="E3134" t="s">
        <v>311</v>
      </c>
    </row>
    <row r="3135">
      <c r="A3135" s="232" t="s">
        <v>6050</v>
      </c>
      <c r="B3135" t="s">
        <v>6051</v>
      </c>
      <c r="C3135">
        <v>0.0</v>
      </c>
      <c r="D3135" t="s">
        <v>310</v>
      </c>
      <c r="E3135" t="s">
        <v>311</v>
      </c>
    </row>
    <row r="3136">
      <c r="A3136" s="232" t="s">
        <v>6052</v>
      </c>
      <c r="B3136" t="s">
        <v>6053</v>
      </c>
      <c r="C3136">
        <v>0.0</v>
      </c>
      <c r="D3136" t="s">
        <v>310</v>
      </c>
      <c r="E3136" t="s">
        <v>311</v>
      </c>
    </row>
    <row r="3137">
      <c r="A3137" s="232">
        <v>33004.0</v>
      </c>
      <c r="B3137" t="s">
        <v>6054</v>
      </c>
      <c r="C3137">
        <v>0.0</v>
      </c>
      <c r="D3137" t="s">
        <v>310</v>
      </c>
      <c r="E3137" t="s">
        <v>311</v>
      </c>
    </row>
    <row r="3138">
      <c r="A3138" s="232">
        <v>33001.0</v>
      </c>
      <c r="B3138" t="s">
        <v>6055</v>
      </c>
      <c r="C3138">
        <v>0.0</v>
      </c>
      <c r="D3138" t="s">
        <v>310</v>
      </c>
      <c r="E3138" t="s">
        <v>311</v>
      </c>
    </row>
    <row r="3139">
      <c r="A3139" s="232">
        <v>33003.0</v>
      </c>
      <c r="B3139" t="s">
        <v>6056</v>
      </c>
      <c r="C3139">
        <v>0.0</v>
      </c>
      <c r="D3139" t="s">
        <v>310</v>
      </c>
      <c r="E3139" t="s">
        <v>311</v>
      </c>
    </row>
    <row r="3140">
      <c r="A3140" s="232">
        <v>33005.0</v>
      </c>
      <c r="B3140" t="s">
        <v>6057</v>
      </c>
      <c r="C3140">
        <v>0.0</v>
      </c>
      <c r="D3140" t="s">
        <v>310</v>
      </c>
      <c r="E3140" t="s">
        <v>311</v>
      </c>
    </row>
    <row r="3141">
      <c r="A3141" s="232">
        <v>33101.0</v>
      </c>
      <c r="B3141" t="s">
        <v>6058</v>
      </c>
      <c r="C3141">
        <v>0.0</v>
      </c>
      <c r="D3141" t="s">
        <v>310</v>
      </c>
      <c r="E3141" t="s">
        <v>311</v>
      </c>
    </row>
    <row r="3142">
      <c r="A3142" s="232" t="s">
        <v>6059</v>
      </c>
      <c r="B3142" t="s">
        <v>6060</v>
      </c>
      <c r="C3142">
        <v>0.0</v>
      </c>
      <c r="D3142" t="s">
        <v>310</v>
      </c>
      <c r="E3142" t="s">
        <v>311</v>
      </c>
    </row>
    <row r="3143">
      <c r="A3143" s="232" t="s">
        <v>6061</v>
      </c>
      <c r="B3143" t="s">
        <v>6062</v>
      </c>
      <c r="C3143">
        <v>0.0</v>
      </c>
      <c r="D3143" t="s">
        <v>330</v>
      </c>
      <c r="E3143" t="s">
        <v>311</v>
      </c>
    </row>
    <row r="3144">
      <c r="A3144" s="232" t="s">
        <v>6063</v>
      </c>
      <c r="B3144" t="s">
        <v>6064</v>
      </c>
      <c r="C3144">
        <v>0.0</v>
      </c>
      <c r="D3144" t="s">
        <v>310</v>
      </c>
      <c r="E3144" t="s">
        <v>311</v>
      </c>
    </row>
    <row r="3145">
      <c r="A3145" s="232" t="s">
        <v>6065</v>
      </c>
      <c r="B3145" t="s">
        <v>6066</v>
      </c>
      <c r="C3145">
        <v>0.0</v>
      </c>
      <c r="D3145" t="s">
        <v>310</v>
      </c>
      <c r="E3145" t="s">
        <v>311</v>
      </c>
    </row>
    <row r="3146">
      <c r="A3146" s="232" t="s">
        <v>6067</v>
      </c>
      <c r="B3146" t="s">
        <v>6068</v>
      </c>
      <c r="C3146">
        <v>0.0</v>
      </c>
      <c r="D3146" t="s">
        <v>310</v>
      </c>
      <c r="E3146" t="s">
        <v>311</v>
      </c>
    </row>
    <row r="3147">
      <c r="A3147" s="232" t="s">
        <v>6069</v>
      </c>
      <c r="B3147" t="s">
        <v>6070</v>
      </c>
      <c r="C3147">
        <v>0.0</v>
      </c>
      <c r="D3147" t="s">
        <v>310</v>
      </c>
      <c r="E3147" t="s">
        <v>311</v>
      </c>
    </row>
    <row r="3148">
      <c r="A3148" s="232" t="s">
        <v>6071</v>
      </c>
      <c r="B3148" t="s">
        <v>6072</v>
      </c>
      <c r="C3148">
        <v>0.0</v>
      </c>
      <c r="D3148" t="s">
        <v>310</v>
      </c>
      <c r="E3148" t="s">
        <v>311</v>
      </c>
    </row>
    <row r="3149">
      <c r="A3149" s="232" t="s">
        <v>6073</v>
      </c>
      <c r="B3149" t="s">
        <v>6074</v>
      </c>
      <c r="C3149">
        <v>0.0</v>
      </c>
      <c r="D3149" t="s">
        <v>310</v>
      </c>
      <c r="E3149" t="s">
        <v>311</v>
      </c>
    </row>
    <row r="3150">
      <c r="A3150" s="232" t="s">
        <v>6075</v>
      </c>
      <c r="B3150" t="s">
        <v>6076</v>
      </c>
      <c r="C3150">
        <v>0.0</v>
      </c>
      <c r="D3150" t="s">
        <v>310</v>
      </c>
      <c r="E3150" t="s">
        <v>311</v>
      </c>
    </row>
    <row r="3151">
      <c r="A3151" s="232" t="s">
        <v>6077</v>
      </c>
      <c r="B3151" t="s">
        <v>6078</v>
      </c>
      <c r="C3151">
        <v>0.0</v>
      </c>
      <c r="D3151" t="s">
        <v>310</v>
      </c>
      <c r="E3151" t="s">
        <v>311</v>
      </c>
    </row>
    <row r="3152">
      <c r="A3152" s="232" t="s">
        <v>6079</v>
      </c>
      <c r="B3152" t="s">
        <v>6080</v>
      </c>
      <c r="C3152">
        <v>0.0</v>
      </c>
      <c r="D3152" t="s">
        <v>310</v>
      </c>
      <c r="E3152" t="s">
        <v>311</v>
      </c>
    </row>
    <row r="3153">
      <c r="A3153" s="232" t="s">
        <v>6081</v>
      </c>
      <c r="B3153" t="s">
        <v>6082</v>
      </c>
      <c r="C3153">
        <v>0.0</v>
      </c>
      <c r="D3153" t="s">
        <v>330</v>
      </c>
      <c r="E3153" t="s">
        <v>311</v>
      </c>
    </row>
    <row r="3154">
      <c r="A3154" s="232" t="s">
        <v>6083</v>
      </c>
      <c r="B3154" t="s">
        <v>6084</v>
      </c>
      <c r="C3154">
        <v>0.0</v>
      </c>
      <c r="D3154" t="s">
        <v>310</v>
      </c>
      <c r="E3154" t="s">
        <v>311</v>
      </c>
    </row>
    <row r="3155">
      <c r="A3155" s="232" t="s">
        <v>6085</v>
      </c>
      <c r="B3155" t="s">
        <v>6086</v>
      </c>
      <c r="C3155">
        <v>0.0</v>
      </c>
      <c r="D3155" t="s">
        <v>310</v>
      </c>
      <c r="E3155" t="s">
        <v>311</v>
      </c>
    </row>
    <row r="3156">
      <c r="A3156" s="232" t="s">
        <v>6087</v>
      </c>
      <c r="B3156" t="s">
        <v>6088</v>
      </c>
      <c r="C3156">
        <v>66.0</v>
      </c>
      <c r="D3156" t="s">
        <v>330</v>
      </c>
      <c r="E3156" t="s">
        <v>311</v>
      </c>
    </row>
    <row r="3157">
      <c r="A3157" s="232" t="s">
        <v>6089</v>
      </c>
      <c r="B3157" t="s">
        <v>6090</v>
      </c>
      <c r="C3157">
        <v>0.0</v>
      </c>
      <c r="D3157" t="s">
        <v>310</v>
      </c>
      <c r="E3157" t="s">
        <v>311</v>
      </c>
    </row>
    <row r="3158">
      <c r="A3158" s="232" t="s">
        <v>6091</v>
      </c>
      <c r="B3158" t="s">
        <v>6092</v>
      </c>
      <c r="C3158">
        <v>0.0</v>
      </c>
      <c r="D3158" t="s">
        <v>310</v>
      </c>
      <c r="E3158" t="s">
        <v>311</v>
      </c>
    </row>
    <row r="3159">
      <c r="A3159" s="232" t="s">
        <v>6093</v>
      </c>
      <c r="B3159" t="s">
        <v>6094</v>
      </c>
      <c r="C3159">
        <v>0.0</v>
      </c>
      <c r="D3159" t="s">
        <v>310</v>
      </c>
      <c r="E3159" t="s">
        <v>311</v>
      </c>
    </row>
    <row r="3160">
      <c r="A3160" s="232" t="s">
        <v>6095</v>
      </c>
      <c r="B3160" t="s">
        <v>6096</v>
      </c>
      <c r="C3160">
        <v>0.0</v>
      </c>
      <c r="D3160" t="s">
        <v>310</v>
      </c>
      <c r="E3160" t="s">
        <v>311</v>
      </c>
    </row>
    <row r="3161">
      <c r="A3161" s="232" t="s">
        <v>6097</v>
      </c>
      <c r="B3161" t="s">
        <v>6098</v>
      </c>
      <c r="C3161">
        <v>0.0</v>
      </c>
      <c r="D3161" t="s">
        <v>310</v>
      </c>
      <c r="E3161" t="s">
        <v>311</v>
      </c>
    </row>
    <row r="3162">
      <c r="A3162" s="232" t="s">
        <v>6099</v>
      </c>
      <c r="B3162" t="s">
        <v>6100</v>
      </c>
      <c r="C3162">
        <v>0.0</v>
      </c>
      <c r="D3162" t="s">
        <v>310</v>
      </c>
      <c r="E3162" t="s">
        <v>311</v>
      </c>
    </row>
    <row r="3163">
      <c r="A3163" s="232" t="s">
        <v>6101</v>
      </c>
      <c r="B3163" t="s">
        <v>6102</v>
      </c>
      <c r="C3163">
        <v>744.0</v>
      </c>
      <c r="D3163" t="s">
        <v>330</v>
      </c>
      <c r="E3163" t="s">
        <v>311</v>
      </c>
    </row>
    <row r="3164">
      <c r="A3164" s="232" t="s">
        <v>6103</v>
      </c>
      <c r="B3164" t="s">
        <v>6104</v>
      </c>
      <c r="C3164">
        <v>0.0</v>
      </c>
      <c r="D3164" t="s">
        <v>310</v>
      </c>
      <c r="E3164" t="s">
        <v>311</v>
      </c>
    </row>
    <row r="3165">
      <c r="A3165" s="232" t="s">
        <v>6105</v>
      </c>
      <c r="B3165" t="s">
        <v>6106</v>
      </c>
      <c r="C3165">
        <v>90.0</v>
      </c>
      <c r="D3165" t="s">
        <v>330</v>
      </c>
      <c r="E3165" t="s">
        <v>311</v>
      </c>
    </row>
    <row r="3166">
      <c r="A3166" s="232" t="s">
        <v>6107</v>
      </c>
      <c r="B3166" t="s">
        <v>6108</v>
      </c>
      <c r="C3166">
        <v>0.0</v>
      </c>
      <c r="D3166" t="s">
        <v>310</v>
      </c>
      <c r="E3166" t="s">
        <v>311</v>
      </c>
    </row>
    <row r="3167">
      <c r="A3167" s="232" t="s">
        <v>6109</v>
      </c>
      <c r="B3167" t="s">
        <v>6110</v>
      </c>
      <c r="C3167">
        <v>0.0</v>
      </c>
      <c r="D3167" t="s">
        <v>310</v>
      </c>
      <c r="E3167" t="s">
        <v>311</v>
      </c>
    </row>
    <row r="3168">
      <c r="A3168" s="232" t="s">
        <v>6111</v>
      </c>
      <c r="B3168" t="s">
        <v>6112</v>
      </c>
      <c r="C3168">
        <v>0.0</v>
      </c>
      <c r="D3168" t="s">
        <v>310</v>
      </c>
      <c r="E3168" t="s">
        <v>311</v>
      </c>
    </row>
    <row r="3169">
      <c r="A3169" s="232" t="s">
        <v>6113</v>
      </c>
      <c r="B3169" t="s">
        <v>6114</v>
      </c>
      <c r="C3169">
        <v>0.0</v>
      </c>
      <c r="D3169" t="s">
        <v>310</v>
      </c>
      <c r="E3169" t="s">
        <v>311</v>
      </c>
    </row>
    <row r="3170">
      <c r="A3170" s="232" t="s">
        <v>6115</v>
      </c>
      <c r="B3170" t="s">
        <v>6116</v>
      </c>
      <c r="C3170">
        <v>60.0</v>
      </c>
      <c r="D3170" t="s">
        <v>330</v>
      </c>
      <c r="E3170" t="s">
        <v>311</v>
      </c>
    </row>
    <row r="3171">
      <c r="A3171" s="232" t="s">
        <v>6117</v>
      </c>
      <c r="B3171" t="s">
        <v>6118</v>
      </c>
      <c r="C3171">
        <v>827.0</v>
      </c>
      <c r="D3171" t="s">
        <v>330</v>
      </c>
      <c r="E3171" t="s">
        <v>311</v>
      </c>
    </row>
    <row r="3172">
      <c r="A3172" s="232" t="s">
        <v>6119</v>
      </c>
      <c r="B3172" t="s">
        <v>6120</v>
      </c>
      <c r="C3172">
        <v>606.0</v>
      </c>
      <c r="D3172" t="s">
        <v>330</v>
      </c>
      <c r="E3172" t="s">
        <v>311</v>
      </c>
    </row>
    <row r="3173">
      <c r="A3173" s="232" t="s">
        <v>6121</v>
      </c>
      <c r="B3173" t="s">
        <v>6122</v>
      </c>
      <c r="C3173">
        <v>908.0</v>
      </c>
      <c r="D3173" t="s">
        <v>330</v>
      </c>
      <c r="E3173" t="s">
        <v>311</v>
      </c>
    </row>
    <row r="3174">
      <c r="A3174" s="232" t="s">
        <v>6123</v>
      </c>
      <c r="B3174" t="s">
        <v>6124</v>
      </c>
      <c r="C3174">
        <v>575.0</v>
      </c>
      <c r="D3174" t="s">
        <v>330</v>
      </c>
      <c r="E3174" t="s">
        <v>311</v>
      </c>
    </row>
    <row r="3175">
      <c r="A3175" s="232" t="s">
        <v>6125</v>
      </c>
      <c r="B3175" t="s">
        <v>6126</v>
      </c>
      <c r="C3175">
        <v>441.0</v>
      </c>
      <c r="D3175" t="s">
        <v>330</v>
      </c>
      <c r="E3175" t="s">
        <v>311</v>
      </c>
    </row>
    <row r="3176">
      <c r="A3176" s="232" t="s">
        <v>6127</v>
      </c>
      <c r="B3176" t="s">
        <v>6128</v>
      </c>
      <c r="C3176">
        <v>956.0</v>
      </c>
      <c r="D3176" t="s">
        <v>330</v>
      </c>
      <c r="E3176" t="s">
        <v>311</v>
      </c>
    </row>
    <row r="3177">
      <c r="A3177" s="232" t="s">
        <v>6129</v>
      </c>
      <c r="B3177" t="s">
        <v>6130</v>
      </c>
      <c r="C3177">
        <v>531.0</v>
      </c>
      <c r="D3177" t="s">
        <v>330</v>
      </c>
      <c r="E3177" t="s">
        <v>311</v>
      </c>
    </row>
    <row r="3178">
      <c r="A3178" s="232" t="s">
        <v>6131</v>
      </c>
      <c r="B3178" t="s">
        <v>6132</v>
      </c>
      <c r="C3178">
        <v>0.0</v>
      </c>
      <c r="D3178" t="s">
        <v>310</v>
      </c>
      <c r="E3178" t="s">
        <v>1208</v>
      </c>
    </row>
    <row r="3179">
      <c r="A3179" s="232" t="s">
        <v>6133</v>
      </c>
      <c r="B3179" t="s">
        <v>6134</v>
      </c>
      <c r="C3179">
        <v>522.0</v>
      </c>
      <c r="D3179" t="s">
        <v>330</v>
      </c>
      <c r="E3179" t="s">
        <v>565</v>
      </c>
    </row>
    <row r="3180">
      <c r="A3180" s="232" t="s">
        <v>6135</v>
      </c>
      <c r="B3180" t="s">
        <v>6136</v>
      </c>
      <c r="C3180">
        <v>462.0</v>
      </c>
      <c r="D3180" t="s">
        <v>330</v>
      </c>
      <c r="E3180" t="s">
        <v>565</v>
      </c>
    </row>
    <row r="3181">
      <c r="A3181" s="232" t="s">
        <v>6137</v>
      </c>
      <c r="B3181" t="s">
        <v>6138</v>
      </c>
      <c r="C3181">
        <v>0.0</v>
      </c>
      <c r="D3181" t="s">
        <v>310</v>
      </c>
      <c r="E3181" t="s">
        <v>311</v>
      </c>
    </row>
    <row r="3182">
      <c r="A3182" s="232" t="s">
        <v>6139</v>
      </c>
      <c r="B3182" t="s">
        <v>6140</v>
      </c>
      <c r="C3182">
        <v>102.0</v>
      </c>
      <c r="D3182" t="s">
        <v>330</v>
      </c>
      <c r="E3182" t="s">
        <v>565</v>
      </c>
    </row>
    <row r="3183">
      <c r="A3183" s="232" t="s">
        <v>6141</v>
      </c>
      <c r="B3183" t="s">
        <v>6142</v>
      </c>
      <c r="C3183">
        <v>0.0</v>
      </c>
      <c r="D3183" t="s">
        <v>310</v>
      </c>
      <c r="E3183" t="s">
        <v>311</v>
      </c>
    </row>
    <row r="3184">
      <c r="A3184" s="232" t="s">
        <v>6143</v>
      </c>
      <c r="B3184" t="s">
        <v>6144</v>
      </c>
      <c r="C3184">
        <v>0.0</v>
      </c>
      <c r="D3184" t="s">
        <v>310</v>
      </c>
      <c r="E3184" t="s">
        <v>311</v>
      </c>
    </row>
    <row r="3185">
      <c r="A3185" s="232" t="s">
        <v>6145</v>
      </c>
      <c r="B3185" t="s">
        <v>6146</v>
      </c>
      <c r="C3185">
        <v>493.0</v>
      </c>
      <c r="D3185" t="s">
        <v>330</v>
      </c>
      <c r="E3185" t="s">
        <v>565</v>
      </c>
    </row>
    <row r="3186">
      <c r="A3186" s="232" t="s">
        <v>6147</v>
      </c>
      <c r="B3186" t="s">
        <v>6148</v>
      </c>
      <c r="C3186">
        <v>463.0</v>
      </c>
      <c r="D3186" t="s">
        <v>330</v>
      </c>
      <c r="E3186" t="s">
        <v>565</v>
      </c>
    </row>
    <row r="3187">
      <c r="A3187" s="232" t="s">
        <v>6149</v>
      </c>
      <c r="B3187" t="s">
        <v>6150</v>
      </c>
      <c r="C3187">
        <v>491.0</v>
      </c>
      <c r="D3187" t="s">
        <v>330</v>
      </c>
      <c r="E3187" t="s">
        <v>565</v>
      </c>
    </row>
    <row r="3188">
      <c r="A3188" s="232" t="s">
        <v>6151</v>
      </c>
      <c r="B3188" t="s">
        <v>6152</v>
      </c>
      <c r="C3188">
        <v>276.0</v>
      </c>
      <c r="D3188" t="s">
        <v>330</v>
      </c>
      <c r="E3188" t="s">
        <v>311</v>
      </c>
    </row>
    <row r="3189">
      <c r="A3189" s="232" t="s">
        <v>6153</v>
      </c>
      <c r="B3189" t="s">
        <v>6154</v>
      </c>
      <c r="C3189">
        <v>333.0</v>
      </c>
      <c r="D3189" t="s">
        <v>330</v>
      </c>
      <c r="E3189" t="s">
        <v>311</v>
      </c>
    </row>
    <row r="3190">
      <c r="A3190" s="232" t="s">
        <v>6155</v>
      </c>
      <c r="B3190" t="s">
        <v>6156</v>
      </c>
      <c r="C3190">
        <v>992.0</v>
      </c>
      <c r="D3190" t="s">
        <v>330</v>
      </c>
      <c r="E3190" t="s">
        <v>311</v>
      </c>
    </row>
    <row r="3191">
      <c r="A3191" s="232" t="s">
        <v>6157</v>
      </c>
      <c r="B3191" t="s">
        <v>6158</v>
      </c>
      <c r="C3191">
        <v>317.0</v>
      </c>
      <c r="D3191" t="s">
        <v>330</v>
      </c>
      <c r="E3191" t="s">
        <v>311</v>
      </c>
    </row>
    <row r="3192">
      <c r="A3192" s="232" t="s">
        <v>6159</v>
      </c>
      <c r="B3192" t="s">
        <v>6160</v>
      </c>
      <c r="C3192">
        <v>476.0</v>
      </c>
      <c r="D3192" t="s">
        <v>330</v>
      </c>
      <c r="E3192" t="s">
        <v>311</v>
      </c>
    </row>
    <row r="3193">
      <c r="A3193" s="232" t="s">
        <v>6161</v>
      </c>
      <c r="B3193" t="s">
        <v>6162</v>
      </c>
      <c r="C3193">
        <v>1.0</v>
      </c>
      <c r="D3193" t="s">
        <v>330</v>
      </c>
      <c r="E3193" t="s">
        <v>311</v>
      </c>
    </row>
    <row r="3194">
      <c r="A3194" s="232" t="s">
        <v>6163</v>
      </c>
      <c r="B3194" t="s">
        <v>6164</v>
      </c>
      <c r="C3194">
        <v>205.0</v>
      </c>
      <c r="D3194" t="s">
        <v>330</v>
      </c>
      <c r="E3194" t="s">
        <v>311</v>
      </c>
    </row>
    <row r="3195">
      <c r="A3195" s="232" t="s">
        <v>6165</v>
      </c>
      <c r="B3195" t="s">
        <v>6166</v>
      </c>
      <c r="C3195">
        <v>332.0</v>
      </c>
      <c r="D3195" t="s">
        <v>330</v>
      </c>
      <c r="E3195" t="s">
        <v>311</v>
      </c>
    </row>
    <row r="3196">
      <c r="A3196" s="232" t="s">
        <v>6167</v>
      </c>
      <c r="B3196" t="s">
        <v>6168</v>
      </c>
      <c r="C3196">
        <v>-4.0</v>
      </c>
      <c r="D3196" t="s">
        <v>330</v>
      </c>
      <c r="E3196" t="s">
        <v>311</v>
      </c>
    </row>
    <row r="3197">
      <c r="A3197" s="232" t="s">
        <v>6169</v>
      </c>
      <c r="B3197" t="s">
        <v>6170</v>
      </c>
      <c r="C3197">
        <v>500.0</v>
      </c>
      <c r="D3197" t="s">
        <v>330</v>
      </c>
      <c r="E3197" t="s">
        <v>311</v>
      </c>
    </row>
    <row r="3198">
      <c r="A3198" s="232" t="s">
        <v>6171</v>
      </c>
      <c r="B3198" t="s">
        <v>6172</v>
      </c>
      <c r="C3198">
        <v>395.0</v>
      </c>
      <c r="D3198" t="s">
        <v>330</v>
      </c>
      <c r="E3198" t="s">
        <v>311</v>
      </c>
    </row>
    <row r="3199">
      <c r="A3199" s="232" t="s">
        <v>6173</v>
      </c>
      <c r="B3199" t="s">
        <v>6174</v>
      </c>
      <c r="C3199">
        <v>245.0</v>
      </c>
      <c r="D3199" t="s">
        <v>330</v>
      </c>
      <c r="E3199" t="s">
        <v>311</v>
      </c>
    </row>
    <row r="3200">
      <c r="A3200" s="232" t="s">
        <v>6175</v>
      </c>
      <c r="B3200" t="s">
        <v>6176</v>
      </c>
      <c r="C3200">
        <v>484.0</v>
      </c>
      <c r="D3200" t="s">
        <v>330</v>
      </c>
      <c r="E3200" t="s">
        <v>311</v>
      </c>
    </row>
    <row r="3201">
      <c r="A3201" s="232" t="s">
        <v>6177</v>
      </c>
      <c r="B3201" t="s">
        <v>6178</v>
      </c>
      <c r="C3201">
        <v>440.0</v>
      </c>
      <c r="D3201" t="s">
        <v>330</v>
      </c>
      <c r="E3201" t="s">
        <v>311</v>
      </c>
    </row>
    <row r="3202">
      <c r="A3202" s="232" t="s">
        <v>6179</v>
      </c>
      <c r="B3202" t="s">
        <v>6180</v>
      </c>
      <c r="C3202">
        <v>0.0</v>
      </c>
      <c r="D3202" t="s">
        <v>310</v>
      </c>
      <c r="E3202" t="s">
        <v>311</v>
      </c>
    </row>
    <row r="3203">
      <c r="A3203" s="232" t="s">
        <v>6181</v>
      </c>
      <c r="B3203" t="s">
        <v>6182</v>
      </c>
      <c r="C3203">
        <v>540.0</v>
      </c>
      <c r="D3203" t="s">
        <v>330</v>
      </c>
      <c r="E3203" t="s">
        <v>311</v>
      </c>
    </row>
    <row r="3204">
      <c r="A3204" s="232" t="s">
        <v>6183</v>
      </c>
      <c r="B3204" t="s">
        <v>6184</v>
      </c>
      <c r="C3204">
        <v>278.0</v>
      </c>
      <c r="D3204" t="s">
        <v>330</v>
      </c>
      <c r="E3204" t="s">
        <v>311</v>
      </c>
    </row>
    <row r="3205">
      <c r="A3205" s="232" t="s">
        <v>6185</v>
      </c>
      <c r="B3205" t="s">
        <v>6186</v>
      </c>
      <c r="C3205">
        <v>364.0</v>
      </c>
      <c r="D3205" t="s">
        <v>330</v>
      </c>
      <c r="E3205" t="s">
        <v>311</v>
      </c>
    </row>
    <row r="3206">
      <c r="A3206" s="232" t="s">
        <v>6187</v>
      </c>
      <c r="B3206" t="s">
        <v>6188</v>
      </c>
      <c r="C3206">
        <v>363.0</v>
      </c>
      <c r="D3206" t="s">
        <v>330</v>
      </c>
      <c r="E3206" t="s">
        <v>311</v>
      </c>
    </row>
    <row r="3207">
      <c r="A3207" s="232" t="s">
        <v>6189</v>
      </c>
      <c r="B3207" t="s">
        <v>6190</v>
      </c>
      <c r="C3207">
        <v>-12.0</v>
      </c>
      <c r="D3207" t="s">
        <v>330</v>
      </c>
      <c r="E3207" t="s">
        <v>311</v>
      </c>
    </row>
    <row r="3208">
      <c r="A3208" s="232" t="s">
        <v>6191</v>
      </c>
      <c r="B3208" t="s">
        <v>6192</v>
      </c>
      <c r="C3208">
        <v>48.0</v>
      </c>
      <c r="D3208" t="s">
        <v>330</v>
      </c>
      <c r="E3208" t="s">
        <v>311</v>
      </c>
    </row>
    <row r="3209">
      <c r="A3209" s="232" t="s">
        <v>6193</v>
      </c>
      <c r="B3209" t="s">
        <v>6194</v>
      </c>
      <c r="C3209">
        <v>401.0</v>
      </c>
      <c r="D3209" t="s">
        <v>330</v>
      </c>
      <c r="E3209" t="s">
        <v>311</v>
      </c>
    </row>
    <row r="3210">
      <c r="A3210" s="232" t="s">
        <v>6195</v>
      </c>
      <c r="B3210" t="s">
        <v>6196</v>
      </c>
      <c r="C3210">
        <v>497.0</v>
      </c>
      <c r="D3210" t="s">
        <v>330</v>
      </c>
      <c r="E3210" t="s">
        <v>311</v>
      </c>
    </row>
    <row r="3211">
      <c r="A3211" s="232" t="s">
        <v>6197</v>
      </c>
      <c r="B3211" t="s">
        <v>6198</v>
      </c>
      <c r="C3211">
        <v>470.0</v>
      </c>
      <c r="D3211" t="s">
        <v>330</v>
      </c>
      <c r="E3211" t="s">
        <v>311</v>
      </c>
    </row>
    <row r="3212">
      <c r="A3212" s="232" t="s">
        <v>6199</v>
      </c>
      <c r="B3212" t="s">
        <v>6200</v>
      </c>
      <c r="C3212">
        <v>312.0</v>
      </c>
      <c r="D3212" t="s">
        <v>330</v>
      </c>
      <c r="E3212" t="s">
        <v>311</v>
      </c>
    </row>
    <row r="3213">
      <c r="A3213" s="232" t="s">
        <v>6201</v>
      </c>
      <c r="B3213" t="s">
        <v>6202</v>
      </c>
      <c r="C3213">
        <v>0.0</v>
      </c>
      <c r="D3213" t="s">
        <v>330</v>
      </c>
      <c r="E3213" t="s">
        <v>311</v>
      </c>
    </row>
    <row r="3214">
      <c r="A3214" s="232" t="s">
        <v>6203</v>
      </c>
      <c r="B3214" t="s">
        <v>6204</v>
      </c>
      <c r="C3214">
        <v>0.0</v>
      </c>
      <c r="D3214" t="s">
        <v>330</v>
      </c>
      <c r="E3214" t="s">
        <v>311</v>
      </c>
    </row>
    <row r="3215">
      <c r="A3215" s="232" t="s">
        <v>6205</v>
      </c>
      <c r="B3215" t="s">
        <v>6206</v>
      </c>
      <c r="C3215">
        <v>459.0</v>
      </c>
      <c r="D3215" t="s">
        <v>330</v>
      </c>
      <c r="E3215" t="s">
        <v>311</v>
      </c>
    </row>
    <row r="3216">
      <c r="A3216" s="232" t="s">
        <v>6207</v>
      </c>
      <c r="B3216" t="s">
        <v>6208</v>
      </c>
      <c r="C3216">
        <v>0.0</v>
      </c>
      <c r="D3216" t="s">
        <v>310</v>
      </c>
      <c r="E3216" t="s">
        <v>311</v>
      </c>
    </row>
    <row r="3217">
      <c r="A3217" s="232" t="s">
        <v>6209</v>
      </c>
      <c r="B3217" t="s">
        <v>6210</v>
      </c>
      <c r="C3217">
        <v>0.0</v>
      </c>
      <c r="D3217" t="s">
        <v>310</v>
      </c>
      <c r="E3217" t="s">
        <v>311</v>
      </c>
    </row>
    <row r="3218">
      <c r="A3218" s="232" t="s">
        <v>6211</v>
      </c>
      <c r="B3218" t="s">
        <v>6212</v>
      </c>
      <c r="C3218">
        <v>0.0</v>
      </c>
      <c r="D3218" t="s">
        <v>310</v>
      </c>
      <c r="E3218" t="s">
        <v>311</v>
      </c>
    </row>
    <row r="3219">
      <c r="A3219" s="232" t="s">
        <v>6213</v>
      </c>
      <c r="B3219" t="s">
        <v>6214</v>
      </c>
      <c r="C3219">
        <v>44.0</v>
      </c>
      <c r="D3219" t="s">
        <v>330</v>
      </c>
      <c r="E3219" t="s">
        <v>311</v>
      </c>
    </row>
    <row r="3220">
      <c r="A3220" s="232" t="s">
        <v>6215</v>
      </c>
      <c r="B3220" t="s">
        <v>6216</v>
      </c>
      <c r="C3220">
        <v>663.0</v>
      </c>
      <c r="D3220" t="s">
        <v>330</v>
      </c>
      <c r="E3220" t="s">
        <v>311</v>
      </c>
    </row>
    <row r="3221">
      <c r="A3221" s="232" t="s">
        <v>6217</v>
      </c>
      <c r="B3221" t="s">
        <v>6218</v>
      </c>
      <c r="C3221">
        <v>0.0</v>
      </c>
      <c r="D3221" t="s">
        <v>310</v>
      </c>
      <c r="E3221" t="s">
        <v>311</v>
      </c>
    </row>
    <row r="3222">
      <c r="A3222" s="232" t="s">
        <v>6219</v>
      </c>
      <c r="B3222" t="s">
        <v>6220</v>
      </c>
      <c r="C3222">
        <v>0.0</v>
      </c>
      <c r="D3222" t="s">
        <v>310</v>
      </c>
      <c r="E3222" t="s">
        <v>311</v>
      </c>
    </row>
    <row r="3223">
      <c r="A3223" s="232" t="s">
        <v>6221</v>
      </c>
      <c r="B3223" t="s">
        <v>6222</v>
      </c>
      <c r="C3223">
        <v>0.0</v>
      </c>
      <c r="D3223" t="s">
        <v>310</v>
      </c>
      <c r="E3223" t="s">
        <v>311</v>
      </c>
    </row>
    <row r="3224">
      <c r="A3224" s="232" t="s">
        <v>6223</v>
      </c>
      <c r="B3224" t="s">
        <v>6224</v>
      </c>
      <c r="C3224">
        <v>0.0</v>
      </c>
      <c r="D3224" t="s">
        <v>310</v>
      </c>
      <c r="E3224" t="s">
        <v>311</v>
      </c>
    </row>
    <row r="3225">
      <c r="A3225" s="232" t="s">
        <v>6225</v>
      </c>
      <c r="B3225" t="s">
        <v>6226</v>
      </c>
      <c r="C3225">
        <v>214.0</v>
      </c>
      <c r="D3225" t="s">
        <v>330</v>
      </c>
      <c r="E3225" t="s">
        <v>311</v>
      </c>
    </row>
    <row r="3226">
      <c r="A3226" s="232" t="s">
        <v>6227</v>
      </c>
      <c r="B3226" t="s">
        <v>6228</v>
      </c>
      <c r="C3226">
        <v>0.0</v>
      </c>
      <c r="D3226" t="s">
        <v>310</v>
      </c>
      <c r="E3226" t="s">
        <v>311</v>
      </c>
    </row>
    <row r="3227">
      <c r="A3227" s="232" t="s">
        <v>6229</v>
      </c>
      <c r="B3227" t="s">
        <v>6230</v>
      </c>
      <c r="C3227">
        <v>442.0</v>
      </c>
      <c r="D3227" t="s">
        <v>330</v>
      </c>
      <c r="E3227" t="s">
        <v>311</v>
      </c>
    </row>
    <row r="3228">
      <c r="A3228" s="232" t="s">
        <v>6231</v>
      </c>
      <c r="B3228" t="s">
        <v>6232</v>
      </c>
      <c r="C3228">
        <v>0.0</v>
      </c>
      <c r="D3228" t="s">
        <v>310</v>
      </c>
      <c r="E3228" t="s">
        <v>311</v>
      </c>
    </row>
    <row r="3229">
      <c r="A3229" s="232" t="s">
        <v>6233</v>
      </c>
      <c r="B3229" t="s">
        <v>6234</v>
      </c>
      <c r="C3229">
        <v>0.0</v>
      </c>
      <c r="D3229" t="s">
        <v>310</v>
      </c>
      <c r="E3229" t="s">
        <v>311</v>
      </c>
    </row>
    <row r="3230">
      <c r="A3230" s="232" t="s">
        <v>6235</v>
      </c>
      <c r="B3230" t="s">
        <v>6236</v>
      </c>
      <c r="C3230">
        <v>60.0</v>
      </c>
      <c r="D3230" t="s">
        <v>330</v>
      </c>
      <c r="E3230" t="s">
        <v>311</v>
      </c>
    </row>
    <row r="3231">
      <c r="A3231" s="232" t="s">
        <v>6237</v>
      </c>
      <c r="B3231" t="s">
        <v>6238</v>
      </c>
      <c r="C3231">
        <v>0.0</v>
      </c>
      <c r="D3231" t="s">
        <v>310</v>
      </c>
      <c r="E3231" t="s">
        <v>311</v>
      </c>
    </row>
    <row r="3232">
      <c r="A3232" s="232" t="s">
        <v>6239</v>
      </c>
      <c r="B3232" t="s">
        <v>6240</v>
      </c>
      <c r="C3232">
        <v>215.0</v>
      </c>
      <c r="D3232" t="s">
        <v>330</v>
      </c>
      <c r="E3232" t="s">
        <v>311</v>
      </c>
    </row>
    <row r="3233">
      <c r="A3233" s="232" t="s">
        <v>6241</v>
      </c>
      <c r="B3233" t="s">
        <v>6242</v>
      </c>
      <c r="C3233">
        <v>390.0</v>
      </c>
      <c r="D3233" t="s">
        <v>330</v>
      </c>
      <c r="E3233" t="s">
        <v>311</v>
      </c>
    </row>
    <row r="3234">
      <c r="A3234" s="232" t="s">
        <v>6243</v>
      </c>
      <c r="B3234" t="s">
        <v>6244</v>
      </c>
      <c r="C3234">
        <v>328.0</v>
      </c>
      <c r="D3234" t="s">
        <v>330</v>
      </c>
      <c r="E3234" t="s">
        <v>311</v>
      </c>
    </row>
    <row r="3235">
      <c r="A3235" s="232" t="s">
        <v>6245</v>
      </c>
      <c r="B3235" t="s">
        <v>6246</v>
      </c>
      <c r="C3235">
        <v>0.0</v>
      </c>
      <c r="D3235" t="s">
        <v>310</v>
      </c>
      <c r="E3235" t="s">
        <v>311</v>
      </c>
    </row>
    <row r="3236">
      <c r="A3236" s="232" t="s">
        <v>6247</v>
      </c>
      <c r="B3236" t="s">
        <v>6248</v>
      </c>
      <c r="C3236">
        <v>1.0</v>
      </c>
      <c r="D3236" t="s">
        <v>330</v>
      </c>
      <c r="E3236" t="s">
        <v>6249</v>
      </c>
    </row>
    <row r="3237">
      <c r="A3237" s="232">
        <v>36901.0</v>
      </c>
      <c r="B3237" t="s">
        <v>6250</v>
      </c>
      <c r="C3237">
        <v>0.0</v>
      </c>
      <c r="D3237" t="s">
        <v>310</v>
      </c>
      <c r="E3237" t="s">
        <v>311</v>
      </c>
    </row>
    <row r="3238">
      <c r="A3238" s="232" t="s">
        <v>6251</v>
      </c>
      <c r="B3238" t="s">
        <v>6252</v>
      </c>
      <c r="C3238">
        <v>0.0</v>
      </c>
      <c r="D3238" t="s">
        <v>310</v>
      </c>
      <c r="E3238" t="s">
        <v>311</v>
      </c>
    </row>
    <row r="3239">
      <c r="A3239" s="232" t="s">
        <v>6253</v>
      </c>
      <c r="B3239" t="s">
        <v>6254</v>
      </c>
      <c r="C3239">
        <v>0.0</v>
      </c>
      <c r="D3239" t="s">
        <v>310</v>
      </c>
      <c r="E3239" t="s">
        <v>311</v>
      </c>
    </row>
    <row r="3240">
      <c r="A3240" s="232">
        <v>36902.0</v>
      </c>
      <c r="B3240" t="s">
        <v>6255</v>
      </c>
      <c r="C3240">
        <v>0.0</v>
      </c>
      <c r="D3240" t="s">
        <v>310</v>
      </c>
      <c r="E3240" t="s">
        <v>311</v>
      </c>
    </row>
    <row r="3241">
      <c r="A3241" s="232">
        <v>36903.0</v>
      </c>
      <c r="B3241" t="s">
        <v>6256</v>
      </c>
      <c r="C3241">
        <v>0.0</v>
      </c>
      <c r="D3241" t="s">
        <v>310</v>
      </c>
      <c r="E3241" t="s">
        <v>311</v>
      </c>
    </row>
    <row r="3242">
      <c r="A3242" s="232">
        <v>36904.0</v>
      </c>
      <c r="B3242" t="s">
        <v>6257</v>
      </c>
      <c r="C3242">
        <v>0.0</v>
      </c>
      <c r="D3242" t="s">
        <v>310</v>
      </c>
      <c r="E3242" t="s">
        <v>311</v>
      </c>
    </row>
    <row r="3243">
      <c r="A3243" s="232">
        <v>36905.0</v>
      </c>
      <c r="B3243" t="s">
        <v>6258</v>
      </c>
      <c r="C3243">
        <v>0.0</v>
      </c>
      <c r="D3243" t="s">
        <v>310</v>
      </c>
      <c r="E3243" t="s">
        <v>311</v>
      </c>
    </row>
    <row r="3244">
      <c r="A3244" s="232">
        <v>36906.0</v>
      </c>
      <c r="B3244" t="s">
        <v>6259</v>
      </c>
      <c r="C3244">
        <v>0.0</v>
      </c>
      <c r="D3244" t="s">
        <v>310</v>
      </c>
      <c r="E3244" t="s">
        <v>311</v>
      </c>
    </row>
    <row r="3245">
      <c r="A3245" s="232" t="s">
        <v>6260</v>
      </c>
      <c r="B3245" t="s">
        <v>6261</v>
      </c>
      <c r="C3245">
        <v>0.0</v>
      </c>
      <c r="D3245" t="s">
        <v>310</v>
      </c>
      <c r="E3245" t="s">
        <v>311</v>
      </c>
    </row>
    <row r="3246">
      <c r="A3246" s="232">
        <v>30101.0</v>
      </c>
      <c r="B3246" t="s">
        <v>6262</v>
      </c>
      <c r="C3246">
        <v>0.0</v>
      </c>
      <c r="D3246" t="s">
        <v>310</v>
      </c>
      <c r="E3246" t="s">
        <v>311</v>
      </c>
    </row>
    <row r="3247">
      <c r="A3247" s="232" t="s">
        <v>6263</v>
      </c>
      <c r="B3247" t="s">
        <v>6264</v>
      </c>
      <c r="C3247">
        <v>135.0</v>
      </c>
      <c r="D3247" t="s">
        <v>330</v>
      </c>
      <c r="E3247" t="s">
        <v>311</v>
      </c>
    </row>
    <row r="3248">
      <c r="A3248" s="232" t="s">
        <v>6265</v>
      </c>
      <c r="B3248" t="s">
        <v>6266</v>
      </c>
      <c r="C3248">
        <v>127.0</v>
      </c>
      <c r="D3248" t="s">
        <v>330</v>
      </c>
      <c r="E3248" t="s">
        <v>311</v>
      </c>
    </row>
    <row r="3249">
      <c r="A3249" s="232" t="s">
        <v>6267</v>
      </c>
      <c r="B3249" t="s">
        <v>6268</v>
      </c>
      <c r="C3249">
        <v>251.0</v>
      </c>
      <c r="D3249" t="s">
        <v>330</v>
      </c>
      <c r="E3249" t="s">
        <v>311</v>
      </c>
    </row>
    <row r="3250">
      <c r="A3250" s="232" t="s">
        <v>6269</v>
      </c>
      <c r="B3250" t="s">
        <v>6270</v>
      </c>
      <c r="C3250">
        <v>135.0</v>
      </c>
      <c r="D3250" t="s">
        <v>330</v>
      </c>
      <c r="E3250" t="s">
        <v>311</v>
      </c>
    </row>
    <row r="3251">
      <c r="A3251" s="232" t="s">
        <v>6271</v>
      </c>
      <c r="B3251" t="s">
        <v>6272</v>
      </c>
      <c r="C3251">
        <v>0.0</v>
      </c>
      <c r="D3251" t="s">
        <v>310</v>
      </c>
      <c r="E3251" t="s">
        <v>311</v>
      </c>
    </row>
    <row r="3252">
      <c r="A3252" s="232" t="s">
        <v>6273</v>
      </c>
      <c r="B3252" t="s">
        <v>6274</v>
      </c>
      <c r="C3252">
        <v>79.0</v>
      </c>
      <c r="D3252" t="s">
        <v>330</v>
      </c>
      <c r="E3252" t="s">
        <v>311</v>
      </c>
    </row>
    <row r="3253">
      <c r="A3253" s="232" t="s">
        <v>6275</v>
      </c>
      <c r="B3253" t="s">
        <v>6276</v>
      </c>
      <c r="C3253">
        <v>0.0</v>
      </c>
      <c r="D3253" t="s">
        <v>310</v>
      </c>
      <c r="E3253" t="s">
        <v>311</v>
      </c>
    </row>
    <row r="3254">
      <c r="A3254" s="232" t="s">
        <v>6277</v>
      </c>
      <c r="B3254" t="s">
        <v>6278</v>
      </c>
      <c r="C3254">
        <v>0.0</v>
      </c>
      <c r="D3254" t="s">
        <v>310</v>
      </c>
      <c r="E3254" t="s">
        <v>311</v>
      </c>
    </row>
    <row r="3255">
      <c r="A3255" s="232" t="s">
        <v>6279</v>
      </c>
      <c r="B3255" t="s">
        <v>6280</v>
      </c>
      <c r="C3255">
        <v>0.0</v>
      </c>
      <c r="D3255" t="s">
        <v>310</v>
      </c>
      <c r="E3255" t="s">
        <v>311</v>
      </c>
    </row>
    <row r="3256">
      <c r="A3256" s="232" t="s">
        <v>6281</v>
      </c>
      <c r="B3256" t="s">
        <v>6282</v>
      </c>
      <c r="C3256">
        <v>0.0</v>
      </c>
      <c r="D3256" t="s">
        <v>310</v>
      </c>
      <c r="E3256" t="s">
        <v>311</v>
      </c>
    </row>
    <row r="3257">
      <c r="A3257" s="232" t="s">
        <v>6283</v>
      </c>
      <c r="B3257" t="s">
        <v>6284</v>
      </c>
      <c r="C3257">
        <v>0.0</v>
      </c>
      <c r="D3257" t="s">
        <v>310</v>
      </c>
      <c r="E3257" t="s">
        <v>311</v>
      </c>
    </row>
    <row r="3258">
      <c r="A3258" s="232" t="s">
        <v>6285</v>
      </c>
      <c r="B3258" t="s">
        <v>6286</v>
      </c>
      <c r="C3258">
        <v>0.0</v>
      </c>
      <c r="D3258" t="s">
        <v>310</v>
      </c>
      <c r="E3258" t="s">
        <v>311</v>
      </c>
    </row>
    <row r="3259">
      <c r="A3259" s="232" t="s">
        <v>6287</v>
      </c>
      <c r="B3259" t="s">
        <v>6288</v>
      </c>
      <c r="C3259">
        <v>0.0</v>
      </c>
      <c r="D3259" t="s">
        <v>310</v>
      </c>
      <c r="E3259" t="s">
        <v>311</v>
      </c>
    </row>
    <row r="3260">
      <c r="A3260" s="232" t="s">
        <v>6289</v>
      </c>
      <c r="B3260" t="s">
        <v>6290</v>
      </c>
      <c r="C3260">
        <v>0.0</v>
      </c>
      <c r="D3260" t="s">
        <v>310</v>
      </c>
      <c r="E3260" t="s">
        <v>311</v>
      </c>
    </row>
    <row r="3261">
      <c r="A3261" s="232" t="s">
        <v>6291</v>
      </c>
      <c r="B3261" t="s">
        <v>6292</v>
      </c>
      <c r="C3261">
        <v>0.0</v>
      </c>
      <c r="D3261" t="s">
        <v>310</v>
      </c>
      <c r="E3261" t="s">
        <v>311</v>
      </c>
    </row>
    <row r="3262">
      <c r="A3262" s="232" t="s">
        <v>6293</v>
      </c>
      <c r="B3262" t="s">
        <v>6294</v>
      </c>
      <c r="C3262">
        <v>0.0</v>
      </c>
      <c r="D3262" t="s">
        <v>310</v>
      </c>
      <c r="E3262" t="s">
        <v>311</v>
      </c>
    </row>
    <row r="3263">
      <c r="A3263" s="232" t="s">
        <v>6295</v>
      </c>
      <c r="B3263" t="s">
        <v>6296</v>
      </c>
      <c r="C3263">
        <v>0.0</v>
      </c>
      <c r="D3263" t="s">
        <v>310</v>
      </c>
      <c r="E3263" t="s">
        <v>311</v>
      </c>
    </row>
    <row r="3264">
      <c r="A3264" s="232" t="s">
        <v>6297</v>
      </c>
      <c r="B3264" t="s">
        <v>6298</v>
      </c>
      <c r="C3264">
        <v>0.0</v>
      </c>
      <c r="D3264" t="s">
        <v>310</v>
      </c>
      <c r="E3264" t="s">
        <v>311</v>
      </c>
    </row>
    <row r="3265">
      <c r="A3265" s="232" t="s">
        <v>6299</v>
      </c>
      <c r="B3265" t="s">
        <v>6300</v>
      </c>
      <c r="C3265">
        <v>0.0</v>
      </c>
      <c r="D3265" t="s">
        <v>310</v>
      </c>
      <c r="E3265" t="s">
        <v>311</v>
      </c>
    </row>
    <row r="3266">
      <c r="A3266" s="232" t="s">
        <v>6301</v>
      </c>
      <c r="B3266" t="s">
        <v>6302</v>
      </c>
      <c r="C3266">
        <v>0.0</v>
      </c>
      <c r="D3266" t="s">
        <v>310</v>
      </c>
      <c r="E3266" t="s">
        <v>311</v>
      </c>
    </row>
    <row r="3267">
      <c r="A3267" s="232" t="s">
        <v>6303</v>
      </c>
      <c r="B3267" t="s">
        <v>6304</v>
      </c>
      <c r="C3267">
        <v>0.0</v>
      </c>
      <c r="D3267" t="s">
        <v>310</v>
      </c>
      <c r="E3267" t="s">
        <v>311</v>
      </c>
    </row>
    <row r="3268">
      <c r="A3268" s="232" t="s">
        <v>6305</v>
      </c>
      <c r="B3268" t="s">
        <v>6306</v>
      </c>
      <c r="C3268">
        <v>0.0</v>
      </c>
      <c r="D3268" t="s">
        <v>330</v>
      </c>
      <c r="E3268" t="s">
        <v>565</v>
      </c>
    </row>
    <row r="3269">
      <c r="A3269" s="232">
        <v>31902.0</v>
      </c>
      <c r="B3269" t="s">
        <v>6307</v>
      </c>
      <c r="C3269">
        <v>0.0</v>
      </c>
      <c r="D3269" t="s">
        <v>310</v>
      </c>
      <c r="E3269" t="s">
        <v>311</v>
      </c>
    </row>
    <row r="3270">
      <c r="A3270" s="232">
        <v>31901.0</v>
      </c>
      <c r="B3270" t="s">
        <v>6308</v>
      </c>
      <c r="C3270">
        <v>0.0</v>
      </c>
      <c r="D3270" t="s">
        <v>310</v>
      </c>
      <c r="E3270" t="s">
        <v>311</v>
      </c>
    </row>
    <row r="3271">
      <c r="A3271" s="232" t="s">
        <v>6309</v>
      </c>
      <c r="B3271" t="s">
        <v>6310</v>
      </c>
      <c r="C3271">
        <v>0.0</v>
      </c>
      <c r="D3271" t="s">
        <v>310</v>
      </c>
      <c r="E3271" t="s">
        <v>311</v>
      </c>
    </row>
    <row r="3272">
      <c r="A3272" s="232">
        <v>94404.0</v>
      </c>
      <c r="B3272" t="s">
        <v>6311</v>
      </c>
      <c r="C3272">
        <v>0.0</v>
      </c>
      <c r="D3272" t="s">
        <v>310</v>
      </c>
      <c r="E3272" t="s">
        <v>311</v>
      </c>
    </row>
    <row r="3273">
      <c r="A3273" s="232">
        <v>94403.0</v>
      </c>
      <c r="B3273" t="s">
        <v>6312</v>
      </c>
      <c r="C3273">
        <v>0.0</v>
      </c>
      <c r="D3273" t="s">
        <v>310</v>
      </c>
      <c r="E3273" t="s">
        <v>311</v>
      </c>
    </row>
    <row r="3274">
      <c r="A3274" s="232" t="s">
        <v>51</v>
      </c>
      <c r="B3274" t="s">
        <v>50</v>
      </c>
      <c r="C3274">
        <v>12.0</v>
      </c>
      <c r="D3274" t="s">
        <v>330</v>
      </c>
      <c r="E3274" t="s">
        <v>311</v>
      </c>
    </row>
    <row r="3275">
      <c r="A3275" s="232" t="s">
        <v>55</v>
      </c>
      <c r="B3275" t="s">
        <v>54</v>
      </c>
      <c r="C3275">
        <v>7.0</v>
      </c>
      <c r="D3275" t="s">
        <v>330</v>
      </c>
      <c r="E3275" t="s">
        <v>311</v>
      </c>
    </row>
    <row r="3276">
      <c r="A3276" s="232" t="s">
        <v>57</v>
      </c>
      <c r="B3276" t="s">
        <v>56</v>
      </c>
      <c r="C3276">
        <v>0.0</v>
      </c>
      <c r="D3276" t="s">
        <v>310</v>
      </c>
      <c r="E3276" t="s">
        <v>311</v>
      </c>
    </row>
    <row r="3277">
      <c r="A3277" s="232" t="s">
        <v>53</v>
      </c>
      <c r="B3277" t="s">
        <v>52</v>
      </c>
      <c r="C3277">
        <v>17.0</v>
      </c>
      <c r="D3277" t="s">
        <v>330</v>
      </c>
      <c r="E3277" t="s">
        <v>311</v>
      </c>
    </row>
    <row r="3278">
      <c r="A3278" s="232" t="s">
        <v>70</v>
      </c>
      <c r="B3278" t="s">
        <v>69</v>
      </c>
      <c r="C3278">
        <v>10.0</v>
      </c>
      <c r="D3278" t="s">
        <v>330</v>
      </c>
      <c r="E3278" t="s">
        <v>311</v>
      </c>
    </row>
    <row r="3279">
      <c r="A3279" s="232" t="s">
        <v>74</v>
      </c>
      <c r="B3279" t="s">
        <v>73</v>
      </c>
      <c r="C3279">
        <v>0.0</v>
      </c>
      <c r="D3279" t="s">
        <v>310</v>
      </c>
      <c r="E3279" t="s">
        <v>311</v>
      </c>
    </row>
    <row r="3280">
      <c r="A3280" s="232" t="s">
        <v>72</v>
      </c>
      <c r="B3280" t="s">
        <v>71</v>
      </c>
      <c r="C3280">
        <v>0.0</v>
      </c>
      <c r="D3280" t="s">
        <v>330</v>
      </c>
      <c r="E3280" t="s">
        <v>311</v>
      </c>
    </row>
    <row r="3281">
      <c r="A3281" s="232" t="s">
        <v>76</v>
      </c>
      <c r="B3281" t="s">
        <v>75</v>
      </c>
      <c r="C3281">
        <v>4.0</v>
      </c>
      <c r="D3281" t="s">
        <v>310</v>
      </c>
      <c r="E3281" t="s">
        <v>311</v>
      </c>
    </row>
    <row r="3282">
      <c r="A3282" s="232" t="s">
        <v>193</v>
      </c>
      <c r="B3282" t="s">
        <v>192</v>
      </c>
      <c r="C3282">
        <v>6786.0</v>
      </c>
      <c r="D3282" t="s">
        <v>330</v>
      </c>
      <c r="E3282" t="s">
        <v>311</v>
      </c>
    </row>
    <row r="3283">
      <c r="A3283" s="232" t="s">
        <v>197</v>
      </c>
      <c r="B3283" t="s">
        <v>196</v>
      </c>
      <c r="C3283">
        <v>2854.0</v>
      </c>
      <c r="D3283" t="s">
        <v>330</v>
      </c>
      <c r="E3283" t="s">
        <v>311</v>
      </c>
    </row>
    <row r="3284">
      <c r="A3284" s="232" t="s">
        <v>195</v>
      </c>
      <c r="B3284" t="s">
        <v>194</v>
      </c>
      <c r="C3284">
        <v>2108.0</v>
      </c>
      <c r="D3284" t="s">
        <v>330</v>
      </c>
      <c r="E3284" t="s">
        <v>311</v>
      </c>
    </row>
    <row r="3285">
      <c r="A3285" s="232" t="s">
        <v>199</v>
      </c>
      <c r="B3285" t="s">
        <v>198</v>
      </c>
      <c r="C3285">
        <v>3495.0</v>
      </c>
      <c r="D3285" t="s">
        <v>330</v>
      </c>
      <c r="E3285" t="s">
        <v>311</v>
      </c>
    </row>
    <row r="3286">
      <c r="A3286" s="232" t="s">
        <v>79</v>
      </c>
      <c r="B3286" t="s">
        <v>78</v>
      </c>
      <c r="C3286">
        <v>0.0</v>
      </c>
      <c r="D3286" t="s">
        <v>310</v>
      </c>
      <c r="E3286" t="s">
        <v>311</v>
      </c>
    </row>
    <row r="3287">
      <c r="A3287" s="232">
        <v>94201.0</v>
      </c>
      <c r="B3287" t="s">
        <v>6313</v>
      </c>
      <c r="C3287">
        <v>0.0</v>
      </c>
      <c r="D3287" t="s">
        <v>310</v>
      </c>
      <c r="E3287" t="s">
        <v>311</v>
      </c>
    </row>
    <row r="3288">
      <c r="A3288" s="232">
        <v>94202.0</v>
      </c>
      <c r="B3288" t="s">
        <v>6314</v>
      </c>
      <c r="C3288">
        <v>0.0</v>
      </c>
      <c r="D3288" t="s">
        <v>310</v>
      </c>
      <c r="E3288" t="s">
        <v>311</v>
      </c>
    </row>
    <row r="3289">
      <c r="A3289" s="232">
        <v>94205.0</v>
      </c>
      <c r="B3289" t="s">
        <v>6315</v>
      </c>
      <c r="C3289">
        <v>0.0</v>
      </c>
      <c r="D3289" t="s">
        <v>310</v>
      </c>
      <c r="E3289" t="s">
        <v>311</v>
      </c>
    </row>
    <row r="3290">
      <c r="A3290" s="232" t="s">
        <v>6316</v>
      </c>
      <c r="B3290" t="s">
        <v>6317</v>
      </c>
      <c r="C3290">
        <v>155.0</v>
      </c>
      <c r="D3290" t="s">
        <v>330</v>
      </c>
      <c r="E3290" t="s">
        <v>311</v>
      </c>
    </row>
    <row r="3291">
      <c r="A3291" s="232">
        <v>93005.0</v>
      </c>
      <c r="B3291" t="s">
        <v>6318</v>
      </c>
      <c r="C3291">
        <v>0.0</v>
      </c>
      <c r="D3291" t="s">
        <v>310</v>
      </c>
      <c r="E3291" t="s">
        <v>311</v>
      </c>
    </row>
    <row r="3292">
      <c r="A3292" s="232">
        <v>93007.0</v>
      </c>
      <c r="B3292" t="s">
        <v>6319</v>
      </c>
      <c r="C3292">
        <v>0.0</v>
      </c>
      <c r="D3292" t="s">
        <v>310</v>
      </c>
      <c r="E3292" t="s">
        <v>311</v>
      </c>
    </row>
    <row r="3293">
      <c r="A3293" s="232">
        <v>93006.0</v>
      </c>
      <c r="B3293" t="s">
        <v>6320</v>
      </c>
      <c r="C3293">
        <v>0.0</v>
      </c>
      <c r="D3293" t="s">
        <v>310</v>
      </c>
      <c r="E3293" t="s">
        <v>311</v>
      </c>
    </row>
    <row r="3294">
      <c r="A3294" s="232">
        <v>93001.0</v>
      </c>
      <c r="B3294" t="s">
        <v>6321</v>
      </c>
      <c r="C3294">
        <v>0.0</v>
      </c>
      <c r="D3294" t="s">
        <v>310</v>
      </c>
      <c r="E3294" t="s">
        <v>311</v>
      </c>
    </row>
    <row r="3295">
      <c r="A3295" s="232">
        <v>93003.0</v>
      </c>
      <c r="B3295" t="s">
        <v>6322</v>
      </c>
      <c r="C3295">
        <v>0.0</v>
      </c>
      <c r="D3295" t="s">
        <v>310</v>
      </c>
      <c r="E3295" t="s">
        <v>311</v>
      </c>
    </row>
    <row r="3296">
      <c r="A3296" s="232">
        <v>93004.0</v>
      </c>
      <c r="B3296" t="s">
        <v>6323</v>
      </c>
      <c r="C3296">
        <v>0.0</v>
      </c>
      <c r="D3296" t="s">
        <v>310</v>
      </c>
      <c r="E3296" t="s">
        <v>311</v>
      </c>
    </row>
    <row r="3297">
      <c r="A3297" s="232">
        <v>93002.0</v>
      </c>
      <c r="B3297" t="s">
        <v>6324</v>
      </c>
      <c r="C3297">
        <v>0.0</v>
      </c>
      <c r="D3297" t="s">
        <v>310</v>
      </c>
      <c r="E3297" t="s">
        <v>311</v>
      </c>
    </row>
    <row r="3298">
      <c r="A3298" s="232" t="s">
        <v>6325</v>
      </c>
      <c r="B3298" t="s">
        <v>6326</v>
      </c>
      <c r="C3298">
        <v>1904.0</v>
      </c>
      <c r="D3298" t="s">
        <v>330</v>
      </c>
      <c r="E3298" t="s">
        <v>311</v>
      </c>
    </row>
    <row r="3299">
      <c r="A3299" s="232" t="s">
        <v>6327</v>
      </c>
      <c r="B3299" t="s">
        <v>6328</v>
      </c>
      <c r="C3299">
        <v>0.0</v>
      </c>
      <c r="D3299" t="s">
        <v>310</v>
      </c>
      <c r="E3299" t="s">
        <v>311</v>
      </c>
    </row>
    <row r="3300">
      <c r="A3300" s="232" t="s">
        <v>6329</v>
      </c>
      <c r="B3300" t="s">
        <v>6330</v>
      </c>
      <c r="C3300">
        <v>0.0</v>
      </c>
      <c r="D3300" t="s">
        <v>310</v>
      </c>
      <c r="E3300" t="s">
        <v>311</v>
      </c>
    </row>
    <row r="3301">
      <c r="A3301" s="232" t="s">
        <v>6331</v>
      </c>
      <c r="B3301" t="s">
        <v>6332</v>
      </c>
      <c r="C3301">
        <v>0.0</v>
      </c>
      <c r="D3301" t="s">
        <v>310</v>
      </c>
      <c r="E3301" t="s">
        <v>311</v>
      </c>
    </row>
    <row r="3302">
      <c r="A3302" s="232" t="s">
        <v>6333</v>
      </c>
      <c r="B3302" t="s">
        <v>6334</v>
      </c>
      <c r="C3302">
        <v>0.0</v>
      </c>
      <c r="D3302" t="s">
        <v>310</v>
      </c>
      <c r="E3302" t="s">
        <v>311</v>
      </c>
    </row>
    <row r="3303">
      <c r="A3303" s="232" t="s">
        <v>6335</v>
      </c>
      <c r="B3303" t="s">
        <v>6336</v>
      </c>
      <c r="C3303">
        <v>0.0</v>
      </c>
      <c r="D3303" t="s">
        <v>310</v>
      </c>
      <c r="E3303" t="s">
        <v>311</v>
      </c>
    </row>
    <row r="3304">
      <c r="A3304" s="232" t="s">
        <v>6337</v>
      </c>
      <c r="B3304" t="s">
        <v>6338</v>
      </c>
      <c r="C3304">
        <v>0.0</v>
      </c>
      <c r="D3304" t="s">
        <v>310</v>
      </c>
      <c r="E3304" t="s">
        <v>311</v>
      </c>
    </row>
    <row r="3305">
      <c r="A3305" s="232" t="s">
        <v>6339</v>
      </c>
      <c r="B3305" t="s">
        <v>6340</v>
      </c>
      <c r="C3305">
        <v>0.0</v>
      </c>
      <c r="D3305" t="s">
        <v>310</v>
      </c>
      <c r="E3305" t="s">
        <v>311</v>
      </c>
    </row>
    <row r="3306">
      <c r="A3306" s="232" t="s">
        <v>6341</v>
      </c>
      <c r="B3306" t="s">
        <v>6342</v>
      </c>
      <c r="C3306">
        <v>274.0</v>
      </c>
      <c r="D3306" t="s">
        <v>330</v>
      </c>
      <c r="E3306" t="s">
        <v>311</v>
      </c>
    </row>
    <row r="3307">
      <c r="A3307" s="232">
        <v>32511.0</v>
      </c>
      <c r="B3307" t="s">
        <v>6343</v>
      </c>
      <c r="C3307">
        <v>0.0</v>
      </c>
      <c r="D3307" t="s">
        <v>310</v>
      </c>
      <c r="E3307" t="s">
        <v>311</v>
      </c>
    </row>
    <row r="3308">
      <c r="A3308" s="232">
        <v>32502.0</v>
      </c>
      <c r="B3308" t="s">
        <v>6344</v>
      </c>
      <c r="C3308">
        <v>0.0</v>
      </c>
      <c r="D3308" t="s">
        <v>310</v>
      </c>
      <c r="E3308" t="s">
        <v>311</v>
      </c>
    </row>
    <row r="3309">
      <c r="A3309" s="232" t="s">
        <v>6345</v>
      </c>
      <c r="B3309" t="s">
        <v>6346</v>
      </c>
      <c r="C3309">
        <v>0.0</v>
      </c>
      <c r="D3309" t="s">
        <v>310</v>
      </c>
      <c r="E3309" t="s">
        <v>311</v>
      </c>
    </row>
    <row r="3310">
      <c r="A3310" s="232" t="s">
        <v>6347</v>
      </c>
      <c r="B3310" t="s">
        <v>6348</v>
      </c>
      <c r="C3310">
        <v>0.0</v>
      </c>
      <c r="D3310" t="s">
        <v>310</v>
      </c>
      <c r="E3310" t="s">
        <v>311</v>
      </c>
    </row>
    <row r="3311">
      <c r="A3311" s="232" t="s">
        <v>6349</v>
      </c>
      <c r="B3311" t="s">
        <v>6350</v>
      </c>
      <c r="C3311">
        <v>0.0</v>
      </c>
      <c r="D3311" t="s">
        <v>310</v>
      </c>
      <c r="E3311" t="s">
        <v>311</v>
      </c>
    </row>
    <row r="3312">
      <c r="A3312" s="232" t="s">
        <v>6351</v>
      </c>
      <c r="B3312" t="s">
        <v>6352</v>
      </c>
      <c r="C3312">
        <v>0.0</v>
      </c>
      <c r="D3312" t="s">
        <v>310</v>
      </c>
      <c r="E3312" t="s">
        <v>311</v>
      </c>
    </row>
    <row r="3313">
      <c r="A3313" s="232" t="s">
        <v>6353</v>
      </c>
      <c r="B3313" t="s">
        <v>6354</v>
      </c>
      <c r="C3313">
        <v>311.0</v>
      </c>
      <c r="D3313" t="s">
        <v>330</v>
      </c>
      <c r="E3313" t="s">
        <v>311</v>
      </c>
    </row>
    <row r="3314">
      <c r="A3314" s="232" t="s">
        <v>6355</v>
      </c>
      <c r="B3314" t="s">
        <v>6356</v>
      </c>
      <c r="C3314">
        <v>0.0</v>
      </c>
      <c r="D3314" t="s">
        <v>310</v>
      </c>
      <c r="E3314" t="s">
        <v>311</v>
      </c>
    </row>
    <row r="3315">
      <c r="A3315" s="232" t="s">
        <v>6357</v>
      </c>
      <c r="B3315" t="s">
        <v>6358</v>
      </c>
      <c r="C3315">
        <v>6.0</v>
      </c>
      <c r="D3315" t="s">
        <v>330</v>
      </c>
      <c r="E3315" t="s">
        <v>565</v>
      </c>
    </row>
    <row r="3316">
      <c r="A3316" s="232" t="s">
        <v>6359</v>
      </c>
      <c r="B3316" t="s">
        <v>6360</v>
      </c>
      <c r="C3316">
        <v>0.0</v>
      </c>
      <c r="D3316" t="s">
        <v>310</v>
      </c>
      <c r="E3316" t="s">
        <v>1208</v>
      </c>
    </row>
    <row r="3317">
      <c r="A3317" s="232" t="s">
        <v>6361</v>
      </c>
      <c r="B3317" t="s">
        <v>6362</v>
      </c>
      <c r="C3317">
        <v>0.0</v>
      </c>
      <c r="D3317" t="s">
        <v>330</v>
      </c>
      <c r="E3317" t="s">
        <v>311</v>
      </c>
    </row>
    <row r="3318">
      <c r="A3318" s="232" t="s">
        <v>6363</v>
      </c>
      <c r="B3318" t="s">
        <v>6364</v>
      </c>
      <c r="C3318">
        <v>176.0</v>
      </c>
      <c r="D3318" t="s">
        <v>330</v>
      </c>
      <c r="E3318" t="s">
        <v>311</v>
      </c>
    </row>
    <row r="3319">
      <c r="A3319" s="232" t="s">
        <v>6365</v>
      </c>
      <c r="B3319" t="s">
        <v>6366</v>
      </c>
      <c r="C3319">
        <v>317.0</v>
      </c>
      <c r="D3319" t="s">
        <v>330</v>
      </c>
      <c r="E3319" t="s">
        <v>311</v>
      </c>
    </row>
    <row r="3320">
      <c r="A3320" s="232" t="s">
        <v>6367</v>
      </c>
      <c r="B3320" t="s">
        <v>6368</v>
      </c>
      <c r="C3320">
        <v>249.0</v>
      </c>
      <c r="D3320" t="s">
        <v>330</v>
      </c>
      <c r="E3320" t="s">
        <v>311</v>
      </c>
    </row>
    <row r="3321">
      <c r="A3321" s="232" t="s">
        <v>6369</v>
      </c>
      <c r="B3321" t="s">
        <v>6370</v>
      </c>
      <c r="C3321">
        <v>447.0</v>
      </c>
      <c r="D3321" t="s">
        <v>330</v>
      </c>
      <c r="E3321" t="s">
        <v>311</v>
      </c>
    </row>
    <row r="3322">
      <c r="A3322" s="232" t="s">
        <v>6371</v>
      </c>
      <c r="B3322" t="s">
        <v>6372</v>
      </c>
      <c r="C3322">
        <v>0.0</v>
      </c>
      <c r="D3322" t="s">
        <v>310</v>
      </c>
      <c r="E3322" t="s">
        <v>311</v>
      </c>
    </row>
    <row r="3323">
      <c r="A3323" s="232" t="s">
        <v>6373</v>
      </c>
      <c r="B3323" t="s">
        <v>6374</v>
      </c>
      <c r="C3323">
        <v>0.0</v>
      </c>
      <c r="D3323" t="s">
        <v>310</v>
      </c>
      <c r="E3323" t="s">
        <v>311</v>
      </c>
    </row>
    <row r="3324">
      <c r="A3324" s="232">
        <v>2806.0</v>
      </c>
      <c r="B3324" t="s">
        <v>6375</v>
      </c>
      <c r="C3324">
        <v>0.0</v>
      </c>
      <c r="D3324" t="s">
        <v>310</v>
      </c>
      <c r="E3324" t="s">
        <v>311</v>
      </c>
    </row>
    <row r="3325">
      <c r="A3325" s="232">
        <v>2803.0</v>
      </c>
      <c r="B3325" t="s">
        <v>6376</v>
      </c>
      <c r="C3325">
        <v>0.0</v>
      </c>
      <c r="D3325" t="s">
        <v>310</v>
      </c>
      <c r="E3325" t="s">
        <v>311</v>
      </c>
    </row>
    <row r="3326">
      <c r="A3326" s="232" t="s">
        <v>6377</v>
      </c>
      <c r="B3326" t="s">
        <v>6378</v>
      </c>
      <c r="C3326">
        <v>0.0</v>
      </c>
      <c r="D3326" t="s">
        <v>330</v>
      </c>
      <c r="E3326" t="s">
        <v>311</v>
      </c>
    </row>
    <row r="3327">
      <c r="A3327" s="232" t="s">
        <v>6379</v>
      </c>
      <c r="B3327" t="s">
        <v>6380</v>
      </c>
      <c r="C3327">
        <v>0.0</v>
      </c>
      <c r="D3327" t="s">
        <v>330</v>
      </c>
      <c r="E3327" t="s">
        <v>311</v>
      </c>
    </row>
    <row r="3328">
      <c r="A3328" s="232" t="s">
        <v>6381</v>
      </c>
      <c r="B3328" t="s">
        <v>6382</v>
      </c>
      <c r="C3328">
        <v>0.0</v>
      </c>
      <c r="D3328" t="s">
        <v>310</v>
      </c>
      <c r="E3328" t="s">
        <v>311</v>
      </c>
    </row>
    <row r="3329">
      <c r="A3329" s="232" t="s">
        <v>6383</v>
      </c>
      <c r="B3329" t="s">
        <v>6384</v>
      </c>
      <c r="C3329">
        <v>0.0</v>
      </c>
      <c r="D3329" t="s">
        <v>310</v>
      </c>
      <c r="E3329" t="s">
        <v>311</v>
      </c>
    </row>
    <row r="3330">
      <c r="A3330" s="232" t="s">
        <v>6385</v>
      </c>
      <c r="B3330" t="s">
        <v>6386</v>
      </c>
      <c r="C3330">
        <v>0.0</v>
      </c>
      <c r="D3330" t="s">
        <v>310</v>
      </c>
      <c r="E3330" t="s">
        <v>311</v>
      </c>
    </row>
    <row r="3331">
      <c r="A3331" s="232" t="s">
        <v>6387</v>
      </c>
      <c r="B3331" t="s">
        <v>6388</v>
      </c>
      <c r="C3331">
        <v>0.0</v>
      </c>
      <c r="D3331" t="s">
        <v>310</v>
      </c>
      <c r="E3331" t="s">
        <v>311</v>
      </c>
    </row>
    <row r="3332">
      <c r="A3332" s="232" t="s">
        <v>6389</v>
      </c>
      <c r="B3332" t="s">
        <v>6390</v>
      </c>
      <c r="C3332">
        <v>0.0</v>
      </c>
      <c r="D3332" t="s">
        <v>310</v>
      </c>
      <c r="E3332" t="s">
        <v>311</v>
      </c>
    </row>
    <row r="3333">
      <c r="A3333" s="232" t="s">
        <v>6391</v>
      </c>
      <c r="B3333" t="s">
        <v>6392</v>
      </c>
      <c r="C3333">
        <v>0.0</v>
      </c>
      <c r="D3333" t="s">
        <v>310</v>
      </c>
      <c r="E3333" t="s">
        <v>311</v>
      </c>
    </row>
    <row r="3334">
      <c r="A3334" s="232" t="s">
        <v>6393</v>
      </c>
      <c r="B3334" t="s">
        <v>6394</v>
      </c>
      <c r="C3334">
        <v>0.0</v>
      </c>
      <c r="D3334" t="s">
        <v>310</v>
      </c>
      <c r="E3334" t="s">
        <v>311</v>
      </c>
    </row>
    <row r="3335">
      <c r="A3335" s="232" t="s">
        <v>6395</v>
      </c>
      <c r="B3335" t="s">
        <v>6396</v>
      </c>
      <c r="C3335">
        <v>0.0</v>
      </c>
      <c r="D3335" t="s">
        <v>310</v>
      </c>
      <c r="E3335" t="s">
        <v>311</v>
      </c>
    </row>
    <row r="3336">
      <c r="A3336" s="232" t="s">
        <v>6397</v>
      </c>
      <c r="B3336" t="s">
        <v>6398</v>
      </c>
      <c r="C3336">
        <v>0.0</v>
      </c>
      <c r="D3336" t="s">
        <v>310</v>
      </c>
      <c r="E3336" t="s">
        <v>311</v>
      </c>
    </row>
    <row r="3337">
      <c r="A3337" s="232" t="s">
        <v>6399</v>
      </c>
      <c r="B3337" t="s">
        <v>6400</v>
      </c>
      <c r="C3337">
        <v>0.0</v>
      </c>
      <c r="D3337" t="s">
        <v>310</v>
      </c>
      <c r="E3337" t="s">
        <v>311</v>
      </c>
    </row>
    <row r="3338">
      <c r="A3338" s="232" t="s">
        <v>6401</v>
      </c>
      <c r="B3338" t="s">
        <v>6402</v>
      </c>
      <c r="C3338">
        <v>0.0</v>
      </c>
      <c r="D3338" t="s">
        <v>310</v>
      </c>
      <c r="E3338" t="s">
        <v>311</v>
      </c>
    </row>
    <row r="3339">
      <c r="A3339" s="232" t="s">
        <v>6403</v>
      </c>
      <c r="B3339" t="s">
        <v>6404</v>
      </c>
      <c r="C3339">
        <v>0.0</v>
      </c>
      <c r="D3339" t="s">
        <v>330</v>
      </c>
      <c r="E3339" t="s">
        <v>311</v>
      </c>
    </row>
    <row r="3340">
      <c r="A3340" s="232" t="s">
        <v>6405</v>
      </c>
      <c r="B3340" t="s">
        <v>6406</v>
      </c>
      <c r="C3340">
        <v>0.0</v>
      </c>
      <c r="D3340" t="s">
        <v>310</v>
      </c>
      <c r="E3340" t="s">
        <v>311</v>
      </c>
    </row>
    <row r="3341">
      <c r="A3341" s="232" t="s">
        <v>6407</v>
      </c>
      <c r="B3341" t="s">
        <v>6408</v>
      </c>
      <c r="C3341">
        <v>0.0</v>
      </c>
      <c r="D3341" t="s">
        <v>310</v>
      </c>
      <c r="E3341" t="s">
        <v>311</v>
      </c>
    </row>
    <row r="3342">
      <c r="A3342" s="232" t="s">
        <v>6409</v>
      </c>
      <c r="B3342" t="s">
        <v>6410</v>
      </c>
      <c r="C3342">
        <v>0.0</v>
      </c>
      <c r="D3342" t="s">
        <v>330</v>
      </c>
      <c r="E3342" t="s">
        <v>311</v>
      </c>
    </row>
    <row r="3343">
      <c r="A3343" s="232" t="s">
        <v>6411</v>
      </c>
      <c r="B3343" t="s">
        <v>6412</v>
      </c>
      <c r="C3343">
        <v>0.0</v>
      </c>
      <c r="D3343" t="s">
        <v>330</v>
      </c>
      <c r="E3343" t="s">
        <v>311</v>
      </c>
    </row>
    <row r="3344">
      <c r="A3344" s="232" t="s">
        <v>6413</v>
      </c>
      <c r="B3344" t="s">
        <v>6414</v>
      </c>
      <c r="C3344">
        <v>0.0</v>
      </c>
      <c r="D3344" t="s">
        <v>330</v>
      </c>
      <c r="E3344" t="s">
        <v>311</v>
      </c>
    </row>
    <row r="3345">
      <c r="A3345" s="232" t="s">
        <v>6415</v>
      </c>
      <c r="B3345" t="s">
        <v>6416</v>
      </c>
      <c r="C3345">
        <v>295.0</v>
      </c>
      <c r="D3345" t="s">
        <v>330</v>
      </c>
      <c r="E3345" t="s">
        <v>311</v>
      </c>
    </row>
    <row r="3346">
      <c r="A3346" s="232" t="s">
        <v>6417</v>
      </c>
      <c r="B3346" t="s">
        <v>6418</v>
      </c>
      <c r="C3346">
        <v>0.0</v>
      </c>
      <c r="D3346" t="s">
        <v>310</v>
      </c>
      <c r="E3346" t="s">
        <v>311</v>
      </c>
    </row>
    <row r="3347">
      <c r="A3347" s="232" t="s">
        <v>6419</v>
      </c>
      <c r="B3347" t="s">
        <v>6420</v>
      </c>
      <c r="C3347">
        <v>0.0</v>
      </c>
      <c r="D3347" t="s">
        <v>330</v>
      </c>
      <c r="E3347" t="s">
        <v>311</v>
      </c>
    </row>
    <row r="3348">
      <c r="A3348" s="232" t="s">
        <v>6421</v>
      </c>
      <c r="B3348" t="s">
        <v>6422</v>
      </c>
      <c r="C3348">
        <v>505.0</v>
      </c>
      <c r="D3348" t="s">
        <v>330</v>
      </c>
      <c r="E3348" t="s">
        <v>311</v>
      </c>
    </row>
    <row r="3349">
      <c r="A3349" s="232" t="s">
        <v>6423</v>
      </c>
      <c r="B3349" t="s">
        <v>6424</v>
      </c>
      <c r="C3349">
        <v>466.0</v>
      </c>
      <c r="D3349" t="s">
        <v>330</v>
      </c>
      <c r="E3349" t="s">
        <v>311</v>
      </c>
    </row>
    <row r="3350">
      <c r="A3350" s="232" t="s">
        <v>6425</v>
      </c>
      <c r="B3350" t="s">
        <v>6426</v>
      </c>
      <c r="C3350">
        <v>0.0</v>
      </c>
      <c r="D3350" t="s">
        <v>330</v>
      </c>
      <c r="E3350" t="s">
        <v>311</v>
      </c>
    </row>
    <row r="3351">
      <c r="A3351" s="232" t="s">
        <v>6427</v>
      </c>
      <c r="B3351" t="s">
        <v>6428</v>
      </c>
      <c r="C3351">
        <v>0.0</v>
      </c>
      <c r="D3351" t="s">
        <v>330</v>
      </c>
      <c r="E3351" t="s">
        <v>311</v>
      </c>
    </row>
    <row r="3352">
      <c r="A3352" s="232" t="s">
        <v>6429</v>
      </c>
      <c r="B3352" t="s">
        <v>6430</v>
      </c>
      <c r="C3352">
        <v>130.0</v>
      </c>
      <c r="D3352" t="s">
        <v>330</v>
      </c>
      <c r="E3352" t="s">
        <v>311</v>
      </c>
    </row>
    <row r="3353">
      <c r="A3353" s="232" t="s">
        <v>6431</v>
      </c>
      <c r="B3353" t="s">
        <v>6432</v>
      </c>
      <c r="C3353">
        <v>5.0</v>
      </c>
      <c r="D3353" t="s">
        <v>330</v>
      </c>
      <c r="E3353" t="s">
        <v>311</v>
      </c>
    </row>
    <row r="3354">
      <c r="A3354" s="232" t="s">
        <v>6433</v>
      </c>
      <c r="B3354" t="s">
        <v>6434</v>
      </c>
      <c r="C3354">
        <v>3.0</v>
      </c>
      <c r="D3354" t="s">
        <v>310</v>
      </c>
      <c r="E3354" t="s">
        <v>311</v>
      </c>
    </row>
    <row r="3355">
      <c r="A3355" s="232" t="s">
        <v>6435</v>
      </c>
      <c r="B3355" t="s">
        <v>6436</v>
      </c>
      <c r="C3355">
        <v>0.0</v>
      </c>
      <c r="D3355" t="s">
        <v>310</v>
      </c>
      <c r="E3355" t="s">
        <v>311</v>
      </c>
    </row>
    <row r="3356">
      <c r="A3356" s="232" t="s">
        <v>6437</v>
      </c>
      <c r="B3356" t="s">
        <v>6438</v>
      </c>
      <c r="C3356">
        <v>26.0</v>
      </c>
      <c r="D3356" t="s">
        <v>330</v>
      </c>
      <c r="E3356" t="s">
        <v>311</v>
      </c>
    </row>
    <row r="3357">
      <c r="A3357" s="232" t="s">
        <v>6439</v>
      </c>
      <c r="B3357" t="s">
        <v>6440</v>
      </c>
      <c r="C3357">
        <v>26.0</v>
      </c>
      <c r="D3357" t="s">
        <v>330</v>
      </c>
      <c r="E3357" t="s">
        <v>311</v>
      </c>
    </row>
    <row r="3358">
      <c r="A3358" s="232" t="s">
        <v>6441</v>
      </c>
      <c r="B3358" t="s">
        <v>6442</v>
      </c>
      <c r="C3358">
        <v>-60.0</v>
      </c>
      <c r="D3358" t="s">
        <v>330</v>
      </c>
      <c r="E3358" t="s">
        <v>311</v>
      </c>
    </row>
    <row r="3359">
      <c r="A3359" s="232" t="s">
        <v>6443</v>
      </c>
      <c r="B3359" t="s">
        <v>6444</v>
      </c>
      <c r="C3359">
        <v>426.0</v>
      </c>
      <c r="D3359" t="s">
        <v>330</v>
      </c>
      <c r="E3359" t="s">
        <v>311</v>
      </c>
    </row>
    <row r="3360">
      <c r="A3360" s="232" t="s">
        <v>6445</v>
      </c>
      <c r="B3360" t="s">
        <v>6446</v>
      </c>
      <c r="C3360">
        <v>0.0</v>
      </c>
      <c r="D3360" t="s">
        <v>310</v>
      </c>
      <c r="E3360" t="s">
        <v>311</v>
      </c>
    </row>
    <row r="3361">
      <c r="A3361" s="232" t="s">
        <v>6447</v>
      </c>
      <c r="B3361" t="s">
        <v>6448</v>
      </c>
      <c r="C3361">
        <v>26.0</v>
      </c>
      <c r="D3361" t="s">
        <v>330</v>
      </c>
      <c r="E3361" t="s">
        <v>311</v>
      </c>
    </row>
    <row r="3362">
      <c r="A3362" s="232" t="s">
        <v>6449</v>
      </c>
      <c r="B3362" t="s">
        <v>6450</v>
      </c>
      <c r="C3362">
        <v>554.0</v>
      </c>
      <c r="D3362" t="s">
        <v>330</v>
      </c>
      <c r="E3362" t="s">
        <v>311</v>
      </c>
    </row>
    <row r="3363">
      <c r="A3363" s="232" t="s">
        <v>6451</v>
      </c>
      <c r="B3363" t="s">
        <v>6452</v>
      </c>
      <c r="C3363">
        <v>317.0</v>
      </c>
      <c r="D3363" t="s">
        <v>330</v>
      </c>
      <c r="E3363" t="s">
        <v>311</v>
      </c>
    </row>
    <row r="3364">
      <c r="A3364" s="232" t="s">
        <v>6453</v>
      </c>
      <c r="B3364" t="s">
        <v>6454</v>
      </c>
      <c r="C3364">
        <v>0.0</v>
      </c>
      <c r="D3364" t="s">
        <v>310</v>
      </c>
      <c r="E3364" t="s">
        <v>311</v>
      </c>
    </row>
    <row r="3365">
      <c r="A3365" s="232" t="s">
        <v>6455</v>
      </c>
      <c r="B3365" t="s">
        <v>6456</v>
      </c>
      <c r="C3365">
        <v>0.0</v>
      </c>
      <c r="D3365" t="s">
        <v>310</v>
      </c>
      <c r="E3365" t="s">
        <v>311</v>
      </c>
    </row>
    <row r="3366">
      <c r="A3366" s="232" t="s">
        <v>6457</v>
      </c>
      <c r="B3366" t="s">
        <v>6458</v>
      </c>
      <c r="C3366">
        <v>6.0</v>
      </c>
      <c r="D3366" t="s">
        <v>330</v>
      </c>
      <c r="E3366" t="s">
        <v>311</v>
      </c>
    </row>
    <row r="3367">
      <c r="A3367" s="232" t="s">
        <v>6459</v>
      </c>
      <c r="B3367" t="s">
        <v>6460</v>
      </c>
      <c r="C3367">
        <v>3.0</v>
      </c>
      <c r="D3367" t="s">
        <v>310</v>
      </c>
      <c r="E3367" t="s">
        <v>311</v>
      </c>
    </row>
    <row r="3368">
      <c r="A3368" s="232" t="s">
        <v>6461</v>
      </c>
      <c r="B3368" t="s">
        <v>6462</v>
      </c>
      <c r="C3368">
        <v>-66.0</v>
      </c>
      <c r="D3368" t="s">
        <v>330</v>
      </c>
      <c r="E3368" t="s">
        <v>311</v>
      </c>
    </row>
    <row r="3369">
      <c r="A3369" s="232" t="s">
        <v>6463</v>
      </c>
      <c r="B3369" t="s">
        <v>6464</v>
      </c>
      <c r="C3369">
        <v>2.0</v>
      </c>
      <c r="D3369" t="s">
        <v>310</v>
      </c>
      <c r="E3369" t="s">
        <v>311</v>
      </c>
    </row>
    <row r="3370">
      <c r="A3370" s="232" t="s">
        <v>6465</v>
      </c>
      <c r="B3370" t="s">
        <v>6466</v>
      </c>
      <c r="C3370">
        <v>296.0</v>
      </c>
      <c r="D3370" t="s">
        <v>330</v>
      </c>
      <c r="E3370" t="s">
        <v>311</v>
      </c>
    </row>
    <row r="3371">
      <c r="A3371" s="232" t="s">
        <v>6467</v>
      </c>
      <c r="B3371" t="s">
        <v>6468</v>
      </c>
      <c r="C3371">
        <v>0.0</v>
      </c>
      <c r="D3371" t="s">
        <v>310</v>
      </c>
      <c r="E3371" t="s">
        <v>311</v>
      </c>
    </row>
    <row r="3372">
      <c r="A3372" s="232" t="s">
        <v>6469</v>
      </c>
      <c r="B3372" t="s">
        <v>6470</v>
      </c>
      <c r="C3372">
        <v>0.0</v>
      </c>
      <c r="D3372" t="s">
        <v>310</v>
      </c>
      <c r="E3372" t="s">
        <v>311</v>
      </c>
    </row>
    <row r="3373">
      <c r="A3373" s="232" t="s">
        <v>6471</v>
      </c>
      <c r="B3373" t="s">
        <v>6472</v>
      </c>
      <c r="C3373">
        <v>134.0</v>
      </c>
      <c r="D3373" t="s">
        <v>330</v>
      </c>
      <c r="E3373" t="s">
        <v>311</v>
      </c>
    </row>
    <row r="3374">
      <c r="A3374" s="232" t="s">
        <v>6473</v>
      </c>
      <c r="B3374" t="s">
        <v>6474</v>
      </c>
      <c r="C3374">
        <v>334.0</v>
      </c>
      <c r="D3374" t="s">
        <v>330</v>
      </c>
      <c r="E3374" t="s">
        <v>311</v>
      </c>
    </row>
    <row r="3375">
      <c r="A3375" s="232" t="s">
        <v>6475</v>
      </c>
      <c r="B3375" t="s">
        <v>6476</v>
      </c>
      <c r="C3375">
        <v>51.0</v>
      </c>
      <c r="D3375" t="s">
        <v>330</v>
      </c>
      <c r="E3375" t="s">
        <v>311</v>
      </c>
    </row>
    <row r="3376">
      <c r="A3376" s="232" t="s">
        <v>6477</v>
      </c>
      <c r="B3376" t="s">
        <v>6478</v>
      </c>
      <c r="C3376">
        <v>-5.0</v>
      </c>
      <c r="D3376" t="s">
        <v>330</v>
      </c>
      <c r="E3376" t="s">
        <v>311</v>
      </c>
    </row>
    <row r="3377">
      <c r="A3377" s="232" t="s">
        <v>6479</v>
      </c>
      <c r="B3377" t="s">
        <v>6480</v>
      </c>
      <c r="C3377">
        <v>160.0</v>
      </c>
      <c r="D3377" t="s">
        <v>330</v>
      </c>
      <c r="E3377" t="s">
        <v>311</v>
      </c>
    </row>
    <row r="3378">
      <c r="A3378" s="232" t="s">
        <v>6481</v>
      </c>
      <c r="B3378" t="s">
        <v>6482</v>
      </c>
      <c r="C3378">
        <v>12.0</v>
      </c>
      <c r="D3378" t="s">
        <v>330</v>
      </c>
      <c r="E3378" t="s">
        <v>311</v>
      </c>
    </row>
    <row r="3379">
      <c r="A3379" s="232" t="s">
        <v>6483</v>
      </c>
      <c r="B3379" t="s">
        <v>6484</v>
      </c>
      <c r="C3379">
        <v>168.0</v>
      </c>
      <c r="D3379" t="s">
        <v>330</v>
      </c>
      <c r="E3379" t="s">
        <v>565</v>
      </c>
    </row>
    <row r="3380">
      <c r="A3380" s="232" t="s">
        <v>6485</v>
      </c>
      <c r="B3380" t="s">
        <v>6486</v>
      </c>
      <c r="C3380">
        <v>36.0</v>
      </c>
      <c r="D3380" t="s">
        <v>330</v>
      </c>
      <c r="E3380" t="s">
        <v>565</v>
      </c>
    </row>
    <row r="3381">
      <c r="A3381" s="232">
        <v>35801.0</v>
      </c>
      <c r="B3381" t="s">
        <v>6487</v>
      </c>
      <c r="C3381">
        <v>15.0</v>
      </c>
      <c r="D3381" t="s">
        <v>330</v>
      </c>
      <c r="E3381" t="s">
        <v>311</v>
      </c>
    </row>
    <row r="3382">
      <c r="A3382" s="232">
        <v>35804.0</v>
      </c>
      <c r="B3382" t="s">
        <v>6488</v>
      </c>
      <c r="C3382">
        <v>0.0</v>
      </c>
      <c r="D3382" t="s">
        <v>330</v>
      </c>
      <c r="E3382" t="s">
        <v>311</v>
      </c>
    </row>
    <row r="3383">
      <c r="A3383" s="232">
        <v>35805.0</v>
      </c>
      <c r="B3383" t="s">
        <v>6489</v>
      </c>
      <c r="C3383">
        <v>50.0</v>
      </c>
      <c r="D3383" t="s">
        <v>330</v>
      </c>
      <c r="E3383" t="s">
        <v>311</v>
      </c>
    </row>
    <row r="3384">
      <c r="A3384" s="232" t="s">
        <v>6490</v>
      </c>
      <c r="B3384" t="s">
        <v>6491</v>
      </c>
      <c r="C3384">
        <v>0.0</v>
      </c>
      <c r="D3384" t="s">
        <v>330</v>
      </c>
      <c r="E3384" t="s">
        <v>311</v>
      </c>
    </row>
    <row r="3385">
      <c r="A3385" s="232" t="s">
        <v>6492</v>
      </c>
      <c r="B3385" t="s">
        <v>6493</v>
      </c>
      <c r="C3385">
        <v>79.0</v>
      </c>
      <c r="D3385" t="s">
        <v>330</v>
      </c>
      <c r="E3385" t="s">
        <v>311</v>
      </c>
    </row>
    <row r="3386">
      <c r="A3386" s="232" t="s">
        <v>6494</v>
      </c>
      <c r="B3386" t="s">
        <v>6495</v>
      </c>
      <c r="C3386">
        <v>0.0</v>
      </c>
      <c r="D3386" t="s">
        <v>330</v>
      </c>
      <c r="E3386" t="s">
        <v>311</v>
      </c>
    </row>
    <row r="3387">
      <c r="A3387" s="232" t="s">
        <v>6496</v>
      </c>
      <c r="B3387" t="s">
        <v>6497</v>
      </c>
      <c r="C3387">
        <v>0.0</v>
      </c>
      <c r="D3387" t="s">
        <v>330</v>
      </c>
      <c r="E3387" t="s">
        <v>311</v>
      </c>
    </row>
    <row r="3388">
      <c r="A3388" s="232" t="s">
        <v>6498</v>
      </c>
      <c r="B3388" t="s">
        <v>6499</v>
      </c>
      <c r="C3388">
        <v>0.0</v>
      </c>
      <c r="D3388" t="s">
        <v>310</v>
      </c>
      <c r="E3388" t="s">
        <v>311</v>
      </c>
    </row>
    <row r="3389">
      <c r="A3389" s="232" t="s">
        <v>6500</v>
      </c>
      <c r="B3389" t="s">
        <v>6501</v>
      </c>
      <c r="C3389">
        <v>162.0</v>
      </c>
      <c r="D3389" t="s">
        <v>330</v>
      </c>
      <c r="E3389" t="s">
        <v>311</v>
      </c>
    </row>
    <row r="3390">
      <c r="A3390" s="232" t="s">
        <v>6502</v>
      </c>
      <c r="B3390" t="s">
        <v>6503</v>
      </c>
      <c r="C3390">
        <v>0.0</v>
      </c>
      <c r="D3390" t="s">
        <v>310</v>
      </c>
      <c r="E3390" t="s">
        <v>311</v>
      </c>
    </row>
    <row r="3391">
      <c r="A3391" s="232" t="s">
        <v>6504</v>
      </c>
      <c r="B3391" t="s">
        <v>6505</v>
      </c>
      <c r="C3391">
        <v>0.0</v>
      </c>
      <c r="D3391" t="s">
        <v>310</v>
      </c>
      <c r="E3391" t="s">
        <v>311</v>
      </c>
    </row>
    <row r="3392">
      <c r="A3392" s="232" t="s">
        <v>6506</v>
      </c>
      <c r="B3392" t="s">
        <v>6507</v>
      </c>
      <c r="C3392">
        <v>0.0</v>
      </c>
      <c r="D3392" t="s">
        <v>310</v>
      </c>
      <c r="E3392" t="s">
        <v>311</v>
      </c>
    </row>
    <row r="3393">
      <c r="A3393" s="232" t="s">
        <v>6508</v>
      </c>
      <c r="B3393" t="s">
        <v>6509</v>
      </c>
      <c r="C3393">
        <v>0.0</v>
      </c>
      <c r="D3393" t="s">
        <v>310</v>
      </c>
      <c r="E3393" t="s">
        <v>311</v>
      </c>
    </row>
    <row r="3394">
      <c r="A3394" s="232" t="s">
        <v>6510</v>
      </c>
      <c r="B3394" t="s">
        <v>6511</v>
      </c>
      <c r="C3394">
        <v>0.0</v>
      </c>
      <c r="D3394" t="s">
        <v>330</v>
      </c>
      <c r="E3394" t="s">
        <v>311</v>
      </c>
    </row>
    <row r="3395">
      <c r="A3395" s="232" t="s">
        <v>6512</v>
      </c>
      <c r="B3395" t="s">
        <v>6513</v>
      </c>
      <c r="C3395">
        <v>0.0</v>
      </c>
      <c r="D3395" t="s">
        <v>310</v>
      </c>
      <c r="E3395" t="s">
        <v>311</v>
      </c>
    </row>
    <row r="3396">
      <c r="A3396" s="232" t="s">
        <v>6514</v>
      </c>
      <c r="B3396" t="s">
        <v>6515</v>
      </c>
      <c r="C3396">
        <v>0.0</v>
      </c>
      <c r="D3396" t="s">
        <v>330</v>
      </c>
      <c r="E3396" t="s">
        <v>311</v>
      </c>
    </row>
    <row r="3397">
      <c r="A3397" s="232" t="s">
        <v>6516</v>
      </c>
      <c r="B3397" t="s">
        <v>6517</v>
      </c>
      <c r="C3397">
        <v>0.0</v>
      </c>
      <c r="D3397" t="s">
        <v>330</v>
      </c>
      <c r="E3397" t="s">
        <v>311</v>
      </c>
    </row>
    <row r="3398">
      <c r="A3398" s="232" t="s">
        <v>6518</v>
      </c>
      <c r="B3398" t="s">
        <v>6519</v>
      </c>
      <c r="C3398">
        <v>39.0</v>
      </c>
      <c r="D3398" t="s">
        <v>330</v>
      </c>
      <c r="E3398" t="s">
        <v>311</v>
      </c>
    </row>
    <row r="3399">
      <c r="A3399" s="232" t="s">
        <v>6520</v>
      </c>
      <c r="B3399" t="s">
        <v>6521</v>
      </c>
      <c r="C3399">
        <v>49.0</v>
      </c>
      <c r="D3399" t="s">
        <v>330</v>
      </c>
      <c r="E3399" t="s">
        <v>311</v>
      </c>
    </row>
    <row r="3400">
      <c r="A3400" s="232" t="s">
        <v>6522</v>
      </c>
      <c r="B3400" t="s">
        <v>6523</v>
      </c>
      <c r="C3400">
        <v>0.0</v>
      </c>
      <c r="D3400" t="s">
        <v>310</v>
      </c>
      <c r="E3400" t="s">
        <v>311</v>
      </c>
    </row>
    <row r="3401">
      <c r="A3401" s="232" t="s">
        <v>6524</v>
      </c>
      <c r="B3401" t="s">
        <v>6525</v>
      </c>
      <c r="C3401">
        <v>28.0</v>
      </c>
      <c r="D3401" t="s">
        <v>330</v>
      </c>
      <c r="E3401" t="s">
        <v>565</v>
      </c>
    </row>
    <row r="3402">
      <c r="A3402" s="232" t="s">
        <v>6526</v>
      </c>
      <c r="B3402" t="s">
        <v>6527</v>
      </c>
      <c r="C3402">
        <v>1.0</v>
      </c>
      <c r="D3402" t="s">
        <v>330</v>
      </c>
      <c r="E3402" t="s">
        <v>311</v>
      </c>
    </row>
    <row r="3403">
      <c r="A3403" s="232" t="s">
        <v>6528</v>
      </c>
      <c r="B3403" t="s">
        <v>6529</v>
      </c>
      <c r="C3403">
        <v>0.0</v>
      </c>
      <c r="D3403" t="s">
        <v>310</v>
      </c>
      <c r="E3403" t="s">
        <v>311</v>
      </c>
    </row>
    <row r="3404">
      <c r="A3404" s="232" t="s">
        <v>6530</v>
      </c>
      <c r="B3404" t="s">
        <v>6531</v>
      </c>
      <c r="C3404">
        <v>0.0</v>
      </c>
      <c r="D3404" t="s">
        <v>310</v>
      </c>
      <c r="E3404" t="s">
        <v>311</v>
      </c>
    </row>
    <row r="3405">
      <c r="A3405" s="232">
        <v>35803.0</v>
      </c>
      <c r="B3405" t="s">
        <v>6532</v>
      </c>
      <c r="C3405">
        <v>0.0</v>
      </c>
      <c r="D3405" t="s">
        <v>310</v>
      </c>
      <c r="E3405" t="s">
        <v>311</v>
      </c>
    </row>
    <row r="3406">
      <c r="A3406" s="232">
        <v>35802.0</v>
      </c>
      <c r="B3406" t="s">
        <v>6533</v>
      </c>
      <c r="C3406">
        <v>0.0</v>
      </c>
      <c r="D3406" t="s">
        <v>310</v>
      </c>
      <c r="E3406" t="s">
        <v>311</v>
      </c>
    </row>
    <row r="3407">
      <c r="A3407" s="232" t="s">
        <v>205</v>
      </c>
      <c r="B3407" t="s">
        <v>204</v>
      </c>
      <c r="C3407">
        <v>1992.0</v>
      </c>
      <c r="D3407" t="s">
        <v>330</v>
      </c>
      <c r="E3407" t="s">
        <v>311</v>
      </c>
    </row>
    <row r="3408">
      <c r="A3408" s="232" t="s">
        <v>207</v>
      </c>
      <c r="B3408" t="s">
        <v>206</v>
      </c>
      <c r="C3408">
        <v>2765.0</v>
      </c>
      <c r="D3408" t="s">
        <v>330</v>
      </c>
      <c r="E3408" t="s">
        <v>311</v>
      </c>
    </row>
    <row r="3409">
      <c r="A3409" s="232" t="s">
        <v>203</v>
      </c>
      <c r="B3409" t="s">
        <v>202</v>
      </c>
      <c r="C3409">
        <v>0.0</v>
      </c>
      <c r="D3409" t="s">
        <v>310</v>
      </c>
      <c r="E3409" t="s">
        <v>311</v>
      </c>
    </row>
    <row r="3410">
      <c r="A3410" s="232" t="s">
        <v>6534</v>
      </c>
      <c r="B3410" t="s">
        <v>6535</v>
      </c>
      <c r="C3410">
        <v>10001.0</v>
      </c>
      <c r="D3410" t="s">
        <v>330</v>
      </c>
      <c r="E3410" t="s">
        <v>311</v>
      </c>
    </row>
    <row r="3411">
      <c r="A3411" s="232" t="s">
        <v>6536</v>
      </c>
      <c r="B3411" t="s">
        <v>6537</v>
      </c>
      <c r="C3411">
        <v>534.0</v>
      </c>
      <c r="D3411" t="s">
        <v>330</v>
      </c>
      <c r="E3411" t="s">
        <v>565</v>
      </c>
    </row>
    <row r="3412">
      <c r="A3412" s="232" t="s">
        <v>6538</v>
      </c>
      <c r="B3412" t="s">
        <v>6539</v>
      </c>
      <c r="C3412">
        <v>498.0</v>
      </c>
      <c r="D3412" t="s">
        <v>330</v>
      </c>
      <c r="E3412" t="s">
        <v>565</v>
      </c>
    </row>
    <row r="3413">
      <c r="A3413" s="232" t="s">
        <v>6540</v>
      </c>
      <c r="B3413" t="s">
        <v>6541</v>
      </c>
      <c r="C3413">
        <v>0.0</v>
      </c>
      <c r="D3413" t="s">
        <v>310</v>
      </c>
      <c r="E3413" t="s">
        <v>311</v>
      </c>
    </row>
    <row r="3414">
      <c r="A3414" s="232" t="s">
        <v>6542</v>
      </c>
      <c r="B3414" t="s">
        <v>6543</v>
      </c>
      <c r="C3414">
        <v>0.0</v>
      </c>
      <c r="D3414" t="s">
        <v>310</v>
      </c>
      <c r="E3414" t="s">
        <v>311</v>
      </c>
    </row>
    <row r="3415">
      <c r="A3415" s="232" t="s">
        <v>6544</v>
      </c>
      <c r="B3415" t="s">
        <v>6545</v>
      </c>
      <c r="C3415">
        <v>179.0</v>
      </c>
      <c r="D3415" t="s">
        <v>330</v>
      </c>
      <c r="E3415" t="s">
        <v>311</v>
      </c>
    </row>
    <row r="3416">
      <c r="A3416" s="232" t="s">
        <v>6546</v>
      </c>
      <c r="B3416" t="s">
        <v>6547</v>
      </c>
      <c r="C3416">
        <v>9.0</v>
      </c>
      <c r="D3416" t="s">
        <v>330</v>
      </c>
      <c r="E3416" t="s">
        <v>311</v>
      </c>
    </row>
    <row r="3417">
      <c r="A3417" s="232" t="s">
        <v>6548</v>
      </c>
      <c r="B3417" t="s">
        <v>6549</v>
      </c>
      <c r="C3417">
        <v>46.0</v>
      </c>
      <c r="D3417" t="s">
        <v>330</v>
      </c>
      <c r="E3417" t="s">
        <v>311</v>
      </c>
    </row>
    <row r="3418">
      <c r="A3418" s="232" t="s">
        <v>6550</v>
      </c>
      <c r="B3418" t="s">
        <v>6551</v>
      </c>
      <c r="C3418">
        <v>0.0</v>
      </c>
      <c r="D3418" t="s">
        <v>330</v>
      </c>
      <c r="E3418" t="s">
        <v>311</v>
      </c>
    </row>
    <row r="3419">
      <c r="A3419" s="232" t="s">
        <v>6552</v>
      </c>
      <c r="B3419" t="s">
        <v>6553</v>
      </c>
      <c r="C3419">
        <v>276.0</v>
      </c>
      <c r="D3419" t="s">
        <v>330</v>
      </c>
      <c r="E3419" t="s">
        <v>311</v>
      </c>
    </row>
    <row r="3420">
      <c r="A3420" s="232" t="s">
        <v>6554</v>
      </c>
      <c r="B3420" t="s">
        <v>6555</v>
      </c>
      <c r="C3420">
        <v>456.0</v>
      </c>
      <c r="D3420" t="s">
        <v>330</v>
      </c>
      <c r="E3420" t="s">
        <v>311</v>
      </c>
    </row>
    <row r="3421">
      <c r="A3421" s="232" t="s">
        <v>6556</v>
      </c>
      <c r="B3421" t="s">
        <v>6557</v>
      </c>
      <c r="C3421">
        <v>564.0</v>
      </c>
      <c r="D3421" t="s">
        <v>330</v>
      </c>
      <c r="E3421" t="s">
        <v>311</v>
      </c>
    </row>
    <row r="3422">
      <c r="A3422" s="232" t="s">
        <v>6558</v>
      </c>
      <c r="B3422" t="s">
        <v>6559</v>
      </c>
      <c r="C3422">
        <v>165.0</v>
      </c>
      <c r="D3422" t="s">
        <v>330</v>
      </c>
      <c r="E3422" t="s">
        <v>311</v>
      </c>
    </row>
    <row r="3423">
      <c r="A3423" s="232" t="s">
        <v>6560</v>
      </c>
      <c r="B3423" t="s">
        <v>6561</v>
      </c>
      <c r="C3423">
        <v>570.0</v>
      </c>
      <c r="D3423" t="s">
        <v>330</v>
      </c>
      <c r="E3423" t="s">
        <v>311</v>
      </c>
    </row>
    <row r="3424">
      <c r="A3424" s="232" t="s">
        <v>6562</v>
      </c>
      <c r="B3424" t="s">
        <v>6563</v>
      </c>
      <c r="C3424">
        <v>189.0</v>
      </c>
      <c r="D3424" t="s">
        <v>330</v>
      </c>
      <c r="E3424" t="s">
        <v>311</v>
      </c>
    </row>
    <row r="3425">
      <c r="A3425" s="232" t="s">
        <v>6564</v>
      </c>
      <c r="B3425" t="s">
        <v>6565</v>
      </c>
      <c r="C3425">
        <v>702.0</v>
      </c>
      <c r="D3425" t="s">
        <v>330</v>
      </c>
      <c r="E3425" t="s">
        <v>311</v>
      </c>
    </row>
    <row r="3426">
      <c r="A3426" s="232" t="s">
        <v>6566</v>
      </c>
      <c r="B3426" t="s">
        <v>6567</v>
      </c>
      <c r="C3426">
        <v>144.0</v>
      </c>
      <c r="D3426" t="s">
        <v>330</v>
      </c>
      <c r="E3426" t="s">
        <v>311</v>
      </c>
    </row>
    <row r="3427">
      <c r="A3427" s="232" t="s">
        <v>6568</v>
      </c>
      <c r="B3427" t="s">
        <v>6569</v>
      </c>
      <c r="C3427">
        <v>5.0</v>
      </c>
      <c r="D3427" t="s">
        <v>330</v>
      </c>
      <c r="E3427" t="s">
        <v>311</v>
      </c>
    </row>
    <row r="3428">
      <c r="A3428" s="232" t="s">
        <v>93</v>
      </c>
      <c r="B3428" t="s">
        <v>92</v>
      </c>
      <c r="C3428">
        <v>1674.0</v>
      </c>
      <c r="D3428" t="s">
        <v>330</v>
      </c>
      <c r="E3428" t="s">
        <v>311</v>
      </c>
    </row>
    <row r="3429">
      <c r="A3429" s="232" t="s">
        <v>6570</v>
      </c>
      <c r="B3429" t="s">
        <v>6571</v>
      </c>
      <c r="C3429">
        <v>316.0</v>
      </c>
      <c r="D3429" t="s">
        <v>330</v>
      </c>
      <c r="E3429" t="s">
        <v>311</v>
      </c>
    </row>
    <row r="3430">
      <c r="A3430" s="232" t="s">
        <v>6572</v>
      </c>
      <c r="B3430" t="s">
        <v>6573</v>
      </c>
      <c r="C3430">
        <v>174.0</v>
      </c>
      <c r="D3430" t="s">
        <v>330</v>
      </c>
      <c r="E3430" t="s">
        <v>311</v>
      </c>
    </row>
    <row r="3431">
      <c r="A3431" s="232" t="s">
        <v>6574</v>
      </c>
      <c r="B3431" t="s">
        <v>6575</v>
      </c>
      <c r="C3431">
        <v>71.0</v>
      </c>
      <c r="D3431" t="s">
        <v>330</v>
      </c>
      <c r="E3431" t="s">
        <v>311</v>
      </c>
    </row>
    <row r="3432">
      <c r="A3432" s="232" t="s">
        <v>6576</v>
      </c>
      <c r="B3432" t="s">
        <v>6577</v>
      </c>
      <c r="C3432">
        <v>19.0</v>
      </c>
      <c r="D3432" t="s">
        <v>330</v>
      </c>
      <c r="E3432" t="s">
        <v>311</v>
      </c>
    </row>
    <row r="3433">
      <c r="A3433" s="232" t="s">
        <v>6578</v>
      </c>
      <c r="B3433" t="s">
        <v>6579</v>
      </c>
      <c r="C3433">
        <v>0.0</v>
      </c>
      <c r="D3433" t="s">
        <v>310</v>
      </c>
      <c r="E3433" t="s">
        <v>311</v>
      </c>
    </row>
    <row r="3434">
      <c r="A3434" s="232" t="s">
        <v>6580</v>
      </c>
      <c r="B3434" t="s">
        <v>6581</v>
      </c>
      <c r="C3434">
        <v>232.0</v>
      </c>
      <c r="D3434" t="s">
        <v>330</v>
      </c>
      <c r="E3434" t="s">
        <v>311</v>
      </c>
    </row>
    <row r="3435">
      <c r="A3435" s="232" t="s">
        <v>6582</v>
      </c>
      <c r="B3435" t="s">
        <v>6583</v>
      </c>
      <c r="C3435">
        <v>195.0</v>
      </c>
      <c r="D3435" t="s">
        <v>330</v>
      </c>
      <c r="E3435" t="s">
        <v>311</v>
      </c>
    </row>
    <row r="3436">
      <c r="A3436" s="232" t="s">
        <v>6584</v>
      </c>
      <c r="B3436" t="s">
        <v>6585</v>
      </c>
      <c r="C3436">
        <v>362.0</v>
      </c>
      <c r="D3436" t="s">
        <v>330</v>
      </c>
      <c r="E3436" t="s">
        <v>311</v>
      </c>
    </row>
    <row r="3437">
      <c r="A3437" s="232" t="s">
        <v>6586</v>
      </c>
      <c r="B3437" t="s">
        <v>6587</v>
      </c>
      <c r="C3437">
        <v>384.0</v>
      </c>
      <c r="D3437" t="s">
        <v>330</v>
      </c>
      <c r="E3437" t="s">
        <v>311</v>
      </c>
    </row>
    <row r="3438">
      <c r="A3438" s="232" t="s">
        <v>6588</v>
      </c>
      <c r="B3438" t="s">
        <v>6589</v>
      </c>
      <c r="C3438">
        <v>447.0</v>
      </c>
      <c r="D3438" t="s">
        <v>330</v>
      </c>
      <c r="E3438" t="s">
        <v>311</v>
      </c>
    </row>
    <row r="3439">
      <c r="A3439" s="232" t="s">
        <v>6590</v>
      </c>
      <c r="B3439" t="s">
        <v>6591</v>
      </c>
      <c r="C3439">
        <v>371.0</v>
      </c>
      <c r="D3439" t="s">
        <v>330</v>
      </c>
      <c r="E3439" t="s">
        <v>311</v>
      </c>
    </row>
    <row r="3440">
      <c r="A3440" s="232" t="s">
        <v>6592</v>
      </c>
      <c r="B3440" t="s">
        <v>6593</v>
      </c>
      <c r="C3440">
        <v>184.0</v>
      </c>
      <c r="D3440" t="s">
        <v>330</v>
      </c>
      <c r="E3440" t="s">
        <v>311</v>
      </c>
    </row>
    <row r="3441">
      <c r="A3441" s="232" t="s">
        <v>6594</v>
      </c>
      <c r="B3441" t="s">
        <v>6595</v>
      </c>
      <c r="C3441">
        <v>0.0</v>
      </c>
      <c r="D3441" t="s">
        <v>310</v>
      </c>
      <c r="E3441" t="s">
        <v>311</v>
      </c>
    </row>
    <row r="3442">
      <c r="A3442" s="232" t="s">
        <v>6596</v>
      </c>
      <c r="B3442" t="s">
        <v>6597</v>
      </c>
      <c r="C3442">
        <v>440.0</v>
      </c>
      <c r="D3442" t="s">
        <v>330</v>
      </c>
      <c r="E3442" t="s">
        <v>311</v>
      </c>
    </row>
    <row r="3443">
      <c r="A3443" s="232" t="s">
        <v>6598</v>
      </c>
      <c r="B3443" t="s">
        <v>6599</v>
      </c>
      <c r="C3443">
        <v>935.0</v>
      </c>
      <c r="D3443" t="s">
        <v>330</v>
      </c>
      <c r="E3443" t="s">
        <v>311</v>
      </c>
    </row>
    <row r="3444">
      <c r="A3444" s="232" t="s">
        <v>6600</v>
      </c>
      <c r="B3444" t="s">
        <v>6601</v>
      </c>
      <c r="C3444">
        <v>303.0</v>
      </c>
      <c r="D3444" t="s">
        <v>330</v>
      </c>
      <c r="E3444" t="s">
        <v>311</v>
      </c>
    </row>
    <row r="3445">
      <c r="A3445" s="232" t="s">
        <v>6602</v>
      </c>
      <c r="B3445" t="s">
        <v>6603</v>
      </c>
      <c r="C3445">
        <v>0.0</v>
      </c>
      <c r="D3445" t="s">
        <v>310</v>
      </c>
      <c r="E3445" t="s">
        <v>311</v>
      </c>
    </row>
    <row r="3446">
      <c r="A3446" s="232" t="s">
        <v>6604</v>
      </c>
      <c r="B3446" t="s">
        <v>6605</v>
      </c>
      <c r="C3446">
        <v>395.0</v>
      </c>
      <c r="D3446" t="s">
        <v>330</v>
      </c>
      <c r="E3446" t="s">
        <v>311</v>
      </c>
    </row>
    <row r="3447">
      <c r="A3447" s="232" t="s">
        <v>6606</v>
      </c>
      <c r="B3447" t="s">
        <v>6607</v>
      </c>
      <c r="C3447">
        <v>314.0</v>
      </c>
      <c r="D3447" t="s">
        <v>330</v>
      </c>
      <c r="E3447" t="s">
        <v>311</v>
      </c>
    </row>
    <row r="3448">
      <c r="A3448" s="232" t="s">
        <v>6608</v>
      </c>
      <c r="B3448" t="s">
        <v>6609</v>
      </c>
      <c r="C3448">
        <v>0.0</v>
      </c>
      <c r="D3448" t="s">
        <v>310</v>
      </c>
      <c r="E3448" t="s">
        <v>311</v>
      </c>
    </row>
    <row r="3449">
      <c r="A3449" s="232" t="s">
        <v>6610</v>
      </c>
      <c r="B3449" t="s">
        <v>6611</v>
      </c>
      <c r="C3449">
        <v>1055.0</v>
      </c>
      <c r="D3449" t="s">
        <v>330</v>
      </c>
      <c r="E3449" t="s">
        <v>311</v>
      </c>
    </row>
    <row r="3450">
      <c r="A3450" s="232" t="s">
        <v>6612</v>
      </c>
      <c r="B3450" t="s">
        <v>6613</v>
      </c>
      <c r="C3450">
        <v>913.0</v>
      </c>
      <c r="D3450" t="s">
        <v>330</v>
      </c>
      <c r="E3450" t="s">
        <v>311</v>
      </c>
    </row>
    <row r="3451">
      <c r="A3451" s="232" t="s">
        <v>6614</v>
      </c>
      <c r="B3451" t="s">
        <v>6615</v>
      </c>
      <c r="C3451">
        <v>0.0</v>
      </c>
      <c r="D3451" t="s">
        <v>310</v>
      </c>
      <c r="E3451" t="s">
        <v>311</v>
      </c>
    </row>
    <row r="3452">
      <c r="A3452" s="232" t="s">
        <v>6616</v>
      </c>
      <c r="B3452" t="s">
        <v>6617</v>
      </c>
      <c r="C3452">
        <v>0.0</v>
      </c>
      <c r="D3452" t="s">
        <v>310</v>
      </c>
      <c r="E3452" t="s">
        <v>311</v>
      </c>
    </row>
    <row r="3453">
      <c r="A3453" s="232" t="s">
        <v>6618</v>
      </c>
      <c r="B3453" t="s">
        <v>6619</v>
      </c>
      <c r="C3453">
        <v>1.0</v>
      </c>
      <c r="D3453" t="s">
        <v>330</v>
      </c>
      <c r="E3453" t="s">
        <v>311</v>
      </c>
    </row>
    <row r="3454">
      <c r="A3454" s="232" t="s">
        <v>6620</v>
      </c>
      <c r="B3454" t="s">
        <v>6621</v>
      </c>
      <c r="C3454">
        <v>0.0</v>
      </c>
      <c r="D3454" t="s">
        <v>310</v>
      </c>
      <c r="E3454" t="s">
        <v>311</v>
      </c>
    </row>
    <row r="3455">
      <c r="A3455" s="232" t="s">
        <v>6622</v>
      </c>
      <c r="B3455" t="s">
        <v>6623</v>
      </c>
      <c r="C3455">
        <v>0.0</v>
      </c>
      <c r="D3455" t="s">
        <v>330</v>
      </c>
      <c r="E3455" t="s">
        <v>311</v>
      </c>
    </row>
    <row r="3456">
      <c r="A3456" s="232" t="s">
        <v>6624</v>
      </c>
      <c r="B3456" t="s">
        <v>6625</v>
      </c>
      <c r="C3456">
        <v>0.0</v>
      </c>
      <c r="D3456" t="s">
        <v>310</v>
      </c>
      <c r="E3456" t="s">
        <v>311</v>
      </c>
    </row>
    <row r="3457">
      <c r="A3457" s="232" t="s">
        <v>6626</v>
      </c>
      <c r="B3457" t="s">
        <v>6627</v>
      </c>
      <c r="C3457">
        <v>0.0</v>
      </c>
      <c r="D3457" t="s">
        <v>330</v>
      </c>
      <c r="E3457" t="s">
        <v>311</v>
      </c>
    </row>
    <row r="3458">
      <c r="A3458" s="232" t="s">
        <v>6628</v>
      </c>
      <c r="B3458" t="s">
        <v>6629</v>
      </c>
      <c r="C3458">
        <v>1.0</v>
      </c>
      <c r="D3458" t="s">
        <v>330</v>
      </c>
    </row>
    <row r="3459">
      <c r="A3459" s="232" t="s">
        <v>6630</v>
      </c>
      <c r="B3459" t="s">
        <v>6631</v>
      </c>
      <c r="C3459">
        <v>-12.0</v>
      </c>
      <c r="D3459" t="s">
        <v>330</v>
      </c>
      <c r="E3459" t="s">
        <v>311</v>
      </c>
    </row>
    <row r="3460">
      <c r="A3460" s="232" t="s">
        <v>6632</v>
      </c>
      <c r="B3460" t="s">
        <v>6633</v>
      </c>
      <c r="C3460">
        <v>-76.0</v>
      </c>
      <c r="D3460" t="s">
        <v>330</v>
      </c>
      <c r="E3460" t="s">
        <v>311</v>
      </c>
    </row>
    <row r="3461">
      <c r="A3461" s="232" t="s">
        <v>6634</v>
      </c>
      <c r="B3461" t="s">
        <v>6635</v>
      </c>
      <c r="C3461">
        <v>208.0</v>
      </c>
      <c r="D3461" t="s">
        <v>330</v>
      </c>
      <c r="E3461" t="s">
        <v>311</v>
      </c>
    </row>
    <row r="3462">
      <c r="A3462" s="232" t="s">
        <v>6636</v>
      </c>
      <c r="B3462" t="s">
        <v>6637</v>
      </c>
      <c r="C3462">
        <v>-116.0</v>
      </c>
      <c r="D3462" t="s">
        <v>330</v>
      </c>
      <c r="E3462" t="s">
        <v>311</v>
      </c>
    </row>
    <row r="3463">
      <c r="A3463" s="232" t="s">
        <v>6638</v>
      </c>
      <c r="B3463" t="s">
        <v>6639</v>
      </c>
      <c r="C3463">
        <v>300.0</v>
      </c>
      <c r="D3463" t="s">
        <v>330</v>
      </c>
      <c r="E3463" t="s">
        <v>311</v>
      </c>
    </row>
    <row r="3464">
      <c r="A3464" s="232" t="s">
        <v>6640</v>
      </c>
      <c r="B3464" t="s">
        <v>6641</v>
      </c>
      <c r="C3464">
        <v>0.0</v>
      </c>
      <c r="D3464" t="s">
        <v>310</v>
      </c>
      <c r="E3464" t="s">
        <v>311</v>
      </c>
    </row>
    <row r="3465">
      <c r="A3465" s="232" t="s">
        <v>6642</v>
      </c>
      <c r="B3465" t="s">
        <v>6643</v>
      </c>
      <c r="C3465">
        <v>0.0</v>
      </c>
      <c r="D3465" t="s">
        <v>310</v>
      </c>
      <c r="E3465" t="s">
        <v>311</v>
      </c>
    </row>
    <row r="3466">
      <c r="A3466" s="232" t="s">
        <v>6644</v>
      </c>
      <c r="B3466" t="s">
        <v>6645</v>
      </c>
      <c r="C3466">
        <v>230.0</v>
      </c>
      <c r="D3466" t="s">
        <v>330</v>
      </c>
      <c r="E3466" t="s">
        <v>311</v>
      </c>
    </row>
    <row r="3467">
      <c r="A3467" s="232" t="s">
        <v>6646</v>
      </c>
      <c r="B3467" t="s">
        <v>6647</v>
      </c>
      <c r="C3467">
        <v>82.0</v>
      </c>
      <c r="D3467" t="s">
        <v>330</v>
      </c>
      <c r="E3467" t="s">
        <v>311</v>
      </c>
    </row>
    <row r="3468">
      <c r="A3468" s="232" t="s">
        <v>6648</v>
      </c>
      <c r="B3468" t="s">
        <v>6649</v>
      </c>
      <c r="C3468">
        <v>0.0</v>
      </c>
      <c r="D3468" t="s">
        <v>310</v>
      </c>
      <c r="E3468" t="s">
        <v>311</v>
      </c>
    </row>
    <row r="3469">
      <c r="A3469" s="232" t="s">
        <v>6650</v>
      </c>
      <c r="B3469" t="s">
        <v>6651</v>
      </c>
      <c r="C3469">
        <v>301.0</v>
      </c>
      <c r="D3469" t="s">
        <v>330</v>
      </c>
      <c r="E3469" t="s">
        <v>311</v>
      </c>
    </row>
    <row r="3470">
      <c r="A3470" s="232" t="s">
        <v>6652</v>
      </c>
      <c r="B3470" t="s">
        <v>6653</v>
      </c>
      <c r="C3470">
        <v>0.0</v>
      </c>
      <c r="D3470" t="s">
        <v>310</v>
      </c>
      <c r="E3470" t="s">
        <v>311</v>
      </c>
    </row>
    <row r="3471">
      <c r="A3471" s="232" t="s">
        <v>6654</v>
      </c>
      <c r="B3471" t="s">
        <v>6655</v>
      </c>
      <c r="C3471">
        <v>0.0</v>
      </c>
      <c r="D3471" t="s">
        <v>310</v>
      </c>
      <c r="E3471" t="s">
        <v>311</v>
      </c>
    </row>
    <row r="3472">
      <c r="A3472" s="232" t="s">
        <v>6656</v>
      </c>
      <c r="B3472" t="s">
        <v>6657</v>
      </c>
      <c r="C3472">
        <v>0.0</v>
      </c>
      <c r="D3472" t="s">
        <v>310</v>
      </c>
      <c r="E3472" t="s">
        <v>311</v>
      </c>
    </row>
    <row r="3473">
      <c r="A3473" s="232" t="s">
        <v>6658</v>
      </c>
      <c r="B3473" t="s">
        <v>6659</v>
      </c>
      <c r="C3473">
        <v>0.0</v>
      </c>
      <c r="D3473" t="s">
        <v>330</v>
      </c>
      <c r="E3473" t="s">
        <v>311</v>
      </c>
    </row>
    <row r="3474">
      <c r="A3474" s="232" t="s">
        <v>6660</v>
      </c>
      <c r="B3474" t="s">
        <v>6661</v>
      </c>
      <c r="C3474">
        <v>863.0</v>
      </c>
      <c r="D3474" t="s">
        <v>330</v>
      </c>
      <c r="E3474" t="s">
        <v>311</v>
      </c>
    </row>
    <row r="3475">
      <c r="A3475" s="232" t="s">
        <v>6662</v>
      </c>
      <c r="B3475" t="s">
        <v>6663</v>
      </c>
      <c r="C3475">
        <v>0.0</v>
      </c>
      <c r="D3475" t="s">
        <v>330</v>
      </c>
      <c r="E3475" t="s">
        <v>311</v>
      </c>
    </row>
    <row r="3476">
      <c r="A3476" s="232" t="s">
        <v>6664</v>
      </c>
      <c r="B3476" t="s">
        <v>6665</v>
      </c>
      <c r="C3476">
        <v>0.0</v>
      </c>
      <c r="D3476" t="s">
        <v>330</v>
      </c>
      <c r="E3476" t="s">
        <v>311</v>
      </c>
    </row>
    <row r="3477">
      <c r="A3477" s="232" t="s">
        <v>6666</v>
      </c>
      <c r="B3477" t="s">
        <v>6667</v>
      </c>
      <c r="C3477">
        <v>0.0</v>
      </c>
      <c r="D3477" t="s">
        <v>330</v>
      </c>
      <c r="E3477" t="s">
        <v>311</v>
      </c>
    </row>
    <row r="3478">
      <c r="A3478" s="232" t="s">
        <v>6668</v>
      </c>
      <c r="B3478" t="s">
        <v>6669</v>
      </c>
      <c r="C3478">
        <v>0.0</v>
      </c>
      <c r="D3478" t="s">
        <v>330</v>
      </c>
      <c r="E3478" t="s">
        <v>311</v>
      </c>
    </row>
    <row r="3479">
      <c r="A3479" s="232" t="s">
        <v>6670</v>
      </c>
      <c r="B3479" t="s">
        <v>6671</v>
      </c>
      <c r="C3479">
        <v>0.0</v>
      </c>
      <c r="D3479" t="s">
        <v>330</v>
      </c>
      <c r="E3479" t="s">
        <v>311</v>
      </c>
    </row>
    <row r="3480">
      <c r="A3480" s="232" t="s">
        <v>6672</v>
      </c>
      <c r="B3480" t="s">
        <v>6673</v>
      </c>
      <c r="C3480">
        <v>0.0</v>
      </c>
      <c r="D3480" t="s">
        <v>330</v>
      </c>
      <c r="E3480" t="s">
        <v>311</v>
      </c>
    </row>
    <row r="3481">
      <c r="A3481" s="232" t="s">
        <v>6674</v>
      </c>
      <c r="B3481" t="s">
        <v>6675</v>
      </c>
      <c r="C3481">
        <v>0.0</v>
      </c>
      <c r="D3481" t="s">
        <v>330</v>
      </c>
      <c r="E3481" t="s">
        <v>311</v>
      </c>
    </row>
    <row r="3482">
      <c r="A3482" s="232" t="s">
        <v>6676</v>
      </c>
      <c r="B3482" t="s">
        <v>6677</v>
      </c>
      <c r="C3482">
        <v>0.0</v>
      </c>
      <c r="D3482" t="s">
        <v>330</v>
      </c>
      <c r="E3482" t="s">
        <v>311</v>
      </c>
    </row>
    <row r="3483">
      <c r="A3483" s="232" t="s">
        <v>6678</v>
      </c>
      <c r="B3483" t="s">
        <v>6679</v>
      </c>
      <c r="C3483">
        <v>0.0</v>
      </c>
      <c r="D3483" t="s">
        <v>330</v>
      </c>
      <c r="E3483" t="s">
        <v>311</v>
      </c>
    </row>
    <row r="3484">
      <c r="A3484" s="232" t="s">
        <v>6680</v>
      </c>
      <c r="B3484" t="s">
        <v>6681</v>
      </c>
      <c r="C3484">
        <v>0.0</v>
      </c>
      <c r="D3484" t="s">
        <v>330</v>
      </c>
      <c r="E3484" t="s">
        <v>311</v>
      </c>
    </row>
    <row r="3485">
      <c r="A3485" s="232" t="s">
        <v>6682</v>
      </c>
      <c r="B3485" t="s">
        <v>6683</v>
      </c>
      <c r="C3485">
        <v>0.0</v>
      </c>
      <c r="D3485" t="s">
        <v>330</v>
      </c>
      <c r="E3485" t="s">
        <v>311</v>
      </c>
    </row>
    <row r="3486">
      <c r="A3486" s="232" t="s">
        <v>6684</v>
      </c>
      <c r="B3486" t="s">
        <v>6685</v>
      </c>
      <c r="C3486">
        <v>0.0</v>
      </c>
      <c r="D3486" t="s">
        <v>330</v>
      </c>
      <c r="E3486" t="s">
        <v>311</v>
      </c>
    </row>
    <row r="3487">
      <c r="A3487" s="232" t="s">
        <v>6686</v>
      </c>
      <c r="B3487" t="s">
        <v>6687</v>
      </c>
      <c r="C3487">
        <v>0.0</v>
      </c>
      <c r="D3487" t="s">
        <v>330</v>
      </c>
      <c r="E3487" t="s">
        <v>311</v>
      </c>
    </row>
    <row r="3488">
      <c r="A3488" s="232" t="s">
        <v>6688</v>
      </c>
      <c r="B3488" t="s">
        <v>6689</v>
      </c>
      <c r="C3488">
        <v>0.0</v>
      </c>
      <c r="D3488" t="s">
        <v>330</v>
      </c>
      <c r="E3488" t="s">
        <v>311</v>
      </c>
    </row>
    <row r="3489">
      <c r="A3489" s="232" t="s">
        <v>6690</v>
      </c>
      <c r="B3489" t="s">
        <v>6691</v>
      </c>
      <c r="C3489">
        <v>0.0</v>
      </c>
      <c r="D3489" t="s">
        <v>330</v>
      </c>
      <c r="E3489" t="s">
        <v>311</v>
      </c>
    </row>
    <row r="3490">
      <c r="A3490" s="232" t="s">
        <v>6692</v>
      </c>
      <c r="B3490" t="s">
        <v>6693</v>
      </c>
      <c r="C3490">
        <v>0.0</v>
      </c>
      <c r="D3490" t="s">
        <v>330</v>
      </c>
      <c r="E3490" t="s">
        <v>311</v>
      </c>
    </row>
    <row r="3491">
      <c r="A3491" s="232" t="s">
        <v>6694</v>
      </c>
      <c r="B3491" t="s">
        <v>6695</v>
      </c>
      <c r="C3491">
        <v>0.0</v>
      </c>
      <c r="D3491" t="s">
        <v>330</v>
      </c>
      <c r="E3491" t="s">
        <v>311</v>
      </c>
    </row>
    <row r="3492">
      <c r="A3492" s="232" t="s">
        <v>6696</v>
      </c>
      <c r="B3492" t="s">
        <v>6697</v>
      </c>
      <c r="C3492">
        <v>0.0</v>
      </c>
      <c r="D3492" t="s">
        <v>330</v>
      </c>
      <c r="E3492" t="s">
        <v>311</v>
      </c>
    </row>
    <row r="3493">
      <c r="A3493" s="232" t="s">
        <v>6698</v>
      </c>
      <c r="B3493" t="s">
        <v>6699</v>
      </c>
      <c r="C3493">
        <v>0.0</v>
      </c>
      <c r="D3493" t="s">
        <v>330</v>
      </c>
      <c r="E3493" t="s">
        <v>311</v>
      </c>
    </row>
    <row r="3494">
      <c r="A3494" s="232" t="s">
        <v>6700</v>
      </c>
      <c r="B3494" t="s">
        <v>6701</v>
      </c>
      <c r="C3494">
        <v>0.0</v>
      </c>
      <c r="D3494" t="s">
        <v>330</v>
      </c>
      <c r="E3494" t="s">
        <v>311</v>
      </c>
    </row>
    <row r="3495">
      <c r="A3495" s="232" t="s">
        <v>6702</v>
      </c>
      <c r="B3495" t="s">
        <v>6703</v>
      </c>
      <c r="C3495">
        <v>0.0</v>
      </c>
      <c r="D3495" t="s">
        <v>330</v>
      </c>
      <c r="E3495" t="s">
        <v>311</v>
      </c>
    </row>
    <row r="3496">
      <c r="A3496" s="232" t="s">
        <v>6704</v>
      </c>
      <c r="B3496" t="s">
        <v>6705</v>
      </c>
      <c r="C3496">
        <v>0.0</v>
      </c>
      <c r="D3496" t="s">
        <v>330</v>
      </c>
      <c r="E3496" t="s">
        <v>311</v>
      </c>
    </row>
    <row r="3497">
      <c r="A3497" s="232" t="s">
        <v>6706</v>
      </c>
      <c r="B3497" t="s">
        <v>6707</v>
      </c>
      <c r="C3497">
        <v>0.0</v>
      </c>
      <c r="D3497" t="s">
        <v>330</v>
      </c>
      <c r="E3497" t="s">
        <v>311</v>
      </c>
    </row>
    <row r="3498">
      <c r="A3498" s="232" t="s">
        <v>6708</v>
      </c>
      <c r="B3498" t="s">
        <v>6709</v>
      </c>
      <c r="C3498">
        <v>0.0</v>
      </c>
      <c r="D3498" t="s">
        <v>330</v>
      </c>
      <c r="E3498" t="s">
        <v>311</v>
      </c>
    </row>
    <row r="3499">
      <c r="A3499" s="232" t="s">
        <v>6710</v>
      </c>
      <c r="B3499" t="s">
        <v>6711</v>
      </c>
      <c r="C3499">
        <v>0.0</v>
      </c>
      <c r="D3499" t="s">
        <v>330</v>
      </c>
      <c r="E3499" t="s">
        <v>311</v>
      </c>
    </row>
    <row r="3500">
      <c r="A3500" s="232" t="s">
        <v>6712</v>
      </c>
      <c r="B3500" t="s">
        <v>6713</v>
      </c>
      <c r="C3500">
        <v>0.0</v>
      </c>
      <c r="D3500" t="s">
        <v>330</v>
      </c>
      <c r="E3500" t="s">
        <v>311</v>
      </c>
    </row>
    <row r="3501">
      <c r="A3501" s="232" t="s">
        <v>6714</v>
      </c>
      <c r="B3501" t="s">
        <v>6715</v>
      </c>
      <c r="C3501">
        <v>0.0</v>
      </c>
      <c r="D3501" t="s">
        <v>330</v>
      </c>
      <c r="E3501" t="s">
        <v>311</v>
      </c>
    </row>
    <row r="3502">
      <c r="A3502" s="232" t="s">
        <v>6716</v>
      </c>
      <c r="B3502" t="s">
        <v>6717</v>
      </c>
      <c r="C3502">
        <v>0.0</v>
      </c>
      <c r="D3502" t="s">
        <v>330</v>
      </c>
      <c r="E3502" t="s">
        <v>311</v>
      </c>
    </row>
    <row r="3503">
      <c r="A3503" s="232" t="s">
        <v>6718</v>
      </c>
      <c r="B3503" t="s">
        <v>6719</v>
      </c>
      <c r="C3503">
        <v>0.0</v>
      </c>
      <c r="D3503" t="s">
        <v>330</v>
      </c>
      <c r="E3503" t="s">
        <v>311</v>
      </c>
    </row>
    <row r="3504">
      <c r="A3504" s="232" t="s">
        <v>6720</v>
      </c>
      <c r="B3504" t="s">
        <v>6721</v>
      </c>
      <c r="C3504">
        <v>0.0</v>
      </c>
      <c r="D3504" t="s">
        <v>330</v>
      </c>
      <c r="E3504" t="s">
        <v>311</v>
      </c>
    </row>
    <row r="3505">
      <c r="A3505" s="232" t="s">
        <v>6722</v>
      </c>
      <c r="B3505" t="s">
        <v>6723</v>
      </c>
      <c r="C3505">
        <v>0.0</v>
      </c>
      <c r="D3505" t="s">
        <v>330</v>
      </c>
      <c r="E3505" t="s">
        <v>311</v>
      </c>
    </row>
    <row r="3506">
      <c r="A3506" s="232" t="s">
        <v>6724</v>
      </c>
      <c r="B3506" t="s">
        <v>6725</v>
      </c>
      <c r="C3506">
        <v>0.0</v>
      </c>
      <c r="D3506" t="s">
        <v>330</v>
      </c>
      <c r="E3506" t="s">
        <v>311</v>
      </c>
    </row>
    <row r="3507">
      <c r="A3507" s="232" t="s">
        <v>6726</v>
      </c>
      <c r="B3507" t="s">
        <v>6727</v>
      </c>
      <c r="C3507">
        <v>0.0</v>
      </c>
      <c r="D3507" t="s">
        <v>330</v>
      </c>
      <c r="E3507" t="s">
        <v>311</v>
      </c>
    </row>
    <row r="3508">
      <c r="A3508" s="232" t="s">
        <v>6728</v>
      </c>
      <c r="B3508" t="s">
        <v>6729</v>
      </c>
      <c r="C3508">
        <v>0.0</v>
      </c>
      <c r="D3508" t="s">
        <v>330</v>
      </c>
      <c r="E3508" t="s">
        <v>311</v>
      </c>
    </row>
    <row r="3509">
      <c r="A3509" s="232" t="s">
        <v>6730</v>
      </c>
      <c r="B3509" t="s">
        <v>6731</v>
      </c>
      <c r="C3509">
        <v>0.0</v>
      </c>
      <c r="D3509" t="s">
        <v>330</v>
      </c>
      <c r="E3509" t="s">
        <v>311</v>
      </c>
    </row>
    <row r="3510">
      <c r="A3510" s="232" t="s">
        <v>6732</v>
      </c>
      <c r="B3510" t="s">
        <v>6733</v>
      </c>
      <c r="C3510">
        <v>0.0</v>
      </c>
      <c r="D3510" t="s">
        <v>330</v>
      </c>
      <c r="E3510" t="s">
        <v>311</v>
      </c>
    </row>
    <row r="3511">
      <c r="A3511" s="232" t="s">
        <v>6734</v>
      </c>
      <c r="B3511" t="s">
        <v>6735</v>
      </c>
      <c r="C3511">
        <v>0.0</v>
      </c>
      <c r="D3511" t="s">
        <v>330</v>
      </c>
      <c r="E3511" t="s">
        <v>311</v>
      </c>
    </row>
    <row r="3512">
      <c r="A3512" s="232" t="s">
        <v>6736</v>
      </c>
      <c r="B3512" t="s">
        <v>6737</v>
      </c>
      <c r="C3512">
        <v>0.0</v>
      </c>
      <c r="D3512" t="s">
        <v>330</v>
      </c>
      <c r="E3512" t="s">
        <v>311</v>
      </c>
    </row>
    <row r="3513">
      <c r="A3513" s="232" t="s">
        <v>6738</v>
      </c>
      <c r="B3513" t="s">
        <v>6739</v>
      </c>
      <c r="C3513">
        <v>0.0</v>
      </c>
      <c r="D3513" t="s">
        <v>330</v>
      </c>
      <c r="E3513" t="s">
        <v>311</v>
      </c>
    </row>
    <row r="3514">
      <c r="A3514" s="232" t="s">
        <v>6740</v>
      </c>
      <c r="B3514" t="s">
        <v>6741</v>
      </c>
      <c r="C3514">
        <v>0.0</v>
      </c>
      <c r="D3514" t="s">
        <v>330</v>
      </c>
      <c r="E3514" t="s">
        <v>311</v>
      </c>
    </row>
    <row r="3515">
      <c r="A3515" s="232" t="s">
        <v>6742</v>
      </c>
      <c r="B3515" t="s">
        <v>6743</v>
      </c>
      <c r="C3515">
        <v>0.0</v>
      </c>
      <c r="D3515" t="s">
        <v>330</v>
      </c>
      <c r="E3515" t="s">
        <v>311</v>
      </c>
    </row>
    <row r="3516">
      <c r="A3516" s="232" t="s">
        <v>6744</v>
      </c>
      <c r="B3516" t="s">
        <v>6745</v>
      </c>
      <c r="C3516">
        <v>0.0</v>
      </c>
      <c r="D3516" t="s">
        <v>330</v>
      </c>
      <c r="E3516" t="s">
        <v>311</v>
      </c>
    </row>
    <row r="3517">
      <c r="A3517" s="232" t="s">
        <v>6746</v>
      </c>
      <c r="B3517" t="s">
        <v>6747</v>
      </c>
      <c r="C3517">
        <v>0.0</v>
      </c>
      <c r="D3517" t="s">
        <v>330</v>
      </c>
      <c r="E3517" t="s">
        <v>311</v>
      </c>
    </row>
    <row r="3518">
      <c r="A3518" s="232" t="s">
        <v>6748</v>
      </c>
      <c r="B3518" t="s">
        <v>6749</v>
      </c>
      <c r="C3518">
        <v>0.0</v>
      </c>
      <c r="D3518" t="s">
        <v>330</v>
      </c>
      <c r="E3518" t="s">
        <v>311</v>
      </c>
    </row>
    <row r="3519">
      <c r="A3519" s="232" t="s">
        <v>6750</v>
      </c>
      <c r="B3519" t="s">
        <v>6751</v>
      </c>
      <c r="C3519">
        <v>0.0</v>
      </c>
      <c r="D3519" t="s">
        <v>330</v>
      </c>
      <c r="E3519" t="s">
        <v>311</v>
      </c>
    </row>
    <row r="3520">
      <c r="A3520" s="232" t="s">
        <v>6752</v>
      </c>
      <c r="B3520" t="s">
        <v>6753</v>
      </c>
      <c r="C3520">
        <v>0.0</v>
      </c>
      <c r="D3520" t="s">
        <v>330</v>
      </c>
      <c r="E3520" t="s">
        <v>311</v>
      </c>
    </row>
    <row r="3521">
      <c r="A3521" s="232" t="s">
        <v>6754</v>
      </c>
      <c r="B3521" t="s">
        <v>6755</v>
      </c>
      <c r="C3521">
        <v>0.0</v>
      </c>
      <c r="D3521" t="s">
        <v>330</v>
      </c>
      <c r="E3521" t="s">
        <v>311</v>
      </c>
    </row>
    <row r="3522">
      <c r="A3522" s="232" t="s">
        <v>6756</v>
      </c>
      <c r="B3522" t="s">
        <v>6757</v>
      </c>
      <c r="C3522">
        <v>0.0</v>
      </c>
      <c r="D3522" t="s">
        <v>330</v>
      </c>
      <c r="E3522" t="s">
        <v>311</v>
      </c>
    </row>
    <row r="3523">
      <c r="A3523" s="232" t="s">
        <v>6758</v>
      </c>
      <c r="B3523" t="s">
        <v>6759</v>
      </c>
      <c r="C3523">
        <v>0.0</v>
      </c>
      <c r="D3523" t="s">
        <v>330</v>
      </c>
      <c r="E3523" t="s">
        <v>311</v>
      </c>
    </row>
    <row r="3524">
      <c r="A3524" s="232" t="s">
        <v>6760</v>
      </c>
      <c r="B3524" t="s">
        <v>6761</v>
      </c>
      <c r="C3524">
        <v>0.0</v>
      </c>
      <c r="D3524" t="s">
        <v>330</v>
      </c>
      <c r="E3524" t="s">
        <v>311</v>
      </c>
    </row>
    <row r="3525">
      <c r="A3525" s="232" t="s">
        <v>6762</v>
      </c>
      <c r="B3525" t="s">
        <v>6763</v>
      </c>
      <c r="C3525">
        <v>0.0</v>
      </c>
      <c r="D3525" t="s">
        <v>330</v>
      </c>
      <c r="E3525" t="s">
        <v>311</v>
      </c>
    </row>
    <row r="3526">
      <c r="A3526" s="232" t="s">
        <v>6764</v>
      </c>
      <c r="B3526" t="s">
        <v>6765</v>
      </c>
      <c r="C3526">
        <v>0.0</v>
      </c>
      <c r="D3526" t="s">
        <v>330</v>
      </c>
      <c r="E3526" t="s">
        <v>311</v>
      </c>
    </row>
    <row r="3527">
      <c r="A3527" s="232" t="s">
        <v>6766</v>
      </c>
      <c r="B3527" t="s">
        <v>6767</v>
      </c>
      <c r="C3527">
        <v>0.0</v>
      </c>
      <c r="D3527" t="s">
        <v>330</v>
      </c>
      <c r="E3527" t="s">
        <v>311</v>
      </c>
    </row>
    <row r="3528">
      <c r="A3528" s="232" t="s">
        <v>6768</v>
      </c>
      <c r="B3528" t="s">
        <v>6769</v>
      </c>
      <c r="C3528">
        <v>0.0</v>
      </c>
      <c r="D3528" t="s">
        <v>330</v>
      </c>
      <c r="E3528" t="s">
        <v>311</v>
      </c>
    </row>
    <row r="3529">
      <c r="A3529" s="232" t="s">
        <v>6770</v>
      </c>
      <c r="B3529" t="s">
        <v>6771</v>
      </c>
      <c r="C3529">
        <v>0.0</v>
      </c>
      <c r="D3529" t="s">
        <v>330</v>
      </c>
      <c r="E3529" t="s">
        <v>311</v>
      </c>
    </row>
    <row r="3530">
      <c r="A3530" s="232" t="s">
        <v>6772</v>
      </c>
      <c r="B3530" t="s">
        <v>6773</v>
      </c>
      <c r="C3530">
        <v>0.0</v>
      </c>
      <c r="D3530" t="s">
        <v>330</v>
      </c>
      <c r="E3530" t="s">
        <v>311</v>
      </c>
    </row>
    <row r="3531">
      <c r="A3531" s="232" t="s">
        <v>6774</v>
      </c>
      <c r="B3531" t="s">
        <v>6775</v>
      </c>
      <c r="C3531">
        <v>0.0</v>
      </c>
      <c r="D3531" t="s">
        <v>330</v>
      </c>
      <c r="E3531" t="s">
        <v>311</v>
      </c>
    </row>
    <row r="3532">
      <c r="A3532" s="232" t="s">
        <v>6776</v>
      </c>
      <c r="B3532" t="s">
        <v>6777</v>
      </c>
      <c r="C3532">
        <v>0.0</v>
      </c>
      <c r="D3532" t="s">
        <v>330</v>
      </c>
      <c r="E3532" t="s">
        <v>311</v>
      </c>
    </row>
    <row r="3533">
      <c r="A3533" s="232" t="s">
        <v>6778</v>
      </c>
      <c r="B3533" t="s">
        <v>6779</v>
      </c>
      <c r="C3533">
        <v>0.0</v>
      </c>
      <c r="D3533" t="s">
        <v>330</v>
      </c>
      <c r="E3533" t="s">
        <v>311</v>
      </c>
    </row>
    <row r="3534">
      <c r="A3534" s="232" t="s">
        <v>6780</v>
      </c>
      <c r="B3534" t="s">
        <v>6781</v>
      </c>
      <c r="C3534">
        <v>0.0</v>
      </c>
      <c r="D3534" t="s">
        <v>330</v>
      </c>
      <c r="E3534" t="s">
        <v>311</v>
      </c>
    </row>
    <row r="3535">
      <c r="A3535" s="232" t="s">
        <v>6782</v>
      </c>
      <c r="B3535" t="s">
        <v>6783</v>
      </c>
      <c r="C3535">
        <v>0.0</v>
      </c>
      <c r="D3535" t="s">
        <v>330</v>
      </c>
      <c r="E3535" t="s">
        <v>311</v>
      </c>
    </row>
    <row r="3536">
      <c r="A3536" s="232" t="s">
        <v>6784</v>
      </c>
      <c r="B3536" t="s">
        <v>6785</v>
      </c>
      <c r="C3536">
        <v>0.0</v>
      </c>
      <c r="D3536" t="s">
        <v>330</v>
      </c>
      <c r="E3536" t="s">
        <v>311</v>
      </c>
    </row>
    <row r="3537">
      <c r="A3537" s="232" t="s">
        <v>6786</v>
      </c>
      <c r="B3537" t="s">
        <v>6787</v>
      </c>
      <c r="C3537">
        <v>0.0</v>
      </c>
      <c r="D3537" t="s">
        <v>330</v>
      </c>
      <c r="E3537" t="s">
        <v>311</v>
      </c>
    </row>
    <row r="3538">
      <c r="A3538" s="232" t="s">
        <v>6788</v>
      </c>
      <c r="B3538" t="s">
        <v>6789</v>
      </c>
      <c r="C3538">
        <v>0.0</v>
      </c>
      <c r="D3538" t="s">
        <v>330</v>
      </c>
      <c r="E3538" t="s">
        <v>311</v>
      </c>
    </row>
    <row r="3539">
      <c r="A3539" s="232" t="s">
        <v>6790</v>
      </c>
      <c r="B3539" t="s">
        <v>6791</v>
      </c>
      <c r="C3539">
        <v>0.0</v>
      </c>
      <c r="D3539" t="s">
        <v>330</v>
      </c>
      <c r="E3539" t="s">
        <v>311</v>
      </c>
    </row>
    <row r="3540">
      <c r="A3540" s="232" t="s">
        <v>6792</v>
      </c>
      <c r="B3540" t="s">
        <v>6793</v>
      </c>
      <c r="C3540">
        <v>0.0</v>
      </c>
      <c r="D3540" t="s">
        <v>330</v>
      </c>
      <c r="E3540" t="s">
        <v>311</v>
      </c>
    </row>
    <row r="3541">
      <c r="A3541" s="232" t="s">
        <v>6794</v>
      </c>
      <c r="B3541" t="s">
        <v>6795</v>
      </c>
      <c r="C3541">
        <v>0.0</v>
      </c>
      <c r="D3541" t="s">
        <v>330</v>
      </c>
      <c r="E3541" t="s">
        <v>311</v>
      </c>
    </row>
    <row r="3542">
      <c r="A3542" s="232" t="s">
        <v>6796</v>
      </c>
      <c r="B3542" t="s">
        <v>6797</v>
      </c>
      <c r="C3542">
        <v>0.0</v>
      </c>
      <c r="D3542" t="s">
        <v>330</v>
      </c>
      <c r="E3542" t="s">
        <v>311</v>
      </c>
    </row>
    <row r="3543">
      <c r="A3543" s="232" t="s">
        <v>6798</v>
      </c>
      <c r="B3543" t="s">
        <v>6799</v>
      </c>
      <c r="C3543">
        <v>0.0</v>
      </c>
      <c r="D3543" t="s">
        <v>330</v>
      </c>
      <c r="E3543" t="s">
        <v>311</v>
      </c>
    </row>
    <row r="3544">
      <c r="A3544" s="232" t="s">
        <v>6800</v>
      </c>
      <c r="B3544" t="s">
        <v>6801</v>
      </c>
      <c r="C3544">
        <v>0.0</v>
      </c>
      <c r="D3544" t="s">
        <v>330</v>
      </c>
      <c r="E3544" t="s">
        <v>311</v>
      </c>
    </row>
    <row r="3545">
      <c r="A3545" s="232" t="s">
        <v>6802</v>
      </c>
      <c r="B3545" t="s">
        <v>6803</v>
      </c>
      <c r="C3545">
        <v>0.0</v>
      </c>
      <c r="D3545" t="s">
        <v>330</v>
      </c>
      <c r="E3545" t="s">
        <v>311</v>
      </c>
    </row>
    <row r="3546">
      <c r="A3546" s="232" t="s">
        <v>6804</v>
      </c>
      <c r="B3546" t="s">
        <v>6805</v>
      </c>
      <c r="C3546">
        <v>0.0</v>
      </c>
      <c r="D3546" t="s">
        <v>330</v>
      </c>
      <c r="E3546" t="s">
        <v>311</v>
      </c>
    </row>
    <row r="3547">
      <c r="A3547" s="232" t="s">
        <v>6806</v>
      </c>
      <c r="B3547" t="s">
        <v>6807</v>
      </c>
      <c r="C3547">
        <v>0.0</v>
      </c>
      <c r="D3547" t="s">
        <v>330</v>
      </c>
      <c r="E3547" t="s">
        <v>311</v>
      </c>
    </row>
    <row r="3548">
      <c r="A3548" s="232" t="s">
        <v>6808</v>
      </c>
      <c r="B3548" t="s">
        <v>6809</v>
      </c>
      <c r="C3548">
        <v>0.0</v>
      </c>
      <c r="D3548" t="s">
        <v>330</v>
      </c>
      <c r="E3548" t="s">
        <v>311</v>
      </c>
    </row>
    <row r="3549">
      <c r="A3549" s="232" t="s">
        <v>6810</v>
      </c>
      <c r="B3549" t="s">
        <v>6811</v>
      </c>
      <c r="C3549">
        <v>0.0</v>
      </c>
      <c r="D3549" t="s">
        <v>330</v>
      </c>
      <c r="E3549" t="s">
        <v>311</v>
      </c>
    </row>
    <row r="3550">
      <c r="A3550" s="232" t="s">
        <v>6812</v>
      </c>
      <c r="B3550" t="s">
        <v>6813</v>
      </c>
      <c r="C3550">
        <v>0.0</v>
      </c>
      <c r="D3550" t="s">
        <v>330</v>
      </c>
      <c r="E3550" t="s">
        <v>311</v>
      </c>
    </row>
    <row r="3551">
      <c r="A3551" s="232">
        <v>97202.0</v>
      </c>
      <c r="B3551" t="s">
        <v>6814</v>
      </c>
      <c r="C3551">
        <v>0.0</v>
      </c>
      <c r="D3551" t="s">
        <v>310</v>
      </c>
      <c r="E3551" t="s">
        <v>311</v>
      </c>
    </row>
    <row r="3552">
      <c r="A3552" s="232">
        <v>97204.0</v>
      </c>
      <c r="B3552" t="s">
        <v>6815</v>
      </c>
      <c r="C3552">
        <v>0.0</v>
      </c>
      <c r="D3552" t="s">
        <v>310</v>
      </c>
      <c r="E3552" t="s">
        <v>311</v>
      </c>
    </row>
    <row r="3553">
      <c r="A3553" s="232">
        <v>97203.0</v>
      </c>
      <c r="B3553" t="s">
        <v>6816</v>
      </c>
      <c r="C3553">
        <v>0.0</v>
      </c>
      <c r="D3553" t="s">
        <v>310</v>
      </c>
      <c r="E3553" t="s">
        <v>311</v>
      </c>
    </row>
    <row r="3554">
      <c r="A3554" s="232">
        <v>97201.0</v>
      </c>
      <c r="B3554" t="s">
        <v>6817</v>
      </c>
      <c r="C3554">
        <v>0.0</v>
      </c>
      <c r="D3554" t="s">
        <v>310</v>
      </c>
      <c r="E3554" t="s">
        <v>311</v>
      </c>
    </row>
    <row r="3555">
      <c r="A3555" s="232" t="s">
        <v>6818</v>
      </c>
      <c r="B3555" t="s">
        <v>6819</v>
      </c>
      <c r="C3555">
        <v>0.0</v>
      </c>
      <c r="D3555" t="s">
        <v>310</v>
      </c>
      <c r="E3555" t="s">
        <v>311</v>
      </c>
    </row>
    <row r="3556">
      <c r="A3556" s="232">
        <v>97306.0</v>
      </c>
      <c r="B3556" t="s">
        <v>6820</v>
      </c>
      <c r="C3556">
        <v>0.0</v>
      </c>
      <c r="D3556" t="s">
        <v>310</v>
      </c>
      <c r="E3556" t="s">
        <v>311</v>
      </c>
    </row>
    <row r="3557">
      <c r="A3557" s="232">
        <v>97305.0</v>
      </c>
      <c r="B3557" t="s">
        <v>6821</v>
      </c>
      <c r="C3557">
        <v>0.0</v>
      </c>
      <c r="D3557" t="s">
        <v>310</v>
      </c>
      <c r="E3557" t="s">
        <v>311</v>
      </c>
    </row>
    <row r="3558">
      <c r="A3558" s="232">
        <v>97307.0</v>
      </c>
      <c r="B3558" t="s">
        <v>6822</v>
      </c>
      <c r="C3558">
        <v>0.0</v>
      </c>
      <c r="D3558" t="s">
        <v>310</v>
      </c>
      <c r="E3558" t="s">
        <v>311</v>
      </c>
    </row>
    <row r="3559">
      <c r="A3559" s="232">
        <v>97304.0</v>
      </c>
      <c r="B3559" t="s">
        <v>6823</v>
      </c>
      <c r="C3559">
        <v>0.0</v>
      </c>
      <c r="D3559" t="s">
        <v>310</v>
      </c>
      <c r="E3559" t="s">
        <v>311</v>
      </c>
    </row>
    <row r="3560">
      <c r="A3560" s="232">
        <v>97302.0</v>
      </c>
      <c r="B3560" t="s">
        <v>6824</v>
      </c>
      <c r="C3560">
        <v>0.0</v>
      </c>
      <c r="D3560" t="s">
        <v>310</v>
      </c>
      <c r="E3560" t="s">
        <v>311</v>
      </c>
    </row>
    <row r="3561">
      <c r="A3561" s="232">
        <v>97303.0</v>
      </c>
      <c r="B3561" t="s">
        <v>6825</v>
      </c>
      <c r="C3561">
        <v>0.0</v>
      </c>
      <c r="D3561" t="s">
        <v>310</v>
      </c>
      <c r="E3561" t="s">
        <v>311</v>
      </c>
    </row>
    <row r="3562">
      <c r="A3562" s="232">
        <v>97309.0</v>
      </c>
      <c r="B3562" t="s">
        <v>6826</v>
      </c>
      <c r="C3562">
        <v>0.0</v>
      </c>
      <c r="D3562" t="s">
        <v>310</v>
      </c>
      <c r="E3562" t="s">
        <v>311</v>
      </c>
    </row>
    <row r="3563">
      <c r="A3563" s="232">
        <v>97301.0</v>
      </c>
      <c r="B3563" t="s">
        <v>6827</v>
      </c>
      <c r="C3563">
        <v>0.0</v>
      </c>
      <c r="D3563" t="s">
        <v>310</v>
      </c>
      <c r="E3563" t="s">
        <v>311</v>
      </c>
    </row>
    <row r="3564">
      <c r="A3564" s="232" t="s">
        <v>6828</v>
      </c>
      <c r="B3564" t="s">
        <v>6829</v>
      </c>
      <c r="C3564">
        <v>0.0</v>
      </c>
      <c r="D3564" t="s">
        <v>310</v>
      </c>
      <c r="E3564" t="s">
        <v>311</v>
      </c>
    </row>
    <row r="3565">
      <c r="A3565" s="232" t="s">
        <v>6830</v>
      </c>
      <c r="B3565" t="s">
        <v>6831</v>
      </c>
      <c r="C3565">
        <v>0.0</v>
      </c>
      <c r="D3565" t="s">
        <v>310</v>
      </c>
      <c r="E3565" t="s">
        <v>311</v>
      </c>
    </row>
    <row r="3566">
      <c r="A3566" s="232" t="s">
        <v>6832</v>
      </c>
      <c r="B3566" t="s">
        <v>6833</v>
      </c>
      <c r="C3566">
        <v>14.0</v>
      </c>
      <c r="D3566" t="s">
        <v>330</v>
      </c>
      <c r="E3566" t="s">
        <v>311</v>
      </c>
    </row>
    <row r="3567">
      <c r="A3567" s="232" t="s">
        <v>6834</v>
      </c>
      <c r="B3567" t="s">
        <v>6835</v>
      </c>
      <c r="C3567">
        <v>442.0</v>
      </c>
      <c r="D3567" t="s">
        <v>330</v>
      </c>
      <c r="E3567" t="s">
        <v>311</v>
      </c>
    </row>
    <row r="3568">
      <c r="A3568" s="232" t="s">
        <v>6836</v>
      </c>
      <c r="B3568" t="s">
        <v>6837</v>
      </c>
      <c r="C3568">
        <v>63.0</v>
      </c>
      <c r="D3568" t="s">
        <v>330</v>
      </c>
      <c r="E3568" t="s">
        <v>311</v>
      </c>
    </row>
    <row r="3569">
      <c r="A3569" s="232" t="s">
        <v>6838</v>
      </c>
      <c r="B3569" t="s">
        <v>6839</v>
      </c>
      <c r="C3569">
        <v>0.0</v>
      </c>
      <c r="D3569" t="s">
        <v>310</v>
      </c>
      <c r="E3569" t="s">
        <v>311</v>
      </c>
    </row>
    <row r="3570">
      <c r="A3570" s="232" t="s">
        <v>6840</v>
      </c>
      <c r="B3570" t="s">
        <v>6841</v>
      </c>
      <c r="C3570">
        <v>80.0</v>
      </c>
      <c r="D3570" t="s">
        <v>330</v>
      </c>
      <c r="E3570" t="s">
        <v>311</v>
      </c>
    </row>
    <row r="3571">
      <c r="A3571" s="232" t="s">
        <v>6842</v>
      </c>
      <c r="B3571" t="s">
        <v>6843</v>
      </c>
      <c r="C3571">
        <v>0.0</v>
      </c>
      <c r="D3571" t="s">
        <v>330</v>
      </c>
      <c r="E3571" t="s">
        <v>311</v>
      </c>
    </row>
    <row r="3572">
      <c r="A3572" s="232" t="s">
        <v>6844</v>
      </c>
      <c r="B3572" t="s">
        <v>6845</v>
      </c>
      <c r="C3572">
        <v>0.0</v>
      </c>
      <c r="D3572" t="s">
        <v>310</v>
      </c>
      <c r="E3572" t="s">
        <v>311</v>
      </c>
    </row>
    <row r="3573">
      <c r="A3573" s="232" t="s">
        <v>6846</v>
      </c>
      <c r="B3573" t="s">
        <v>6847</v>
      </c>
      <c r="C3573">
        <v>455.0</v>
      </c>
      <c r="D3573" t="s">
        <v>330</v>
      </c>
      <c r="E3573" t="s">
        <v>311</v>
      </c>
    </row>
    <row r="3574">
      <c r="A3574" s="232" t="s">
        <v>6848</v>
      </c>
      <c r="B3574" t="s">
        <v>6849</v>
      </c>
      <c r="C3574">
        <v>28.0</v>
      </c>
      <c r="D3574" t="s">
        <v>330</v>
      </c>
      <c r="E3574" t="s">
        <v>311</v>
      </c>
    </row>
    <row r="3575">
      <c r="A3575" s="232" t="s">
        <v>6850</v>
      </c>
      <c r="B3575" t="s">
        <v>6851</v>
      </c>
      <c r="C3575">
        <v>4.0</v>
      </c>
      <c r="D3575" t="s">
        <v>330</v>
      </c>
      <c r="E3575" t="s">
        <v>311</v>
      </c>
    </row>
    <row r="3576">
      <c r="A3576" s="232" t="s">
        <v>6852</v>
      </c>
      <c r="B3576" t="s">
        <v>6853</v>
      </c>
      <c r="C3576">
        <v>156.0</v>
      </c>
      <c r="D3576" t="s">
        <v>330</v>
      </c>
      <c r="E3576" t="s">
        <v>311</v>
      </c>
    </row>
    <row r="3577">
      <c r="A3577" s="232" t="s">
        <v>6854</v>
      </c>
      <c r="B3577" t="s">
        <v>6855</v>
      </c>
      <c r="C3577">
        <v>0.0</v>
      </c>
      <c r="D3577" t="s">
        <v>310</v>
      </c>
      <c r="E3577" t="s">
        <v>311</v>
      </c>
    </row>
    <row r="3578">
      <c r="A3578" s="232" t="s">
        <v>6856</v>
      </c>
      <c r="B3578" t="s">
        <v>6857</v>
      </c>
      <c r="C3578">
        <v>183.0</v>
      </c>
      <c r="D3578" t="s">
        <v>330</v>
      </c>
      <c r="E3578" t="s">
        <v>311</v>
      </c>
    </row>
    <row r="3579">
      <c r="A3579" s="232" t="s">
        <v>6858</v>
      </c>
      <c r="B3579" t="s">
        <v>6859</v>
      </c>
      <c r="C3579">
        <v>0.0</v>
      </c>
      <c r="D3579" t="s">
        <v>310</v>
      </c>
      <c r="E3579" t="s">
        <v>311</v>
      </c>
    </row>
    <row r="3580">
      <c r="A3580" s="232" t="s">
        <v>6860</v>
      </c>
      <c r="B3580" t="s">
        <v>6861</v>
      </c>
      <c r="C3580">
        <v>0.0</v>
      </c>
      <c r="D3580" t="s">
        <v>310</v>
      </c>
      <c r="E3580" t="s">
        <v>311</v>
      </c>
    </row>
    <row r="3581">
      <c r="A3581" s="232" t="s">
        <v>6862</v>
      </c>
      <c r="B3581" t="s">
        <v>6863</v>
      </c>
      <c r="C3581">
        <v>15.0</v>
      </c>
      <c r="D3581" t="s">
        <v>330</v>
      </c>
      <c r="E3581" t="s">
        <v>311</v>
      </c>
    </row>
    <row r="3582">
      <c r="A3582" s="232" t="s">
        <v>6864</v>
      </c>
      <c r="B3582" t="s">
        <v>6865</v>
      </c>
      <c r="C3582">
        <v>256.0</v>
      </c>
      <c r="D3582" t="s">
        <v>330</v>
      </c>
      <c r="E3582" t="s">
        <v>311</v>
      </c>
    </row>
    <row r="3583">
      <c r="A3583" s="232" t="s">
        <v>6866</v>
      </c>
      <c r="B3583" t="s">
        <v>6867</v>
      </c>
      <c r="C3583">
        <v>214.0</v>
      </c>
      <c r="D3583" t="s">
        <v>330</v>
      </c>
      <c r="E3583" t="s">
        <v>311</v>
      </c>
    </row>
    <row r="3584">
      <c r="B3584" t="s">
        <v>6868</v>
      </c>
      <c r="C3584">
        <v>0.0</v>
      </c>
      <c r="D3584" t="s">
        <v>310</v>
      </c>
      <c r="E3584" t="s">
        <v>1208</v>
      </c>
    </row>
    <row r="3585">
      <c r="A3585" s="232" t="s">
        <v>6869</v>
      </c>
      <c r="B3585" t="s">
        <v>6870</v>
      </c>
      <c r="C3585">
        <v>1.0</v>
      </c>
      <c r="D3585" t="s">
        <v>330</v>
      </c>
      <c r="E3585" t="s">
        <v>565</v>
      </c>
    </row>
    <row r="3586">
      <c r="A3586" s="232" t="s">
        <v>6871</v>
      </c>
      <c r="B3586" t="s">
        <v>6872</v>
      </c>
      <c r="C3586">
        <v>4.0</v>
      </c>
      <c r="D3586" t="s">
        <v>330</v>
      </c>
      <c r="E3586" t="s">
        <v>565</v>
      </c>
    </row>
    <row r="3587">
      <c r="A3587" s="232" t="s">
        <v>6873</v>
      </c>
      <c r="B3587" t="s">
        <v>6874</v>
      </c>
      <c r="C3587">
        <v>0.0</v>
      </c>
      <c r="D3587" t="s">
        <v>310</v>
      </c>
      <c r="E3587" t="s">
        <v>1208</v>
      </c>
    </row>
    <row r="3588">
      <c r="A3588" s="232" t="s">
        <v>6875</v>
      </c>
      <c r="B3588" t="s">
        <v>6876</v>
      </c>
      <c r="C3588">
        <v>0.0</v>
      </c>
      <c r="D3588" t="s">
        <v>310</v>
      </c>
      <c r="E3588" t="s">
        <v>311</v>
      </c>
    </row>
    <row r="3589">
      <c r="A3589" s="232" t="s">
        <v>6877</v>
      </c>
      <c r="B3589" t="s">
        <v>6878</v>
      </c>
      <c r="C3589">
        <v>530.0</v>
      </c>
      <c r="D3589" t="s">
        <v>330</v>
      </c>
      <c r="E3589" t="s">
        <v>565</v>
      </c>
    </row>
    <row r="3590">
      <c r="A3590" s="232" t="s">
        <v>6879</v>
      </c>
      <c r="B3590" t="s">
        <v>6880</v>
      </c>
      <c r="C3590">
        <v>89.0</v>
      </c>
      <c r="D3590" t="s">
        <v>330</v>
      </c>
      <c r="E3590" t="s">
        <v>565</v>
      </c>
    </row>
    <row r="3591">
      <c r="A3591" s="232" t="s">
        <v>6881</v>
      </c>
      <c r="B3591" t="s">
        <v>6882</v>
      </c>
      <c r="C3591">
        <v>210.0</v>
      </c>
      <c r="D3591" t="s">
        <v>330</v>
      </c>
      <c r="E3591" t="s">
        <v>311</v>
      </c>
    </row>
    <row r="3592">
      <c r="A3592" s="232" t="s">
        <v>6883</v>
      </c>
      <c r="B3592" t="s">
        <v>6884</v>
      </c>
      <c r="C3592">
        <v>18.0</v>
      </c>
      <c r="D3592" t="s">
        <v>330</v>
      </c>
      <c r="E3592" t="s">
        <v>311</v>
      </c>
    </row>
    <row r="3593">
      <c r="A3593" s="232" t="s">
        <v>6885</v>
      </c>
      <c r="B3593" t="s">
        <v>6886</v>
      </c>
      <c r="C3593">
        <v>0.0</v>
      </c>
      <c r="D3593" t="s">
        <v>310</v>
      </c>
      <c r="E3593" t="s">
        <v>311</v>
      </c>
    </row>
    <row r="3594">
      <c r="A3594" s="232" t="s">
        <v>6887</v>
      </c>
      <c r="B3594" t="s">
        <v>6888</v>
      </c>
      <c r="C3594">
        <v>822.0</v>
      </c>
      <c r="D3594" t="s">
        <v>330</v>
      </c>
      <c r="E3594" t="s">
        <v>311</v>
      </c>
    </row>
    <row r="3595">
      <c r="A3595" s="232" t="s">
        <v>6889</v>
      </c>
      <c r="B3595" t="s">
        <v>6890</v>
      </c>
      <c r="C3595">
        <v>0.0</v>
      </c>
      <c r="D3595" t="s">
        <v>330</v>
      </c>
      <c r="E3595" t="s">
        <v>311</v>
      </c>
    </row>
    <row r="3596">
      <c r="A3596" s="232" t="s">
        <v>6891</v>
      </c>
      <c r="B3596" t="s">
        <v>6892</v>
      </c>
      <c r="C3596">
        <v>0.0</v>
      </c>
      <c r="D3596" t="s">
        <v>330</v>
      </c>
      <c r="E3596" t="s">
        <v>311</v>
      </c>
    </row>
    <row r="3597">
      <c r="A3597" s="232" t="s">
        <v>6893</v>
      </c>
      <c r="B3597" t="s">
        <v>6894</v>
      </c>
      <c r="C3597">
        <v>0.0</v>
      </c>
      <c r="D3597" t="s">
        <v>310</v>
      </c>
      <c r="E3597" t="s">
        <v>311</v>
      </c>
    </row>
    <row r="3598">
      <c r="A3598" s="232" t="s">
        <v>6895</v>
      </c>
      <c r="B3598" t="s">
        <v>6896</v>
      </c>
      <c r="C3598">
        <v>546.0</v>
      </c>
      <c r="D3598" t="s">
        <v>330</v>
      </c>
      <c r="E3598" t="s">
        <v>311</v>
      </c>
    </row>
    <row r="3599">
      <c r="A3599" s="232" t="s">
        <v>6897</v>
      </c>
      <c r="B3599" t="s">
        <v>6898</v>
      </c>
      <c r="C3599">
        <v>846.0</v>
      </c>
      <c r="D3599" t="s">
        <v>330</v>
      </c>
      <c r="E3599" t="s">
        <v>311</v>
      </c>
    </row>
    <row r="3600">
      <c r="A3600" s="232" t="s">
        <v>6899</v>
      </c>
      <c r="B3600" t="s">
        <v>6900</v>
      </c>
      <c r="C3600">
        <v>378.0</v>
      </c>
      <c r="D3600" t="s">
        <v>330</v>
      </c>
      <c r="E3600" t="s">
        <v>311</v>
      </c>
    </row>
    <row r="3601">
      <c r="A3601" s="232" t="s">
        <v>6901</v>
      </c>
      <c r="B3601" t="s">
        <v>6902</v>
      </c>
      <c r="C3601">
        <v>0.0</v>
      </c>
      <c r="D3601" t="s">
        <v>310</v>
      </c>
      <c r="E3601" t="s">
        <v>311</v>
      </c>
    </row>
    <row r="3602">
      <c r="A3602" s="232" t="s">
        <v>6903</v>
      </c>
      <c r="B3602" t="s">
        <v>6904</v>
      </c>
      <c r="C3602">
        <v>276.0</v>
      </c>
      <c r="D3602" t="s">
        <v>330</v>
      </c>
      <c r="E3602" t="s">
        <v>311</v>
      </c>
    </row>
    <row r="3603">
      <c r="A3603" s="232" t="s">
        <v>6905</v>
      </c>
      <c r="B3603" t="s">
        <v>6906</v>
      </c>
      <c r="C3603">
        <v>0.0</v>
      </c>
      <c r="D3603" t="s">
        <v>310</v>
      </c>
      <c r="E3603" t="s">
        <v>311</v>
      </c>
    </row>
    <row r="3604">
      <c r="A3604" s="232" t="s">
        <v>6907</v>
      </c>
      <c r="B3604" t="s">
        <v>6908</v>
      </c>
      <c r="C3604">
        <v>3.0</v>
      </c>
      <c r="D3604" t="s">
        <v>330</v>
      </c>
      <c r="E3604" t="s">
        <v>311</v>
      </c>
    </row>
    <row r="3605">
      <c r="A3605" s="232" t="s">
        <v>6909</v>
      </c>
      <c r="B3605" t="s">
        <v>6910</v>
      </c>
      <c r="C3605">
        <v>900.0</v>
      </c>
      <c r="D3605" t="s">
        <v>330</v>
      </c>
      <c r="E3605" t="s">
        <v>311</v>
      </c>
    </row>
    <row r="3606">
      <c r="A3606" s="232" t="s">
        <v>6911</v>
      </c>
      <c r="B3606" t="s">
        <v>6912</v>
      </c>
      <c r="C3606">
        <v>0.0</v>
      </c>
      <c r="D3606" t="s">
        <v>310</v>
      </c>
      <c r="E3606" t="s">
        <v>311</v>
      </c>
    </row>
    <row r="3607">
      <c r="A3607" s="232" t="s">
        <v>6913</v>
      </c>
      <c r="B3607" t="s">
        <v>6914</v>
      </c>
      <c r="C3607">
        <v>0.0</v>
      </c>
      <c r="D3607" t="s">
        <v>310</v>
      </c>
      <c r="E3607" t="s">
        <v>311</v>
      </c>
    </row>
    <row r="3608">
      <c r="A3608" s="232" t="s">
        <v>6915</v>
      </c>
      <c r="B3608" t="s">
        <v>6916</v>
      </c>
      <c r="C3608">
        <v>0.0</v>
      </c>
      <c r="D3608" t="s">
        <v>310</v>
      </c>
      <c r="E3608" t="s">
        <v>311</v>
      </c>
    </row>
    <row r="3609">
      <c r="A3609" s="232" t="s">
        <v>6917</v>
      </c>
      <c r="B3609" t="s">
        <v>6918</v>
      </c>
      <c r="C3609">
        <v>0.0</v>
      </c>
      <c r="D3609" t="s">
        <v>310</v>
      </c>
      <c r="E3609" t="s">
        <v>311</v>
      </c>
    </row>
    <row r="3610">
      <c r="A3610" s="232" t="s">
        <v>6919</v>
      </c>
      <c r="B3610" t="s">
        <v>6920</v>
      </c>
      <c r="C3610">
        <v>0.0</v>
      </c>
      <c r="D3610" t="s">
        <v>310</v>
      </c>
      <c r="E3610" t="s">
        <v>311</v>
      </c>
    </row>
    <row r="3611">
      <c r="A3611" s="232" t="s">
        <v>6921</v>
      </c>
      <c r="B3611" t="s">
        <v>6922</v>
      </c>
      <c r="C3611">
        <v>0.0</v>
      </c>
      <c r="D3611" t="s">
        <v>310</v>
      </c>
      <c r="E3611" t="s">
        <v>311</v>
      </c>
    </row>
    <row r="3612">
      <c r="A3612" s="232" t="s">
        <v>6923</v>
      </c>
      <c r="B3612" t="s">
        <v>6924</v>
      </c>
      <c r="C3612">
        <v>0.0</v>
      </c>
      <c r="D3612" t="s">
        <v>310</v>
      </c>
      <c r="E3612" t="s">
        <v>311</v>
      </c>
    </row>
    <row r="3613">
      <c r="A3613" s="232" t="s">
        <v>6925</v>
      </c>
      <c r="B3613" t="s">
        <v>6926</v>
      </c>
      <c r="C3613">
        <v>0.0</v>
      </c>
      <c r="D3613" t="s">
        <v>310</v>
      </c>
      <c r="E3613" t="s">
        <v>311</v>
      </c>
    </row>
    <row r="3614">
      <c r="A3614" s="232" t="s">
        <v>6927</v>
      </c>
      <c r="B3614" t="s">
        <v>6928</v>
      </c>
      <c r="C3614">
        <v>-9.0</v>
      </c>
      <c r="D3614" t="s">
        <v>330</v>
      </c>
      <c r="E3614" t="s">
        <v>311</v>
      </c>
    </row>
    <row r="3615">
      <c r="A3615" s="232" t="s">
        <v>6929</v>
      </c>
      <c r="B3615" t="s">
        <v>6930</v>
      </c>
      <c r="C3615">
        <v>0.0</v>
      </c>
      <c r="D3615" t="s">
        <v>310</v>
      </c>
      <c r="E3615" t="s">
        <v>311</v>
      </c>
    </row>
    <row r="3616">
      <c r="A3616" s="232" t="s">
        <v>6931</v>
      </c>
      <c r="B3616" t="s">
        <v>6932</v>
      </c>
      <c r="C3616">
        <v>-33.0</v>
      </c>
      <c r="D3616" t="s">
        <v>330</v>
      </c>
      <c r="E3616" t="s">
        <v>311</v>
      </c>
    </row>
    <row r="3617">
      <c r="A3617" s="232" t="s">
        <v>6933</v>
      </c>
      <c r="B3617" t="s">
        <v>6934</v>
      </c>
      <c r="C3617">
        <v>183.0</v>
      </c>
      <c r="D3617" t="s">
        <v>330</v>
      </c>
      <c r="E3617" t="s">
        <v>311</v>
      </c>
    </row>
    <row r="3618">
      <c r="A3618" s="232" t="s">
        <v>6935</v>
      </c>
      <c r="B3618" t="s">
        <v>6936</v>
      </c>
      <c r="C3618">
        <v>50.0</v>
      </c>
      <c r="D3618" t="s">
        <v>330</v>
      </c>
      <c r="E3618" t="s">
        <v>311</v>
      </c>
    </row>
    <row r="3619">
      <c r="A3619" s="232" t="s">
        <v>6937</v>
      </c>
      <c r="B3619" t="s">
        <v>6938</v>
      </c>
      <c r="C3619">
        <v>271.0</v>
      </c>
      <c r="D3619" t="s">
        <v>330</v>
      </c>
      <c r="E3619" t="s">
        <v>311</v>
      </c>
    </row>
    <row r="3620">
      <c r="A3620" s="232" t="s">
        <v>6939</v>
      </c>
      <c r="B3620" t="s">
        <v>6940</v>
      </c>
      <c r="C3620">
        <v>0.0</v>
      </c>
      <c r="D3620" t="s">
        <v>310</v>
      </c>
      <c r="E3620" t="s">
        <v>311</v>
      </c>
    </row>
    <row r="3621">
      <c r="A3621" s="232" t="s">
        <v>6941</v>
      </c>
      <c r="B3621" t="s">
        <v>6942</v>
      </c>
      <c r="C3621">
        <v>260.0</v>
      </c>
      <c r="D3621" t="s">
        <v>330</v>
      </c>
      <c r="E3621" t="s">
        <v>311</v>
      </c>
    </row>
    <row r="3622">
      <c r="A3622" s="232" t="s">
        <v>6943</v>
      </c>
      <c r="B3622" t="s">
        <v>6944</v>
      </c>
      <c r="C3622">
        <v>151.0</v>
      </c>
      <c r="D3622" t="s">
        <v>330</v>
      </c>
      <c r="E3622" t="s">
        <v>311</v>
      </c>
    </row>
    <row r="3623">
      <c r="A3623" s="232" t="s">
        <v>6945</v>
      </c>
      <c r="B3623" t="s">
        <v>6946</v>
      </c>
      <c r="C3623">
        <v>-3.0</v>
      </c>
      <c r="D3623" t="s">
        <v>330</v>
      </c>
      <c r="E3623" t="s">
        <v>311</v>
      </c>
    </row>
    <row r="3624">
      <c r="A3624" s="232" t="s">
        <v>6947</v>
      </c>
      <c r="B3624" t="s">
        <v>6948</v>
      </c>
      <c r="C3624">
        <v>83.0</v>
      </c>
      <c r="D3624" t="s">
        <v>330</v>
      </c>
      <c r="E3624" t="s">
        <v>311</v>
      </c>
    </row>
    <row r="3625">
      <c r="A3625" s="232" t="s">
        <v>6949</v>
      </c>
      <c r="B3625" t="s">
        <v>6950</v>
      </c>
      <c r="C3625">
        <v>0.0</v>
      </c>
      <c r="D3625" t="s">
        <v>330</v>
      </c>
      <c r="E3625" t="s">
        <v>311</v>
      </c>
    </row>
    <row r="3626">
      <c r="A3626" s="232" t="s">
        <v>6951</v>
      </c>
      <c r="B3626" t="s">
        <v>6952</v>
      </c>
      <c r="C3626">
        <v>264.0</v>
      </c>
      <c r="D3626" t="s">
        <v>330</v>
      </c>
      <c r="E3626" t="s">
        <v>311</v>
      </c>
    </row>
    <row r="3627">
      <c r="A3627" s="232" t="s">
        <v>6953</v>
      </c>
      <c r="B3627" t="s">
        <v>6954</v>
      </c>
      <c r="C3627">
        <v>0.0</v>
      </c>
      <c r="D3627" t="s">
        <v>310</v>
      </c>
      <c r="E3627" t="s">
        <v>311</v>
      </c>
    </row>
    <row r="3628">
      <c r="A3628" s="232" t="s">
        <v>6955</v>
      </c>
      <c r="B3628" t="s">
        <v>6956</v>
      </c>
      <c r="C3628">
        <v>650.0</v>
      </c>
      <c r="D3628" t="s">
        <v>330</v>
      </c>
      <c r="E3628" t="s">
        <v>311</v>
      </c>
    </row>
    <row r="3629">
      <c r="A3629" s="232" t="s">
        <v>6957</v>
      </c>
      <c r="B3629" t="s">
        <v>6958</v>
      </c>
      <c r="C3629">
        <v>0.0</v>
      </c>
      <c r="D3629" t="s">
        <v>310</v>
      </c>
      <c r="E3629" t="s">
        <v>311</v>
      </c>
    </row>
    <row r="3630">
      <c r="A3630" s="232" t="s">
        <v>6959</v>
      </c>
      <c r="B3630" t="s">
        <v>6960</v>
      </c>
      <c r="C3630">
        <v>0.0</v>
      </c>
      <c r="D3630" t="s">
        <v>310</v>
      </c>
      <c r="E3630" t="s">
        <v>1208</v>
      </c>
    </row>
    <row r="3631">
      <c r="A3631" s="232" t="s">
        <v>6961</v>
      </c>
      <c r="B3631" t="s">
        <v>6962</v>
      </c>
      <c r="C3631">
        <v>436.0</v>
      </c>
      <c r="D3631" t="s">
        <v>330</v>
      </c>
      <c r="E3631" t="s">
        <v>311</v>
      </c>
    </row>
    <row r="3632">
      <c r="A3632" s="232" t="s">
        <v>6963</v>
      </c>
      <c r="B3632" t="s">
        <v>6964</v>
      </c>
      <c r="C3632">
        <v>0.0</v>
      </c>
      <c r="D3632" t="s">
        <v>310</v>
      </c>
      <c r="E3632" t="s">
        <v>311</v>
      </c>
    </row>
    <row r="3633">
      <c r="A3633" s="232" t="s">
        <v>6965</v>
      </c>
      <c r="B3633" t="s">
        <v>6966</v>
      </c>
      <c r="C3633">
        <v>0.0</v>
      </c>
      <c r="D3633" t="s">
        <v>310</v>
      </c>
      <c r="E3633" t="s">
        <v>311</v>
      </c>
    </row>
    <row r="3634">
      <c r="A3634" s="232" t="s">
        <v>6967</v>
      </c>
      <c r="B3634" t="s">
        <v>6968</v>
      </c>
      <c r="C3634">
        <v>0.0</v>
      </c>
      <c r="D3634" t="s">
        <v>310</v>
      </c>
      <c r="E3634" t="s">
        <v>311</v>
      </c>
    </row>
    <row r="3635">
      <c r="A3635" s="232" t="s">
        <v>6969</v>
      </c>
      <c r="B3635" t="s">
        <v>6970</v>
      </c>
      <c r="C3635">
        <v>0.0</v>
      </c>
      <c r="D3635" t="s">
        <v>310</v>
      </c>
      <c r="E3635" t="s">
        <v>311</v>
      </c>
    </row>
    <row r="3636">
      <c r="A3636" s="232" t="s">
        <v>6971</v>
      </c>
      <c r="B3636" t="s">
        <v>6972</v>
      </c>
      <c r="C3636">
        <v>0.0</v>
      </c>
      <c r="D3636" t="s">
        <v>310</v>
      </c>
      <c r="E3636" t="s">
        <v>311</v>
      </c>
    </row>
    <row r="3637">
      <c r="A3637" s="232" t="s">
        <v>6973</v>
      </c>
      <c r="B3637" t="s">
        <v>6974</v>
      </c>
      <c r="C3637">
        <v>0.0</v>
      </c>
      <c r="D3637" t="s">
        <v>310</v>
      </c>
      <c r="E3637" t="s">
        <v>311</v>
      </c>
    </row>
    <row r="3638">
      <c r="A3638" s="232" t="s">
        <v>6975</v>
      </c>
      <c r="B3638" t="s">
        <v>6976</v>
      </c>
      <c r="C3638">
        <v>0.0</v>
      </c>
      <c r="D3638" t="s">
        <v>310</v>
      </c>
      <c r="E3638" t="s">
        <v>311</v>
      </c>
    </row>
    <row r="3639">
      <c r="A3639" s="232" t="s">
        <v>6977</v>
      </c>
      <c r="B3639" t="s">
        <v>6978</v>
      </c>
      <c r="C3639">
        <v>0.0</v>
      </c>
      <c r="D3639" t="s">
        <v>310</v>
      </c>
      <c r="E3639" t="s">
        <v>311</v>
      </c>
    </row>
    <row r="3640">
      <c r="A3640" s="232" t="s">
        <v>6979</v>
      </c>
      <c r="B3640" t="s">
        <v>6980</v>
      </c>
      <c r="C3640">
        <v>0.0</v>
      </c>
      <c r="D3640" t="s">
        <v>330</v>
      </c>
      <c r="E3640" t="s">
        <v>311</v>
      </c>
    </row>
    <row r="3641">
      <c r="A3641" s="232" t="s">
        <v>6981</v>
      </c>
      <c r="B3641" t="s">
        <v>6982</v>
      </c>
      <c r="C3641">
        <v>0.0</v>
      </c>
      <c r="D3641" t="s">
        <v>330</v>
      </c>
      <c r="E3641" t="s">
        <v>311</v>
      </c>
    </row>
    <row r="3642">
      <c r="A3642" s="232" t="s">
        <v>6983</v>
      </c>
      <c r="B3642" t="s">
        <v>6984</v>
      </c>
      <c r="C3642">
        <v>0.0</v>
      </c>
      <c r="D3642" t="s">
        <v>330</v>
      </c>
      <c r="E3642" t="s">
        <v>311</v>
      </c>
    </row>
    <row r="3643">
      <c r="A3643" s="232" t="s">
        <v>6985</v>
      </c>
      <c r="B3643" t="s">
        <v>6986</v>
      </c>
      <c r="C3643">
        <v>516.0</v>
      </c>
      <c r="D3643" t="s">
        <v>330</v>
      </c>
      <c r="E3643" t="s">
        <v>311</v>
      </c>
    </row>
    <row r="3644">
      <c r="A3644" s="232" t="s">
        <v>6987</v>
      </c>
      <c r="B3644" t="s">
        <v>6988</v>
      </c>
      <c r="C3644">
        <v>318.0</v>
      </c>
      <c r="D3644" t="s">
        <v>330</v>
      </c>
      <c r="E3644" t="s">
        <v>311</v>
      </c>
    </row>
    <row r="3645">
      <c r="A3645" s="232" t="s">
        <v>6989</v>
      </c>
      <c r="B3645" t="s">
        <v>6990</v>
      </c>
      <c r="C3645">
        <v>504.0</v>
      </c>
      <c r="D3645" t="s">
        <v>330</v>
      </c>
      <c r="E3645" t="s">
        <v>311</v>
      </c>
    </row>
    <row r="3646">
      <c r="A3646" s="232" t="s">
        <v>6991</v>
      </c>
      <c r="B3646" t="s">
        <v>6992</v>
      </c>
      <c r="C3646">
        <v>252.0</v>
      </c>
      <c r="D3646" t="s">
        <v>330</v>
      </c>
      <c r="E3646" t="s">
        <v>311</v>
      </c>
    </row>
    <row r="3647">
      <c r="A3647" s="232" t="s">
        <v>6993</v>
      </c>
      <c r="B3647" t="s">
        <v>6994</v>
      </c>
      <c r="C3647">
        <v>390.0</v>
      </c>
      <c r="D3647" t="s">
        <v>330</v>
      </c>
      <c r="E3647" t="s">
        <v>311</v>
      </c>
    </row>
    <row r="3648">
      <c r="A3648" s="232" t="s">
        <v>6995</v>
      </c>
      <c r="B3648" t="s">
        <v>6996</v>
      </c>
      <c r="C3648">
        <v>42.0</v>
      </c>
      <c r="D3648" t="s">
        <v>330</v>
      </c>
      <c r="E3648" t="s">
        <v>311</v>
      </c>
    </row>
    <row r="3649">
      <c r="A3649" s="232" t="s">
        <v>6997</v>
      </c>
      <c r="B3649" t="s">
        <v>6998</v>
      </c>
      <c r="C3649">
        <v>270.0</v>
      </c>
      <c r="D3649" t="s">
        <v>330</v>
      </c>
      <c r="E3649" t="s">
        <v>311</v>
      </c>
    </row>
    <row r="3650">
      <c r="A3650" s="232" t="s">
        <v>6999</v>
      </c>
      <c r="B3650" t="s">
        <v>7000</v>
      </c>
      <c r="C3650">
        <v>-6.0</v>
      </c>
      <c r="D3650" t="s">
        <v>330</v>
      </c>
      <c r="E3650" t="s">
        <v>311</v>
      </c>
    </row>
    <row r="3651">
      <c r="A3651" s="232" t="s">
        <v>7001</v>
      </c>
      <c r="B3651" t="s">
        <v>7002</v>
      </c>
      <c r="C3651">
        <v>0.0</v>
      </c>
      <c r="D3651" t="s">
        <v>330</v>
      </c>
      <c r="E3651" t="s">
        <v>311</v>
      </c>
    </row>
    <row r="3652">
      <c r="A3652" s="232" t="s">
        <v>7003</v>
      </c>
      <c r="B3652" t="s">
        <v>7004</v>
      </c>
      <c r="C3652">
        <v>0.0</v>
      </c>
      <c r="D3652" t="s">
        <v>310</v>
      </c>
      <c r="E3652" t="s">
        <v>311</v>
      </c>
    </row>
    <row r="3653">
      <c r="A3653" s="232" t="s">
        <v>7005</v>
      </c>
      <c r="B3653" t="s">
        <v>7006</v>
      </c>
      <c r="C3653">
        <v>0.0</v>
      </c>
      <c r="D3653" t="s">
        <v>310</v>
      </c>
    </row>
    <row r="3654">
      <c r="A3654" s="232" t="s">
        <v>7007</v>
      </c>
      <c r="B3654" t="s">
        <v>7008</v>
      </c>
      <c r="C3654">
        <v>0.0</v>
      </c>
      <c r="D3654" t="s">
        <v>310</v>
      </c>
      <c r="E3654" t="s">
        <v>311</v>
      </c>
    </row>
    <row r="3655">
      <c r="A3655" s="232">
        <v>78358.0</v>
      </c>
      <c r="B3655" t="s">
        <v>7009</v>
      </c>
      <c r="C3655">
        <v>0.0</v>
      </c>
      <c r="D3655" t="s">
        <v>310</v>
      </c>
      <c r="E3655" t="s">
        <v>311</v>
      </c>
    </row>
    <row r="3656">
      <c r="A3656" s="232">
        <v>78354.0</v>
      </c>
      <c r="B3656" t="s">
        <v>7010</v>
      </c>
      <c r="C3656">
        <v>0.0</v>
      </c>
      <c r="D3656" t="s">
        <v>310</v>
      </c>
      <c r="E3656" t="s">
        <v>311</v>
      </c>
    </row>
    <row r="3657">
      <c r="A3657" s="232" t="s">
        <v>7011</v>
      </c>
      <c r="B3657" t="s">
        <v>7012</v>
      </c>
      <c r="C3657">
        <v>1.0</v>
      </c>
      <c r="D3657" t="s">
        <v>330</v>
      </c>
      <c r="E3657" t="s">
        <v>311</v>
      </c>
    </row>
    <row r="3658">
      <c r="A3658" s="232">
        <v>78799.0</v>
      </c>
      <c r="B3658" t="s">
        <v>7013</v>
      </c>
      <c r="C3658">
        <v>0.0</v>
      </c>
      <c r="D3658" t="s">
        <v>310</v>
      </c>
      <c r="E3658" t="s">
        <v>311</v>
      </c>
    </row>
    <row r="3659">
      <c r="A3659" s="232">
        <v>78795.0</v>
      </c>
      <c r="B3659" t="s">
        <v>7014</v>
      </c>
      <c r="C3659">
        <v>0.0</v>
      </c>
      <c r="D3659" t="s">
        <v>310</v>
      </c>
      <c r="E3659" t="s">
        <v>311</v>
      </c>
    </row>
    <row r="3660">
      <c r="A3660" s="232" t="s">
        <v>7015</v>
      </c>
      <c r="B3660" t="s">
        <v>7016</v>
      </c>
      <c r="C3660">
        <v>0.0</v>
      </c>
      <c r="D3660" t="s">
        <v>310</v>
      </c>
      <c r="E3660" t="s">
        <v>311</v>
      </c>
    </row>
    <row r="3661">
      <c r="A3661" s="232" t="s">
        <v>7017</v>
      </c>
      <c r="B3661" t="s">
        <v>7018</v>
      </c>
      <c r="C3661">
        <v>304.0</v>
      </c>
      <c r="D3661" t="s">
        <v>330</v>
      </c>
      <c r="E3661" t="s">
        <v>311</v>
      </c>
    </row>
    <row r="3662">
      <c r="A3662" s="232" t="s">
        <v>7019</v>
      </c>
      <c r="B3662" t="s">
        <v>7020</v>
      </c>
      <c r="C3662">
        <v>0.0</v>
      </c>
      <c r="D3662" t="s">
        <v>330</v>
      </c>
      <c r="E3662" t="s">
        <v>552</v>
      </c>
    </row>
    <row r="3663">
      <c r="A3663" s="232" t="s">
        <v>7021</v>
      </c>
      <c r="B3663" t="s">
        <v>7022</v>
      </c>
      <c r="C3663">
        <v>6.0</v>
      </c>
      <c r="D3663" t="s">
        <v>330</v>
      </c>
      <c r="E3663" t="s">
        <v>565</v>
      </c>
    </row>
    <row r="3664">
      <c r="A3664" s="232" t="s">
        <v>7023</v>
      </c>
      <c r="B3664" t="s">
        <v>7024</v>
      </c>
      <c r="C3664">
        <v>0.0</v>
      </c>
      <c r="D3664" t="s">
        <v>310</v>
      </c>
      <c r="E3664" t="s">
        <v>311</v>
      </c>
    </row>
    <row r="3665">
      <c r="A3665" s="232" t="s">
        <v>7025</v>
      </c>
      <c r="B3665" t="s">
        <v>7026</v>
      </c>
      <c r="C3665">
        <v>0.0</v>
      </c>
      <c r="D3665" t="s">
        <v>310</v>
      </c>
      <c r="E3665" t="s">
        <v>1208</v>
      </c>
    </row>
    <row r="3666">
      <c r="A3666" s="232" t="s">
        <v>7027</v>
      </c>
      <c r="B3666" t="s">
        <v>7028</v>
      </c>
      <c r="C3666">
        <v>0.0</v>
      </c>
      <c r="D3666" t="s">
        <v>310</v>
      </c>
      <c r="E3666" t="s">
        <v>311</v>
      </c>
    </row>
    <row r="3667">
      <c r="A3667" s="232" t="s">
        <v>7029</v>
      </c>
      <c r="B3667" t="s">
        <v>7030</v>
      </c>
      <c r="C3667">
        <v>0.0</v>
      </c>
      <c r="D3667" t="s">
        <v>310</v>
      </c>
      <c r="E3667" t="s">
        <v>311</v>
      </c>
    </row>
    <row r="3668">
      <c r="A3668" s="232" t="s">
        <v>7031</v>
      </c>
      <c r="B3668" t="s">
        <v>7032</v>
      </c>
      <c r="C3668">
        <v>0.0</v>
      </c>
      <c r="D3668" t="s">
        <v>330</v>
      </c>
      <c r="E3668" t="s">
        <v>311</v>
      </c>
    </row>
    <row r="3669">
      <c r="A3669" s="232" t="s">
        <v>7033</v>
      </c>
      <c r="B3669" t="s">
        <v>7034</v>
      </c>
      <c r="C3669">
        <v>0.0</v>
      </c>
      <c r="D3669" t="s">
        <v>310</v>
      </c>
      <c r="E3669" t="s">
        <v>311</v>
      </c>
    </row>
    <row r="3670">
      <c r="A3670" s="232" t="s">
        <v>7035</v>
      </c>
      <c r="B3670" t="s">
        <v>7036</v>
      </c>
      <c r="C3670">
        <v>0.0</v>
      </c>
      <c r="D3670" t="s">
        <v>310</v>
      </c>
      <c r="E3670" t="s">
        <v>311</v>
      </c>
    </row>
    <row r="3671">
      <c r="A3671" s="232" t="s">
        <v>7037</v>
      </c>
      <c r="B3671" t="s">
        <v>7038</v>
      </c>
      <c r="C3671">
        <v>0.0</v>
      </c>
      <c r="D3671" t="s">
        <v>310</v>
      </c>
      <c r="E3671" t="s">
        <v>311</v>
      </c>
    </row>
    <row r="3672">
      <c r="A3672" s="232" t="s">
        <v>7039</v>
      </c>
      <c r="B3672" t="s">
        <v>7040</v>
      </c>
      <c r="C3672">
        <v>0.0</v>
      </c>
      <c r="D3672" t="s">
        <v>310</v>
      </c>
      <c r="E3672" t="s">
        <v>311</v>
      </c>
    </row>
    <row r="3673">
      <c r="A3673" s="232" t="s">
        <v>7041</v>
      </c>
      <c r="B3673" t="s">
        <v>7042</v>
      </c>
      <c r="C3673">
        <v>0.0</v>
      </c>
      <c r="D3673" t="s">
        <v>310</v>
      </c>
      <c r="E3673" t="s">
        <v>311</v>
      </c>
    </row>
    <row r="3674">
      <c r="A3674" s="232" t="s">
        <v>7043</v>
      </c>
      <c r="B3674" t="s">
        <v>7044</v>
      </c>
      <c r="C3674">
        <v>0.0</v>
      </c>
      <c r="D3674" t="s">
        <v>310</v>
      </c>
      <c r="E3674" t="s">
        <v>311</v>
      </c>
    </row>
    <row r="3675">
      <c r="A3675" s="232" t="s">
        <v>7045</v>
      </c>
      <c r="B3675" t="s">
        <v>7046</v>
      </c>
      <c r="C3675">
        <v>0.0</v>
      </c>
      <c r="D3675" t="s">
        <v>310</v>
      </c>
      <c r="E3675" t="s">
        <v>311</v>
      </c>
    </row>
    <row r="3676">
      <c r="A3676" s="232" t="s">
        <v>7047</v>
      </c>
      <c r="B3676" t="s">
        <v>7048</v>
      </c>
      <c r="C3676">
        <v>0.0</v>
      </c>
      <c r="D3676" t="s">
        <v>310</v>
      </c>
      <c r="E3676" t="s">
        <v>311</v>
      </c>
    </row>
    <row r="3677">
      <c r="A3677" s="232" t="s">
        <v>7049</v>
      </c>
      <c r="B3677" t="s">
        <v>7050</v>
      </c>
      <c r="C3677">
        <v>15.0</v>
      </c>
      <c r="D3677" t="s">
        <v>330</v>
      </c>
      <c r="E3677" t="s">
        <v>565</v>
      </c>
    </row>
    <row r="3678">
      <c r="A3678" s="232" t="s">
        <v>7051</v>
      </c>
      <c r="B3678" t="s">
        <v>7052</v>
      </c>
      <c r="C3678">
        <v>4000.0</v>
      </c>
      <c r="D3678" t="s">
        <v>330</v>
      </c>
      <c r="E3678" t="s">
        <v>311</v>
      </c>
    </row>
    <row r="3679">
      <c r="A3679" s="232" t="s">
        <v>7053</v>
      </c>
      <c r="B3679" t="s">
        <v>7054</v>
      </c>
      <c r="C3679">
        <v>0.0</v>
      </c>
      <c r="D3679" t="s">
        <v>330</v>
      </c>
      <c r="E3679" t="s">
        <v>311</v>
      </c>
    </row>
    <row r="3680">
      <c r="A3680" s="232" t="s">
        <v>7055</v>
      </c>
      <c r="B3680" t="s">
        <v>7056</v>
      </c>
      <c r="C3680">
        <v>1.0</v>
      </c>
      <c r="D3680" t="s">
        <v>330</v>
      </c>
      <c r="E3680" t="s">
        <v>311</v>
      </c>
    </row>
    <row r="3681">
      <c r="A3681" s="232" t="s">
        <v>7057</v>
      </c>
      <c r="B3681" t="s">
        <v>7058</v>
      </c>
      <c r="C3681">
        <v>0.0</v>
      </c>
      <c r="D3681" t="s">
        <v>310</v>
      </c>
      <c r="E3681" t="s">
        <v>311</v>
      </c>
    </row>
    <row r="3682">
      <c r="A3682" s="232" t="s">
        <v>7059</v>
      </c>
      <c r="B3682" t="s">
        <v>7060</v>
      </c>
      <c r="C3682">
        <v>0.0</v>
      </c>
      <c r="D3682" t="s">
        <v>330</v>
      </c>
      <c r="E3682" t="s">
        <v>311</v>
      </c>
    </row>
    <row r="3683">
      <c r="A3683" s="232" t="s">
        <v>7061</v>
      </c>
      <c r="B3683" t="s">
        <v>7062</v>
      </c>
      <c r="C3683">
        <v>0.0</v>
      </c>
      <c r="D3683" t="s">
        <v>330</v>
      </c>
      <c r="E3683" t="s">
        <v>311</v>
      </c>
    </row>
    <row r="3684">
      <c r="A3684" s="232" t="s">
        <v>7063</v>
      </c>
      <c r="B3684" t="s">
        <v>7064</v>
      </c>
      <c r="C3684">
        <v>-1.0</v>
      </c>
      <c r="D3684" t="s">
        <v>330</v>
      </c>
      <c r="E3684" t="s">
        <v>311</v>
      </c>
    </row>
    <row r="3685">
      <c r="A3685" s="232" t="s">
        <v>7065</v>
      </c>
      <c r="B3685" t="s">
        <v>7066</v>
      </c>
      <c r="C3685">
        <v>20.0</v>
      </c>
      <c r="D3685" t="s">
        <v>330</v>
      </c>
      <c r="E3685" t="s">
        <v>565</v>
      </c>
    </row>
    <row r="3686">
      <c r="A3686" s="232" t="s">
        <v>7067</v>
      </c>
      <c r="B3686" t="s">
        <v>7068</v>
      </c>
      <c r="C3686">
        <v>405.0</v>
      </c>
      <c r="D3686" t="s">
        <v>330</v>
      </c>
      <c r="E3686" t="s">
        <v>311</v>
      </c>
    </row>
    <row r="3687">
      <c r="A3687" s="232" t="s">
        <v>7069</v>
      </c>
      <c r="B3687" t="s">
        <v>7070</v>
      </c>
      <c r="C3687">
        <v>342.0</v>
      </c>
      <c r="D3687" t="s">
        <v>330</v>
      </c>
      <c r="E3687" t="s">
        <v>311</v>
      </c>
    </row>
    <row r="3688">
      <c r="A3688" s="232" t="s">
        <v>7071</v>
      </c>
      <c r="B3688" t="s">
        <v>7072</v>
      </c>
      <c r="C3688">
        <v>261.0</v>
      </c>
      <c r="D3688" t="s">
        <v>330</v>
      </c>
      <c r="E3688" t="s">
        <v>311</v>
      </c>
    </row>
    <row r="3689">
      <c r="A3689" s="232" t="s">
        <v>7073</v>
      </c>
      <c r="B3689" t="s">
        <v>7074</v>
      </c>
      <c r="C3689">
        <v>200.0</v>
      </c>
      <c r="D3689" t="s">
        <v>330</v>
      </c>
      <c r="E3689" t="s">
        <v>311</v>
      </c>
    </row>
    <row r="3690">
      <c r="A3690" s="232" t="s">
        <v>7075</v>
      </c>
      <c r="B3690" t="s">
        <v>7076</v>
      </c>
      <c r="C3690">
        <v>305.0</v>
      </c>
      <c r="D3690" t="s">
        <v>330</v>
      </c>
      <c r="E3690" t="s">
        <v>311</v>
      </c>
    </row>
    <row r="3691">
      <c r="A3691" s="232" t="s">
        <v>7077</v>
      </c>
      <c r="B3691" t="s">
        <v>7078</v>
      </c>
      <c r="C3691">
        <v>177.0</v>
      </c>
      <c r="D3691" t="s">
        <v>330</v>
      </c>
      <c r="E3691" t="s">
        <v>311</v>
      </c>
    </row>
    <row r="3692">
      <c r="A3692" s="232" t="s">
        <v>7079</v>
      </c>
      <c r="B3692" t="s">
        <v>7080</v>
      </c>
      <c r="C3692">
        <v>0.0</v>
      </c>
      <c r="D3692" t="s">
        <v>310</v>
      </c>
      <c r="E3692" t="s">
        <v>311</v>
      </c>
    </row>
    <row r="3693">
      <c r="A3693" s="232" t="s">
        <v>95</v>
      </c>
      <c r="B3693" t="s">
        <v>94</v>
      </c>
      <c r="C3693">
        <v>1425.0</v>
      </c>
      <c r="D3693" t="s">
        <v>330</v>
      </c>
      <c r="E3693" t="s">
        <v>311</v>
      </c>
    </row>
    <row r="3694">
      <c r="A3694" s="232" t="s">
        <v>97</v>
      </c>
      <c r="B3694" t="s">
        <v>96</v>
      </c>
      <c r="C3694">
        <v>657.0</v>
      </c>
      <c r="D3694" t="s">
        <v>330</v>
      </c>
      <c r="E3694" t="s">
        <v>311</v>
      </c>
    </row>
    <row r="3695">
      <c r="A3695" s="232" t="s">
        <v>7081</v>
      </c>
      <c r="B3695" t="s">
        <v>7082</v>
      </c>
      <c r="C3695">
        <v>0.0</v>
      </c>
      <c r="D3695" t="s">
        <v>310</v>
      </c>
      <c r="E3695" t="s">
        <v>311</v>
      </c>
    </row>
    <row r="3696">
      <c r="A3696" s="232" t="s">
        <v>7083</v>
      </c>
      <c r="B3696" t="s">
        <v>7084</v>
      </c>
      <c r="C3696">
        <v>0.0</v>
      </c>
      <c r="D3696" t="s">
        <v>310</v>
      </c>
      <c r="E3696" t="s">
        <v>311</v>
      </c>
    </row>
    <row r="3697">
      <c r="A3697" s="232" t="s">
        <v>7085</v>
      </c>
      <c r="B3697" t="s">
        <v>7086</v>
      </c>
      <c r="C3697">
        <v>0.0</v>
      </c>
      <c r="D3697" t="s">
        <v>310</v>
      </c>
      <c r="E3697" t="s">
        <v>311</v>
      </c>
    </row>
    <row r="3698">
      <c r="A3698" s="232" t="s">
        <v>7087</v>
      </c>
      <c r="B3698" t="s">
        <v>7088</v>
      </c>
      <c r="C3698">
        <v>0.0</v>
      </c>
      <c r="D3698" t="s">
        <v>310</v>
      </c>
      <c r="E3698" t="s">
        <v>311</v>
      </c>
    </row>
    <row r="3699">
      <c r="A3699" s="232" t="s">
        <v>7089</v>
      </c>
      <c r="B3699" t="s">
        <v>7090</v>
      </c>
      <c r="C3699">
        <v>0.0</v>
      </c>
      <c r="D3699" t="s">
        <v>310</v>
      </c>
      <c r="E3699" t="s">
        <v>311</v>
      </c>
    </row>
    <row r="3700">
      <c r="A3700" s="232" t="s">
        <v>7091</v>
      </c>
      <c r="B3700" t="s">
        <v>7092</v>
      </c>
      <c r="C3700">
        <v>0.0</v>
      </c>
      <c r="D3700" t="s">
        <v>330</v>
      </c>
      <c r="E3700" t="s">
        <v>311</v>
      </c>
    </row>
    <row r="3701">
      <c r="A3701" s="232" t="s">
        <v>7093</v>
      </c>
      <c r="B3701" t="s">
        <v>7094</v>
      </c>
      <c r="C3701">
        <v>0.0</v>
      </c>
      <c r="D3701" t="s">
        <v>330</v>
      </c>
      <c r="E3701" t="s">
        <v>311</v>
      </c>
    </row>
    <row r="3702">
      <c r="A3702" s="232" t="s">
        <v>7095</v>
      </c>
      <c r="B3702" t="s">
        <v>7096</v>
      </c>
      <c r="C3702">
        <v>0.0</v>
      </c>
      <c r="D3702" t="s">
        <v>310</v>
      </c>
      <c r="E3702" t="s">
        <v>311</v>
      </c>
    </row>
    <row r="3703">
      <c r="A3703" s="232" t="s">
        <v>7097</v>
      </c>
      <c r="B3703" t="s">
        <v>7098</v>
      </c>
      <c r="C3703">
        <v>0.0</v>
      </c>
      <c r="D3703" t="s">
        <v>310</v>
      </c>
      <c r="E3703" t="s">
        <v>565</v>
      </c>
    </row>
    <row r="3704">
      <c r="A3704" s="232" t="s">
        <v>7099</v>
      </c>
      <c r="B3704" t="s">
        <v>7100</v>
      </c>
      <c r="C3704">
        <v>0.0</v>
      </c>
      <c r="D3704" t="s">
        <v>310</v>
      </c>
      <c r="E3704" t="s">
        <v>565</v>
      </c>
    </row>
    <row r="3705">
      <c r="A3705" s="232" t="s">
        <v>7101</v>
      </c>
      <c r="B3705" t="s">
        <v>7102</v>
      </c>
      <c r="C3705">
        <v>0.0</v>
      </c>
      <c r="D3705" t="s">
        <v>310</v>
      </c>
      <c r="E3705" t="s">
        <v>565</v>
      </c>
    </row>
    <row r="3706">
      <c r="A3706" s="232" t="s">
        <v>7103</v>
      </c>
      <c r="B3706" t="s">
        <v>7104</v>
      </c>
      <c r="C3706">
        <v>0.0</v>
      </c>
      <c r="D3706" t="s">
        <v>310</v>
      </c>
      <c r="E3706" t="s">
        <v>565</v>
      </c>
    </row>
    <row r="3707">
      <c r="A3707" s="232" t="s">
        <v>7105</v>
      </c>
      <c r="B3707" t="s">
        <v>7106</v>
      </c>
      <c r="C3707">
        <v>0.0</v>
      </c>
      <c r="D3707" t="s">
        <v>310</v>
      </c>
      <c r="E3707" t="s">
        <v>311</v>
      </c>
    </row>
    <row r="3708">
      <c r="A3708" s="232" t="s">
        <v>7107</v>
      </c>
      <c r="B3708" t="s">
        <v>7108</v>
      </c>
      <c r="C3708">
        <v>0.0</v>
      </c>
      <c r="D3708" t="s">
        <v>310</v>
      </c>
      <c r="E3708" t="s">
        <v>311</v>
      </c>
    </row>
    <row r="3709">
      <c r="A3709" s="232" t="s">
        <v>7109</v>
      </c>
      <c r="B3709" t="s">
        <v>7110</v>
      </c>
      <c r="C3709">
        <v>0.0</v>
      </c>
      <c r="D3709" t="s">
        <v>310</v>
      </c>
      <c r="E3709" t="s">
        <v>311</v>
      </c>
    </row>
    <row r="3710">
      <c r="A3710" s="232" t="s">
        <v>7111</v>
      </c>
      <c r="B3710" t="s">
        <v>7112</v>
      </c>
      <c r="C3710">
        <v>0.0</v>
      </c>
      <c r="D3710" t="s">
        <v>310</v>
      </c>
      <c r="E3710" t="s">
        <v>311</v>
      </c>
    </row>
    <row r="3711">
      <c r="A3711" s="232" t="s">
        <v>7113</v>
      </c>
      <c r="B3711" t="s">
        <v>7114</v>
      </c>
      <c r="C3711">
        <v>0.0</v>
      </c>
      <c r="D3711" t="s">
        <v>310</v>
      </c>
      <c r="E3711" t="s">
        <v>311</v>
      </c>
    </row>
    <row r="3712">
      <c r="A3712" s="232" t="s">
        <v>7115</v>
      </c>
      <c r="B3712" t="s">
        <v>7116</v>
      </c>
      <c r="C3712">
        <v>0.0</v>
      </c>
      <c r="D3712" t="s">
        <v>310</v>
      </c>
      <c r="E3712" t="s">
        <v>311</v>
      </c>
    </row>
    <row r="3713">
      <c r="A3713" s="232" t="s">
        <v>7117</v>
      </c>
      <c r="B3713" t="s">
        <v>7118</v>
      </c>
      <c r="C3713">
        <v>0.0</v>
      </c>
      <c r="D3713" t="s">
        <v>310</v>
      </c>
      <c r="E3713" t="s">
        <v>311</v>
      </c>
    </row>
    <row r="3714">
      <c r="A3714" s="232" t="s">
        <v>7119</v>
      </c>
      <c r="B3714" t="s">
        <v>7120</v>
      </c>
      <c r="C3714">
        <v>0.0</v>
      </c>
      <c r="D3714" t="s">
        <v>310</v>
      </c>
      <c r="E3714" t="s">
        <v>311</v>
      </c>
    </row>
    <row r="3715">
      <c r="A3715" s="232" t="s">
        <v>7121</v>
      </c>
      <c r="B3715" t="s">
        <v>7122</v>
      </c>
      <c r="C3715">
        <v>0.0</v>
      </c>
      <c r="D3715" t="s">
        <v>310</v>
      </c>
      <c r="E3715" t="s">
        <v>311</v>
      </c>
    </row>
    <row r="3716">
      <c r="A3716" s="232" t="s">
        <v>7123</v>
      </c>
      <c r="B3716" t="s">
        <v>7124</v>
      </c>
      <c r="C3716">
        <v>0.0</v>
      </c>
      <c r="D3716" t="s">
        <v>310</v>
      </c>
      <c r="E3716" t="s">
        <v>311</v>
      </c>
    </row>
    <row r="3717">
      <c r="A3717" s="232" t="s">
        <v>7125</v>
      </c>
      <c r="B3717" t="s">
        <v>7126</v>
      </c>
      <c r="C3717">
        <v>0.0</v>
      </c>
      <c r="D3717" t="s">
        <v>310</v>
      </c>
      <c r="E3717" t="s">
        <v>311</v>
      </c>
    </row>
    <row r="3718">
      <c r="A3718" s="232" t="s">
        <v>7127</v>
      </c>
      <c r="B3718" t="s">
        <v>7128</v>
      </c>
      <c r="C3718">
        <v>0.0</v>
      </c>
      <c r="D3718" t="s">
        <v>310</v>
      </c>
      <c r="E3718" t="s">
        <v>311</v>
      </c>
    </row>
    <row r="3719">
      <c r="A3719" s="232" t="s">
        <v>7129</v>
      </c>
      <c r="B3719" t="s">
        <v>7130</v>
      </c>
      <c r="C3719">
        <v>0.0</v>
      </c>
      <c r="D3719" t="s">
        <v>310</v>
      </c>
      <c r="E3719" t="s">
        <v>311</v>
      </c>
    </row>
    <row r="3720">
      <c r="A3720" s="232" t="s">
        <v>7131</v>
      </c>
      <c r="B3720" t="s">
        <v>7132</v>
      </c>
      <c r="C3720">
        <v>0.0</v>
      </c>
      <c r="D3720" t="s">
        <v>310</v>
      </c>
      <c r="E3720" t="s">
        <v>311</v>
      </c>
    </row>
    <row r="3721">
      <c r="A3721" s="232" t="s">
        <v>7133</v>
      </c>
      <c r="B3721" t="s">
        <v>7134</v>
      </c>
      <c r="C3721">
        <v>0.0</v>
      </c>
      <c r="D3721" t="s">
        <v>310</v>
      </c>
      <c r="E3721" t="s">
        <v>311</v>
      </c>
    </row>
    <row r="3722">
      <c r="A3722" s="232" t="s">
        <v>7135</v>
      </c>
      <c r="B3722" t="s">
        <v>7136</v>
      </c>
      <c r="C3722">
        <v>0.0</v>
      </c>
      <c r="D3722" t="s">
        <v>310</v>
      </c>
      <c r="E3722" t="s">
        <v>311</v>
      </c>
    </row>
    <row r="3723">
      <c r="A3723" s="232" t="s">
        <v>7137</v>
      </c>
      <c r="B3723" t="s">
        <v>7138</v>
      </c>
      <c r="C3723">
        <v>0.0</v>
      </c>
      <c r="D3723" t="s">
        <v>310</v>
      </c>
      <c r="E3723" t="s">
        <v>311</v>
      </c>
    </row>
    <row r="3724">
      <c r="A3724" s="232" t="s">
        <v>7139</v>
      </c>
      <c r="B3724" t="s">
        <v>7140</v>
      </c>
      <c r="C3724">
        <v>0.0</v>
      </c>
      <c r="D3724" t="s">
        <v>310</v>
      </c>
      <c r="E3724" t="s">
        <v>311</v>
      </c>
    </row>
    <row r="3725">
      <c r="A3725" s="232" t="s">
        <v>7141</v>
      </c>
      <c r="B3725" t="s">
        <v>7142</v>
      </c>
      <c r="C3725">
        <v>0.0</v>
      </c>
      <c r="D3725" t="s">
        <v>310</v>
      </c>
      <c r="E3725" t="s">
        <v>311</v>
      </c>
    </row>
    <row r="3726">
      <c r="A3726" s="232" t="s">
        <v>7143</v>
      </c>
      <c r="B3726" t="s">
        <v>7144</v>
      </c>
      <c r="C3726">
        <v>0.0</v>
      </c>
      <c r="D3726" t="s">
        <v>310</v>
      </c>
      <c r="E3726" t="s">
        <v>311</v>
      </c>
    </row>
    <row r="3727">
      <c r="A3727" s="232" t="s">
        <v>7145</v>
      </c>
      <c r="B3727" t="s">
        <v>7146</v>
      </c>
      <c r="C3727">
        <v>0.0</v>
      </c>
      <c r="D3727" t="s">
        <v>310</v>
      </c>
      <c r="E3727" t="s">
        <v>311</v>
      </c>
    </row>
    <row r="3728">
      <c r="A3728" s="232" t="s">
        <v>7147</v>
      </c>
      <c r="B3728" t="s">
        <v>7148</v>
      </c>
      <c r="C3728">
        <v>0.0</v>
      </c>
      <c r="D3728" t="s">
        <v>310</v>
      </c>
      <c r="E3728" t="s">
        <v>311</v>
      </c>
    </row>
    <row r="3729">
      <c r="A3729" s="232" t="s">
        <v>7149</v>
      </c>
      <c r="B3729" t="s">
        <v>7150</v>
      </c>
      <c r="C3729">
        <v>0.0</v>
      </c>
      <c r="D3729" t="s">
        <v>310</v>
      </c>
      <c r="E3729" t="s">
        <v>311</v>
      </c>
    </row>
    <row r="3730">
      <c r="A3730" s="232" t="s">
        <v>7151</v>
      </c>
      <c r="B3730" t="s">
        <v>7152</v>
      </c>
      <c r="C3730">
        <v>0.0</v>
      </c>
      <c r="D3730" t="s">
        <v>310</v>
      </c>
      <c r="E3730" t="s">
        <v>311</v>
      </c>
    </row>
    <row r="3731">
      <c r="A3731" s="232" t="s">
        <v>7153</v>
      </c>
      <c r="B3731" t="s">
        <v>7154</v>
      </c>
      <c r="C3731">
        <v>0.0</v>
      </c>
      <c r="D3731" t="s">
        <v>310</v>
      </c>
      <c r="E3731" t="s">
        <v>311</v>
      </c>
    </row>
    <row r="3732">
      <c r="A3732" s="232" t="s">
        <v>7155</v>
      </c>
      <c r="B3732" t="s">
        <v>7156</v>
      </c>
      <c r="C3732">
        <v>0.0</v>
      </c>
      <c r="D3732" t="s">
        <v>310</v>
      </c>
      <c r="E3732" t="s">
        <v>311</v>
      </c>
    </row>
    <row r="3733">
      <c r="A3733" s="232" t="s">
        <v>7157</v>
      </c>
      <c r="B3733" t="s">
        <v>7158</v>
      </c>
      <c r="C3733">
        <v>0.0</v>
      </c>
      <c r="D3733" t="s">
        <v>310</v>
      </c>
      <c r="E3733" t="s">
        <v>311</v>
      </c>
    </row>
    <row r="3734">
      <c r="A3734" s="232" t="s">
        <v>7159</v>
      </c>
      <c r="B3734" t="s">
        <v>7160</v>
      </c>
      <c r="C3734">
        <v>0.0</v>
      </c>
      <c r="D3734" t="s">
        <v>310</v>
      </c>
      <c r="E3734" t="s">
        <v>311</v>
      </c>
    </row>
    <row r="3735">
      <c r="A3735" s="232" t="s">
        <v>7161</v>
      </c>
      <c r="B3735" t="s">
        <v>7162</v>
      </c>
      <c r="C3735">
        <v>0.0</v>
      </c>
      <c r="D3735" t="s">
        <v>310</v>
      </c>
      <c r="E3735" t="s">
        <v>311</v>
      </c>
    </row>
    <row r="3736">
      <c r="A3736" s="232" t="s">
        <v>7163</v>
      </c>
      <c r="B3736" t="s">
        <v>7164</v>
      </c>
      <c r="C3736">
        <v>0.0</v>
      </c>
      <c r="D3736" t="s">
        <v>310</v>
      </c>
      <c r="E3736" t="s">
        <v>311</v>
      </c>
    </row>
    <row r="3737">
      <c r="A3737" s="232" t="s">
        <v>7165</v>
      </c>
      <c r="B3737" t="s">
        <v>7166</v>
      </c>
      <c r="C3737">
        <v>0.0</v>
      </c>
      <c r="D3737" t="s">
        <v>310</v>
      </c>
      <c r="E3737" t="s">
        <v>311</v>
      </c>
    </row>
    <row r="3738">
      <c r="A3738" s="232" t="s">
        <v>7167</v>
      </c>
      <c r="B3738" t="s">
        <v>7168</v>
      </c>
      <c r="C3738">
        <v>0.0</v>
      </c>
      <c r="D3738" t="s">
        <v>310</v>
      </c>
      <c r="E3738" t="s">
        <v>311</v>
      </c>
    </row>
    <row r="3739">
      <c r="A3739" s="232" t="s">
        <v>7169</v>
      </c>
      <c r="B3739" t="s">
        <v>7170</v>
      </c>
      <c r="C3739">
        <v>0.0</v>
      </c>
      <c r="D3739" t="s">
        <v>310</v>
      </c>
      <c r="E3739" t="s">
        <v>311</v>
      </c>
    </row>
    <row r="3740">
      <c r="A3740" s="232" t="s">
        <v>7171</v>
      </c>
      <c r="B3740" t="s">
        <v>7172</v>
      </c>
      <c r="C3740">
        <v>0.0</v>
      </c>
      <c r="D3740" t="s">
        <v>310</v>
      </c>
      <c r="E3740" t="s">
        <v>311</v>
      </c>
    </row>
    <row r="3741">
      <c r="A3741" s="232" t="s">
        <v>7173</v>
      </c>
      <c r="B3741" t="s">
        <v>7174</v>
      </c>
      <c r="C3741">
        <v>0.0</v>
      </c>
      <c r="D3741" t="s">
        <v>310</v>
      </c>
      <c r="E3741" t="s">
        <v>311</v>
      </c>
    </row>
    <row r="3742">
      <c r="A3742" s="232" t="s">
        <v>7175</v>
      </c>
      <c r="B3742" t="s">
        <v>7176</v>
      </c>
      <c r="C3742">
        <v>0.0</v>
      </c>
      <c r="D3742" t="s">
        <v>310</v>
      </c>
      <c r="E3742" t="s">
        <v>311</v>
      </c>
    </row>
    <row r="3743">
      <c r="A3743" s="232" t="s">
        <v>7177</v>
      </c>
      <c r="B3743" t="s">
        <v>7178</v>
      </c>
      <c r="C3743">
        <v>0.0</v>
      </c>
      <c r="D3743" t="s">
        <v>310</v>
      </c>
      <c r="E3743" t="s">
        <v>311</v>
      </c>
    </row>
    <row r="3744">
      <c r="A3744" s="232" t="s">
        <v>7179</v>
      </c>
      <c r="B3744" t="s">
        <v>7180</v>
      </c>
      <c r="C3744">
        <v>0.0</v>
      </c>
      <c r="D3744" t="s">
        <v>310</v>
      </c>
      <c r="E3744" t="s">
        <v>565</v>
      </c>
    </row>
    <row r="3745">
      <c r="A3745" s="232" t="s">
        <v>7181</v>
      </c>
      <c r="B3745" t="s">
        <v>7182</v>
      </c>
      <c r="C3745">
        <v>0.0</v>
      </c>
      <c r="D3745" t="s">
        <v>310</v>
      </c>
      <c r="E3745" t="s">
        <v>311</v>
      </c>
    </row>
    <row r="3746">
      <c r="A3746" s="232" t="s">
        <v>7183</v>
      </c>
      <c r="B3746" t="s">
        <v>7184</v>
      </c>
      <c r="C3746">
        <v>0.0</v>
      </c>
      <c r="D3746" t="s">
        <v>310</v>
      </c>
      <c r="E3746" t="s">
        <v>311</v>
      </c>
    </row>
    <row r="3747">
      <c r="A3747" s="232" t="s">
        <v>7185</v>
      </c>
      <c r="B3747" t="s">
        <v>7186</v>
      </c>
      <c r="C3747">
        <v>0.0</v>
      </c>
      <c r="D3747" t="s">
        <v>310</v>
      </c>
      <c r="E3747" t="s">
        <v>311</v>
      </c>
    </row>
    <row r="3748">
      <c r="A3748" s="232" t="s">
        <v>7187</v>
      </c>
      <c r="B3748" t="s">
        <v>7188</v>
      </c>
      <c r="C3748">
        <v>0.0</v>
      </c>
      <c r="D3748" t="s">
        <v>310</v>
      </c>
      <c r="E3748" t="s">
        <v>311</v>
      </c>
    </row>
    <row r="3749">
      <c r="A3749" s="232" t="s">
        <v>7189</v>
      </c>
      <c r="B3749" t="s">
        <v>7190</v>
      </c>
      <c r="C3749">
        <v>0.0</v>
      </c>
      <c r="D3749" t="s">
        <v>310</v>
      </c>
      <c r="E3749" t="s">
        <v>311</v>
      </c>
    </row>
    <row r="3750">
      <c r="A3750" s="232" t="s">
        <v>7191</v>
      </c>
      <c r="B3750" t="s">
        <v>7192</v>
      </c>
      <c r="C3750">
        <v>0.0</v>
      </c>
      <c r="D3750" t="s">
        <v>310</v>
      </c>
      <c r="E3750" t="s">
        <v>311</v>
      </c>
    </row>
    <row r="3751">
      <c r="A3751" s="232" t="s">
        <v>7193</v>
      </c>
      <c r="B3751" t="s">
        <v>7194</v>
      </c>
      <c r="C3751">
        <v>0.0</v>
      </c>
      <c r="D3751" t="s">
        <v>310</v>
      </c>
      <c r="E3751" t="s">
        <v>311</v>
      </c>
    </row>
    <row r="3752">
      <c r="A3752" s="232" t="s">
        <v>7195</v>
      </c>
      <c r="B3752" t="s">
        <v>7196</v>
      </c>
      <c r="C3752">
        <v>0.0</v>
      </c>
      <c r="D3752" t="s">
        <v>310</v>
      </c>
      <c r="E3752" t="s">
        <v>311</v>
      </c>
    </row>
    <row r="3753">
      <c r="A3753" s="232" t="s">
        <v>7197</v>
      </c>
      <c r="B3753" t="s">
        <v>7198</v>
      </c>
      <c r="C3753">
        <v>0.0</v>
      </c>
      <c r="D3753" t="s">
        <v>310</v>
      </c>
      <c r="E3753" t="s">
        <v>311</v>
      </c>
    </row>
    <row r="3754">
      <c r="A3754" s="232" t="s">
        <v>7199</v>
      </c>
      <c r="B3754" t="s">
        <v>7200</v>
      </c>
      <c r="C3754">
        <v>0.0</v>
      </c>
      <c r="D3754" t="s">
        <v>310</v>
      </c>
      <c r="E3754" t="s">
        <v>311</v>
      </c>
    </row>
    <row r="3755">
      <c r="A3755" s="232" t="s">
        <v>7201</v>
      </c>
      <c r="B3755" t="s">
        <v>7202</v>
      </c>
      <c r="C3755">
        <v>0.0</v>
      </c>
      <c r="D3755" t="s">
        <v>310</v>
      </c>
      <c r="E3755" t="s">
        <v>311</v>
      </c>
    </row>
    <row r="3756">
      <c r="A3756" s="232" t="s">
        <v>7203</v>
      </c>
      <c r="B3756" t="s">
        <v>7204</v>
      </c>
      <c r="C3756">
        <v>0.0</v>
      </c>
      <c r="D3756" t="s">
        <v>310</v>
      </c>
      <c r="E3756" t="s">
        <v>311</v>
      </c>
    </row>
    <row r="3757">
      <c r="A3757" s="232" t="s">
        <v>7205</v>
      </c>
      <c r="B3757" t="s">
        <v>7206</v>
      </c>
      <c r="C3757">
        <v>0.0</v>
      </c>
      <c r="D3757" t="s">
        <v>310</v>
      </c>
      <c r="E3757" t="s">
        <v>311</v>
      </c>
    </row>
    <row r="3758">
      <c r="A3758" s="232" t="s">
        <v>7207</v>
      </c>
      <c r="B3758" t="s">
        <v>7208</v>
      </c>
      <c r="C3758">
        <v>0.0</v>
      </c>
      <c r="D3758" t="s">
        <v>310</v>
      </c>
      <c r="E3758" t="s">
        <v>311</v>
      </c>
    </row>
    <row r="3759">
      <c r="A3759" s="232" t="s">
        <v>7209</v>
      </c>
      <c r="B3759" t="s">
        <v>7210</v>
      </c>
      <c r="C3759">
        <v>0.0</v>
      </c>
      <c r="D3759" t="s">
        <v>310</v>
      </c>
      <c r="E3759" t="s">
        <v>311</v>
      </c>
    </row>
    <row r="3760">
      <c r="A3760" s="232" t="s">
        <v>7211</v>
      </c>
      <c r="B3760" t="s">
        <v>7212</v>
      </c>
      <c r="C3760">
        <v>0.0</v>
      </c>
      <c r="D3760" t="s">
        <v>310</v>
      </c>
      <c r="E3760" t="s">
        <v>311</v>
      </c>
    </row>
    <row r="3761">
      <c r="A3761" s="232" t="s">
        <v>7213</v>
      </c>
      <c r="B3761" t="s">
        <v>7214</v>
      </c>
      <c r="C3761">
        <v>0.0</v>
      </c>
      <c r="D3761" t="s">
        <v>310</v>
      </c>
      <c r="E3761" t="s">
        <v>311</v>
      </c>
    </row>
    <row r="3762">
      <c r="A3762" s="232" t="s">
        <v>7215</v>
      </c>
      <c r="B3762" t="s">
        <v>7216</v>
      </c>
      <c r="C3762">
        <v>0.0</v>
      </c>
      <c r="D3762" t="s">
        <v>310</v>
      </c>
      <c r="E3762" t="s">
        <v>311</v>
      </c>
    </row>
    <row r="3763">
      <c r="A3763" s="232" t="s">
        <v>7217</v>
      </c>
      <c r="B3763" t="s">
        <v>7218</v>
      </c>
      <c r="C3763">
        <v>0.0</v>
      </c>
      <c r="D3763" t="s">
        <v>310</v>
      </c>
      <c r="E3763" t="s">
        <v>311</v>
      </c>
    </row>
    <row r="3764">
      <c r="A3764" s="232" t="s">
        <v>7219</v>
      </c>
      <c r="B3764" t="s">
        <v>7220</v>
      </c>
      <c r="C3764">
        <v>0.0</v>
      </c>
      <c r="D3764" t="s">
        <v>310</v>
      </c>
      <c r="E3764" t="s">
        <v>311</v>
      </c>
    </row>
    <row r="3765">
      <c r="A3765" s="232" t="s">
        <v>7221</v>
      </c>
      <c r="B3765" t="s">
        <v>7222</v>
      </c>
      <c r="C3765">
        <v>0.0</v>
      </c>
      <c r="D3765" t="s">
        <v>310</v>
      </c>
      <c r="E3765" t="s">
        <v>311</v>
      </c>
    </row>
    <row r="3766">
      <c r="A3766" s="232" t="s">
        <v>7223</v>
      </c>
      <c r="B3766" t="s">
        <v>7224</v>
      </c>
      <c r="C3766">
        <v>0.0</v>
      </c>
      <c r="D3766" t="s">
        <v>310</v>
      </c>
      <c r="E3766" t="s">
        <v>311</v>
      </c>
    </row>
    <row r="3767">
      <c r="A3767" s="232" t="s">
        <v>7225</v>
      </c>
      <c r="B3767" t="s">
        <v>7226</v>
      </c>
      <c r="C3767">
        <v>0.0</v>
      </c>
      <c r="D3767" t="s">
        <v>310</v>
      </c>
      <c r="E3767" t="s">
        <v>311</v>
      </c>
    </row>
    <row r="3768">
      <c r="A3768" s="232" t="s">
        <v>7227</v>
      </c>
      <c r="B3768" t="s">
        <v>7228</v>
      </c>
      <c r="C3768">
        <v>1.0</v>
      </c>
      <c r="D3768" t="s">
        <v>310</v>
      </c>
      <c r="E3768" t="s">
        <v>311</v>
      </c>
    </row>
    <row r="3769">
      <c r="A3769" s="232" t="s">
        <v>7229</v>
      </c>
      <c r="B3769" t="s">
        <v>7230</v>
      </c>
      <c r="C3769">
        <v>0.0</v>
      </c>
      <c r="D3769" t="s">
        <v>310</v>
      </c>
      <c r="E3769" t="s">
        <v>311</v>
      </c>
    </row>
    <row r="3770">
      <c r="A3770" s="232" t="s">
        <v>7231</v>
      </c>
      <c r="B3770" t="s">
        <v>7232</v>
      </c>
      <c r="C3770">
        <v>0.0</v>
      </c>
      <c r="D3770" t="s">
        <v>310</v>
      </c>
      <c r="E3770" t="s">
        <v>311</v>
      </c>
    </row>
    <row r="3771">
      <c r="A3771" s="232" t="s">
        <v>7233</v>
      </c>
      <c r="B3771" t="s">
        <v>7234</v>
      </c>
      <c r="C3771">
        <v>0.0</v>
      </c>
      <c r="D3771" t="s">
        <v>310</v>
      </c>
      <c r="E3771" t="s">
        <v>311</v>
      </c>
    </row>
    <row r="3772">
      <c r="A3772" s="232" t="s">
        <v>7235</v>
      </c>
      <c r="B3772" t="s">
        <v>7236</v>
      </c>
      <c r="C3772">
        <v>0.0</v>
      </c>
      <c r="D3772" t="s">
        <v>310</v>
      </c>
      <c r="E3772" t="s">
        <v>311</v>
      </c>
    </row>
    <row r="3773">
      <c r="A3773" s="232" t="s">
        <v>7237</v>
      </c>
      <c r="B3773" t="s">
        <v>7238</v>
      </c>
      <c r="C3773">
        <v>0.0</v>
      </c>
      <c r="D3773" t="s">
        <v>310</v>
      </c>
      <c r="E3773" t="s">
        <v>311</v>
      </c>
    </row>
    <row r="3774">
      <c r="A3774" s="232" t="s">
        <v>7239</v>
      </c>
      <c r="B3774" t="s">
        <v>7240</v>
      </c>
      <c r="C3774">
        <v>0.0</v>
      </c>
      <c r="D3774" t="s">
        <v>310</v>
      </c>
      <c r="E3774" t="s">
        <v>311</v>
      </c>
    </row>
    <row r="3775">
      <c r="A3775" s="232" t="s">
        <v>7241</v>
      </c>
      <c r="B3775" t="s">
        <v>7242</v>
      </c>
      <c r="C3775">
        <v>0.0</v>
      </c>
      <c r="D3775" t="s">
        <v>310</v>
      </c>
      <c r="E3775" t="s">
        <v>311</v>
      </c>
    </row>
    <row r="3776">
      <c r="A3776" s="232" t="s">
        <v>7243</v>
      </c>
      <c r="B3776" t="s">
        <v>7244</v>
      </c>
      <c r="C3776">
        <v>2.0</v>
      </c>
      <c r="D3776" t="s">
        <v>310</v>
      </c>
      <c r="E3776" t="s">
        <v>311</v>
      </c>
    </row>
    <row r="3777">
      <c r="A3777" s="232" t="s">
        <v>7245</v>
      </c>
      <c r="B3777" t="s">
        <v>7246</v>
      </c>
      <c r="C3777">
        <v>0.0</v>
      </c>
      <c r="D3777" t="s">
        <v>310</v>
      </c>
      <c r="E3777" t="s">
        <v>311</v>
      </c>
    </row>
    <row r="3778">
      <c r="A3778" s="232" t="s">
        <v>7247</v>
      </c>
      <c r="B3778" t="s">
        <v>7248</v>
      </c>
      <c r="C3778">
        <v>0.0</v>
      </c>
      <c r="D3778" t="s">
        <v>310</v>
      </c>
      <c r="E3778" t="s">
        <v>311</v>
      </c>
    </row>
    <row r="3779">
      <c r="A3779" s="232" t="s">
        <v>7249</v>
      </c>
      <c r="B3779" t="s">
        <v>7250</v>
      </c>
      <c r="C3779">
        <v>0.0</v>
      </c>
      <c r="D3779" t="s">
        <v>310</v>
      </c>
      <c r="E3779" t="s">
        <v>311</v>
      </c>
    </row>
    <row r="3780">
      <c r="A3780" s="232" t="s">
        <v>7251</v>
      </c>
      <c r="B3780" t="s">
        <v>7252</v>
      </c>
      <c r="C3780">
        <v>0.0</v>
      </c>
      <c r="D3780" t="s">
        <v>310</v>
      </c>
      <c r="E3780" t="s">
        <v>311</v>
      </c>
    </row>
    <row r="3781">
      <c r="A3781" s="232" t="s">
        <v>7253</v>
      </c>
      <c r="B3781" t="s">
        <v>7254</v>
      </c>
      <c r="C3781">
        <v>0.0</v>
      </c>
      <c r="D3781" t="s">
        <v>310</v>
      </c>
      <c r="E3781" t="s">
        <v>311</v>
      </c>
    </row>
    <row r="3782">
      <c r="A3782" s="232" t="s">
        <v>7255</v>
      </c>
      <c r="B3782" t="s">
        <v>7256</v>
      </c>
      <c r="C3782">
        <v>0.0</v>
      </c>
      <c r="D3782" t="s">
        <v>310</v>
      </c>
      <c r="E3782" t="s">
        <v>311</v>
      </c>
    </row>
    <row r="3783">
      <c r="A3783" s="232" t="s">
        <v>7257</v>
      </c>
      <c r="B3783" t="s">
        <v>7258</v>
      </c>
      <c r="C3783">
        <v>2.0</v>
      </c>
      <c r="D3783" t="s">
        <v>310</v>
      </c>
      <c r="E3783" t="s">
        <v>311</v>
      </c>
    </row>
    <row r="3784">
      <c r="A3784" s="232" t="s">
        <v>7259</v>
      </c>
      <c r="B3784" t="s">
        <v>7260</v>
      </c>
      <c r="C3784">
        <v>0.0</v>
      </c>
      <c r="D3784" t="s">
        <v>310</v>
      </c>
      <c r="E3784" t="s">
        <v>311</v>
      </c>
    </row>
    <row r="3785">
      <c r="A3785" s="232" t="s">
        <v>7261</v>
      </c>
      <c r="B3785" t="s">
        <v>7262</v>
      </c>
      <c r="C3785">
        <v>0.0</v>
      </c>
      <c r="D3785" t="s">
        <v>310</v>
      </c>
      <c r="E3785" t="s">
        <v>311</v>
      </c>
    </row>
    <row r="3786">
      <c r="A3786" s="232" t="s">
        <v>7263</v>
      </c>
      <c r="B3786" t="s">
        <v>7264</v>
      </c>
      <c r="C3786">
        <v>0.0</v>
      </c>
      <c r="D3786" t="s">
        <v>310</v>
      </c>
      <c r="E3786" t="s">
        <v>311</v>
      </c>
    </row>
    <row r="3787">
      <c r="A3787" s="232" t="s">
        <v>7265</v>
      </c>
      <c r="B3787" t="s">
        <v>7266</v>
      </c>
      <c r="C3787">
        <v>0.0</v>
      </c>
      <c r="D3787" t="s">
        <v>310</v>
      </c>
      <c r="E3787" t="s">
        <v>311</v>
      </c>
    </row>
    <row r="3788">
      <c r="A3788" s="232" t="s">
        <v>7267</v>
      </c>
      <c r="B3788" t="s">
        <v>7268</v>
      </c>
      <c r="C3788">
        <v>4.0</v>
      </c>
      <c r="D3788" t="s">
        <v>310</v>
      </c>
      <c r="E3788" t="s">
        <v>311</v>
      </c>
    </row>
    <row r="3789">
      <c r="A3789" s="232" t="s">
        <v>7269</v>
      </c>
      <c r="B3789" t="s">
        <v>7270</v>
      </c>
      <c r="C3789">
        <v>0.0</v>
      </c>
      <c r="D3789" t="s">
        <v>310</v>
      </c>
      <c r="E3789" t="s">
        <v>311</v>
      </c>
    </row>
    <row r="3790">
      <c r="A3790" s="232" t="s">
        <v>7271</v>
      </c>
      <c r="B3790" t="s">
        <v>7272</v>
      </c>
      <c r="C3790">
        <v>0.0</v>
      </c>
      <c r="D3790" t="s">
        <v>310</v>
      </c>
      <c r="E3790" t="s">
        <v>311</v>
      </c>
    </row>
    <row r="3791">
      <c r="A3791" s="232" t="s">
        <v>7273</v>
      </c>
      <c r="B3791" t="s">
        <v>7274</v>
      </c>
      <c r="C3791">
        <v>0.0</v>
      </c>
      <c r="D3791" t="s">
        <v>310</v>
      </c>
      <c r="E3791" t="s">
        <v>311</v>
      </c>
    </row>
    <row r="3792">
      <c r="A3792" s="232" t="s">
        <v>7275</v>
      </c>
      <c r="B3792" t="s">
        <v>7276</v>
      </c>
      <c r="C3792">
        <v>4.0</v>
      </c>
      <c r="D3792" t="s">
        <v>310</v>
      </c>
      <c r="E3792" t="s">
        <v>311</v>
      </c>
    </row>
    <row r="3793">
      <c r="A3793" s="232" t="s">
        <v>7277</v>
      </c>
      <c r="B3793" t="s">
        <v>7278</v>
      </c>
      <c r="C3793">
        <v>0.0</v>
      </c>
      <c r="D3793" t="s">
        <v>310</v>
      </c>
      <c r="E3793" t="s">
        <v>311</v>
      </c>
    </row>
    <row r="3794">
      <c r="A3794" s="232" t="s">
        <v>7279</v>
      </c>
      <c r="B3794" t="s">
        <v>7280</v>
      </c>
      <c r="C3794">
        <v>0.0</v>
      </c>
      <c r="D3794" t="s">
        <v>310</v>
      </c>
      <c r="E3794" t="s">
        <v>311</v>
      </c>
    </row>
    <row r="3795">
      <c r="A3795" s="232" t="s">
        <v>7281</v>
      </c>
      <c r="B3795" t="s">
        <v>7282</v>
      </c>
      <c r="C3795">
        <v>0.0</v>
      </c>
      <c r="D3795" t="s">
        <v>310</v>
      </c>
      <c r="E3795" t="s">
        <v>311</v>
      </c>
    </row>
    <row r="3796">
      <c r="A3796" s="232" t="s">
        <v>7283</v>
      </c>
      <c r="B3796" t="s">
        <v>7284</v>
      </c>
      <c r="C3796">
        <v>0.0</v>
      </c>
      <c r="D3796" t="s">
        <v>310</v>
      </c>
      <c r="E3796" t="s">
        <v>311</v>
      </c>
    </row>
    <row r="3797">
      <c r="A3797" s="232" t="s">
        <v>7285</v>
      </c>
      <c r="B3797" t="s">
        <v>7286</v>
      </c>
      <c r="C3797">
        <v>0.0</v>
      </c>
      <c r="D3797" t="s">
        <v>310</v>
      </c>
      <c r="E3797" t="s">
        <v>565</v>
      </c>
    </row>
    <row r="3798">
      <c r="A3798" s="232" t="s">
        <v>7287</v>
      </c>
      <c r="B3798" t="s">
        <v>7288</v>
      </c>
      <c r="C3798">
        <v>2.0</v>
      </c>
      <c r="D3798" t="s">
        <v>310</v>
      </c>
      <c r="E3798" t="s">
        <v>311</v>
      </c>
    </row>
    <row r="3799">
      <c r="A3799" s="232" t="s">
        <v>7289</v>
      </c>
      <c r="B3799" t="s">
        <v>7290</v>
      </c>
      <c r="C3799">
        <v>0.0</v>
      </c>
      <c r="D3799" t="s">
        <v>310</v>
      </c>
      <c r="E3799" t="s">
        <v>311</v>
      </c>
    </row>
    <row r="3800">
      <c r="A3800" s="232" t="s">
        <v>7291</v>
      </c>
      <c r="B3800" t="s">
        <v>7292</v>
      </c>
      <c r="C3800">
        <v>0.0</v>
      </c>
      <c r="D3800" t="s">
        <v>310</v>
      </c>
      <c r="E3800" t="s">
        <v>311</v>
      </c>
    </row>
    <row r="3801">
      <c r="A3801" s="232" t="s">
        <v>7293</v>
      </c>
      <c r="B3801" t="s">
        <v>7294</v>
      </c>
      <c r="C3801">
        <v>0.0</v>
      </c>
      <c r="D3801" t="s">
        <v>310</v>
      </c>
      <c r="E3801" t="s">
        <v>311</v>
      </c>
    </row>
    <row r="3802">
      <c r="A3802" s="232" t="s">
        <v>7295</v>
      </c>
      <c r="B3802" t="s">
        <v>7296</v>
      </c>
      <c r="C3802">
        <v>126.0</v>
      </c>
      <c r="D3802" t="s">
        <v>310</v>
      </c>
      <c r="E3802" t="s">
        <v>311</v>
      </c>
    </row>
    <row r="3803">
      <c r="A3803" s="232" t="s">
        <v>7297</v>
      </c>
      <c r="B3803" t="s">
        <v>7298</v>
      </c>
      <c r="C3803">
        <v>0.0</v>
      </c>
      <c r="D3803" t="s">
        <v>310</v>
      </c>
      <c r="E3803" t="s">
        <v>311</v>
      </c>
    </row>
    <row r="3804">
      <c r="A3804" s="232" t="s">
        <v>7299</v>
      </c>
      <c r="B3804" t="s">
        <v>7300</v>
      </c>
      <c r="C3804">
        <v>0.0</v>
      </c>
      <c r="D3804" t="s">
        <v>310</v>
      </c>
      <c r="E3804" t="s">
        <v>311</v>
      </c>
    </row>
    <row r="3805">
      <c r="A3805" s="232" t="s">
        <v>7301</v>
      </c>
      <c r="B3805" t="s">
        <v>7302</v>
      </c>
      <c r="C3805">
        <v>0.0</v>
      </c>
      <c r="D3805" t="s">
        <v>310</v>
      </c>
      <c r="E3805" t="s">
        <v>311</v>
      </c>
    </row>
    <row r="3806">
      <c r="A3806" s="232" t="s">
        <v>7303</v>
      </c>
      <c r="B3806" t="s">
        <v>7304</v>
      </c>
      <c r="C3806">
        <v>1.0</v>
      </c>
      <c r="D3806" t="s">
        <v>310</v>
      </c>
      <c r="E3806" t="s">
        <v>311</v>
      </c>
    </row>
    <row r="3807">
      <c r="A3807" s="232" t="s">
        <v>7305</v>
      </c>
      <c r="B3807" t="s">
        <v>7306</v>
      </c>
      <c r="C3807">
        <v>0.0</v>
      </c>
      <c r="D3807" t="s">
        <v>310</v>
      </c>
      <c r="E3807" t="s">
        <v>311</v>
      </c>
    </row>
    <row r="3808">
      <c r="A3808" s="232" t="s">
        <v>7307</v>
      </c>
      <c r="B3808" t="s">
        <v>7308</v>
      </c>
      <c r="C3808">
        <v>0.0</v>
      </c>
      <c r="D3808" t="s">
        <v>310</v>
      </c>
      <c r="E3808" t="s">
        <v>311</v>
      </c>
    </row>
    <row r="3809">
      <c r="A3809" s="232" t="s">
        <v>7309</v>
      </c>
      <c r="B3809" t="s">
        <v>7310</v>
      </c>
      <c r="C3809">
        <v>0.0</v>
      </c>
      <c r="D3809" t="s">
        <v>310</v>
      </c>
      <c r="E3809" t="s">
        <v>311</v>
      </c>
    </row>
    <row r="3810">
      <c r="A3810" s="232" t="s">
        <v>7311</v>
      </c>
      <c r="B3810" t="s">
        <v>7312</v>
      </c>
      <c r="C3810">
        <v>0.0</v>
      </c>
      <c r="D3810" t="s">
        <v>310</v>
      </c>
      <c r="E3810" t="s">
        <v>565</v>
      </c>
    </row>
    <row r="3811">
      <c r="A3811" s="232" t="s">
        <v>7313</v>
      </c>
      <c r="B3811" t="s">
        <v>7314</v>
      </c>
      <c r="C3811">
        <v>0.0</v>
      </c>
      <c r="D3811" t="s">
        <v>310</v>
      </c>
      <c r="E3811" t="s">
        <v>565</v>
      </c>
    </row>
    <row r="3812">
      <c r="A3812" s="232" t="s">
        <v>7315</v>
      </c>
      <c r="B3812" t="s">
        <v>7316</v>
      </c>
      <c r="C3812">
        <v>1.0</v>
      </c>
      <c r="D3812" t="s">
        <v>310</v>
      </c>
      <c r="E3812" t="s">
        <v>311</v>
      </c>
    </row>
    <row r="3813">
      <c r="A3813" s="232" t="s">
        <v>7317</v>
      </c>
      <c r="B3813" t="s">
        <v>7318</v>
      </c>
      <c r="C3813">
        <v>0.0</v>
      </c>
      <c r="D3813" t="s">
        <v>310</v>
      </c>
      <c r="E3813" t="s">
        <v>311</v>
      </c>
    </row>
    <row r="3814">
      <c r="A3814" s="232" t="s">
        <v>7319</v>
      </c>
      <c r="B3814" t="s">
        <v>7320</v>
      </c>
      <c r="C3814">
        <v>0.0</v>
      </c>
      <c r="D3814" t="s">
        <v>310</v>
      </c>
      <c r="E3814" t="s">
        <v>311</v>
      </c>
    </row>
    <row r="3815">
      <c r="A3815" s="232" t="s">
        <v>7321</v>
      </c>
      <c r="B3815" t="s">
        <v>7322</v>
      </c>
      <c r="C3815">
        <v>0.0</v>
      </c>
      <c r="D3815" t="s">
        <v>310</v>
      </c>
      <c r="E3815" t="s">
        <v>311</v>
      </c>
    </row>
    <row r="3816">
      <c r="A3816" s="232" t="s">
        <v>7323</v>
      </c>
      <c r="B3816" t="s">
        <v>7324</v>
      </c>
      <c r="C3816">
        <v>0.0</v>
      </c>
      <c r="D3816" t="s">
        <v>310</v>
      </c>
      <c r="E3816" t="s">
        <v>565</v>
      </c>
    </row>
    <row r="3817">
      <c r="A3817" s="232" t="s">
        <v>7325</v>
      </c>
      <c r="B3817" t="s">
        <v>7326</v>
      </c>
      <c r="C3817">
        <v>1.0</v>
      </c>
      <c r="D3817" t="s">
        <v>310</v>
      </c>
      <c r="E3817" t="s">
        <v>565</v>
      </c>
    </row>
    <row r="3818">
      <c r="A3818" s="232" t="s">
        <v>7327</v>
      </c>
      <c r="B3818" t="s">
        <v>7328</v>
      </c>
      <c r="C3818">
        <v>0.0</v>
      </c>
      <c r="D3818" t="s">
        <v>310</v>
      </c>
      <c r="E3818" t="s">
        <v>311</v>
      </c>
    </row>
    <row r="3819">
      <c r="A3819" s="232" t="s">
        <v>7329</v>
      </c>
      <c r="B3819" t="s">
        <v>7330</v>
      </c>
      <c r="C3819">
        <v>0.0</v>
      </c>
      <c r="D3819" t="s">
        <v>310</v>
      </c>
      <c r="E3819" t="s">
        <v>311</v>
      </c>
    </row>
    <row r="3820">
      <c r="A3820" s="232" t="s">
        <v>7331</v>
      </c>
      <c r="B3820" t="s">
        <v>7332</v>
      </c>
      <c r="C3820">
        <v>0.0</v>
      </c>
      <c r="D3820" t="s">
        <v>310</v>
      </c>
      <c r="E3820" t="s">
        <v>311</v>
      </c>
    </row>
    <row r="3821">
      <c r="A3821" s="232" t="s">
        <v>7333</v>
      </c>
      <c r="B3821" t="s">
        <v>7334</v>
      </c>
      <c r="C3821">
        <v>0.0</v>
      </c>
      <c r="D3821" t="s">
        <v>310</v>
      </c>
      <c r="E3821" t="s">
        <v>311</v>
      </c>
    </row>
    <row r="3822">
      <c r="A3822" s="232" t="s">
        <v>7335</v>
      </c>
      <c r="B3822" t="s">
        <v>7336</v>
      </c>
      <c r="C3822">
        <v>0.0</v>
      </c>
      <c r="D3822" t="s">
        <v>310</v>
      </c>
      <c r="E3822" t="s">
        <v>311</v>
      </c>
    </row>
    <row r="3823">
      <c r="A3823" s="232" t="s">
        <v>7337</v>
      </c>
      <c r="B3823" t="s">
        <v>7338</v>
      </c>
      <c r="C3823">
        <v>0.0</v>
      </c>
      <c r="D3823" t="s">
        <v>310</v>
      </c>
      <c r="E3823" t="s">
        <v>311</v>
      </c>
    </row>
    <row r="3824">
      <c r="A3824" s="232" t="s">
        <v>7339</v>
      </c>
      <c r="B3824" t="s">
        <v>7340</v>
      </c>
      <c r="C3824">
        <v>0.0</v>
      </c>
      <c r="D3824" t="s">
        <v>310</v>
      </c>
      <c r="E3824" t="s">
        <v>565</v>
      </c>
    </row>
    <row r="3825">
      <c r="A3825" s="232" t="s">
        <v>7341</v>
      </c>
      <c r="B3825" t="s">
        <v>7342</v>
      </c>
      <c r="C3825">
        <v>0.0</v>
      </c>
      <c r="D3825" t="s">
        <v>310</v>
      </c>
      <c r="E3825" t="s">
        <v>311</v>
      </c>
    </row>
    <row r="3826">
      <c r="A3826" s="232" t="s">
        <v>7343</v>
      </c>
      <c r="B3826" t="s">
        <v>7344</v>
      </c>
      <c r="C3826">
        <v>0.0</v>
      </c>
      <c r="D3826" t="s">
        <v>310</v>
      </c>
      <c r="E3826" t="s">
        <v>311</v>
      </c>
    </row>
    <row r="3827">
      <c r="A3827" s="232" t="s">
        <v>7345</v>
      </c>
      <c r="B3827" t="s">
        <v>7346</v>
      </c>
      <c r="C3827">
        <v>0.0</v>
      </c>
      <c r="D3827" t="s">
        <v>310</v>
      </c>
      <c r="E3827" t="s">
        <v>311</v>
      </c>
    </row>
    <row r="3828">
      <c r="A3828" s="232" t="s">
        <v>7347</v>
      </c>
      <c r="B3828" t="s">
        <v>7348</v>
      </c>
      <c r="C3828">
        <v>0.0</v>
      </c>
      <c r="D3828" t="s">
        <v>310</v>
      </c>
      <c r="E3828" t="s">
        <v>565</v>
      </c>
    </row>
    <row r="3829">
      <c r="A3829" s="232" t="s">
        <v>7349</v>
      </c>
      <c r="B3829" t="s">
        <v>7350</v>
      </c>
      <c r="C3829">
        <v>0.0</v>
      </c>
      <c r="D3829" t="s">
        <v>310</v>
      </c>
      <c r="E3829" t="s">
        <v>311</v>
      </c>
    </row>
    <row r="3830">
      <c r="A3830" s="232" t="s">
        <v>7351</v>
      </c>
      <c r="B3830" t="s">
        <v>7352</v>
      </c>
      <c r="C3830">
        <v>0.0</v>
      </c>
      <c r="D3830" t="s">
        <v>310</v>
      </c>
      <c r="E3830" t="s">
        <v>311</v>
      </c>
    </row>
    <row r="3831">
      <c r="A3831" s="232" t="s">
        <v>7353</v>
      </c>
      <c r="B3831" t="s">
        <v>7354</v>
      </c>
      <c r="C3831">
        <v>0.0</v>
      </c>
      <c r="D3831" t="s">
        <v>310</v>
      </c>
      <c r="E3831" t="s">
        <v>311</v>
      </c>
    </row>
    <row r="3832">
      <c r="A3832" s="232" t="s">
        <v>7355</v>
      </c>
      <c r="B3832" t="s">
        <v>7356</v>
      </c>
      <c r="C3832">
        <v>1.0</v>
      </c>
      <c r="D3832" t="s">
        <v>310</v>
      </c>
      <c r="E3832" t="s">
        <v>311</v>
      </c>
    </row>
    <row r="3833">
      <c r="A3833" s="232" t="s">
        <v>7357</v>
      </c>
      <c r="B3833" t="s">
        <v>7358</v>
      </c>
      <c r="C3833">
        <v>0.0</v>
      </c>
      <c r="D3833" t="s">
        <v>310</v>
      </c>
      <c r="E3833" t="s">
        <v>311</v>
      </c>
    </row>
    <row r="3834">
      <c r="A3834" s="232" t="s">
        <v>7359</v>
      </c>
      <c r="B3834" t="s">
        <v>7360</v>
      </c>
      <c r="C3834">
        <v>0.0</v>
      </c>
      <c r="D3834" t="s">
        <v>310</v>
      </c>
      <c r="E3834" t="s">
        <v>311</v>
      </c>
    </row>
    <row r="3835">
      <c r="A3835" s="232" t="s">
        <v>7361</v>
      </c>
      <c r="B3835" t="s">
        <v>7362</v>
      </c>
      <c r="C3835">
        <v>0.0</v>
      </c>
      <c r="D3835" t="s">
        <v>310</v>
      </c>
      <c r="E3835" t="s">
        <v>311</v>
      </c>
    </row>
    <row r="3836">
      <c r="A3836" s="232" t="s">
        <v>7363</v>
      </c>
      <c r="B3836" t="s">
        <v>7364</v>
      </c>
      <c r="C3836">
        <v>0.0</v>
      </c>
      <c r="D3836" t="s">
        <v>310</v>
      </c>
      <c r="E3836" t="s">
        <v>311</v>
      </c>
    </row>
    <row r="3837">
      <c r="A3837" s="232" t="s">
        <v>7365</v>
      </c>
      <c r="B3837" t="s">
        <v>7366</v>
      </c>
      <c r="C3837">
        <v>1.0</v>
      </c>
      <c r="D3837" t="s">
        <v>310</v>
      </c>
      <c r="E3837" t="s">
        <v>311</v>
      </c>
    </row>
    <row r="3838">
      <c r="A3838" s="232" t="s">
        <v>7367</v>
      </c>
      <c r="B3838" t="s">
        <v>7368</v>
      </c>
      <c r="C3838">
        <v>0.0</v>
      </c>
      <c r="D3838" t="s">
        <v>310</v>
      </c>
      <c r="E3838" t="s">
        <v>311</v>
      </c>
    </row>
    <row r="3839">
      <c r="A3839" s="232" t="s">
        <v>7369</v>
      </c>
      <c r="B3839" t="s">
        <v>7370</v>
      </c>
      <c r="C3839">
        <v>0.0</v>
      </c>
      <c r="D3839" t="s">
        <v>310</v>
      </c>
      <c r="E3839" t="s">
        <v>311</v>
      </c>
    </row>
    <row r="3840">
      <c r="A3840" s="232" t="s">
        <v>7371</v>
      </c>
      <c r="B3840" t="s">
        <v>7372</v>
      </c>
      <c r="C3840">
        <v>0.0</v>
      </c>
      <c r="D3840" t="s">
        <v>310</v>
      </c>
      <c r="E3840" t="s">
        <v>311</v>
      </c>
    </row>
    <row r="3841">
      <c r="A3841" s="232" t="s">
        <v>7373</v>
      </c>
      <c r="B3841" t="s">
        <v>7374</v>
      </c>
      <c r="C3841">
        <v>0.0</v>
      </c>
      <c r="D3841" t="s">
        <v>310</v>
      </c>
      <c r="E3841" t="s">
        <v>311</v>
      </c>
    </row>
    <row r="3842">
      <c r="A3842" s="232" t="s">
        <v>7375</v>
      </c>
      <c r="B3842" t="s">
        <v>7376</v>
      </c>
      <c r="C3842">
        <v>0.0</v>
      </c>
      <c r="D3842" t="s">
        <v>310</v>
      </c>
      <c r="E3842" t="s">
        <v>311</v>
      </c>
    </row>
    <row r="3843">
      <c r="A3843" s="232" t="s">
        <v>7377</v>
      </c>
      <c r="B3843" t="s">
        <v>7378</v>
      </c>
      <c r="C3843">
        <v>0.0</v>
      </c>
      <c r="D3843" t="s">
        <v>310</v>
      </c>
      <c r="E3843" t="s">
        <v>311</v>
      </c>
    </row>
    <row r="3844">
      <c r="A3844" s="232" t="s">
        <v>7379</v>
      </c>
      <c r="B3844" t="s">
        <v>7380</v>
      </c>
      <c r="C3844">
        <v>0.0</v>
      </c>
      <c r="D3844" t="s">
        <v>310</v>
      </c>
      <c r="E3844" t="s">
        <v>311</v>
      </c>
    </row>
    <row r="3845">
      <c r="A3845" s="232" t="s">
        <v>7381</v>
      </c>
      <c r="B3845" t="s">
        <v>7382</v>
      </c>
      <c r="C3845">
        <v>0.0</v>
      </c>
      <c r="D3845" t="s">
        <v>310</v>
      </c>
      <c r="E3845" t="s">
        <v>311</v>
      </c>
    </row>
    <row r="3846">
      <c r="A3846" s="232" t="s">
        <v>7383</v>
      </c>
      <c r="B3846" t="s">
        <v>7384</v>
      </c>
      <c r="C3846">
        <v>0.0</v>
      </c>
      <c r="D3846" t="s">
        <v>310</v>
      </c>
      <c r="E3846" t="s">
        <v>311</v>
      </c>
    </row>
    <row r="3847">
      <c r="A3847" s="232" t="s">
        <v>7385</v>
      </c>
      <c r="B3847" t="s">
        <v>7386</v>
      </c>
      <c r="C3847">
        <v>0.0</v>
      </c>
      <c r="D3847" t="s">
        <v>310</v>
      </c>
      <c r="E3847" t="s">
        <v>311</v>
      </c>
    </row>
    <row r="3848">
      <c r="A3848" s="232" t="s">
        <v>7387</v>
      </c>
      <c r="B3848" t="s">
        <v>7388</v>
      </c>
      <c r="C3848">
        <v>0.0</v>
      </c>
      <c r="D3848" t="s">
        <v>310</v>
      </c>
      <c r="E3848" t="s">
        <v>311</v>
      </c>
    </row>
    <row r="3849">
      <c r="A3849" s="232" t="s">
        <v>7389</v>
      </c>
      <c r="B3849" t="s">
        <v>7390</v>
      </c>
      <c r="C3849">
        <v>0.0</v>
      </c>
      <c r="D3849" t="s">
        <v>310</v>
      </c>
      <c r="E3849" t="s">
        <v>311</v>
      </c>
    </row>
    <row r="3850">
      <c r="A3850" s="232" t="s">
        <v>7391</v>
      </c>
      <c r="B3850" t="s">
        <v>7392</v>
      </c>
      <c r="C3850">
        <v>0.0</v>
      </c>
      <c r="D3850" t="s">
        <v>310</v>
      </c>
      <c r="E3850" t="s">
        <v>311</v>
      </c>
    </row>
    <row r="3851">
      <c r="A3851" s="232" t="s">
        <v>7393</v>
      </c>
      <c r="B3851" t="s">
        <v>7394</v>
      </c>
      <c r="C3851">
        <v>0.0</v>
      </c>
      <c r="D3851" t="s">
        <v>310</v>
      </c>
      <c r="E3851" t="s">
        <v>311</v>
      </c>
    </row>
    <row r="3852">
      <c r="A3852" s="232" t="s">
        <v>7395</v>
      </c>
      <c r="B3852" t="s">
        <v>7396</v>
      </c>
      <c r="C3852">
        <v>0.0</v>
      </c>
      <c r="D3852" t="s">
        <v>310</v>
      </c>
      <c r="E3852" t="s">
        <v>565</v>
      </c>
    </row>
    <row r="3853">
      <c r="A3853" s="232" t="s">
        <v>7397</v>
      </c>
      <c r="B3853" t="s">
        <v>7398</v>
      </c>
      <c r="C3853">
        <v>0.0</v>
      </c>
      <c r="D3853" t="s">
        <v>310</v>
      </c>
      <c r="E3853" t="s">
        <v>311</v>
      </c>
    </row>
    <row r="3854">
      <c r="A3854" s="232" t="s">
        <v>7399</v>
      </c>
      <c r="B3854" t="s">
        <v>7400</v>
      </c>
      <c r="C3854">
        <v>0.0</v>
      </c>
      <c r="D3854" t="s">
        <v>310</v>
      </c>
      <c r="E3854" t="s">
        <v>565</v>
      </c>
    </row>
    <row r="3855">
      <c r="A3855" s="232" t="s">
        <v>7401</v>
      </c>
      <c r="B3855" t="s">
        <v>7402</v>
      </c>
      <c r="C3855">
        <v>0.0</v>
      </c>
      <c r="D3855" t="s">
        <v>310</v>
      </c>
      <c r="E3855" t="s">
        <v>311</v>
      </c>
    </row>
    <row r="3856">
      <c r="A3856" s="232" t="s">
        <v>7403</v>
      </c>
      <c r="B3856" t="s">
        <v>7404</v>
      </c>
      <c r="C3856">
        <v>0.0</v>
      </c>
      <c r="D3856" t="s">
        <v>310</v>
      </c>
      <c r="E3856" t="s">
        <v>311</v>
      </c>
    </row>
    <row r="3857">
      <c r="A3857" s="232" t="s">
        <v>7405</v>
      </c>
      <c r="B3857" t="s">
        <v>7406</v>
      </c>
      <c r="C3857">
        <v>0.0</v>
      </c>
      <c r="D3857" t="s">
        <v>310</v>
      </c>
      <c r="E3857" t="s">
        <v>311</v>
      </c>
    </row>
    <row r="3858">
      <c r="A3858" s="232" t="s">
        <v>7407</v>
      </c>
      <c r="B3858" t="s">
        <v>7408</v>
      </c>
      <c r="C3858">
        <v>0.0</v>
      </c>
      <c r="D3858" t="s">
        <v>310</v>
      </c>
      <c r="E3858" t="s">
        <v>311</v>
      </c>
    </row>
    <row r="3859">
      <c r="A3859" s="232" t="s">
        <v>7409</v>
      </c>
      <c r="B3859" t="s">
        <v>7410</v>
      </c>
      <c r="C3859">
        <v>0.0</v>
      </c>
      <c r="D3859" t="s">
        <v>310</v>
      </c>
      <c r="E3859" t="s">
        <v>311</v>
      </c>
    </row>
    <row r="3860">
      <c r="A3860" s="232" t="s">
        <v>7411</v>
      </c>
      <c r="B3860" t="s">
        <v>7412</v>
      </c>
      <c r="C3860">
        <v>0.0</v>
      </c>
      <c r="D3860" t="s">
        <v>310</v>
      </c>
      <c r="E3860" t="s">
        <v>311</v>
      </c>
    </row>
    <row r="3861">
      <c r="A3861" s="232" t="s">
        <v>7413</v>
      </c>
      <c r="B3861" t="s">
        <v>7414</v>
      </c>
      <c r="C3861">
        <v>0.0</v>
      </c>
      <c r="D3861" t="s">
        <v>310</v>
      </c>
      <c r="E3861" t="s">
        <v>311</v>
      </c>
    </row>
    <row r="3862">
      <c r="A3862" s="232" t="s">
        <v>7415</v>
      </c>
      <c r="B3862" t="s">
        <v>7416</v>
      </c>
      <c r="C3862">
        <v>0.0</v>
      </c>
      <c r="D3862" t="s">
        <v>310</v>
      </c>
      <c r="E3862" t="s">
        <v>311</v>
      </c>
    </row>
    <row r="3863">
      <c r="A3863" s="232" t="s">
        <v>7417</v>
      </c>
      <c r="B3863" t="s">
        <v>7418</v>
      </c>
      <c r="C3863">
        <v>0.0</v>
      </c>
      <c r="D3863" t="s">
        <v>310</v>
      </c>
      <c r="E3863" t="s">
        <v>311</v>
      </c>
    </row>
    <row r="3864">
      <c r="A3864" s="232" t="s">
        <v>7419</v>
      </c>
      <c r="B3864" t="s">
        <v>7420</v>
      </c>
      <c r="C3864">
        <v>0.0</v>
      </c>
      <c r="D3864" t="s">
        <v>310</v>
      </c>
      <c r="E3864" t="s">
        <v>311</v>
      </c>
    </row>
    <row r="3865">
      <c r="A3865" s="232" t="s">
        <v>7421</v>
      </c>
      <c r="B3865" t="s">
        <v>7422</v>
      </c>
      <c r="C3865">
        <v>0.0</v>
      </c>
      <c r="D3865" t="s">
        <v>310</v>
      </c>
      <c r="E3865" t="s">
        <v>311</v>
      </c>
    </row>
    <row r="3866">
      <c r="A3866" s="232" t="s">
        <v>7423</v>
      </c>
      <c r="B3866" t="s">
        <v>7424</v>
      </c>
      <c r="C3866">
        <v>0.0</v>
      </c>
      <c r="D3866" t="s">
        <v>310</v>
      </c>
      <c r="E3866" t="s">
        <v>311</v>
      </c>
    </row>
    <row r="3867">
      <c r="A3867" s="232" t="s">
        <v>7425</v>
      </c>
      <c r="B3867" t="s">
        <v>7426</v>
      </c>
      <c r="C3867">
        <v>0.0</v>
      </c>
      <c r="D3867" t="s">
        <v>310</v>
      </c>
      <c r="E3867" t="s">
        <v>311</v>
      </c>
    </row>
    <row r="3868">
      <c r="A3868" s="232" t="s">
        <v>7427</v>
      </c>
      <c r="B3868" t="s">
        <v>7428</v>
      </c>
      <c r="C3868">
        <v>0.0</v>
      </c>
      <c r="D3868" t="s">
        <v>310</v>
      </c>
      <c r="E3868" t="s">
        <v>311</v>
      </c>
    </row>
    <row r="3869">
      <c r="A3869" s="232" t="s">
        <v>7429</v>
      </c>
      <c r="B3869" t="s">
        <v>7430</v>
      </c>
      <c r="C3869">
        <v>0.0</v>
      </c>
      <c r="D3869" t="s">
        <v>310</v>
      </c>
      <c r="E3869" t="s">
        <v>311</v>
      </c>
    </row>
    <row r="3870">
      <c r="A3870" s="232" t="s">
        <v>7431</v>
      </c>
      <c r="B3870" t="s">
        <v>7432</v>
      </c>
      <c r="C3870">
        <v>0.0</v>
      </c>
      <c r="D3870" t="s">
        <v>310</v>
      </c>
      <c r="E3870" t="s">
        <v>311</v>
      </c>
    </row>
    <row r="3871">
      <c r="A3871" s="232" t="s">
        <v>7433</v>
      </c>
      <c r="B3871" t="s">
        <v>7434</v>
      </c>
      <c r="C3871">
        <v>0.0</v>
      </c>
      <c r="D3871" t="s">
        <v>310</v>
      </c>
      <c r="E3871" t="s">
        <v>565</v>
      </c>
    </row>
    <row r="3872">
      <c r="A3872" s="232" t="s">
        <v>7435</v>
      </c>
      <c r="B3872" t="s">
        <v>7436</v>
      </c>
      <c r="C3872">
        <v>0.0</v>
      </c>
      <c r="D3872" t="s">
        <v>310</v>
      </c>
      <c r="E3872" t="s">
        <v>311</v>
      </c>
    </row>
    <row r="3873">
      <c r="A3873" s="232" t="s">
        <v>7437</v>
      </c>
      <c r="B3873" t="s">
        <v>7438</v>
      </c>
      <c r="C3873">
        <v>0.0</v>
      </c>
      <c r="D3873" t="s">
        <v>310</v>
      </c>
      <c r="E3873" t="s">
        <v>311</v>
      </c>
    </row>
    <row r="3874">
      <c r="A3874" s="232" t="s">
        <v>7439</v>
      </c>
      <c r="B3874" t="s">
        <v>7440</v>
      </c>
      <c r="C3874">
        <v>0.0</v>
      </c>
      <c r="D3874" t="s">
        <v>310</v>
      </c>
      <c r="E3874" t="s">
        <v>311</v>
      </c>
    </row>
    <row r="3875">
      <c r="A3875" s="232" t="s">
        <v>7441</v>
      </c>
      <c r="B3875" t="s">
        <v>7442</v>
      </c>
      <c r="C3875">
        <v>0.0</v>
      </c>
      <c r="D3875" t="s">
        <v>310</v>
      </c>
      <c r="E3875" t="s">
        <v>311</v>
      </c>
    </row>
    <row r="3876">
      <c r="A3876" s="232" t="s">
        <v>7443</v>
      </c>
      <c r="B3876" t="s">
        <v>7444</v>
      </c>
      <c r="C3876">
        <v>0.0</v>
      </c>
      <c r="D3876" t="s">
        <v>310</v>
      </c>
      <c r="E3876" t="s">
        <v>311</v>
      </c>
    </row>
    <row r="3877">
      <c r="A3877" s="232" t="s">
        <v>7445</v>
      </c>
      <c r="B3877" t="s">
        <v>7446</v>
      </c>
      <c r="C3877">
        <v>0.0</v>
      </c>
      <c r="D3877" t="s">
        <v>310</v>
      </c>
      <c r="E3877" t="s">
        <v>311</v>
      </c>
    </row>
    <row r="3878">
      <c r="A3878" s="232" t="s">
        <v>7447</v>
      </c>
      <c r="B3878" t="s">
        <v>7448</v>
      </c>
      <c r="C3878">
        <v>0.0</v>
      </c>
      <c r="D3878" t="s">
        <v>310</v>
      </c>
      <c r="E3878" t="s">
        <v>311</v>
      </c>
    </row>
    <row r="3879">
      <c r="A3879" s="232" t="s">
        <v>7449</v>
      </c>
      <c r="B3879" t="s">
        <v>7450</v>
      </c>
      <c r="C3879">
        <v>0.0</v>
      </c>
      <c r="D3879" t="s">
        <v>310</v>
      </c>
      <c r="E3879" t="s">
        <v>565</v>
      </c>
    </row>
    <row r="3880">
      <c r="A3880" s="232" t="s">
        <v>7451</v>
      </c>
      <c r="B3880" t="s">
        <v>7452</v>
      </c>
      <c r="C3880">
        <v>0.0</v>
      </c>
      <c r="D3880" t="s">
        <v>310</v>
      </c>
      <c r="E3880" t="s">
        <v>565</v>
      </c>
    </row>
    <row r="3881">
      <c r="A3881" s="232" t="s">
        <v>7453</v>
      </c>
      <c r="B3881" t="s">
        <v>7454</v>
      </c>
      <c r="C3881">
        <v>0.0</v>
      </c>
      <c r="D3881" t="s">
        <v>310</v>
      </c>
      <c r="E3881" t="s">
        <v>311</v>
      </c>
    </row>
    <row r="3882">
      <c r="A3882" s="232" t="s">
        <v>7455</v>
      </c>
      <c r="B3882" t="s">
        <v>7456</v>
      </c>
      <c r="C3882">
        <v>0.0</v>
      </c>
      <c r="D3882" t="s">
        <v>310</v>
      </c>
      <c r="E3882" t="s">
        <v>311</v>
      </c>
    </row>
    <row r="3883">
      <c r="A3883" s="232" t="s">
        <v>7457</v>
      </c>
      <c r="B3883" t="s">
        <v>7458</v>
      </c>
      <c r="C3883">
        <v>0.0</v>
      </c>
      <c r="D3883" t="s">
        <v>310</v>
      </c>
      <c r="E3883" t="s">
        <v>311</v>
      </c>
    </row>
    <row r="3884">
      <c r="A3884" s="232" t="s">
        <v>7459</v>
      </c>
      <c r="B3884" t="s">
        <v>7460</v>
      </c>
      <c r="C3884">
        <v>0.0</v>
      </c>
      <c r="D3884" t="s">
        <v>310</v>
      </c>
      <c r="E3884" t="s">
        <v>311</v>
      </c>
    </row>
    <row r="3885">
      <c r="A3885" s="232" t="s">
        <v>7461</v>
      </c>
      <c r="B3885" t="s">
        <v>7462</v>
      </c>
      <c r="C3885">
        <v>0.0</v>
      </c>
      <c r="D3885" t="s">
        <v>310</v>
      </c>
      <c r="E3885" t="s">
        <v>311</v>
      </c>
    </row>
    <row r="3886">
      <c r="A3886" s="232" t="s">
        <v>7463</v>
      </c>
      <c r="B3886" t="s">
        <v>7464</v>
      </c>
      <c r="C3886">
        <v>0.0</v>
      </c>
      <c r="D3886" t="s">
        <v>310</v>
      </c>
      <c r="E3886" t="s">
        <v>565</v>
      </c>
    </row>
    <row r="3887">
      <c r="A3887" s="232" t="s">
        <v>7465</v>
      </c>
      <c r="B3887" t="s">
        <v>7466</v>
      </c>
      <c r="C3887">
        <v>0.0</v>
      </c>
      <c r="D3887" t="s">
        <v>310</v>
      </c>
      <c r="E3887" t="s">
        <v>311</v>
      </c>
    </row>
    <row r="3888">
      <c r="A3888" s="232" t="s">
        <v>7467</v>
      </c>
      <c r="B3888" t="s">
        <v>7468</v>
      </c>
      <c r="C3888">
        <v>0.0</v>
      </c>
      <c r="D3888" t="s">
        <v>310</v>
      </c>
      <c r="E3888" t="s">
        <v>311</v>
      </c>
    </row>
    <row r="3889">
      <c r="A3889" s="232" t="s">
        <v>7469</v>
      </c>
      <c r="B3889" t="s">
        <v>7470</v>
      </c>
      <c r="C3889">
        <v>0.0</v>
      </c>
      <c r="D3889" t="s">
        <v>310</v>
      </c>
      <c r="E3889" t="s">
        <v>311</v>
      </c>
    </row>
    <row r="3890">
      <c r="A3890" s="232" t="s">
        <v>7471</v>
      </c>
      <c r="B3890" t="s">
        <v>7472</v>
      </c>
      <c r="C3890">
        <v>0.0</v>
      </c>
      <c r="D3890" t="s">
        <v>310</v>
      </c>
      <c r="E3890" t="s">
        <v>311</v>
      </c>
    </row>
    <row r="3891">
      <c r="A3891" s="232" t="s">
        <v>7473</v>
      </c>
      <c r="B3891" t="s">
        <v>7474</v>
      </c>
      <c r="C3891">
        <v>0.0</v>
      </c>
      <c r="D3891" t="s">
        <v>310</v>
      </c>
      <c r="E3891" t="s">
        <v>311</v>
      </c>
    </row>
    <row r="3892">
      <c r="A3892" s="232" t="s">
        <v>7475</v>
      </c>
      <c r="B3892" t="s">
        <v>7476</v>
      </c>
      <c r="C3892">
        <v>0.0</v>
      </c>
      <c r="D3892" t="s">
        <v>310</v>
      </c>
      <c r="E3892" t="s">
        <v>311</v>
      </c>
    </row>
    <row r="3893">
      <c r="A3893" s="232" t="s">
        <v>7477</v>
      </c>
      <c r="B3893" t="s">
        <v>7478</v>
      </c>
      <c r="C3893">
        <v>0.0</v>
      </c>
      <c r="D3893" t="s">
        <v>310</v>
      </c>
      <c r="E3893" t="s">
        <v>311</v>
      </c>
    </row>
    <row r="3894">
      <c r="A3894" s="232" t="s">
        <v>7479</v>
      </c>
      <c r="B3894" t="s">
        <v>7480</v>
      </c>
      <c r="C3894">
        <v>0.0</v>
      </c>
      <c r="D3894" t="s">
        <v>310</v>
      </c>
      <c r="E3894" t="s">
        <v>311</v>
      </c>
    </row>
    <row r="3895">
      <c r="A3895" s="232" t="s">
        <v>7481</v>
      </c>
      <c r="B3895" t="s">
        <v>7482</v>
      </c>
      <c r="C3895">
        <v>0.0</v>
      </c>
      <c r="D3895" t="s">
        <v>310</v>
      </c>
      <c r="E3895" t="s">
        <v>311</v>
      </c>
    </row>
    <row r="3896">
      <c r="A3896" s="232" t="s">
        <v>7483</v>
      </c>
      <c r="B3896" t="s">
        <v>7484</v>
      </c>
      <c r="C3896">
        <v>0.0</v>
      </c>
      <c r="D3896" t="s">
        <v>310</v>
      </c>
      <c r="E3896" t="s">
        <v>311</v>
      </c>
    </row>
    <row r="3897">
      <c r="A3897" s="232" t="s">
        <v>7485</v>
      </c>
      <c r="B3897" t="s">
        <v>7486</v>
      </c>
      <c r="C3897">
        <v>0.0</v>
      </c>
      <c r="D3897" t="s">
        <v>310</v>
      </c>
      <c r="E3897" t="s">
        <v>311</v>
      </c>
    </row>
    <row r="3898">
      <c r="A3898" s="232" t="s">
        <v>7487</v>
      </c>
      <c r="B3898" t="s">
        <v>7488</v>
      </c>
      <c r="C3898">
        <v>1.0</v>
      </c>
      <c r="D3898" t="s">
        <v>310</v>
      </c>
      <c r="E3898" t="s">
        <v>311</v>
      </c>
    </row>
    <row r="3899">
      <c r="A3899" s="232" t="s">
        <v>7489</v>
      </c>
      <c r="B3899" t="s">
        <v>7490</v>
      </c>
      <c r="C3899">
        <v>0.0</v>
      </c>
      <c r="D3899" t="s">
        <v>310</v>
      </c>
      <c r="E3899" t="s">
        <v>311</v>
      </c>
    </row>
    <row r="3900">
      <c r="A3900" s="232" t="s">
        <v>7491</v>
      </c>
      <c r="B3900" t="s">
        <v>7492</v>
      </c>
      <c r="C3900">
        <v>0.0</v>
      </c>
      <c r="D3900" t="s">
        <v>310</v>
      </c>
      <c r="E3900" t="s">
        <v>311</v>
      </c>
    </row>
    <row r="3901">
      <c r="A3901" s="232" t="s">
        <v>7493</v>
      </c>
      <c r="B3901" t="s">
        <v>7494</v>
      </c>
      <c r="C3901">
        <v>0.0</v>
      </c>
      <c r="D3901" t="s">
        <v>310</v>
      </c>
      <c r="E3901" t="s">
        <v>311</v>
      </c>
    </row>
    <row r="3902">
      <c r="A3902" s="232" t="s">
        <v>7495</v>
      </c>
      <c r="B3902" t="s">
        <v>7496</v>
      </c>
      <c r="C3902">
        <v>0.0</v>
      </c>
      <c r="D3902" t="s">
        <v>310</v>
      </c>
      <c r="E3902" t="s">
        <v>311</v>
      </c>
    </row>
    <row r="3903">
      <c r="A3903" s="232" t="s">
        <v>7497</v>
      </c>
      <c r="B3903" t="s">
        <v>7498</v>
      </c>
      <c r="C3903">
        <v>0.0</v>
      </c>
      <c r="D3903" t="s">
        <v>310</v>
      </c>
      <c r="E3903" t="s">
        <v>311</v>
      </c>
    </row>
    <row r="3904">
      <c r="A3904" s="232" t="s">
        <v>7499</v>
      </c>
      <c r="B3904" t="s">
        <v>7500</v>
      </c>
      <c r="C3904">
        <v>0.0</v>
      </c>
      <c r="D3904" t="s">
        <v>310</v>
      </c>
      <c r="E3904" t="s">
        <v>311</v>
      </c>
    </row>
    <row r="3905">
      <c r="A3905" s="232" t="s">
        <v>7501</v>
      </c>
      <c r="B3905" t="s">
        <v>7502</v>
      </c>
      <c r="C3905">
        <v>0.0</v>
      </c>
      <c r="D3905" t="s">
        <v>310</v>
      </c>
      <c r="E3905" t="s">
        <v>311</v>
      </c>
    </row>
    <row r="3906">
      <c r="A3906" s="232" t="s">
        <v>7503</v>
      </c>
      <c r="B3906" t="s">
        <v>7504</v>
      </c>
      <c r="C3906">
        <v>0.0</v>
      </c>
      <c r="D3906" t="s">
        <v>310</v>
      </c>
      <c r="E3906" t="s">
        <v>311</v>
      </c>
    </row>
    <row r="3907">
      <c r="A3907" s="232" t="s">
        <v>7505</v>
      </c>
      <c r="B3907" t="s">
        <v>7506</v>
      </c>
      <c r="C3907">
        <v>0.0</v>
      </c>
      <c r="D3907" t="s">
        <v>310</v>
      </c>
      <c r="E3907" t="s">
        <v>311</v>
      </c>
    </row>
    <row r="3908">
      <c r="A3908" s="232" t="s">
        <v>7507</v>
      </c>
      <c r="B3908" t="s">
        <v>7508</v>
      </c>
      <c r="C3908">
        <v>0.0</v>
      </c>
      <c r="D3908" t="s">
        <v>310</v>
      </c>
      <c r="E3908" t="s">
        <v>311</v>
      </c>
    </row>
    <row r="3909">
      <c r="A3909" s="232" t="s">
        <v>7509</v>
      </c>
      <c r="B3909" t="s">
        <v>7510</v>
      </c>
      <c r="C3909">
        <v>0.0</v>
      </c>
      <c r="D3909" t="s">
        <v>310</v>
      </c>
      <c r="E3909" t="s">
        <v>311</v>
      </c>
    </row>
    <row r="3910">
      <c r="A3910" s="232" t="s">
        <v>7511</v>
      </c>
      <c r="B3910" t="s">
        <v>7512</v>
      </c>
      <c r="C3910">
        <v>0.0</v>
      </c>
      <c r="D3910" t="s">
        <v>310</v>
      </c>
      <c r="E3910" t="s">
        <v>311</v>
      </c>
    </row>
    <row r="3911">
      <c r="A3911" s="232" t="s">
        <v>7513</v>
      </c>
      <c r="B3911" t="s">
        <v>7514</v>
      </c>
      <c r="C3911">
        <v>0.0</v>
      </c>
      <c r="D3911" t="s">
        <v>310</v>
      </c>
      <c r="E3911" t="s">
        <v>311</v>
      </c>
    </row>
    <row r="3912">
      <c r="A3912" s="232" t="s">
        <v>7515</v>
      </c>
      <c r="B3912" t="s">
        <v>7516</v>
      </c>
      <c r="C3912">
        <v>0.0</v>
      </c>
      <c r="D3912" t="s">
        <v>310</v>
      </c>
      <c r="E3912" t="s">
        <v>311</v>
      </c>
    </row>
    <row r="3913">
      <c r="A3913" s="232" t="s">
        <v>7517</v>
      </c>
      <c r="B3913" t="s">
        <v>7518</v>
      </c>
      <c r="C3913">
        <v>0.0</v>
      </c>
      <c r="D3913" t="s">
        <v>310</v>
      </c>
      <c r="E3913" t="s">
        <v>311</v>
      </c>
    </row>
    <row r="3914">
      <c r="A3914" s="232" t="s">
        <v>7519</v>
      </c>
      <c r="B3914" t="s">
        <v>7520</v>
      </c>
      <c r="C3914">
        <v>0.0</v>
      </c>
      <c r="D3914" t="s">
        <v>310</v>
      </c>
      <c r="E3914" t="s">
        <v>311</v>
      </c>
    </row>
    <row r="3915">
      <c r="A3915" s="232" t="s">
        <v>7521</v>
      </c>
      <c r="B3915" t="s">
        <v>7522</v>
      </c>
      <c r="C3915">
        <v>0.0</v>
      </c>
      <c r="D3915" t="s">
        <v>310</v>
      </c>
      <c r="E3915" t="s">
        <v>311</v>
      </c>
    </row>
    <row r="3916">
      <c r="A3916" s="232" t="s">
        <v>7523</v>
      </c>
      <c r="B3916" t="s">
        <v>7524</v>
      </c>
      <c r="C3916">
        <v>0.0</v>
      </c>
      <c r="D3916" t="s">
        <v>310</v>
      </c>
      <c r="E3916" t="s">
        <v>311</v>
      </c>
    </row>
    <row r="3917">
      <c r="A3917" s="232" t="s">
        <v>7525</v>
      </c>
      <c r="B3917" t="s">
        <v>7526</v>
      </c>
      <c r="C3917">
        <v>0.0</v>
      </c>
      <c r="D3917" t="s">
        <v>310</v>
      </c>
      <c r="E3917" t="s">
        <v>565</v>
      </c>
    </row>
    <row r="3918">
      <c r="A3918" s="232" t="s">
        <v>7527</v>
      </c>
      <c r="B3918" t="s">
        <v>7528</v>
      </c>
      <c r="C3918">
        <v>0.0</v>
      </c>
      <c r="D3918" t="s">
        <v>310</v>
      </c>
      <c r="E3918" t="s">
        <v>565</v>
      </c>
    </row>
    <row r="3919">
      <c r="A3919" s="232" t="s">
        <v>7529</v>
      </c>
      <c r="B3919" t="s">
        <v>7530</v>
      </c>
      <c r="C3919">
        <v>0.0</v>
      </c>
      <c r="D3919" t="s">
        <v>310</v>
      </c>
      <c r="E3919" t="s">
        <v>311</v>
      </c>
    </row>
    <row r="3920">
      <c r="A3920" s="232" t="s">
        <v>7531</v>
      </c>
      <c r="B3920" t="s">
        <v>7532</v>
      </c>
      <c r="C3920">
        <v>0.0</v>
      </c>
      <c r="D3920" t="s">
        <v>310</v>
      </c>
      <c r="E3920" t="s">
        <v>311</v>
      </c>
    </row>
    <row r="3921">
      <c r="A3921" s="232" t="s">
        <v>7533</v>
      </c>
      <c r="B3921" t="s">
        <v>7534</v>
      </c>
      <c r="C3921">
        <v>0.0</v>
      </c>
      <c r="D3921" t="s">
        <v>310</v>
      </c>
      <c r="E3921" t="s">
        <v>311</v>
      </c>
    </row>
    <row r="3922">
      <c r="A3922" s="232" t="s">
        <v>7535</v>
      </c>
      <c r="B3922" t="s">
        <v>7536</v>
      </c>
      <c r="C3922">
        <v>0.0</v>
      </c>
      <c r="D3922" t="s">
        <v>310</v>
      </c>
      <c r="E3922" t="s">
        <v>311</v>
      </c>
    </row>
    <row r="3923">
      <c r="A3923" s="232" t="s">
        <v>7537</v>
      </c>
      <c r="B3923" t="s">
        <v>7538</v>
      </c>
      <c r="C3923">
        <v>0.0</v>
      </c>
      <c r="D3923" t="s">
        <v>310</v>
      </c>
      <c r="E3923" t="s">
        <v>311</v>
      </c>
    </row>
    <row r="3924">
      <c r="A3924" s="232" t="s">
        <v>7539</v>
      </c>
      <c r="B3924" t="s">
        <v>7540</v>
      </c>
      <c r="C3924">
        <v>0.0</v>
      </c>
      <c r="D3924" t="s">
        <v>310</v>
      </c>
      <c r="E3924" t="s">
        <v>311</v>
      </c>
    </row>
    <row r="3925">
      <c r="A3925" s="232" t="s">
        <v>7541</v>
      </c>
      <c r="B3925" t="s">
        <v>7542</v>
      </c>
      <c r="C3925">
        <v>0.0</v>
      </c>
      <c r="D3925" t="s">
        <v>310</v>
      </c>
      <c r="E3925" t="s">
        <v>311</v>
      </c>
    </row>
    <row r="3926">
      <c r="A3926" s="232" t="s">
        <v>7543</v>
      </c>
      <c r="B3926" t="s">
        <v>7544</v>
      </c>
      <c r="C3926">
        <v>0.0</v>
      </c>
      <c r="D3926" t="s">
        <v>310</v>
      </c>
      <c r="E3926" t="s">
        <v>311</v>
      </c>
    </row>
    <row r="3927">
      <c r="A3927" s="232" t="s">
        <v>7545</v>
      </c>
      <c r="B3927" t="s">
        <v>7546</v>
      </c>
      <c r="C3927">
        <v>0.0</v>
      </c>
      <c r="D3927" t="s">
        <v>310</v>
      </c>
      <c r="E3927" t="s">
        <v>311</v>
      </c>
    </row>
    <row r="3928">
      <c r="A3928" s="232" t="s">
        <v>7547</v>
      </c>
      <c r="B3928" t="s">
        <v>7548</v>
      </c>
      <c r="C3928">
        <v>0.0</v>
      </c>
      <c r="D3928" t="s">
        <v>310</v>
      </c>
      <c r="E3928" t="s">
        <v>311</v>
      </c>
    </row>
    <row r="3929">
      <c r="A3929" s="232" t="s">
        <v>7549</v>
      </c>
      <c r="B3929" t="s">
        <v>7550</v>
      </c>
      <c r="C3929">
        <v>347.0</v>
      </c>
      <c r="D3929" t="s">
        <v>330</v>
      </c>
      <c r="E3929" t="s">
        <v>311</v>
      </c>
    </row>
    <row r="3930">
      <c r="A3930" s="232" t="s">
        <v>7551</v>
      </c>
      <c r="B3930" t="s">
        <v>7552</v>
      </c>
      <c r="C3930">
        <v>0.0</v>
      </c>
      <c r="D3930" t="s">
        <v>310</v>
      </c>
      <c r="E3930" t="s">
        <v>311</v>
      </c>
    </row>
    <row r="3931">
      <c r="A3931" s="232" t="s">
        <v>7553</v>
      </c>
      <c r="B3931" t="s">
        <v>7554</v>
      </c>
      <c r="C3931">
        <v>0.0</v>
      </c>
      <c r="D3931" t="s">
        <v>310</v>
      </c>
      <c r="E3931" t="s">
        <v>311</v>
      </c>
    </row>
    <row r="3932">
      <c r="A3932" s="232" t="s">
        <v>7555</v>
      </c>
      <c r="B3932" t="s">
        <v>7556</v>
      </c>
      <c r="C3932">
        <v>0.0</v>
      </c>
      <c r="D3932" t="s">
        <v>310</v>
      </c>
      <c r="E3932" t="s">
        <v>311</v>
      </c>
    </row>
    <row r="3933">
      <c r="A3933" s="232" t="s">
        <v>7557</v>
      </c>
      <c r="B3933" t="s">
        <v>7558</v>
      </c>
      <c r="C3933">
        <v>0.0</v>
      </c>
      <c r="D3933" t="s">
        <v>310</v>
      </c>
      <c r="E3933" t="s">
        <v>311</v>
      </c>
    </row>
    <row r="3934">
      <c r="A3934" s="232" t="s">
        <v>7559</v>
      </c>
      <c r="B3934" t="s">
        <v>7560</v>
      </c>
      <c r="C3934">
        <v>0.0</v>
      </c>
      <c r="D3934" t="s">
        <v>310</v>
      </c>
      <c r="E3934" t="s">
        <v>311</v>
      </c>
    </row>
    <row r="3935">
      <c r="A3935" s="232" t="s">
        <v>7561</v>
      </c>
      <c r="B3935" t="s">
        <v>7562</v>
      </c>
      <c r="C3935">
        <v>0.0</v>
      </c>
      <c r="D3935" t="s">
        <v>310</v>
      </c>
      <c r="E3935" t="s">
        <v>311</v>
      </c>
    </row>
    <row r="3936">
      <c r="A3936" s="232" t="s">
        <v>7563</v>
      </c>
      <c r="B3936" t="s">
        <v>7564</v>
      </c>
      <c r="C3936">
        <v>0.0</v>
      </c>
      <c r="D3936" t="s">
        <v>310</v>
      </c>
      <c r="E3936" t="s">
        <v>311</v>
      </c>
    </row>
    <row r="3937">
      <c r="A3937" s="232" t="s">
        <v>7565</v>
      </c>
      <c r="B3937" t="s">
        <v>7566</v>
      </c>
      <c r="C3937">
        <v>0.0</v>
      </c>
      <c r="D3937" t="s">
        <v>310</v>
      </c>
      <c r="E3937" t="s">
        <v>311</v>
      </c>
    </row>
    <row r="3938">
      <c r="A3938" s="232" t="s">
        <v>7567</v>
      </c>
      <c r="B3938" t="s">
        <v>7568</v>
      </c>
      <c r="C3938">
        <v>0.0</v>
      </c>
      <c r="D3938" t="s">
        <v>330</v>
      </c>
      <c r="E3938" t="s">
        <v>565</v>
      </c>
    </row>
  </sheetData>
  <extLst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270"/>
  <sheetViews>
    <sheetView workbookViewId="0"/>
  </sheetViews>
  <sheetFormatPr defaultRowHeight="14.0" customHeight="1"/>
  <cols>
    <col min="1" max="1" style="126" width="67.83"/>
    <col min="2" max="2" style="126" width="23.18"/>
    <col min="3" max="3" style="126" width="5.43"/>
    <col min="4" max="4" style="126" width="12.98"/>
    <col min="5" max="5" width="13.24"/>
    <col min="6" max="6" width="13.24"/>
  </cols>
  <sheetData>
    <row r="1" ht="27.0">
      <c r="A1" s="234" t="s">
        <v>7569</v>
      </c>
      <c r="B1" s="234" t="s">
        <v>262</v>
      </c>
      <c r="C1" s="234" t="s">
        <v>22</v>
      </c>
      <c r="D1" s="235" t="s">
        <v>7570</v>
      </c>
    </row>
    <row r="2" ht="14.0">
      <c r="A2" s="236" t="s">
        <v>329</v>
      </c>
      <c r="B2" s="236" t="s">
        <v>328</v>
      </c>
      <c r="C2" s="126">
        <v>1000.0</v>
      </c>
      <c r="D2" s="236" t="s">
        <v>189</v>
      </c>
    </row>
    <row r="3" ht="14.0">
      <c r="A3" s="236" t="s">
        <v>332</v>
      </c>
      <c r="B3" s="236" t="s">
        <v>331</v>
      </c>
      <c r="C3" s="126">
        <v>1000.0</v>
      </c>
      <c r="D3" s="236" t="s">
        <v>189</v>
      </c>
    </row>
    <row r="4" ht="14.0">
      <c r="A4" s="236" t="s">
        <v>334</v>
      </c>
      <c r="B4" s="236" t="s">
        <v>333</v>
      </c>
      <c r="C4" s="126">
        <v>1000.0</v>
      </c>
      <c r="D4" s="236" t="s">
        <v>189</v>
      </c>
    </row>
    <row r="5" ht="14.0">
      <c r="A5" s="236" t="s">
        <v>336</v>
      </c>
      <c r="B5" s="236" t="s">
        <v>335</v>
      </c>
      <c r="C5" s="126">
        <v>1000.0</v>
      </c>
      <c r="D5" s="236" t="s">
        <v>189</v>
      </c>
    </row>
    <row r="6" ht="14.0">
      <c r="A6" s="236" t="s">
        <v>338</v>
      </c>
      <c r="B6" s="236" t="s">
        <v>337</v>
      </c>
      <c r="C6" s="126">
        <v>1000.0</v>
      </c>
      <c r="D6" s="236" t="s">
        <v>189</v>
      </c>
    </row>
    <row r="7" ht="14.0">
      <c r="A7" s="236" t="s">
        <v>340</v>
      </c>
      <c r="B7" s="236" t="s">
        <v>339</v>
      </c>
      <c r="C7" s="126">
        <v>1000.0</v>
      </c>
      <c r="D7" s="236" t="s">
        <v>189</v>
      </c>
    </row>
    <row r="8" ht="14.0">
      <c r="A8" s="236" t="s">
        <v>342</v>
      </c>
      <c r="B8" s="236" t="s">
        <v>341</v>
      </c>
      <c r="C8" s="236">
        <v>504.0</v>
      </c>
      <c r="D8" s="236" t="s">
        <v>189</v>
      </c>
    </row>
    <row r="9" ht="14.0">
      <c r="A9" s="236" t="s">
        <v>360</v>
      </c>
      <c r="B9" s="236" t="s">
        <v>359</v>
      </c>
      <c r="C9" s="236">
        <v>7.0</v>
      </c>
      <c r="D9" s="236" t="s">
        <v>189</v>
      </c>
    </row>
    <row r="10" ht="14.0">
      <c r="A10" s="236" t="s">
        <v>418</v>
      </c>
      <c r="B10" s="236" t="s">
        <v>417</v>
      </c>
      <c r="C10" s="126">
        <v>1014.0</v>
      </c>
      <c r="D10" s="236" t="s">
        <v>189</v>
      </c>
    </row>
    <row r="11" ht="14.0">
      <c r="A11" s="236" t="s">
        <v>420</v>
      </c>
      <c r="B11" s="236" t="s">
        <v>419</v>
      </c>
      <c r="C11" s="126">
        <v>1014.0</v>
      </c>
      <c r="D11" s="236" t="s">
        <v>189</v>
      </c>
    </row>
    <row r="12" ht="14.0">
      <c r="A12" s="236" t="s">
        <v>422</v>
      </c>
      <c r="B12" s="236" t="s">
        <v>421</v>
      </c>
      <c r="C12" s="126">
        <v>1014.0</v>
      </c>
      <c r="D12" s="236" t="s">
        <v>189</v>
      </c>
    </row>
    <row r="13" ht="14.0">
      <c r="A13" s="236" t="s">
        <v>424</v>
      </c>
      <c r="B13" s="236" t="s">
        <v>423</v>
      </c>
      <c r="C13" s="126">
        <v>1014.0</v>
      </c>
      <c r="D13" s="236" t="s">
        <v>189</v>
      </c>
    </row>
    <row r="14" ht="14.0">
      <c r="A14" s="236" t="s">
        <v>426</v>
      </c>
      <c r="B14" s="236" t="s">
        <v>425</v>
      </c>
      <c r="C14" s="126">
        <v>1014.0</v>
      </c>
      <c r="D14" s="236" t="s">
        <v>189</v>
      </c>
    </row>
    <row r="15" ht="14.0">
      <c r="A15" s="236" t="s">
        <v>428</v>
      </c>
      <c r="B15" s="236" t="s">
        <v>427</v>
      </c>
      <c r="C15" s="236"/>
      <c r="D15" s="236" t="s">
        <v>189</v>
      </c>
    </row>
    <row r="16" ht="14.0">
      <c r="A16" s="236" t="s">
        <v>430</v>
      </c>
      <c r="B16" s="236" t="s">
        <v>429</v>
      </c>
      <c r="C16" s="126">
        <v>1014.0</v>
      </c>
      <c r="D16" s="236" t="s">
        <v>189</v>
      </c>
    </row>
    <row r="17" ht="14.0">
      <c r="A17" s="236" t="s">
        <v>432</v>
      </c>
      <c r="B17" s="236" t="s">
        <v>431</v>
      </c>
      <c r="C17" s="126">
        <v>1014.0</v>
      </c>
      <c r="D17" s="236" t="s">
        <v>189</v>
      </c>
    </row>
    <row r="18" ht="14.0">
      <c r="A18" s="236" t="s">
        <v>434</v>
      </c>
      <c r="B18" s="236" t="s">
        <v>433</v>
      </c>
      <c r="C18" s="126">
        <v>1014.0</v>
      </c>
      <c r="D18" s="236" t="s">
        <v>189</v>
      </c>
    </row>
    <row r="19" ht="14.0">
      <c r="A19" s="236" t="s">
        <v>436</v>
      </c>
      <c r="B19" s="236" t="s">
        <v>435</v>
      </c>
      <c r="C19" s="126">
        <v>1014.0</v>
      </c>
      <c r="D19" s="236" t="s">
        <v>189</v>
      </c>
    </row>
    <row r="20" ht="14.0">
      <c r="A20" s="236" t="s">
        <v>438</v>
      </c>
      <c r="B20" s="236" t="s">
        <v>437</v>
      </c>
      <c r="C20" s="126">
        <v>1014.0</v>
      </c>
      <c r="D20" s="236" t="s">
        <v>189</v>
      </c>
    </row>
    <row r="21" ht="14.0">
      <c r="A21" s="236" t="s">
        <v>440</v>
      </c>
      <c r="B21" s="236" t="s">
        <v>439</v>
      </c>
      <c r="C21" s="126">
        <v>1014.0</v>
      </c>
      <c r="D21" s="236" t="s">
        <v>189</v>
      </c>
    </row>
    <row r="22" ht="14.0">
      <c r="A22" s="236" t="s">
        <v>444</v>
      </c>
      <c r="B22" s="236" t="s">
        <v>443</v>
      </c>
      <c r="C22" s="236"/>
      <c r="D22" s="236" t="s">
        <v>189</v>
      </c>
    </row>
    <row r="23" ht="14.0">
      <c r="A23" s="236" t="s">
        <v>446</v>
      </c>
      <c r="B23" s="236" t="s">
        <v>445</v>
      </c>
      <c r="C23" s="126">
        <v>1002.0</v>
      </c>
      <c r="D23" s="236"/>
    </row>
    <row r="24" ht="14.0">
      <c r="A24" s="236" t="s">
        <v>448</v>
      </c>
      <c r="B24" s="236" t="s">
        <v>447</v>
      </c>
      <c r="C24" s="236"/>
      <c r="D24" s="236" t="s">
        <v>189</v>
      </c>
    </row>
    <row r="25" ht="14.0">
      <c r="A25" s="236" t="s">
        <v>450</v>
      </c>
      <c r="B25" s="236" t="s">
        <v>449</v>
      </c>
      <c r="C25" s="236"/>
      <c r="D25" s="236" t="s">
        <v>189</v>
      </c>
    </row>
    <row r="26" ht="14.0">
      <c r="A26" s="236" t="s">
        <v>452</v>
      </c>
      <c r="B26" s="236" t="s">
        <v>451</v>
      </c>
      <c r="C26" s="126">
        <v>1002.0</v>
      </c>
      <c r="D26" s="236"/>
    </row>
    <row r="27" ht="14.0">
      <c r="A27" s="236" t="s">
        <v>454</v>
      </c>
      <c r="B27" s="236" t="s">
        <v>453</v>
      </c>
      <c r="C27" s="126">
        <v>1002.0</v>
      </c>
      <c r="D27" s="236"/>
    </row>
    <row r="28" ht="14.0">
      <c r="A28" s="236" t="s">
        <v>456</v>
      </c>
      <c r="B28" s="236" t="s">
        <v>455</v>
      </c>
      <c r="C28" s="126">
        <v>1002.0</v>
      </c>
      <c r="D28" s="236"/>
    </row>
    <row r="29" ht="14.0">
      <c r="A29" s="236" t="s">
        <v>458</v>
      </c>
      <c r="B29" s="236" t="s">
        <v>457</v>
      </c>
      <c r="C29" s="236"/>
      <c r="D29" s="236" t="s">
        <v>189</v>
      </c>
    </row>
    <row r="30" ht="14.0">
      <c r="A30" s="236" t="s">
        <v>460</v>
      </c>
      <c r="B30" s="236" t="s">
        <v>459</v>
      </c>
      <c r="C30" s="126">
        <v>1002.0</v>
      </c>
      <c r="D30" s="236"/>
    </row>
    <row r="31" ht="14.0">
      <c r="A31" s="236" t="s">
        <v>462</v>
      </c>
      <c r="B31" s="236" t="s">
        <v>461</v>
      </c>
      <c r="C31" s="126">
        <v>1002.0</v>
      </c>
      <c r="D31" s="236"/>
    </row>
    <row r="32" ht="14.0">
      <c r="A32" s="236" t="s">
        <v>464</v>
      </c>
      <c r="B32" s="236" t="s">
        <v>463</v>
      </c>
      <c r="C32" s="126">
        <v>1002.0</v>
      </c>
      <c r="D32" s="236"/>
    </row>
    <row r="33" ht="14.0">
      <c r="A33" s="236" t="s">
        <v>466</v>
      </c>
      <c r="B33" s="236" t="s">
        <v>465</v>
      </c>
      <c r="C33" s="236"/>
      <c r="D33" s="236" t="s">
        <v>189</v>
      </c>
    </row>
    <row r="34" ht="14.0">
      <c r="A34" s="236" t="s">
        <v>468</v>
      </c>
      <c r="B34" s="236" t="s">
        <v>467</v>
      </c>
      <c r="C34" s="126">
        <v>1002.0</v>
      </c>
      <c r="D34" s="236"/>
    </row>
    <row r="35" ht="14.0">
      <c r="A35" s="236" t="s">
        <v>470</v>
      </c>
      <c r="B35" s="236" t="s">
        <v>469</v>
      </c>
      <c r="C35" s="236"/>
      <c r="D35" s="236" t="s">
        <v>189</v>
      </c>
    </row>
    <row r="36" ht="14.0">
      <c r="A36" s="236" t="s">
        <v>472</v>
      </c>
      <c r="B36" s="236" t="s">
        <v>471</v>
      </c>
      <c r="C36" s="126">
        <v>1002.0</v>
      </c>
      <c r="D36" s="236"/>
    </row>
    <row r="37" ht="14.0">
      <c r="A37" s="236" t="s">
        <v>476</v>
      </c>
      <c r="B37" s="236" t="s">
        <v>475</v>
      </c>
      <c r="C37" s="126">
        <v>1002.0</v>
      </c>
      <c r="D37" s="236"/>
    </row>
    <row r="38" ht="14.0">
      <c r="A38" s="236" t="s">
        <v>478</v>
      </c>
      <c r="B38" s="236" t="s">
        <v>477</v>
      </c>
      <c r="C38" s="126">
        <v>1002.0</v>
      </c>
      <c r="D38" s="236"/>
    </row>
    <row r="39" ht="14.0">
      <c r="A39" s="236" t="s">
        <v>480</v>
      </c>
      <c r="B39" s="236" t="s">
        <v>479</v>
      </c>
      <c r="C39" s="126">
        <v>1002.0</v>
      </c>
      <c r="D39" s="236"/>
    </row>
    <row r="40" ht="14.0">
      <c r="A40" s="236" t="s">
        <v>482</v>
      </c>
      <c r="B40" s="236" t="s">
        <v>481</v>
      </c>
      <c r="C40" s="236"/>
      <c r="D40" s="236" t="s">
        <v>189</v>
      </c>
    </row>
    <row r="41" ht="14.0">
      <c r="A41" s="236" t="s">
        <v>484</v>
      </c>
      <c r="B41" s="236" t="s">
        <v>483</v>
      </c>
      <c r="C41" s="126">
        <v>1002.0</v>
      </c>
      <c r="D41" s="236"/>
    </row>
    <row r="42" ht="14.0">
      <c r="A42" s="236" t="s">
        <v>486</v>
      </c>
      <c r="B42" s="236" t="s">
        <v>485</v>
      </c>
      <c r="C42" s="236"/>
      <c r="D42" s="236" t="s">
        <v>189</v>
      </c>
    </row>
    <row r="43" ht="14.0">
      <c r="A43" s="236" t="s">
        <v>490</v>
      </c>
      <c r="B43" s="236" t="s">
        <v>489</v>
      </c>
      <c r="C43" s="126">
        <v>1002.0</v>
      </c>
      <c r="D43" s="236"/>
    </row>
    <row r="44" ht="14.0">
      <c r="A44" s="236" t="s">
        <v>492</v>
      </c>
      <c r="B44" s="236" t="s">
        <v>491</v>
      </c>
      <c r="C44" s="126">
        <v>1002.0</v>
      </c>
      <c r="D44" s="236"/>
    </row>
    <row r="45" ht="14.0">
      <c r="A45" s="236" t="s">
        <v>494</v>
      </c>
      <c r="B45" s="236" t="s">
        <v>493</v>
      </c>
      <c r="C45" s="126">
        <v>1002.0</v>
      </c>
      <c r="D45" s="236"/>
    </row>
    <row r="46" ht="14.0">
      <c r="A46" s="236" t="s">
        <v>496</v>
      </c>
      <c r="B46" s="236" t="s">
        <v>495</v>
      </c>
      <c r="C46" s="126">
        <v>1002.0</v>
      </c>
      <c r="D46" s="236"/>
    </row>
    <row r="47" ht="14.0">
      <c r="A47" s="236" t="s">
        <v>498</v>
      </c>
      <c r="B47" s="236" t="s">
        <v>497</v>
      </c>
      <c r="C47" s="126">
        <v>1002.0</v>
      </c>
      <c r="D47" s="236"/>
    </row>
    <row r="48" ht="14.0">
      <c r="A48" s="236" t="s">
        <v>500</v>
      </c>
      <c r="B48" s="236" t="s">
        <v>499</v>
      </c>
      <c r="C48" s="126">
        <v>1002.0</v>
      </c>
      <c r="D48" s="236"/>
    </row>
    <row r="49" ht="14.0">
      <c r="A49" s="236" t="s">
        <v>502</v>
      </c>
      <c r="B49" s="236" t="s">
        <v>501</v>
      </c>
      <c r="C49" s="126">
        <v>1002.0</v>
      </c>
      <c r="D49" s="236"/>
    </row>
    <row r="50" ht="14.0">
      <c r="A50" s="236" t="s">
        <v>504</v>
      </c>
      <c r="B50" s="236" t="s">
        <v>503</v>
      </c>
      <c r="C50" s="126">
        <v>1002.0</v>
      </c>
      <c r="D50" s="236"/>
    </row>
    <row r="51" ht="14.0">
      <c r="A51" s="236" t="s">
        <v>506</v>
      </c>
      <c r="B51" s="236" t="s">
        <v>505</v>
      </c>
      <c r="C51" s="126">
        <v>1002.0</v>
      </c>
      <c r="D51" s="236"/>
    </row>
    <row r="52" ht="14.0">
      <c r="A52" s="236" t="s">
        <v>508</v>
      </c>
      <c r="B52" s="236" t="s">
        <v>507</v>
      </c>
      <c r="C52" s="126">
        <v>1002.0</v>
      </c>
      <c r="D52" s="236"/>
    </row>
    <row r="53" ht="14.0">
      <c r="A53" s="236" t="s">
        <v>510</v>
      </c>
      <c r="B53" s="236" t="s">
        <v>509</v>
      </c>
      <c r="C53" s="126">
        <v>1002.0</v>
      </c>
      <c r="D53" s="236"/>
    </row>
    <row r="54" ht="14.0">
      <c r="A54" s="236" t="s">
        <v>512</v>
      </c>
      <c r="B54" s="236" t="s">
        <v>511</v>
      </c>
      <c r="C54" s="126">
        <v>1002.0</v>
      </c>
      <c r="D54" s="236" t="s">
        <v>7571</v>
      </c>
    </row>
    <row r="55" ht="14.0">
      <c r="A55" s="236" t="s">
        <v>514</v>
      </c>
      <c r="B55" s="236" t="s">
        <v>513</v>
      </c>
      <c r="C55" s="126">
        <v>1002.0</v>
      </c>
      <c r="D55" s="236"/>
    </row>
    <row r="56" ht="14.0">
      <c r="A56" s="236" t="s">
        <v>518</v>
      </c>
      <c r="B56" s="236" t="s">
        <v>517</v>
      </c>
      <c r="C56" s="126">
        <v>1002.0</v>
      </c>
      <c r="D56" s="236"/>
    </row>
    <row r="57" ht="14.0">
      <c r="A57" s="236" t="s">
        <v>520</v>
      </c>
      <c r="B57" s="236" t="s">
        <v>519</v>
      </c>
      <c r="C57" s="126">
        <v>1002.0</v>
      </c>
      <c r="D57" s="236"/>
    </row>
    <row r="58" ht="14.0">
      <c r="A58" s="236" t="s">
        <v>516</v>
      </c>
      <c r="B58" s="236" t="s">
        <v>515</v>
      </c>
      <c r="C58" s="126">
        <v>1002.0</v>
      </c>
      <c r="D58" s="236"/>
    </row>
    <row r="59" ht="14.0">
      <c r="A59" s="236" t="s">
        <v>522</v>
      </c>
      <c r="B59" s="236" t="s">
        <v>521</v>
      </c>
      <c r="C59" s="126">
        <v>1002.0</v>
      </c>
      <c r="D59" s="236"/>
    </row>
    <row r="60" ht="14.0">
      <c r="A60" s="236" t="s">
        <v>7572</v>
      </c>
      <c r="B60" s="236" t="s">
        <v>7573</v>
      </c>
      <c r="C60" s="236"/>
      <c r="D60" s="236"/>
    </row>
    <row r="61" ht="14.0">
      <c r="A61" s="236" t="s">
        <v>551</v>
      </c>
      <c r="B61" s="236" t="s">
        <v>550</v>
      </c>
      <c r="C61" s="236"/>
      <c r="D61" s="236"/>
    </row>
    <row r="62" ht="14.0">
      <c r="A62" s="236" t="s">
        <v>554</v>
      </c>
      <c r="B62" s="236" t="s">
        <v>553</v>
      </c>
      <c r="C62" s="236"/>
      <c r="D62" s="236" t="s">
        <v>189</v>
      </c>
    </row>
    <row r="63" ht="14.0">
      <c r="A63" s="236" t="s">
        <v>556</v>
      </c>
      <c r="B63" s="236" t="s">
        <v>555</v>
      </c>
      <c r="C63" s="236"/>
      <c r="D63" s="236"/>
    </row>
    <row r="64" ht="14.0">
      <c r="A64" s="236" t="s">
        <v>7574</v>
      </c>
      <c r="B64" s="236" t="s">
        <v>563</v>
      </c>
      <c r="C64" s="236"/>
      <c r="D64" s="236"/>
    </row>
    <row r="65" ht="14.0">
      <c r="A65" s="236" t="s">
        <v>7575</v>
      </c>
      <c r="B65" s="236" t="s">
        <v>561</v>
      </c>
      <c r="C65" s="236"/>
      <c r="D65" s="236"/>
    </row>
    <row r="66" ht="14.0">
      <c r="A66" s="236" t="s">
        <v>659</v>
      </c>
      <c r="B66" s="236" t="s">
        <v>658</v>
      </c>
      <c r="C66" s="236"/>
      <c r="D66" s="236" t="s">
        <v>189</v>
      </c>
    </row>
    <row r="67" ht="14.0">
      <c r="A67" s="236" t="s">
        <v>661</v>
      </c>
      <c r="B67" s="236" t="s">
        <v>660</v>
      </c>
      <c r="C67" s="236"/>
      <c r="D67" s="236" t="s">
        <v>189</v>
      </c>
    </row>
    <row r="68" ht="14.0">
      <c r="A68" s="236" t="s">
        <v>663</v>
      </c>
      <c r="B68" s="236" t="s">
        <v>662</v>
      </c>
      <c r="C68" s="236"/>
      <c r="D68" s="236" t="s">
        <v>189</v>
      </c>
    </row>
    <row r="69" ht="14.0">
      <c r="A69" s="236" t="s">
        <v>665</v>
      </c>
      <c r="B69" s="236" t="s">
        <v>664</v>
      </c>
      <c r="C69" s="236"/>
      <c r="D69" s="236" t="s">
        <v>189</v>
      </c>
    </row>
    <row r="70" ht="14.0">
      <c r="A70" s="236" t="s">
        <v>667</v>
      </c>
      <c r="B70" s="236" t="s">
        <v>666</v>
      </c>
      <c r="C70" s="236"/>
      <c r="D70" s="236" t="s">
        <v>189</v>
      </c>
    </row>
    <row r="71" ht="14.0">
      <c r="A71" s="236" t="s">
        <v>669</v>
      </c>
      <c r="B71" s="236" t="s">
        <v>668</v>
      </c>
      <c r="C71" s="236"/>
      <c r="D71" s="236" t="s">
        <v>189</v>
      </c>
    </row>
    <row r="72" ht="14.0">
      <c r="A72" s="236" t="s">
        <v>671</v>
      </c>
      <c r="B72" s="236" t="s">
        <v>670</v>
      </c>
      <c r="C72" s="236"/>
      <c r="D72" s="236" t="s">
        <v>189</v>
      </c>
    </row>
    <row r="73" ht="14.0">
      <c r="A73" s="236" t="s">
        <v>679</v>
      </c>
      <c r="B73" s="236" t="s">
        <v>678</v>
      </c>
      <c r="C73" s="236"/>
      <c r="D73" s="236" t="s">
        <v>189</v>
      </c>
    </row>
    <row r="74" ht="14.0">
      <c r="A74" s="236" t="s">
        <v>683</v>
      </c>
      <c r="B74" s="236" t="s">
        <v>682</v>
      </c>
      <c r="C74" s="126">
        <v>1008.0</v>
      </c>
      <c r="D74" s="236"/>
    </row>
    <row r="75" ht="14.0">
      <c r="A75" s="236" t="s">
        <v>695</v>
      </c>
      <c r="B75" s="236" t="s">
        <v>694</v>
      </c>
      <c r="C75" s="236"/>
      <c r="D75" s="236" t="s">
        <v>189</v>
      </c>
    </row>
    <row r="76" ht="14.0">
      <c r="A76" s="236" t="s">
        <v>701</v>
      </c>
      <c r="B76" s="236" t="s">
        <v>700</v>
      </c>
      <c r="C76" s="236"/>
      <c r="D76" s="236" t="s">
        <v>189</v>
      </c>
    </row>
    <row r="77" ht="14.0">
      <c r="A77" s="236" t="s">
        <v>715</v>
      </c>
      <c r="B77" s="236" t="s">
        <v>714</v>
      </c>
      <c r="C77" s="236"/>
      <c r="D77" s="236" t="s">
        <v>189</v>
      </c>
    </row>
    <row r="78" ht="14.0">
      <c r="A78" s="236" t="s">
        <v>719</v>
      </c>
      <c r="B78" s="236" t="s">
        <v>718</v>
      </c>
      <c r="C78" s="236"/>
      <c r="D78" s="236" t="s">
        <v>189</v>
      </c>
    </row>
    <row r="79" ht="14.0">
      <c r="A79" s="236" t="s">
        <v>727</v>
      </c>
      <c r="B79" s="236" t="s">
        <v>726</v>
      </c>
      <c r="C79" s="236"/>
      <c r="D79" s="236" t="s">
        <v>189</v>
      </c>
    </row>
    <row r="80" ht="14.0">
      <c r="A80" s="236" t="s">
        <v>729</v>
      </c>
      <c r="B80" s="236" t="s">
        <v>728</v>
      </c>
      <c r="C80" s="236"/>
      <c r="D80" s="236" t="s">
        <v>189</v>
      </c>
    </row>
    <row r="81" ht="14.0">
      <c r="A81" s="236" t="s">
        <v>733</v>
      </c>
      <c r="B81" s="236" t="s">
        <v>732</v>
      </c>
      <c r="C81" s="236"/>
      <c r="D81" s="236" t="s">
        <v>189</v>
      </c>
    </row>
    <row r="82" ht="14.0">
      <c r="A82" s="236" t="s">
        <v>741</v>
      </c>
      <c r="B82" s="236" t="s">
        <v>740</v>
      </c>
      <c r="C82" s="236"/>
      <c r="D82" s="236" t="s">
        <v>189</v>
      </c>
    </row>
    <row r="83" ht="14.0">
      <c r="A83" s="236" t="s">
        <v>743</v>
      </c>
      <c r="B83" s="236" t="s">
        <v>742</v>
      </c>
      <c r="C83" s="236"/>
      <c r="D83" s="236" t="s">
        <v>189</v>
      </c>
    </row>
    <row r="84" ht="14.0">
      <c r="A84" s="236" t="s">
        <v>745</v>
      </c>
      <c r="B84" s="236" t="s">
        <v>744</v>
      </c>
      <c r="C84" s="236"/>
      <c r="D84" s="236" t="s">
        <v>189</v>
      </c>
    </row>
    <row r="85" ht="14.0">
      <c r="A85" s="236" t="s">
        <v>747</v>
      </c>
      <c r="B85" s="236" t="s">
        <v>746</v>
      </c>
      <c r="C85" s="236"/>
      <c r="D85" s="236" t="s">
        <v>189</v>
      </c>
    </row>
    <row r="86" ht="14.0">
      <c r="A86" s="236" t="s">
        <v>749</v>
      </c>
      <c r="B86" s="236" t="s">
        <v>748</v>
      </c>
      <c r="C86" s="236"/>
      <c r="D86" s="236" t="s">
        <v>189</v>
      </c>
    </row>
    <row r="87" ht="14.0">
      <c r="A87" s="236" t="s">
        <v>751</v>
      </c>
      <c r="B87" s="236" t="s">
        <v>750</v>
      </c>
      <c r="C87" s="236"/>
      <c r="D87" s="236" t="s">
        <v>189</v>
      </c>
    </row>
    <row r="88" ht="14.0">
      <c r="A88" s="236" t="s">
        <v>753</v>
      </c>
      <c r="B88" s="236" t="s">
        <v>752</v>
      </c>
      <c r="C88" s="236"/>
      <c r="D88" s="236" t="s">
        <v>189</v>
      </c>
    </row>
    <row r="89" ht="14.0">
      <c r="A89" s="236" t="s">
        <v>755</v>
      </c>
      <c r="B89" s="236" t="s">
        <v>754</v>
      </c>
      <c r="C89" s="236"/>
      <c r="D89" s="236" t="s">
        <v>189</v>
      </c>
    </row>
    <row r="90" ht="14.0">
      <c r="A90" s="236" t="s">
        <v>759</v>
      </c>
      <c r="B90" s="236" t="s">
        <v>758</v>
      </c>
      <c r="C90" s="236"/>
      <c r="D90" s="236" t="s">
        <v>189</v>
      </c>
    </row>
    <row r="91" ht="14.0">
      <c r="A91" s="236" t="s">
        <v>761</v>
      </c>
      <c r="B91" s="236" t="s">
        <v>760</v>
      </c>
      <c r="C91" s="236"/>
      <c r="D91" s="236" t="s">
        <v>189</v>
      </c>
    </row>
    <row r="92" ht="14.0">
      <c r="A92" s="236" t="s">
        <v>763</v>
      </c>
      <c r="B92" s="236" t="s">
        <v>762</v>
      </c>
      <c r="C92" s="236"/>
      <c r="D92" s="236" t="s">
        <v>189</v>
      </c>
    </row>
    <row r="93" ht="14.0">
      <c r="A93" s="236" t="s">
        <v>765</v>
      </c>
      <c r="B93" s="236" t="s">
        <v>764</v>
      </c>
      <c r="C93" s="236"/>
      <c r="D93" s="236" t="s">
        <v>189</v>
      </c>
    </row>
    <row r="94" ht="14.0">
      <c r="A94" s="236" t="s">
        <v>767</v>
      </c>
      <c r="B94" s="236" t="s">
        <v>766</v>
      </c>
      <c r="C94" s="236"/>
      <c r="D94" s="236" t="s">
        <v>189</v>
      </c>
    </row>
    <row r="95" ht="14.0">
      <c r="A95" s="236" t="s">
        <v>769</v>
      </c>
      <c r="B95" s="236" t="s">
        <v>768</v>
      </c>
      <c r="C95" s="236"/>
      <c r="D95" s="236" t="s">
        <v>189</v>
      </c>
    </row>
    <row r="96" ht="14.0">
      <c r="A96" s="236" t="s">
        <v>771</v>
      </c>
      <c r="B96" s="236" t="s">
        <v>770</v>
      </c>
      <c r="C96" s="236"/>
      <c r="D96" s="236" t="s">
        <v>189</v>
      </c>
    </row>
    <row r="97" ht="14.0">
      <c r="A97" s="236" t="s">
        <v>773</v>
      </c>
      <c r="B97" s="236" t="s">
        <v>772</v>
      </c>
      <c r="C97" s="236"/>
      <c r="D97" s="236" t="s">
        <v>189</v>
      </c>
    </row>
    <row r="98" ht="14.0">
      <c r="A98" s="236" t="s">
        <v>775</v>
      </c>
      <c r="B98" s="236" t="s">
        <v>774</v>
      </c>
      <c r="C98" s="236"/>
      <c r="D98" s="236" t="s">
        <v>189</v>
      </c>
    </row>
    <row r="99" ht="14.0">
      <c r="A99" s="236" t="s">
        <v>777</v>
      </c>
      <c r="B99" s="236" t="s">
        <v>776</v>
      </c>
      <c r="C99" s="236"/>
      <c r="D99" s="236" t="s">
        <v>189</v>
      </c>
    </row>
    <row r="100" ht="14.0">
      <c r="A100" s="236" t="s">
        <v>779</v>
      </c>
      <c r="B100" s="236" t="s">
        <v>778</v>
      </c>
      <c r="C100" s="236"/>
      <c r="D100" s="236" t="s">
        <v>189</v>
      </c>
    </row>
    <row r="101" ht="14.0">
      <c r="A101" s="236" t="s">
        <v>781</v>
      </c>
      <c r="B101" s="236" t="s">
        <v>780</v>
      </c>
      <c r="C101" s="236"/>
      <c r="D101" s="236" t="s">
        <v>189</v>
      </c>
    </row>
    <row r="102" ht="14.0">
      <c r="A102" s="236" t="s">
        <v>789</v>
      </c>
      <c r="B102" s="236" t="s">
        <v>788</v>
      </c>
      <c r="C102" s="126">
        <v>1008.0</v>
      </c>
      <c r="D102" s="236"/>
    </row>
    <row r="103" ht="14.0">
      <c r="A103" s="236" t="s">
        <v>795</v>
      </c>
      <c r="B103" s="236" t="s">
        <v>794</v>
      </c>
      <c r="C103" s="236"/>
      <c r="D103" s="236"/>
    </row>
    <row r="104" ht="14.0">
      <c r="A104" s="236" t="s">
        <v>802</v>
      </c>
      <c r="B104" s="236">
        <v>37301.0</v>
      </c>
      <c r="C104" s="236">
        <v>36.0</v>
      </c>
      <c r="D104" s="236"/>
    </row>
    <row r="105" ht="14.0">
      <c r="A105" s="236" t="s">
        <v>803</v>
      </c>
      <c r="B105" s="236">
        <v>37327.0</v>
      </c>
      <c r="C105" s="236">
        <v>36.0</v>
      </c>
      <c r="D105" s="236"/>
    </row>
    <row r="106" ht="14.0">
      <c r="A106" s="236" t="s">
        <v>804</v>
      </c>
      <c r="B106" s="236">
        <v>37302.0</v>
      </c>
      <c r="C106" s="236">
        <v>36.0</v>
      </c>
      <c r="D106" s="236"/>
    </row>
    <row r="107" ht="14.0">
      <c r="A107" s="236" t="s">
        <v>805</v>
      </c>
      <c r="B107" s="236">
        <v>37303.0</v>
      </c>
      <c r="C107" s="236">
        <v>36.0</v>
      </c>
      <c r="D107" s="236"/>
    </row>
    <row r="108" ht="14.0">
      <c r="A108" s="236" t="s">
        <v>806</v>
      </c>
      <c r="B108" s="236">
        <v>37304.0</v>
      </c>
      <c r="C108" s="236">
        <v>36.0</v>
      </c>
      <c r="D108" s="236"/>
    </row>
    <row r="109" ht="14.0">
      <c r="A109" s="236" t="s">
        <v>807</v>
      </c>
      <c r="B109" s="236">
        <v>37305.0</v>
      </c>
      <c r="C109" s="236">
        <v>36.0</v>
      </c>
      <c r="D109" s="236"/>
    </row>
    <row r="110" ht="14.0">
      <c r="A110" s="236" t="s">
        <v>809</v>
      </c>
      <c r="B110" s="236">
        <v>37307.0</v>
      </c>
      <c r="C110" s="236">
        <v>36.0</v>
      </c>
      <c r="D110" s="236"/>
    </row>
    <row r="111" ht="14.0">
      <c r="A111" s="236" t="s">
        <v>810</v>
      </c>
      <c r="B111" s="236">
        <v>37308.0</v>
      </c>
      <c r="C111" s="236">
        <v>36.0</v>
      </c>
      <c r="D111" s="236"/>
    </row>
    <row r="112" ht="14.0">
      <c r="A112" s="236" t="s">
        <v>812</v>
      </c>
      <c r="B112" s="236">
        <v>37310.0</v>
      </c>
      <c r="C112" s="236">
        <v>36.0</v>
      </c>
      <c r="D112" s="236"/>
    </row>
    <row r="113" ht="14.0">
      <c r="A113" s="236" t="s">
        <v>813</v>
      </c>
      <c r="B113" s="236">
        <v>37311.0</v>
      </c>
      <c r="C113" s="236">
        <v>36.0</v>
      </c>
      <c r="D113" s="236"/>
    </row>
    <row r="114" ht="14.0">
      <c r="A114" s="236" t="s">
        <v>814</v>
      </c>
      <c r="B114" s="236">
        <v>37312.0</v>
      </c>
      <c r="C114" s="236">
        <v>36.0</v>
      </c>
      <c r="D114" s="236"/>
    </row>
    <row r="115" ht="14.0">
      <c r="A115" s="236" t="s">
        <v>815</v>
      </c>
      <c r="B115" s="236">
        <v>37313.0</v>
      </c>
      <c r="C115" s="236">
        <v>36.0</v>
      </c>
      <c r="D115" s="236"/>
    </row>
    <row r="116" ht="14.0">
      <c r="A116" s="236" t="s">
        <v>816</v>
      </c>
      <c r="B116" s="236">
        <v>37314.0</v>
      </c>
      <c r="C116" s="236">
        <v>36.0</v>
      </c>
      <c r="D116" s="236"/>
    </row>
    <row r="117" ht="14.0">
      <c r="A117" s="236" t="s">
        <v>817</v>
      </c>
      <c r="B117" s="236">
        <v>37315.0</v>
      </c>
      <c r="C117" s="236"/>
      <c r="D117" s="236" t="s">
        <v>189</v>
      </c>
    </row>
    <row r="118" ht="14.0">
      <c r="A118" s="236" t="s">
        <v>819</v>
      </c>
      <c r="B118" s="236">
        <v>37317.0</v>
      </c>
      <c r="C118" s="236">
        <v>36.0</v>
      </c>
      <c r="D118" s="236"/>
    </row>
    <row r="119" ht="14.0">
      <c r="A119" s="236" t="s">
        <v>820</v>
      </c>
      <c r="B119" s="236">
        <v>37318.0</v>
      </c>
      <c r="C119" s="236">
        <v>36.0</v>
      </c>
      <c r="D119" s="236"/>
    </row>
    <row r="120" ht="14.0">
      <c r="A120" s="236" t="s">
        <v>821</v>
      </c>
      <c r="B120" s="236">
        <v>37319.0</v>
      </c>
      <c r="C120" s="236">
        <v>36.0</v>
      </c>
      <c r="D120" s="236"/>
    </row>
    <row r="121" ht="14.0">
      <c r="A121" s="236" t="s">
        <v>823</v>
      </c>
      <c r="B121" s="236">
        <v>37321.0</v>
      </c>
      <c r="C121" s="236">
        <v>36.0</v>
      </c>
      <c r="D121" s="236"/>
    </row>
    <row r="122" ht="14.0">
      <c r="A122" s="236" t="s">
        <v>30</v>
      </c>
      <c r="B122" s="236" t="s">
        <v>31</v>
      </c>
      <c r="C122" s="236">
        <v>504.0</v>
      </c>
      <c r="D122" s="236"/>
    </row>
    <row r="123" ht="14.0">
      <c r="A123" s="236" t="s">
        <v>33</v>
      </c>
      <c r="B123" s="236" t="s">
        <v>34</v>
      </c>
      <c r="C123" s="236">
        <v>504.0</v>
      </c>
      <c r="D123" s="236"/>
    </row>
    <row r="124" ht="14.0">
      <c r="A124" s="236" t="s">
        <v>830</v>
      </c>
      <c r="B124" s="236" t="s">
        <v>829</v>
      </c>
      <c r="C124" s="236">
        <v>504.0</v>
      </c>
      <c r="D124" s="236" t="s">
        <v>189</v>
      </c>
    </row>
    <row r="125" ht="14.0">
      <c r="A125" s="236" t="s">
        <v>832</v>
      </c>
      <c r="B125" s="236" t="s">
        <v>831</v>
      </c>
      <c r="C125" s="236">
        <v>504.0</v>
      </c>
      <c r="D125" s="236" t="s">
        <v>189</v>
      </c>
    </row>
    <row r="126" ht="14.0">
      <c r="A126" s="236" t="s">
        <v>80</v>
      </c>
      <c r="B126" s="236" t="s">
        <v>81</v>
      </c>
      <c r="C126" s="126">
        <v>3000.0</v>
      </c>
      <c r="D126" s="236"/>
    </row>
    <row r="127" ht="14.0">
      <c r="A127" s="236" t="s">
        <v>88</v>
      </c>
      <c r="B127" s="236" t="s">
        <v>89</v>
      </c>
      <c r="C127" s="126">
        <v>3000.0</v>
      </c>
      <c r="D127" s="236"/>
    </row>
    <row r="128" ht="14.0">
      <c r="A128" s="236" t="s">
        <v>84</v>
      </c>
      <c r="B128" s="236" t="s">
        <v>85</v>
      </c>
      <c r="C128" s="126">
        <v>3000.0</v>
      </c>
      <c r="D128" s="236"/>
    </row>
    <row r="129" ht="14.0">
      <c r="A129" s="236" t="s">
        <v>86</v>
      </c>
      <c r="B129" s="236" t="s">
        <v>87</v>
      </c>
      <c r="C129" s="126">
        <v>3000.0</v>
      </c>
      <c r="D129" s="236"/>
    </row>
    <row r="130" ht="14.0">
      <c r="A130" s="236" t="s">
        <v>834</v>
      </c>
      <c r="B130" s="236" t="s">
        <v>833</v>
      </c>
      <c r="C130" s="236"/>
      <c r="D130" s="236" t="s">
        <v>189</v>
      </c>
    </row>
    <row r="131" ht="14.0">
      <c r="A131" s="236" t="s">
        <v>82</v>
      </c>
      <c r="B131" s="236" t="s">
        <v>83</v>
      </c>
      <c r="C131" s="126">
        <v>3000.0</v>
      </c>
      <c r="D131" s="236"/>
    </row>
    <row r="132" ht="14.0">
      <c r="A132" s="236" t="s">
        <v>90</v>
      </c>
      <c r="B132" s="236" t="s">
        <v>91</v>
      </c>
      <c r="C132" s="236"/>
      <c r="D132" s="236"/>
    </row>
    <row r="133" ht="14.0">
      <c r="A133" s="236" t="s">
        <v>46</v>
      </c>
      <c r="B133" s="236" t="s">
        <v>47</v>
      </c>
      <c r="C133" s="236">
        <v>300.0</v>
      </c>
      <c r="D133" s="236"/>
    </row>
    <row r="134" ht="14.0">
      <c r="A134" s="236" t="s">
        <v>840</v>
      </c>
      <c r="B134" s="236" t="s">
        <v>839</v>
      </c>
      <c r="C134" s="236">
        <v>504.0</v>
      </c>
      <c r="D134" s="236" t="s">
        <v>189</v>
      </c>
    </row>
    <row r="135" ht="14.0">
      <c r="A135" s="236" t="s">
        <v>842</v>
      </c>
      <c r="B135" s="236" t="s">
        <v>841</v>
      </c>
      <c r="C135" s="236">
        <v>420.0</v>
      </c>
      <c r="D135" s="236" t="s">
        <v>189</v>
      </c>
    </row>
    <row r="136" ht="14.0">
      <c r="A136" s="236" t="s">
        <v>35</v>
      </c>
      <c r="B136" s="236" t="s">
        <v>36</v>
      </c>
      <c r="C136" s="126">
        <v>1000.0</v>
      </c>
      <c r="D136" s="236"/>
    </row>
    <row r="137" ht="14.0">
      <c r="A137" s="236" t="s">
        <v>37</v>
      </c>
      <c r="B137" s="236" t="s">
        <v>38</v>
      </c>
      <c r="C137" s="126">
        <v>1000.0</v>
      </c>
      <c r="D137" s="236"/>
    </row>
    <row r="138" ht="14.0">
      <c r="A138" s="236" t="s">
        <v>844</v>
      </c>
      <c r="B138" s="236" t="s">
        <v>843</v>
      </c>
      <c r="C138" s="236"/>
      <c r="D138" s="236" t="s">
        <v>189</v>
      </c>
    </row>
    <row r="139" ht="14.0">
      <c r="A139" s="236" t="s">
        <v>39</v>
      </c>
      <c r="B139" s="236" t="s">
        <v>40</v>
      </c>
      <c r="C139" s="126">
        <v>1000.0</v>
      </c>
      <c r="D139" s="236"/>
    </row>
    <row r="140" ht="14.0">
      <c r="A140" s="236" t="s">
        <v>41</v>
      </c>
      <c r="B140" s="236" t="s">
        <v>42</v>
      </c>
      <c r="C140" s="126">
        <v>1000.0</v>
      </c>
      <c r="D140" s="236"/>
    </row>
    <row r="141" ht="14.0">
      <c r="A141" s="236" t="s">
        <v>848</v>
      </c>
      <c r="B141" s="236" t="s">
        <v>847</v>
      </c>
      <c r="C141" s="236">
        <v>504.0</v>
      </c>
      <c r="D141" s="236" t="s">
        <v>189</v>
      </c>
    </row>
    <row r="142" ht="14.0">
      <c r="A142" s="236" t="s">
        <v>846</v>
      </c>
      <c r="B142" s="236" t="s">
        <v>845</v>
      </c>
      <c r="C142" s="236">
        <v>504.0</v>
      </c>
      <c r="D142" s="236" t="s">
        <v>189</v>
      </c>
    </row>
    <row r="143" ht="14.0">
      <c r="A143" s="236" t="s">
        <v>850</v>
      </c>
      <c r="B143" s="236" t="s">
        <v>849</v>
      </c>
      <c r="C143" s="236"/>
      <c r="D143" s="236" t="s">
        <v>189</v>
      </c>
    </row>
    <row r="144" ht="14.0">
      <c r="A144" s="236" t="s">
        <v>43</v>
      </c>
      <c r="B144" s="236" t="s">
        <v>44</v>
      </c>
      <c r="C144" s="126">
        <v>1000.0</v>
      </c>
      <c r="D144" s="236"/>
    </row>
    <row r="145" ht="14.0">
      <c r="A145" s="236" t="s">
        <v>48</v>
      </c>
      <c r="B145" s="236" t="s">
        <v>49</v>
      </c>
      <c r="C145" s="236"/>
      <c r="D145" s="236"/>
    </row>
    <row r="146" ht="14.0">
      <c r="A146" s="236" t="s">
        <v>870</v>
      </c>
      <c r="B146" s="236" t="s">
        <v>869</v>
      </c>
      <c r="C146" s="236"/>
      <c r="D146" s="236" t="s">
        <v>189</v>
      </c>
    </row>
    <row r="147" ht="14.0">
      <c r="A147" s="236" t="s">
        <v>872</v>
      </c>
      <c r="B147" s="236" t="s">
        <v>871</v>
      </c>
      <c r="C147" s="236"/>
      <c r="D147" s="236" t="s">
        <v>189</v>
      </c>
    </row>
    <row r="148" ht="14.0">
      <c r="A148" s="236" t="s">
        <v>874</v>
      </c>
      <c r="B148" s="236" t="s">
        <v>873</v>
      </c>
      <c r="C148" s="236"/>
      <c r="D148" s="236" t="s">
        <v>189</v>
      </c>
    </row>
    <row r="149" ht="14.0">
      <c r="A149" s="236" t="s">
        <v>884</v>
      </c>
      <c r="B149" s="236" t="s">
        <v>883</v>
      </c>
      <c r="C149" s="236"/>
      <c r="D149" s="236" t="s">
        <v>189</v>
      </c>
    </row>
    <row r="150" ht="14.0">
      <c r="A150" s="236" t="s">
        <v>894</v>
      </c>
      <c r="B150" s="236" t="s">
        <v>893</v>
      </c>
      <c r="C150" s="126">
        <v>1002.0</v>
      </c>
      <c r="D150" s="236" t="s">
        <v>189</v>
      </c>
    </row>
    <row r="151" ht="14.0">
      <c r="A151" s="236" t="s">
        <v>896</v>
      </c>
      <c r="B151" s="236" t="s">
        <v>895</v>
      </c>
      <c r="C151" s="126">
        <v>1002.0</v>
      </c>
      <c r="D151" s="236" t="s">
        <v>189</v>
      </c>
    </row>
    <row r="152" ht="14.0">
      <c r="A152" s="236" t="s">
        <v>898</v>
      </c>
      <c r="B152" s="236" t="s">
        <v>897</v>
      </c>
      <c r="C152" s="126">
        <v>1002.0</v>
      </c>
      <c r="D152" s="236" t="s">
        <v>189</v>
      </c>
    </row>
    <row r="153" ht="14.0">
      <c r="A153" s="236" t="s">
        <v>900</v>
      </c>
      <c r="B153" s="236" t="s">
        <v>899</v>
      </c>
      <c r="C153" s="126">
        <v>1002.0</v>
      </c>
      <c r="D153" s="236" t="s">
        <v>189</v>
      </c>
    </row>
    <row r="154" ht="14.0">
      <c r="A154" s="236" t="s">
        <v>902</v>
      </c>
      <c r="B154" s="236" t="s">
        <v>901</v>
      </c>
      <c r="C154" s="126">
        <v>1002.0</v>
      </c>
      <c r="D154" s="236" t="s">
        <v>189</v>
      </c>
    </row>
    <row r="155" ht="14.0">
      <c r="A155" s="236" t="s">
        <v>904</v>
      </c>
      <c r="B155" s="236" t="s">
        <v>903</v>
      </c>
      <c r="C155" s="126">
        <v>1002.0</v>
      </c>
      <c r="D155" s="236" t="s">
        <v>189</v>
      </c>
    </row>
    <row r="156" ht="14.0">
      <c r="A156" s="236" t="s">
        <v>7576</v>
      </c>
      <c r="B156" s="236" t="s">
        <v>905</v>
      </c>
      <c r="C156" s="236">
        <v>200.0</v>
      </c>
      <c r="D156" s="236"/>
    </row>
    <row r="157" ht="14.0">
      <c r="A157" s="236" t="s">
        <v>916</v>
      </c>
      <c r="B157" s="236" t="s">
        <v>915</v>
      </c>
      <c r="C157" s="236"/>
      <c r="D157" s="236" t="s">
        <v>189</v>
      </c>
    </row>
    <row r="158" ht="14.0">
      <c r="A158" s="236" t="s">
        <v>1210</v>
      </c>
      <c r="B158" s="236" t="s">
        <v>1209</v>
      </c>
      <c r="C158" s="236"/>
      <c r="D158" s="236" t="s">
        <v>7571</v>
      </c>
    </row>
    <row r="159" ht="14.0">
      <c r="A159" s="236" t="s">
        <v>1212</v>
      </c>
      <c r="B159" s="236" t="s">
        <v>1211</v>
      </c>
      <c r="C159" s="236"/>
      <c r="D159" s="236" t="s">
        <v>7571</v>
      </c>
    </row>
    <row r="160" ht="14.0">
      <c r="A160" s="236" t="s">
        <v>1214</v>
      </c>
      <c r="B160" s="236" t="s">
        <v>1213</v>
      </c>
      <c r="C160" s="236">
        <v>250.0</v>
      </c>
      <c r="D160" s="236"/>
    </row>
    <row r="161" ht="14.0">
      <c r="A161" s="236" t="s">
        <v>1216</v>
      </c>
      <c r="B161" s="236" t="s">
        <v>1215</v>
      </c>
      <c r="C161" s="236">
        <v>250.0</v>
      </c>
      <c r="D161" s="236"/>
    </row>
    <row r="162" ht="14.0">
      <c r="A162" s="236" t="s">
        <v>1218</v>
      </c>
      <c r="B162" s="236" t="s">
        <v>1217</v>
      </c>
      <c r="C162" s="236">
        <v>250.0</v>
      </c>
      <c r="D162" s="236"/>
    </row>
    <row r="163" ht="14.0">
      <c r="A163" s="236" t="s">
        <v>1220</v>
      </c>
      <c r="B163" s="236" t="s">
        <v>1219</v>
      </c>
      <c r="C163" s="236">
        <v>250.0</v>
      </c>
      <c r="D163" s="236"/>
    </row>
    <row r="164" ht="14.0">
      <c r="A164" s="236" t="s">
        <v>1222</v>
      </c>
      <c r="B164" s="236" t="s">
        <v>1221</v>
      </c>
      <c r="C164" s="236">
        <v>250.0</v>
      </c>
      <c r="D164" s="236"/>
    </row>
    <row r="165" ht="14.0">
      <c r="A165" s="236" t="s">
        <v>1224</v>
      </c>
      <c r="B165" s="236" t="s">
        <v>1223</v>
      </c>
      <c r="C165" s="236">
        <v>250.0</v>
      </c>
      <c r="D165" s="236"/>
    </row>
    <row r="166" ht="14.0">
      <c r="A166" s="236" t="s">
        <v>1226</v>
      </c>
      <c r="B166" s="236" t="s">
        <v>1225</v>
      </c>
      <c r="C166" s="236">
        <v>250.0</v>
      </c>
      <c r="D166" s="236"/>
    </row>
    <row r="167" ht="14.0">
      <c r="A167" s="236" t="s">
        <v>1228</v>
      </c>
      <c r="B167" s="236" t="s">
        <v>1227</v>
      </c>
      <c r="C167" s="236">
        <v>250.0</v>
      </c>
      <c r="D167" s="236"/>
    </row>
    <row r="168" ht="14.0">
      <c r="A168" s="236" t="s">
        <v>1230</v>
      </c>
      <c r="B168" s="236" t="s">
        <v>1229</v>
      </c>
      <c r="C168" s="236">
        <v>250.0</v>
      </c>
      <c r="D168" s="236"/>
    </row>
    <row r="169" ht="14.0">
      <c r="A169" s="236" t="s">
        <v>1232</v>
      </c>
      <c r="B169" s="236" t="s">
        <v>1231</v>
      </c>
      <c r="C169" s="236">
        <v>250.0</v>
      </c>
      <c r="D169" s="236"/>
    </row>
    <row r="170" ht="14.0">
      <c r="A170" s="236" t="s">
        <v>1234</v>
      </c>
      <c r="B170" s="236" t="s">
        <v>1233</v>
      </c>
      <c r="C170" s="236">
        <v>250.0</v>
      </c>
      <c r="D170" s="236"/>
    </row>
    <row r="171" ht="14.0">
      <c r="A171" s="236" t="s">
        <v>1236</v>
      </c>
      <c r="B171" s="236" t="s">
        <v>1235</v>
      </c>
      <c r="C171" s="236">
        <v>250.0</v>
      </c>
      <c r="D171" s="236"/>
    </row>
    <row r="172" ht="14.0">
      <c r="A172" s="236" t="s">
        <v>1238</v>
      </c>
      <c r="B172" s="236" t="s">
        <v>1237</v>
      </c>
      <c r="C172" s="236">
        <v>250.0</v>
      </c>
      <c r="D172" s="236"/>
    </row>
    <row r="173" ht="14.0">
      <c r="A173" s="236" t="s">
        <v>1240</v>
      </c>
      <c r="B173" s="236" t="s">
        <v>1239</v>
      </c>
      <c r="C173" s="236">
        <v>250.0</v>
      </c>
      <c r="D173" s="236"/>
    </row>
    <row r="174" ht="14.0">
      <c r="A174" s="236" t="s">
        <v>1242</v>
      </c>
      <c r="B174" s="236" t="s">
        <v>1241</v>
      </c>
      <c r="C174" s="236">
        <v>250.0</v>
      </c>
      <c r="D174" s="236"/>
    </row>
    <row r="175" ht="14.0">
      <c r="A175" s="236" t="s">
        <v>1244</v>
      </c>
      <c r="B175" s="236" t="s">
        <v>1243</v>
      </c>
      <c r="C175" s="236">
        <v>250.0</v>
      </c>
      <c r="D175" s="236"/>
    </row>
    <row r="176" ht="14.0">
      <c r="A176" s="236" t="s">
        <v>1246</v>
      </c>
      <c r="B176" s="236" t="s">
        <v>1245</v>
      </c>
      <c r="C176" s="236">
        <v>250.0</v>
      </c>
      <c r="D176" s="236"/>
    </row>
    <row r="177" ht="14.0">
      <c r="A177" s="236" t="s">
        <v>1248</v>
      </c>
      <c r="B177" s="236" t="s">
        <v>1247</v>
      </c>
      <c r="C177" s="236">
        <v>250.0</v>
      </c>
      <c r="D177" s="236"/>
    </row>
    <row r="178" ht="14.0">
      <c r="A178" s="236" t="s">
        <v>1250</v>
      </c>
      <c r="B178" s="236" t="s">
        <v>1249</v>
      </c>
      <c r="C178" s="236">
        <v>250.0</v>
      </c>
      <c r="D178" s="236"/>
    </row>
    <row r="179" ht="14.0">
      <c r="A179" s="236" t="s">
        <v>1252</v>
      </c>
      <c r="B179" s="236" t="s">
        <v>1251</v>
      </c>
      <c r="C179" s="236">
        <v>250.0</v>
      </c>
      <c r="D179" s="236"/>
    </row>
    <row r="180" ht="14.0">
      <c r="A180" s="236" t="s">
        <v>1254</v>
      </c>
      <c r="B180" s="236" t="s">
        <v>1253</v>
      </c>
      <c r="C180" s="236">
        <v>250.0</v>
      </c>
      <c r="D180" s="236"/>
    </row>
    <row r="181" ht="14.0">
      <c r="A181" s="236" t="s">
        <v>1256</v>
      </c>
      <c r="B181" s="236" t="s">
        <v>1255</v>
      </c>
      <c r="C181" s="236">
        <v>250.0</v>
      </c>
      <c r="D181" s="236"/>
    </row>
    <row r="182" ht="14.0">
      <c r="A182" s="236" t="s">
        <v>1258</v>
      </c>
      <c r="B182" s="236" t="s">
        <v>1257</v>
      </c>
      <c r="C182" s="236">
        <v>250.0</v>
      </c>
      <c r="D182" s="236"/>
    </row>
    <row r="183" ht="14.0">
      <c r="A183" s="236" t="s">
        <v>1260</v>
      </c>
      <c r="B183" s="236" t="s">
        <v>1259</v>
      </c>
      <c r="C183" s="236">
        <v>250.0</v>
      </c>
      <c r="D183" s="236"/>
    </row>
    <row r="184" ht="14.0">
      <c r="A184" s="236" t="s">
        <v>1262</v>
      </c>
      <c r="B184" s="236" t="s">
        <v>1261</v>
      </c>
      <c r="C184" s="236">
        <v>250.0</v>
      </c>
      <c r="D184" s="236"/>
    </row>
    <row r="185" ht="14.0">
      <c r="A185" s="236" t="s">
        <v>1264</v>
      </c>
      <c r="B185" s="236" t="s">
        <v>1263</v>
      </c>
      <c r="C185" s="236">
        <v>250.0</v>
      </c>
      <c r="D185" s="236"/>
    </row>
    <row r="186" ht="14.0">
      <c r="A186" s="236" t="s">
        <v>1266</v>
      </c>
      <c r="B186" s="236" t="s">
        <v>1265</v>
      </c>
      <c r="C186" s="236">
        <v>250.0</v>
      </c>
      <c r="D186" s="236"/>
    </row>
    <row r="187" ht="14.0">
      <c r="A187" s="236" t="s">
        <v>1267</v>
      </c>
      <c r="B187" s="236" t="s">
        <v>1207</v>
      </c>
      <c r="C187" s="236">
        <v>250.0</v>
      </c>
      <c r="D187" s="236"/>
    </row>
    <row r="188" ht="14.0">
      <c r="A188" s="236" t="s">
        <v>1269</v>
      </c>
      <c r="B188" s="236" t="s">
        <v>1268</v>
      </c>
      <c r="C188" s="236">
        <v>250.0</v>
      </c>
      <c r="D188" s="236"/>
    </row>
    <row r="189" ht="14.0">
      <c r="A189" s="236" t="s">
        <v>1271</v>
      </c>
      <c r="B189" s="236" t="s">
        <v>1270</v>
      </c>
      <c r="C189" s="236">
        <v>250.0</v>
      </c>
      <c r="D189" s="236"/>
    </row>
    <row r="190" ht="14.0">
      <c r="A190" s="236" t="s">
        <v>1273</v>
      </c>
      <c r="B190" s="236" t="s">
        <v>1272</v>
      </c>
      <c r="C190" s="236">
        <v>250.0</v>
      </c>
      <c r="D190" s="236"/>
    </row>
    <row r="191" ht="14.0">
      <c r="A191" s="236" t="s">
        <v>1275</v>
      </c>
      <c r="B191" s="236" t="s">
        <v>1274</v>
      </c>
      <c r="C191" s="236">
        <v>250.0</v>
      </c>
      <c r="D191" s="236"/>
    </row>
    <row r="192" ht="14.0">
      <c r="A192" s="236" t="s">
        <v>1277</v>
      </c>
      <c r="B192" s="236" t="s">
        <v>1276</v>
      </c>
      <c r="C192" s="236">
        <v>250.0</v>
      </c>
      <c r="D192" s="236"/>
    </row>
    <row r="193" ht="14.0">
      <c r="A193" s="236" t="s">
        <v>1279</v>
      </c>
      <c r="B193" s="236" t="s">
        <v>1278</v>
      </c>
      <c r="C193" s="236">
        <v>250.0</v>
      </c>
      <c r="D193" s="236"/>
    </row>
    <row r="194" ht="14.0">
      <c r="A194" s="236" t="s">
        <v>1281</v>
      </c>
      <c r="B194" s="236" t="s">
        <v>1280</v>
      </c>
      <c r="C194" s="236">
        <v>250.0</v>
      </c>
      <c r="D194" s="236"/>
    </row>
    <row r="195" ht="14.0">
      <c r="A195" s="236" t="s">
        <v>1283</v>
      </c>
      <c r="B195" s="236" t="s">
        <v>1282</v>
      </c>
      <c r="C195" s="236">
        <v>250.0</v>
      </c>
      <c r="D195" s="236"/>
    </row>
    <row r="196" ht="14.0">
      <c r="A196" s="236" t="s">
        <v>1285</v>
      </c>
      <c r="B196" s="236" t="s">
        <v>1284</v>
      </c>
      <c r="C196" s="236">
        <v>250.0</v>
      </c>
      <c r="D196" s="236"/>
    </row>
    <row r="197" ht="14.0">
      <c r="A197" s="236" t="s">
        <v>1289</v>
      </c>
      <c r="B197" s="236" t="s">
        <v>1288</v>
      </c>
      <c r="C197" s="236"/>
      <c r="D197" s="236"/>
    </row>
    <row r="198" ht="14.0">
      <c r="A198" s="236" t="s">
        <v>1293</v>
      </c>
      <c r="B198" s="236" t="s">
        <v>1292</v>
      </c>
      <c r="C198" s="126">
        <v>1002.0</v>
      </c>
      <c r="D198" s="236" t="s">
        <v>189</v>
      </c>
    </row>
    <row r="199" ht="14.0">
      <c r="A199" s="236" t="s">
        <v>1295</v>
      </c>
      <c r="B199" s="236" t="s">
        <v>1294</v>
      </c>
      <c r="C199" s="126">
        <v>1002.0</v>
      </c>
      <c r="D199" s="236" t="s">
        <v>189</v>
      </c>
    </row>
    <row r="200" ht="14.0">
      <c r="A200" s="236" t="s">
        <v>1297</v>
      </c>
      <c r="B200" s="236" t="s">
        <v>1296</v>
      </c>
      <c r="C200" s="126">
        <v>1002.0</v>
      </c>
      <c r="D200" s="236" t="s">
        <v>189</v>
      </c>
    </row>
    <row r="201" ht="14.0">
      <c r="A201" s="236" t="s">
        <v>1299</v>
      </c>
      <c r="B201" s="236" t="s">
        <v>1298</v>
      </c>
      <c r="C201" s="126">
        <v>1002.0</v>
      </c>
      <c r="D201" s="236" t="s">
        <v>189</v>
      </c>
    </row>
    <row r="202" ht="14.0">
      <c r="A202" s="236" t="s">
        <v>1301</v>
      </c>
      <c r="B202" s="236" t="s">
        <v>1300</v>
      </c>
      <c r="C202" s="126">
        <v>1002.0</v>
      </c>
      <c r="D202" s="236" t="s">
        <v>189</v>
      </c>
    </row>
    <row r="203" ht="14.0">
      <c r="A203" s="236" t="s">
        <v>1303</v>
      </c>
      <c r="B203" s="236" t="s">
        <v>1302</v>
      </c>
      <c r="C203" s="126">
        <v>1002.0</v>
      </c>
      <c r="D203" s="236" t="s">
        <v>189</v>
      </c>
    </row>
    <row r="204" ht="14.0">
      <c r="A204" s="236" t="s">
        <v>1305</v>
      </c>
      <c r="B204" s="236" t="s">
        <v>1304</v>
      </c>
      <c r="C204" s="126">
        <v>1002.0</v>
      </c>
      <c r="D204" s="236" t="s">
        <v>189</v>
      </c>
    </row>
    <row r="205" ht="14.0">
      <c r="A205" s="236" t="s">
        <v>1307</v>
      </c>
      <c r="B205" s="236" t="s">
        <v>1306</v>
      </c>
      <c r="C205" s="126">
        <v>1002.0</v>
      </c>
      <c r="D205" s="236" t="s">
        <v>189</v>
      </c>
    </row>
    <row r="206" ht="14.0">
      <c r="A206" s="236" t="s">
        <v>1309</v>
      </c>
      <c r="B206" s="236" t="s">
        <v>1308</v>
      </c>
      <c r="C206" s="126">
        <v>1002.0</v>
      </c>
      <c r="D206" s="236" t="s">
        <v>189</v>
      </c>
    </row>
    <row r="207" ht="14.0">
      <c r="A207" s="236" t="s">
        <v>1313</v>
      </c>
      <c r="B207" s="236" t="s">
        <v>1312</v>
      </c>
      <c r="C207" s="236">
        <v>100.0</v>
      </c>
      <c r="D207" s="236" t="s">
        <v>189</v>
      </c>
    </row>
    <row r="208" ht="14.0">
      <c r="A208" s="236" t="s">
        <v>1317</v>
      </c>
      <c r="B208" s="236" t="s">
        <v>1316</v>
      </c>
      <c r="C208" s="236"/>
      <c r="D208" s="236" t="s">
        <v>189</v>
      </c>
    </row>
    <row r="209" ht="14.0">
      <c r="A209" s="236" t="s">
        <v>1321</v>
      </c>
      <c r="B209" s="236" t="s">
        <v>1320</v>
      </c>
      <c r="C209" s="126">
        <v>1000.0</v>
      </c>
      <c r="D209" s="236" t="s">
        <v>189</v>
      </c>
    </row>
    <row r="210" ht="14.0">
      <c r="A210" s="236" t="s">
        <v>1323</v>
      </c>
      <c r="B210" s="236" t="s">
        <v>1322</v>
      </c>
      <c r="C210" s="126">
        <v>1000.0</v>
      </c>
      <c r="D210" s="236" t="s">
        <v>189</v>
      </c>
    </row>
    <row r="211" ht="14.0">
      <c r="A211" s="236" t="s">
        <v>1325</v>
      </c>
      <c r="B211" s="236" t="s">
        <v>1324</v>
      </c>
      <c r="C211" s="126">
        <v>1000.0</v>
      </c>
      <c r="D211" s="236" t="s">
        <v>189</v>
      </c>
    </row>
    <row r="212" ht="14.0">
      <c r="A212" s="236" t="s">
        <v>1327</v>
      </c>
      <c r="B212" s="236" t="s">
        <v>1326</v>
      </c>
      <c r="C212" s="126">
        <v>1000.0</v>
      </c>
      <c r="D212" s="236" t="s">
        <v>189</v>
      </c>
    </row>
    <row r="213" ht="14.0">
      <c r="A213" s="236" t="s">
        <v>1329</v>
      </c>
      <c r="B213" s="236" t="s">
        <v>1328</v>
      </c>
      <c r="C213" s="126">
        <v>1000.0</v>
      </c>
      <c r="D213" s="236" t="s">
        <v>189</v>
      </c>
    </row>
    <row r="214" ht="14.0">
      <c r="A214" s="236" t="s">
        <v>1331</v>
      </c>
      <c r="B214" s="236" t="s">
        <v>1330</v>
      </c>
      <c r="C214" s="126">
        <v>1000.0</v>
      </c>
      <c r="D214" s="236" t="s">
        <v>189</v>
      </c>
    </row>
    <row r="215" ht="14.0">
      <c r="A215" s="236" t="s">
        <v>1333</v>
      </c>
      <c r="B215" s="236" t="s">
        <v>1332</v>
      </c>
      <c r="C215" s="236">
        <v>504.0</v>
      </c>
      <c r="D215" s="236" t="s">
        <v>189</v>
      </c>
    </row>
    <row r="216" ht="14.0">
      <c r="A216" s="236" t="s">
        <v>1335</v>
      </c>
      <c r="B216" s="236" t="s">
        <v>1334</v>
      </c>
      <c r="C216" s="236">
        <v>504.0</v>
      </c>
      <c r="D216" s="236" t="s">
        <v>189</v>
      </c>
    </row>
    <row r="217" ht="14.0">
      <c r="A217" s="236" t="s">
        <v>1337</v>
      </c>
      <c r="B217" s="236" t="s">
        <v>1336</v>
      </c>
      <c r="C217" s="236">
        <v>504.0</v>
      </c>
      <c r="D217" s="236" t="s">
        <v>189</v>
      </c>
    </row>
    <row r="218" ht="14.0">
      <c r="A218" s="236" t="s">
        <v>1339</v>
      </c>
      <c r="B218" s="236" t="s">
        <v>1338</v>
      </c>
      <c r="C218" s="236">
        <v>504.0</v>
      </c>
      <c r="D218" s="236" t="s">
        <v>189</v>
      </c>
    </row>
    <row r="219" ht="14.0">
      <c r="A219" s="236" t="s">
        <v>1341</v>
      </c>
      <c r="B219" s="236" t="s">
        <v>1340</v>
      </c>
      <c r="C219" s="236">
        <v>504.0</v>
      </c>
      <c r="D219" s="236" t="s">
        <v>189</v>
      </c>
    </row>
    <row r="220" ht="14.0">
      <c r="A220" s="236" t="s">
        <v>1343</v>
      </c>
      <c r="B220" s="236" t="s">
        <v>1342</v>
      </c>
      <c r="C220" s="236">
        <v>504.0</v>
      </c>
      <c r="D220" s="236" t="s">
        <v>189</v>
      </c>
    </row>
    <row r="221" ht="14.0">
      <c r="A221" s="236" t="s">
        <v>1345</v>
      </c>
      <c r="B221" s="236" t="s">
        <v>1344</v>
      </c>
      <c r="C221" s="236">
        <v>504.0</v>
      </c>
      <c r="D221" s="236" t="s">
        <v>189</v>
      </c>
    </row>
    <row r="222" ht="14.0">
      <c r="A222" s="236" t="s">
        <v>1347</v>
      </c>
      <c r="B222" s="236" t="s">
        <v>1346</v>
      </c>
      <c r="C222" s="236">
        <v>504.0</v>
      </c>
      <c r="D222" s="236" t="s">
        <v>189</v>
      </c>
    </row>
    <row r="223" ht="14.0">
      <c r="A223" s="236" t="s">
        <v>1349</v>
      </c>
      <c r="B223" s="236" t="s">
        <v>1348</v>
      </c>
      <c r="C223" s="236">
        <v>100.0</v>
      </c>
      <c r="D223" s="236" t="s">
        <v>189</v>
      </c>
    </row>
    <row r="224" ht="14.0">
      <c r="A224" s="236" t="s">
        <v>1351</v>
      </c>
      <c r="B224" s="236" t="s">
        <v>1350</v>
      </c>
      <c r="C224" s="236"/>
      <c r="D224" s="236" t="s">
        <v>189</v>
      </c>
    </row>
    <row r="225" ht="14.0">
      <c r="A225" s="236" t="s">
        <v>1357</v>
      </c>
      <c r="B225" s="236" t="s">
        <v>1356</v>
      </c>
      <c r="C225" s="236"/>
      <c r="D225" s="236" t="s">
        <v>189</v>
      </c>
    </row>
    <row r="226" ht="14.0">
      <c r="A226" s="236" t="s">
        <v>1359</v>
      </c>
      <c r="B226" s="236" t="s">
        <v>1358</v>
      </c>
      <c r="C226" s="126">
        <v>1002.0</v>
      </c>
      <c r="D226" s="236"/>
    </row>
    <row r="227" ht="14.0">
      <c r="A227" s="236" t="s">
        <v>1363</v>
      </c>
      <c r="B227" s="236" t="s">
        <v>1362</v>
      </c>
      <c r="C227" s="236"/>
      <c r="D227" s="236" t="s">
        <v>189</v>
      </c>
    </row>
    <row r="228" ht="14.0">
      <c r="A228" s="236" t="s">
        <v>1365</v>
      </c>
      <c r="B228" s="236" t="s">
        <v>1364</v>
      </c>
      <c r="C228" s="126">
        <v>1002.0</v>
      </c>
      <c r="D228" s="236"/>
    </row>
    <row r="229" ht="14.0">
      <c r="A229" s="236" t="s">
        <v>1367</v>
      </c>
      <c r="B229" s="236" t="s">
        <v>1366</v>
      </c>
      <c r="C229" s="236"/>
      <c r="D229" s="236" t="s">
        <v>189</v>
      </c>
    </row>
    <row r="230" ht="14.0">
      <c r="A230" s="236" t="s">
        <v>1371</v>
      </c>
      <c r="B230" s="236" t="s">
        <v>1370</v>
      </c>
      <c r="C230" s="126">
        <v>1002.0</v>
      </c>
      <c r="D230" s="236"/>
    </row>
    <row r="231" ht="14.0">
      <c r="A231" s="236" t="s">
        <v>1373</v>
      </c>
      <c r="B231" s="236" t="s">
        <v>1372</v>
      </c>
      <c r="C231" s="126">
        <v>1002.0</v>
      </c>
      <c r="D231" s="236" t="s">
        <v>7571</v>
      </c>
    </row>
    <row r="232" ht="14.0">
      <c r="A232" s="236" t="s">
        <v>1375</v>
      </c>
      <c r="B232" s="236" t="s">
        <v>1374</v>
      </c>
      <c r="C232" s="126">
        <v>1002.0</v>
      </c>
      <c r="D232" s="236"/>
    </row>
    <row r="233" ht="14.0">
      <c r="A233" s="236" t="s">
        <v>1381</v>
      </c>
      <c r="B233" s="236" t="s">
        <v>1380</v>
      </c>
      <c r="C233" s="236"/>
      <c r="D233" s="236" t="s">
        <v>189</v>
      </c>
    </row>
    <row r="234" ht="14.0">
      <c r="A234" s="236" t="s">
        <v>1383</v>
      </c>
      <c r="B234" s="236" t="s">
        <v>1382</v>
      </c>
      <c r="C234" s="236"/>
      <c r="D234" s="236" t="s">
        <v>189</v>
      </c>
    </row>
    <row r="235" ht="14.0">
      <c r="A235" s="236" t="s">
        <v>1385</v>
      </c>
      <c r="B235" s="236" t="s">
        <v>1384</v>
      </c>
      <c r="C235" s="236"/>
      <c r="D235" s="236" t="s">
        <v>189</v>
      </c>
    </row>
    <row r="236" ht="14.0">
      <c r="A236" s="236" t="s">
        <v>1388</v>
      </c>
      <c r="B236" s="236" t="s">
        <v>1387</v>
      </c>
      <c r="C236" s="236"/>
      <c r="D236" s="236" t="s">
        <v>189</v>
      </c>
    </row>
    <row r="237" ht="14.0">
      <c r="A237" s="236" t="s">
        <v>7577</v>
      </c>
      <c r="B237" s="236" t="s">
        <v>1395</v>
      </c>
      <c r="C237" s="236"/>
      <c r="D237" s="236" t="s">
        <v>189</v>
      </c>
    </row>
    <row r="238" ht="14.0">
      <c r="A238" s="236" t="s">
        <v>1392</v>
      </c>
      <c r="B238" s="236" t="s">
        <v>1391</v>
      </c>
      <c r="C238" s="236"/>
      <c r="D238" s="236" t="s">
        <v>7571</v>
      </c>
    </row>
    <row r="239" ht="14.0">
      <c r="A239" s="236" t="s">
        <v>7578</v>
      </c>
      <c r="B239" s="236" t="s">
        <v>1397</v>
      </c>
      <c r="C239" s="236"/>
      <c r="D239" s="236" t="s">
        <v>189</v>
      </c>
    </row>
    <row r="240" ht="14.0">
      <c r="A240" s="236" t="s">
        <v>1400</v>
      </c>
      <c r="B240" s="236" t="s">
        <v>1399</v>
      </c>
      <c r="C240" s="236"/>
      <c r="D240" s="236" t="s">
        <v>189</v>
      </c>
    </row>
    <row r="241" ht="14.0">
      <c r="A241" s="236" t="s">
        <v>1436</v>
      </c>
      <c r="B241" s="236" t="s">
        <v>1435</v>
      </c>
      <c r="C241" s="126">
        <v>1008.0</v>
      </c>
      <c r="D241" s="236"/>
    </row>
    <row r="242" ht="14.0">
      <c r="A242" s="236" t="s">
        <v>1438</v>
      </c>
      <c r="B242" s="236" t="s">
        <v>1437</v>
      </c>
      <c r="C242" s="126">
        <v>1008.0</v>
      </c>
      <c r="D242" s="236"/>
    </row>
    <row r="243" ht="14.0">
      <c r="A243" s="236" t="s">
        <v>1464</v>
      </c>
      <c r="B243" s="236" t="s">
        <v>1463</v>
      </c>
      <c r="C243" s="236">
        <v>300.0</v>
      </c>
      <c r="D243" s="236"/>
    </row>
    <row r="244" ht="14.0">
      <c r="A244" s="236" t="s">
        <v>1468</v>
      </c>
      <c r="B244" s="236" t="s">
        <v>1467</v>
      </c>
      <c r="C244" s="236">
        <v>300.0</v>
      </c>
      <c r="D244" s="236"/>
    </row>
    <row r="245" ht="14.0">
      <c r="A245" s="236" t="s">
        <v>7579</v>
      </c>
      <c r="B245" s="236" t="s">
        <v>1469</v>
      </c>
      <c r="C245" s="236"/>
      <c r="D245" s="236"/>
    </row>
    <row r="246" ht="14.0">
      <c r="A246" s="236" t="s">
        <v>1474</v>
      </c>
      <c r="B246" s="236" t="s">
        <v>1473</v>
      </c>
      <c r="C246" s="236">
        <v>300.0</v>
      </c>
      <c r="D246" s="236"/>
    </row>
    <row r="247" ht="14.0">
      <c r="A247" s="236" t="s">
        <v>1668</v>
      </c>
      <c r="B247" s="236" t="s">
        <v>1667</v>
      </c>
      <c r="C247" s="236"/>
      <c r="D247" s="236" t="s">
        <v>189</v>
      </c>
    </row>
    <row r="248" ht="14.0">
      <c r="A248" s="236" t="s">
        <v>1682</v>
      </c>
      <c r="B248" s="236" t="s">
        <v>1681</v>
      </c>
      <c r="C248" s="126">
        <v>1000.0</v>
      </c>
      <c r="D248" s="236" t="s">
        <v>189</v>
      </c>
    </row>
    <row r="249" ht="14.0">
      <c r="A249" s="236" t="s">
        <v>1684</v>
      </c>
      <c r="B249" s="236" t="s">
        <v>1683</v>
      </c>
      <c r="C249" s="126">
        <v>1000.0</v>
      </c>
      <c r="D249" s="236" t="s">
        <v>189</v>
      </c>
    </row>
    <row r="250" ht="14.0">
      <c r="A250" s="236" t="s">
        <v>1688</v>
      </c>
      <c r="B250" s="237" t="s">
        <v>1695</v>
      </c>
      <c r="C250" s="126">
        <v>1000.0</v>
      </c>
      <c r="D250" s="236" t="s">
        <v>189</v>
      </c>
    </row>
    <row r="251" ht="14.0">
      <c r="A251" s="236" t="s">
        <v>1690</v>
      </c>
      <c r="B251" s="236" t="s">
        <v>1689</v>
      </c>
      <c r="C251" s="126">
        <v>1000.0</v>
      </c>
      <c r="D251" s="236" t="s">
        <v>189</v>
      </c>
    </row>
    <row r="252" ht="14.0">
      <c r="A252" s="236" t="s">
        <v>1692</v>
      </c>
      <c r="B252" s="236" t="s">
        <v>1691</v>
      </c>
      <c r="C252" s="126">
        <v>1000.0</v>
      </c>
      <c r="D252" s="236" t="s">
        <v>189</v>
      </c>
    </row>
    <row r="253" ht="14.0">
      <c r="A253" s="236" t="s">
        <v>1694</v>
      </c>
      <c r="B253" s="236" t="s">
        <v>1693</v>
      </c>
      <c r="C253" s="126">
        <v>1000.0</v>
      </c>
      <c r="D253" s="236" t="s">
        <v>189</v>
      </c>
    </row>
    <row r="254" ht="14.0">
      <c r="A254" s="236" t="s">
        <v>1696</v>
      </c>
      <c r="B254" s="236" t="s">
        <v>1695</v>
      </c>
      <c r="C254" s="126">
        <v>1000.0</v>
      </c>
      <c r="D254" s="236" t="s">
        <v>189</v>
      </c>
    </row>
    <row r="255" ht="14.0">
      <c r="A255" s="236" t="s">
        <v>7580</v>
      </c>
      <c r="B255" s="236" t="s">
        <v>1685</v>
      </c>
      <c r="C255" s="126">
        <v>1000.0</v>
      </c>
      <c r="D255" s="236" t="s">
        <v>189</v>
      </c>
    </row>
    <row r="256" ht="14.0">
      <c r="A256" s="236" t="s">
        <v>1698</v>
      </c>
      <c r="B256" s="236" t="s">
        <v>1697</v>
      </c>
      <c r="C256" s="126">
        <v>1000.0</v>
      </c>
      <c r="D256" s="236"/>
    </row>
    <row r="257" ht="14.0">
      <c r="A257" s="236" t="s">
        <v>1700</v>
      </c>
      <c r="B257" s="236" t="s">
        <v>1699</v>
      </c>
      <c r="C257" s="126">
        <v>1000.0</v>
      </c>
      <c r="D257" s="236"/>
    </row>
    <row r="258" ht="14.0">
      <c r="A258" s="236" t="s">
        <v>1702</v>
      </c>
      <c r="B258" s="236" t="s">
        <v>1701</v>
      </c>
      <c r="C258" s="236">
        <v>500.0</v>
      </c>
      <c r="D258" s="236"/>
    </row>
    <row r="259" ht="14.0">
      <c r="A259" s="236" t="s">
        <v>1704</v>
      </c>
      <c r="B259" s="236" t="s">
        <v>1703</v>
      </c>
      <c r="C259" s="126">
        <v>1000.0</v>
      </c>
      <c r="D259" s="236"/>
    </row>
    <row r="260" ht="14.0">
      <c r="A260" s="236" t="s">
        <v>1706</v>
      </c>
      <c r="B260" s="236" t="s">
        <v>1705</v>
      </c>
      <c r="C260" s="126">
        <v>1000.0</v>
      </c>
      <c r="D260" s="236"/>
    </row>
    <row r="261" ht="14.0">
      <c r="A261" s="236" t="s">
        <v>1708</v>
      </c>
      <c r="B261" s="236" t="s">
        <v>1707</v>
      </c>
      <c r="C261" s="126">
        <v>1000.0</v>
      </c>
      <c r="D261" s="236"/>
    </row>
    <row r="262" ht="14.0">
      <c r="A262" s="236" t="s">
        <v>1710</v>
      </c>
      <c r="B262" s="236" t="s">
        <v>1709</v>
      </c>
      <c r="C262" s="126">
        <v>1000.0</v>
      </c>
      <c r="D262" s="236"/>
    </row>
    <row r="263" ht="14.0">
      <c r="A263" s="236" t="s">
        <v>1712</v>
      </c>
      <c r="B263" s="236" t="s">
        <v>1711</v>
      </c>
      <c r="C263" s="126">
        <v>1000.0</v>
      </c>
      <c r="D263" s="236"/>
    </row>
    <row r="264" ht="14.0">
      <c r="A264" s="236" t="s">
        <v>1714</v>
      </c>
      <c r="B264" s="236" t="s">
        <v>1713</v>
      </c>
      <c r="C264" s="126">
        <v>1000.0</v>
      </c>
      <c r="D264" s="236" t="s">
        <v>189</v>
      </c>
    </row>
    <row r="265" ht="14.0">
      <c r="A265" s="236" t="s">
        <v>1716</v>
      </c>
      <c r="B265" s="236" t="s">
        <v>1715</v>
      </c>
      <c r="C265" s="126">
        <v>1000.0</v>
      </c>
      <c r="D265" s="236" t="s">
        <v>189</v>
      </c>
    </row>
    <row r="266" ht="14.0">
      <c r="A266" s="236" t="s">
        <v>1720</v>
      </c>
      <c r="B266" s="236" t="s">
        <v>1719</v>
      </c>
      <c r="C266" s="126">
        <v>1000.0</v>
      </c>
      <c r="D266" s="236" t="s">
        <v>189</v>
      </c>
    </row>
    <row r="267" ht="14.0">
      <c r="A267" s="236" t="s">
        <v>1722</v>
      </c>
      <c r="B267" s="236" t="s">
        <v>1721</v>
      </c>
      <c r="C267" s="126">
        <v>1000.0</v>
      </c>
      <c r="D267" s="236" t="s">
        <v>189</v>
      </c>
    </row>
    <row r="268" ht="14.0">
      <c r="A268" s="236" t="s">
        <v>1724</v>
      </c>
      <c r="B268" s="236" t="s">
        <v>1723</v>
      </c>
      <c r="C268" s="126">
        <v>1000.0</v>
      </c>
      <c r="D268" s="236" t="s">
        <v>189</v>
      </c>
    </row>
    <row r="269" ht="14.0">
      <c r="A269" s="236" t="s">
        <v>1726</v>
      </c>
      <c r="B269" s="236" t="s">
        <v>1725</v>
      </c>
      <c r="C269" s="126">
        <v>1000.0</v>
      </c>
      <c r="D269" s="236" t="s">
        <v>189</v>
      </c>
    </row>
    <row r="270" ht="14.0">
      <c r="A270" s="236" t="s">
        <v>1728</v>
      </c>
      <c r="B270" s="236" t="s">
        <v>1727</v>
      </c>
      <c r="C270" s="126">
        <v>1000.0</v>
      </c>
      <c r="D270" s="236" t="s">
        <v>189</v>
      </c>
    </row>
    <row r="271" ht="14.0">
      <c r="A271" s="236" t="s">
        <v>7581</v>
      </c>
      <c r="B271" s="236" t="s">
        <v>1717</v>
      </c>
      <c r="C271" s="126">
        <v>1000.0</v>
      </c>
      <c r="D271" s="236" t="s">
        <v>189</v>
      </c>
    </row>
    <row r="272" ht="14.0">
      <c r="A272" s="236" t="s">
        <v>1730</v>
      </c>
      <c r="B272" s="236" t="s">
        <v>1729</v>
      </c>
      <c r="C272" s="126">
        <v>1000.0</v>
      </c>
      <c r="D272" s="236"/>
    </row>
    <row r="273" ht="14.0">
      <c r="A273" s="236" t="s">
        <v>1732</v>
      </c>
      <c r="B273" s="236" t="s">
        <v>1731</v>
      </c>
      <c r="C273" s="126">
        <v>1000.0</v>
      </c>
      <c r="D273" s="236" t="s">
        <v>189</v>
      </c>
    </row>
    <row r="274" ht="14.0">
      <c r="A274" s="236" t="s">
        <v>1734</v>
      </c>
      <c r="B274" s="236" t="s">
        <v>1733</v>
      </c>
      <c r="C274" s="126">
        <v>1000.0</v>
      </c>
      <c r="D274" s="236"/>
    </row>
    <row r="275" ht="14.0">
      <c r="A275" s="236" t="s">
        <v>1736</v>
      </c>
      <c r="B275" s="236" t="s">
        <v>1735</v>
      </c>
      <c r="C275" s="126">
        <v>1000.0</v>
      </c>
      <c r="D275" s="236"/>
    </row>
    <row r="276" ht="14.0">
      <c r="A276" s="236" t="s">
        <v>1738</v>
      </c>
      <c r="B276" s="236" t="s">
        <v>1737</v>
      </c>
      <c r="C276" s="126">
        <v>1000.0</v>
      </c>
      <c r="D276" s="236"/>
    </row>
    <row r="277" ht="14.0">
      <c r="A277" s="236" t="s">
        <v>7582</v>
      </c>
      <c r="B277" s="236" t="s">
        <v>5288</v>
      </c>
      <c r="C277" s="236">
        <v>501.0</v>
      </c>
      <c r="D277" s="236"/>
    </row>
    <row r="278" ht="14.0">
      <c r="A278" s="236" t="s">
        <v>1740</v>
      </c>
      <c r="B278" s="236" t="s">
        <v>1739</v>
      </c>
      <c r="C278" s="126">
        <v>1000.0</v>
      </c>
      <c r="D278" s="236"/>
    </row>
    <row r="279" ht="14.0">
      <c r="A279" s="236" t="s">
        <v>1742</v>
      </c>
      <c r="B279" s="236" t="s">
        <v>1741</v>
      </c>
      <c r="C279" s="126">
        <v>1000.0</v>
      </c>
      <c r="D279" s="236" t="s">
        <v>189</v>
      </c>
    </row>
    <row r="280" ht="14.0">
      <c r="A280" s="236" t="s">
        <v>1744</v>
      </c>
      <c r="B280" s="236" t="s">
        <v>1743</v>
      </c>
      <c r="C280" s="126">
        <v>1000.0</v>
      </c>
      <c r="D280" s="236" t="s">
        <v>189</v>
      </c>
    </row>
    <row r="281" ht="14.0">
      <c r="A281" s="236" t="s">
        <v>1746</v>
      </c>
      <c r="B281" s="236" t="s">
        <v>1745</v>
      </c>
      <c r="C281" s="126">
        <v>1000.0</v>
      </c>
      <c r="D281" s="236" t="s">
        <v>189</v>
      </c>
    </row>
    <row r="282" ht="14.0">
      <c r="A282" s="236" t="s">
        <v>1748</v>
      </c>
      <c r="B282" s="236" t="s">
        <v>1747</v>
      </c>
      <c r="C282" s="126">
        <v>1000.0</v>
      </c>
      <c r="D282" s="236" t="s">
        <v>189</v>
      </c>
    </row>
    <row r="283" ht="14.0">
      <c r="A283" s="236" t="s">
        <v>1750</v>
      </c>
      <c r="B283" s="236" t="s">
        <v>1749</v>
      </c>
      <c r="C283" s="126">
        <v>1000.0</v>
      </c>
      <c r="D283" s="236" t="s">
        <v>189</v>
      </c>
    </row>
    <row r="284" ht="14.0">
      <c r="A284" s="236" t="s">
        <v>1752</v>
      </c>
      <c r="B284" s="236" t="s">
        <v>1751</v>
      </c>
      <c r="C284" s="126">
        <v>1000.0</v>
      </c>
      <c r="D284" s="236" t="s">
        <v>189</v>
      </c>
    </row>
    <row r="285" ht="14.0">
      <c r="A285" s="236" t="s">
        <v>1754</v>
      </c>
      <c r="B285" s="236" t="s">
        <v>1753</v>
      </c>
      <c r="C285" s="236">
        <v>501.0</v>
      </c>
      <c r="D285" s="236" t="s">
        <v>189</v>
      </c>
    </row>
    <row r="286" ht="14.0">
      <c r="A286" s="236" t="s">
        <v>1756</v>
      </c>
      <c r="B286" s="236" t="s">
        <v>1755</v>
      </c>
      <c r="C286" s="126">
        <v>1000.0</v>
      </c>
      <c r="D286" s="236" t="s">
        <v>189</v>
      </c>
    </row>
    <row r="287" ht="14.0">
      <c r="A287" s="236" t="s">
        <v>1758</v>
      </c>
      <c r="B287" s="236" t="s">
        <v>1757</v>
      </c>
      <c r="C287" s="126">
        <v>1000.0</v>
      </c>
      <c r="D287" s="236" t="s">
        <v>189</v>
      </c>
    </row>
    <row r="288" ht="14.0">
      <c r="A288" s="236" t="s">
        <v>1760</v>
      </c>
      <c r="B288" s="236" t="s">
        <v>1759</v>
      </c>
      <c r="C288" s="236"/>
      <c r="D288" s="236" t="s">
        <v>189</v>
      </c>
    </row>
    <row r="289" ht="14.0">
      <c r="A289" s="236" t="s">
        <v>1762</v>
      </c>
      <c r="B289" s="236" t="s">
        <v>1761</v>
      </c>
      <c r="C289" s="236"/>
      <c r="D289" s="236" t="s">
        <v>189</v>
      </c>
    </row>
    <row r="290" ht="14.0">
      <c r="A290" s="236" t="s">
        <v>1764</v>
      </c>
      <c r="B290" s="236" t="s">
        <v>1763</v>
      </c>
      <c r="C290" s="126">
        <v>1000.0</v>
      </c>
      <c r="D290" s="236" t="s">
        <v>189</v>
      </c>
    </row>
    <row r="291" ht="14.0">
      <c r="A291" s="236" t="s">
        <v>1766</v>
      </c>
      <c r="B291" s="236" t="s">
        <v>1765</v>
      </c>
      <c r="C291" s="126">
        <v>1000.0</v>
      </c>
      <c r="D291" s="236"/>
    </row>
    <row r="292" ht="14.0">
      <c r="A292" s="236" t="s">
        <v>1768</v>
      </c>
      <c r="B292" s="236" t="s">
        <v>1767</v>
      </c>
      <c r="C292" s="126">
        <v>1000.0</v>
      </c>
      <c r="D292" s="236" t="s">
        <v>189</v>
      </c>
    </row>
    <row r="293" ht="14.0">
      <c r="A293" s="236" t="s">
        <v>1770</v>
      </c>
      <c r="B293" s="236" t="s">
        <v>1769</v>
      </c>
      <c r="C293" s="236"/>
      <c r="D293" s="236" t="s">
        <v>189</v>
      </c>
    </row>
    <row r="294" ht="14.0">
      <c r="A294" s="236" t="s">
        <v>1772</v>
      </c>
      <c r="B294" s="236" t="s">
        <v>1771</v>
      </c>
      <c r="C294" s="236"/>
      <c r="D294" s="236" t="s">
        <v>189</v>
      </c>
    </row>
    <row r="295" ht="14.0">
      <c r="A295" s="236" t="s">
        <v>7583</v>
      </c>
      <c r="B295" s="236" t="s">
        <v>1773</v>
      </c>
      <c r="C295" s="236">
        <v>500.0</v>
      </c>
      <c r="D295" s="236" t="s">
        <v>189</v>
      </c>
    </row>
    <row r="296" ht="14.0">
      <c r="A296" s="236" t="s">
        <v>1776</v>
      </c>
      <c r="B296" s="236" t="s">
        <v>1775</v>
      </c>
      <c r="C296" s="236"/>
      <c r="D296" s="236" t="s">
        <v>189</v>
      </c>
    </row>
    <row r="297" ht="14.0">
      <c r="A297" s="236" t="s">
        <v>1778</v>
      </c>
      <c r="B297" s="236" t="s">
        <v>1777</v>
      </c>
      <c r="C297" s="236">
        <v>150.0</v>
      </c>
      <c r="D297" s="236"/>
    </row>
    <row r="298" ht="14.0">
      <c r="A298" s="236" t="s">
        <v>1780</v>
      </c>
      <c r="B298" s="236" t="s">
        <v>1779</v>
      </c>
      <c r="C298" s="236"/>
      <c r="D298" s="236" t="s">
        <v>189</v>
      </c>
    </row>
    <row r="299" ht="14.0">
      <c r="A299" s="236" t="s">
        <v>1782</v>
      </c>
      <c r="B299" s="236" t="s">
        <v>1781</v>
      </c>
      <c r="C299" s="236"/>
      <c r="D299" s="236" t="s">
        <v>189</v>
      </c>
    </row>
    <row r="300" ht="14.0">
      <c r="A300" s="236" t="s">
        <v>1784</v>
      </c>
      <c r="B300" s="236" t="s">
        <v>1783</v>
      </c>
      <c r="C300" s="236"/>
      <c r="D300" s="236" t="s">
        <v>189</v>
      </c>
    </row>
    <row r="301" ht="14.0">
      <c r="A301" s="236" t="s">
        <v>1786</v>
      </c>
      <c r="B301" s="236" t="s">
        <v>1785</v>
      </c>
      <c r="C301" s="236"/>
      <c r="D301" s="236" t="s">
        <v>189</v>
      </c>
    </row>
    <row r="302" ht="14.0">
      <c r="A302" s="236" t="s">
        <v>1788</v>
      </c>
      <c r="B302" s="236" t="s">
        <v>1787</v>
      </c>
      <c r="C302" s="236"/>
      <c r="D302" s="236" t="s">
        <v>189</v>
      </c>
    </row>
    <row r="303" ht="14.0">
      <c r="A303" s="236" t="s">
        <v>7584</v>
      </c>
      <c r="B303" s="236" t="s">
        <v>1789</v>
      </c>
      <c r="C303" s="236"/>
      <c r="D303" s="236" t="s">
        <v>189</v>
      </c>
    </row>
    <row r="304" ht="14.0">
      <c r="A304" s="236" t="s">
        <v>5784</v>
      </c>
      <c r="B304" s="236" t="s">
        <v>5783</v>
      </c>
      <c r="C304" s="236">
        <v>500.0</v>
      </c>
      <c r="D304" s="236" t="s">
        <v>189</v>
      </c>
    </row>
    <row r="305" ht="14.0">
      <c r="A305" s="236" t="s">
        <v>5786</v>
      </c>
      <c r="B305" s="236" t="s">
        <v>5785</v>
      </c>
      <c r="C305" s="236">
        <v>500.0</v>
      </c>
      <c r="D305" s="236"/>
    </row>
    <row r="306" ht="14.0">
      <c r="A306" s="236" t="s">
        <v>5790</v>
      </c>
      <c r="B306" s="236" t="s">
        <v>5789</v>
      </c>
      <c r="C306" s="236">
        <v>500.0</v>
      </c>
      <c r="D306" s="236"/>
    </row>
    <row r="307" ht="14.0">
      <c r="A307" s="236" t="s">
        <v>5794</v>
      </c>
      <c r="B307" s="236" t="s">
        <v>5793</v>
      </c>
      <c r="C307" s="236">
        <v>500.0</v>
      </c>
      <c r="D307" s="236"/>
    </row>
    <row r="308" ht="14.0">
      <c r="A308" s="236" t="s">
        <v>1792</v>
      </c>
      <c r="B308" s="236" t="s">
        <v>1791</v>
      </c>
      <c r="C308" s="236">
        <v>500.0</v>
      </c>
      <c r="D308" s="236" t="s">
        <v>189</v>
      </c>
    </row>
    <row r="309" ht="14.0">
      <c r="A309" s="236" t="s">
        <v>1794</v>
      </c>
      <c r="B309" s="236" t="s">
        <v>1793</v>
      </c>
      <c r="C309" s="236"/>
      <c r="D309" s="236" t="s">
        <v>189</v>
      </c>
    </row>
    <row r="310" ht="14.0">
      <c r="A310" s="236" t="s">
        <v>1798</v>
      </c>
      <c r="B310" s="236" t="s">
        <v>1797</v>
      </c>
      <c r="C310" s="236"/>
      <c r="D310" s="236" t="s">
        <v>189</v>
      </c>
    </row>
    <row r="311" ht="14.0">
      <c r="A311" s="236" t="s">
        <v>1821</v>
      </c>
      <c r="B311" s="236">
        <v>34801.0</v>
      </c>
      <c r="C311" s="236"/>
      <c r="D311" s="236" t="s">
        <v>189</v>
      </c>
    </row>
    <row r="312" ht="14.0">
      <c r="A312" s="236" t="s">
        <v>1822</v>
      </c>
      <c r="B312" s="236">
        <v>34802.0</v>
      </c>
      <c r="C312" s="236"/>
      <c r="D312" s="236" t="s">
        <v>189</v>
      </c>
    </row>
    <row r="313" ht="14.0">
      <c r="A313" s="236" t="s">
        <v>1823</v>
      </c>
      <c r="B313" s="236">
        <v>34803.0</v>
      </c>
      <c r="C313" s="236"/>
      <c r="D313" s="236" t="s">
        <v>189</v>
      </c>
    </row>
    <row r="314" ht="14.0">
      <c r="A314" s="236" t="s">
        <v>1824</v>
      </c>
      <c r="B314" s="236">
        <v>34804.0</v>
      </c>
      <c r="C314" s="236"/>
      <c r="D314" s="236" t="s">
        <v>189</v>
      </c>
    </row>
    <row r="315" ht="14.0">
      <c r="A315" s="236" t="s">
        <v>1826</v>
      </c>
      <c r="B315" s="236" t="s">
        <v>1825</v>
      </c>
      <c r="C315" s="236">
        <v>30.0</v>
      </c>
      <c r="D315" s="236"/>
    </row>
    <row r="316" ht="14.0">
      <c r="A316" s="236" t="s">
        <v>1829</v>
      </c>
      <c r="B316" s="236">
        <v>92601.0</v>
      </c>
      <c r="C316" s="236"/>
      <c r="D316" s="236" t="s">
        <v>189</v>
      </c>
    </row>
    <row r="317" ht="14.0">
      <c r="A317" s="236" t="s">
        <v>1830</v>
      </c>
      <c r="B317" s="236">
        <v>92602.0</v>
      </c>
      <c r="C317" s="236"/>
      <c r="D317" s="236" t="s">
        <v>189</v>
      </c>
    </row>
    <row r="318" ht="14.0">
      <c r="A318" s="236" t="s">
        <v>1831</v>
      </c>
      <c r="B318" s="236">
        <v>92603.0</v>
      </c>
      <c r="C318" s="236"/>
      <c r="D318" s="236" t="s">
        <v>189</v>
      </c>
    </row>
    <row r="319" ht="14.0">
      <c r="A319" s="236" t="s">
        <v>1832</v>
      </c>
      <c r="B319" s="236">
        <v>92604.0</v>
      </c>
      <c r="C319" s="236"/>
      <c r="D319" s="236" t="s">
        <v>189</v>
      </c>
    </row>
    <row r="320" ht="14.0">
      <c r="A320" s="236" t="s">
        <v>1833</v>
      </c>
      <c r="B320" s="236">
        <v>92605.0</v>
      </c>
      <c r="C320" s="236"/>
      <c r="D320" s="236" t="s">
        <v>189</v>
      </c>
    </row>
    <row r="321" ht="14.0">
      <c r="A321" s="236" t="s">
        <v>1834</v>
      </c>
      <c r="B321" s="236">
        <v>92606.0</v>
      </c>
      <c r="C321" s="236"/>
      <c r="D321" s="236" t="s">
        <v>189</v>
      </c>
    </row>
    <row r="322" ht="14.0">
      <c r="A322" s="236" t="s">
        <v>1836</v>
      </c>
      <c r="B322" s="236">
        <v>92608.0</v>
      </c>
      <c r="C322" s="236"/>
      <c r="D322" s="236" t="s">
        <v>189</v>
      </c>
    </row>
    <row r="323" ht="14.0">
      <c r="A323" s="236" t="s">
        <v>1838</v>
      </c>
      <c r="B323" s="236">
        <v>92610.0</v>
      </c>
      <c r="C323" s="236"/>
      <c r="D323" s="236" t="s">
        <v>189</v>
      </c>
    </row>
    <row r="324" ht="14.0">
      <c r="A324" s="236" t="s">
        <v>1839</v>
      </c>
      <c r="B324" s="236">
        <v>92611.0</v>
      </c>
      <c r="C324" s="236"/>
      <c r="D324" s="236" t="s">
        <v>189</v>
      </c>
    </row>
    <row r="325" ht="14.0">
      <c r="A325" s="236" t="s">
        <v>1840</v>
      </c>
      <c r="B325" s="236">
        <v>92612.0</v>
      </c>
      <c r="C325" s="236"/>
      <c r="D325" s="236" t="s">
        <v>189</v>
      </c>
    </row>
    <row r="326" ht="14.0">
      <c r="A326" s="236" t="s">
        <v>1841</v>
      </c>
      <c r="B326" s="236">
        <v>92613.0</v>
      </c>
      <c r="C326" s="236"/>
      <c r="D326" s="236" t="s">
        <v>189</v>
      </c>
    </row>
    <row r="327" ht="14.0">
      <c r="A327" s="236" t="s">
        <v>1845</v>
      </c>
      <c r="B327" s="236">
        <v>92618.0</v>
      </c>
      <c r="C327" s="236"/>
      <c r="D327" s="236" t="s">
        <v>189</v>
      </c>
    </row>
    <row r="328" ht="14.0">
      <c r="A328" s="236" t="s">
        <v>1846</v>
      </c>
      <c r="B328" s="236">
        <v>92619.0</v>
      </c>
      <c r="C328" s="236"/>
      <c r="D328" s="236" t="s">
        <v>189</v>
      </c>
    </row>
    <row r="329" ht="14.0">
      <c r="A329" s="236" t="s">
        <v>1854</v>
      </c>
      <c r="B329" s="236" t="s">
        <v>1853</v>
      </c>
      <c r="C329" s="236"/>
      <c r="D329" s="236" t="s">
        <v>189</v>
      </c>
    </row>
    <row r="330" ht="14.0">
      <c r="A330" s="236" t="s">
        <v>1856</v>
      </c>
      <c r="B330" s="236" t="s">
        <v>1855</v>
      </c>
      <c r="C330" s="126">
        <v>1002.0</v>
      </c>
      <c r="D330" s="236"/>
    </row>
    <row r="331" ht="14.0">
      <c r="A331" s="236" t="s">
        <v>1858</v>
      </c>
      <c r="B331" s="236" t="s">
        <v>1857</v>
      </c>
      <c r="C331" s="126">
        <v>1002.0</v>
      </c>
      <c r="D331" s="236"/>
    </row>
    <row r="332" ht="14.0">
      <c r="A332" s="236" t="s">
        <v>1860</v>
      </c>
      <c r="B332" s="236" t="s">
        <v>1859</v>
      </c>
      <c r="C332" s="126">
        <v>1002.0</v>
      </c>
      <c r="D332" s="236"/>
    </row>
    <row r="333" ht="14.0">
      <c r="A333" s="236" t="s">
        <v>1862</v>
      </c>
      <c r="B333" s="236" t="s">
        <v>1861</v>
      </c>
      <c r="C333" s="126">
        <v>1002.0</v>
      </c>
      <c r="D333" s="236"/>
    </row>
    <row r="334" ht="14.0">
      <c r="A334" s="236" t="s">
        <v>1864</v>
      </c>
      <c r="B334" s="236" t="s">
        <v>1863</v>
      </c>
      <c r="C334" s="126">
        <v>1002.0</v>
      </c>
      <c r="D334" s="236"/>
    </row>
    <row r="335" ht="14.0">
      <c r="A335" s="236" t="s">
        <v>1866</v>
      </c>
      <c r="B335" s="236" t="s">
        <v>1865</v>
      </c>
      <c r="C335" s="126">
        <v>1002.0</v>
      </c>
      <c r="D335" s="236"/>
    </row>
    <row r="336" ht="14.0">
      <c r="A336" s="236" t="s">
        <v>1868</v>
      </c>
      <c r="B336" s="236" t="s">
        <v>1867</v>
      </c>
      <c r="C336" s="126">
        <v>1002.0</v>
      </c>
      <c r="D336" s="236"/>
    </row>
    <row r="337" ht="14.0">
      <c r="A337" s="236" t="s">
        <v>1870</v>
      </c>
      <c r="B337" s="236" t="s">
        <v>1869</v>
      </c>
      <c r="C337" s="126">
        <v>1002.0</v>
      </c>
      <c r="D337" s="236"/>
    </row>
    <row r="338" ht="14.0">
      <c r="A338" s="236" t="s">
        <v>1872</v>
      </c>
      <c r="B338" s="236" t="s">
        <v>1871</v>
      </c>
      <c r="C338" s="126">
        <v>1002.0</v>
      </c>
      <c r="D338" s="236"/>
    </row>
    <row r="339" ht="14.0">
      <c r="A339" s="236" t="s">
        <v>1874</v>
      </c>
      <c r="B339" s="236" t="s">
        <v>1873</v>
      </c>
      <c r="C339" s="126">
        <v>1002.0</v>
      </c>
      <c r="D339" s="236"/>
    </row>
    <row r="340" ht="14.0">
      <c r="A340" s="236" t="s">
        <v>1876</v>
      </c>
      <c r="B340" s="236" t="s">
        <v>1875</v>
      </c>
      <c r="C340" s="126">
        <v>1002.0</v>
      </c>
      <c r="D340" s="236"/>
    </row>
    <row r="341" ht="14.0">
      <c r="A341" s="236" t="s">
        <v>1878</v>
      </c>
      <c r="B341" s="236" t="s">
        <v>1877</v>
      </c>
      <c r="C341" s="126">
        <v>1002.0</v>
      </c>
      <c r="D341" s="236"/>
    </row>
    <row r="342" ht="14.0">
      <c r="A342" s="236" t="s">
        <v>1880</v>
      </c>
      <c r="B342" s="236" t="s">
        <v>1879</v>
      </c>
      <c r="C342" s="236"/>
      <c r="D342" s="236" t="s">
        <v>189</v>
      </c>
    </row>
    <row r="343" ht="14.0">
      <c r="A343" s="236" t="s">
        <v>7585</v>
      </c>
      <c r="B343" s="236" t="s">
        <v>1905</v>
      </c>
      <c r="C343" s="236"/>
      <c r="D343" s="236"/>
    </row>
    <row r="344" ht="14.0">
      <c r="A344" s="236" t="s">
        <v>7586</v>
      </c>
      <c r="B344" s="236" t="s">
        <v>1907</v>
      </c>
      <c r="C344" s="236"/>
      <c r="D344" s="236"/>
    </row>
    <row r="345" ht="14.0">
      <c r="A345" s="236" t="s">
        <v>1910</v>
      </c>
      <c r="B345" s="236">
        <v>43332.0</v>
      </c>
      <c r="C345" s="236"/>
      <c r="D345" s="236"/>
    </row>
    <row r="346" ht="14.0">
      <c r="A346" s="236" t="s">
        <v>1911</v>
      </c>
      <c r="B346" s="236">
        <v>43301.0</v>
      </c>
      <c r="C346" s="236"/>
      <c r="D346" s="236"/>
    </row>
    <row r="347" ht="14.0">
      <c r="A347" s="236" t="s">
        <v>1912</v>
      </c>
      <c r="B347" s="236">
        <v>43302.0</v>
      </c>
      <c r="C347" s="236"/>
      <c r="D347" s="236"/>
    </row>
    <row r="348" ht="14.0">
      <c r="A348" s="236" t="s">
        <v>1913</v>
      </c>
      <c r="B348" s="236">
        <v>43303.0</v>
      </c>
      <c r="C348" s="236"/>
      <c r="D348" s="236" t="s">
        <v>189</v>
      </c>
    </row>
    <row r="349" ht="14.0">
      <c r="A349" s="236" t="s">
        <v>1914</v>
      </c>
      <c r="B349" s="236">
        <v>43304.0</v>
      </c>
      <c r="C349" s="236"/>
      <c r="D349" s="236"/>
    </row>
    <row r="350" ht="14.0">
      <c r="A350" s="236" t="s">
        <v>1915</v>
      </c>
      <c r="B350" s="236">
        <v>992432.0</v>
      </c>
      <c r="C350" s="236"/>
      <c r="D350" s="236"/>
    </row>
    <row r="351" ht="14.0">
      <c r="A351" s="236" t="s">
        <v>1917</v>
      </c>
      <c r="B351" s="236">
        <v>41201.0</v>
      </c>
      <c r="C351" s="236"/>
      <c r="D351" s="236"/>
    </row>
    <row r="352" ht="14.0">
      <c r="A352" s="236" t="s">
        <v>1918</v>
      </c>
      <c r="B352" s="236">
        <v>41202.0</v>
      </c>
      <c r="C352" s="236"/>
      <c r="D352" s="236"/>
    </row>
    <row r="353" ht="14.0">
      <c r="A353" s="236" t="s">
        <v>1919</v>
      </c>
      <c r="B353" s="236">
        <v>41233.0</v>
      </c>
      <c r="C353" s="236"/>
      <c r="D353" s="236"/>
    </row>
    <row r="354" ht="14.0">
      <c r="A354" s="236" t="s">
        <v>1920</v>
      </c>
      <c r="B354" s="236">
        <v>41234.0</v>
      </c>
      <c r="C354" s="236"/>
      <c r="D354" s="236"/>
    </row>
    <row r="355" ht="14.0">
      <c r="A355" s="236" t="s">
        <v>1921</v>
      </c>
      <c r="B355" s="236">
        <v>41205.0</v>
      </c>
      <c r="C355" s="236"/>
      <c r="D355" s="236"/>
    </row>
    <row r="356" ht="14.0">
      <c r="A356" s="236" t="s">
        <v>1922</v>
      </c>
      <c r="B356" s="236">
        <v>41203.0</v>
      </c>
      <c r="C356" s="236"/>
      <c r="D356" s="236" t="s">
        <v>189</v>
      </c>
    </row>
    <row r="357" ht="14.0">
      <c r="A357" s="236" t="s">
        <v>1923</v>
      </c>
      <c r="B357" s="236">
        <v>41204.0</v>
      </c>
      <c r="C357" s="236"/>
      <c r="D357" s="236" t="s">
        <v>189</v>
      </c>
    </row>
    <row r="358" ht="14.0">
      <c r="A358" s="236" t="s">
        <v>1925</v>
      </c>
      <c r="B358" s="236" t="s">
        <v>1924</v>
      </c>
      <c r="C358" s="236"/>
      <c r="D358" s="236"/>
    </row>
    <row r="359" ht="14.0">
      <c r="A359" s="236" t="s">
        <v>1927</v>
      </c>
      <c r="B359" s="236" t="s">
        <v>1926</v>
      </c>
      <c r="C359" s="236"/>
      <c r="D359" s="236"/>
    </row>
    <row r="360" ht="14.0">
      <c r="A360" s="236" t="s">
        <v>1928</v>
      </c>
      <c r="B360" s="236">
        <v>79602.0</v>
      </c>
      <c r="C360" s="236">
        <v>42.0</v>
      </c>
      <c r="D360" s="236"/>
    </row>
    <row r="361" ht="14.0">
      <c r="A361" s="236" t="s">
        <v>1929</v>
      </c>
      <c r="B361" s="236">
        <v>79605.0</v>
      </c>
      <c r="C361" s="236">
        <v>42.0</v>
      </c>
      <c r="D361" s="236"/>
    </row>
    <row r="362" ht="14.0">
      <c r="A362" s="236" t="s">
        <v>1930</v>
      </c>
      <c r="B362" s="236">
        <v>79603.0</v>
      </c>
      <c r="C362" s="236">
        <v>42.0</v>
      </c>
      <c r="D362" s="236"/>
    </row>
    <row r="363" ht="14.0">
      <c r="A363" s="236" t="s">
        <v>1931</v>
      </c>
      <c r="B363" s="236">
        <v>79604.0</v>
      </c>
      <c r="C363" s="236">
        <v>42.0</v>
      </c>
      <c r="D363" s="236"/>
    </row>
    <row r="364" ht="14.0">
      <c r="A364" s="236" t="s">
        <v>1932</v>
      </c>
      <c r="B364" s="236">
        <v>79606.0</v>
      </c>
      <c r="C364" s="236">
        <v>42.0</v>
      </c>
      <c r="D364" s="236"/>
    </row>
    <row r="365" ht="14.0">
      <c r="A365" s="236" t="s">
        <v>1933</v>
      </c>
      <c r="B365" s="236">
        <v>79601.0</v>
      </c>
      <c r="C365" s="236">
        <v>42.0</v>
      </c>
      <c r="D365" s="236"/>
    </row>
    <row r="366" ht="14.0">
      <c r="A366" s="236" t="s">
        <v>1937</v>
      </c>
      <c r="B366" s="236" t="s">
        <v>1936</v>
      </c>
      <c r="C366" s="236"/>
      <c r="D366" s="236"/>
    </row>
    <row r="367" ht="14.0">
      <c r="A367" s="236" t="s">
        <v>1938</v>
      </c>
      <c r="B367" s="236">
        <v>40601.0</v>
      </c>
      <c r="C367" s="236"/>
      <c r="D367" s="236" t="s">
        <v>189</v>
      </c>
    </row>
    <row r="368" ht="14.0">
      <c r="A368" s="236" t="s">
        <v>1939</v>
      </c>
      <c r="B368" s="236">
        <v>40602.0</v>
      </c>
      <c r="C368" s="236"/>
      <c r="D368" s="236" t="s">
        <v>189</v>
      </c>
    </row>
    <row r="369" ht="14.0">
      <c r="A369" s="236" t="s">
        <v>1940</v>
      </c>
      <c r="B369" s="236">
        <v>40603.0</v>
      </c>
      <c r="C369" s="236"/>
      <c r="D369" s="236" t="s">
        <v>189</v>
      </c>
    </row>
    <row r="370" ht="14.0">
      <c r="A370" s="236" t="s">
        <v>1941</v>
      </c>
      <c r="B370" s="236">
        <v>40604.0</v>
      </c>
      <c r="C370" s="236"/>
      <c r="D370" s="236" t="s">
        <v>189</v>
      </c>
    </row>
    <row r="371" ht="14.0">
      <c r="A371" s="236" t="s">
        <v>1943</v>
      </c>
      <c r="B371" s="236" t="s">
        <v>1942</v>
      </c>
      <c r="C371" s="236"/>
      <c r="D371" s="236"/>
    </row>
    <row r="372" ht="14.0">
      <c r="A372" s="236" t="s">
        <v>1945</v>
      </c>
      <c r="B372" s="236" t="s">
        <v>1944</v>
      </c>
      <c r="C372" s="236"/>
      <c r="D372" s="236" t="s">
        <v>189</v>
      </c>
    </row>
    <row r="373" ht="14.0">
      <c r="A373" s="236" t="s">
        <v>1946</v>
      </c>
      <c r="B373" s="236">
        <v>43203.0</v>
      </c>
      <c r="C373" s="236"/>
      <c r="D373" s="236"/>
    </row>
    <row r="374" ht="14.0">
      <c r="A374" s="236" t="s">
        <v>1947</v>
      </c>
      <c r="B374" s="236">
        <v>43232.0</v>
      </c>
      <c r="C374" s="236"/>
      <c r="D374" s="236"/>
    </row>
    <row r="375" ht="14.0">
      <c r="A375" s="236" t="s">
        <v>1948</v>
      </c>
      <c r="B375" s="236">
        <v>43206.0</v>
      </c>
      <c r="C375" s="236"/>
      <c r="D375" s="236"/>
    </row>
    <row r="376" ht="14.0">
      <c r="A376" s="236" t="s">
        <v>1950</v>
      </c>
      <c r="B376" s="236">
        <v>43215.0</v>
      </c>
      <c r="C376" s="236"/>
      <c r="D376" s="236"/>
    </row>
    <row r="377" ht="14.0">
      <c r="A377" s="236" t="s">
        <v>1951</v>
      </c>
      <c r="B377" s="236">
        <v>43213.0</v>
      </c>
      <c r="C377" s="236"/>
      <c r="D377" s="236"/>
    </row>
    <row r="378" ht="14.0">
      <c r="A378" s="236" t="s">
        <v>1952</v>
      </c>
      <c r="B378" s="236">
        <v>43212.0</v>
      </c>
      <c r="C378" s="236"/>
      <c r="D378" s="236" t="s">
        <v>189</v>
      </c>
    </row>
    <row r="379" ht="14.0">
      <c r="A379" s="236" t="s">
        <v>1953</v>
      </c>
      <c r="B379" s="236">
        <v>43245.0</v>
      </c>
      <c r="C379" s="236"/>
      <c r="D379" s="236"/>
    </row>
    <row r="380" ht="14.0">
      <c r="A380" s="236" t="s">
        <v>1954</v>
      </c>
      <c r="B380" s="236">
        <v>43205.0</v>
      </c>
      <c r="C380" s="236"/>
      <c r="D380" s="236" t="s">
        <v>189</v>
      </c>
    </row>
    <row r="381" ht="14.0">
      <c r="A381" s="236" t="s">
        <v>1955</v>
      </c>
      <c r="B381" s="236">
        <v>43204.0</v>
      </c>
      <c r="C381" s="236"/>
      <c r="D381" s="236"/>
    </row>
    <row r="382" ht="14.0">
      <c r="A382" s="236" t="s">
        <v>1956</v>
      </c>
      <c r="B382" s="236">
        <v>43201.0</v>
      </c>
      <c r="C382" s="236"/>
      <c r="D382" s="236"/>
    </row>
    <row r="383" ht="14.0">
      <c r="A383" s="236" t="s">
        <v>1958</v>
      </c>
      <c r="B383" s="236" t="s">
        <v>1957</v>
      </c>
      <c r="C383" s="236"/>
      <c r="D383" s="236"/>
    </row>
    <row r="384" ht="14.0">
      <c r="A384" s="236" t="s">
        <v>1959</v>
      </c>
      <c r="B384" s="236">
        <v>40902.0</v>
      </c>
      <c r="C384" s="236"/>
      <c r="D384" s="236" t="s">
        <v>189</v>
      </c>
    </row>
    <row r="385" ht="14.0">
      <c r="A385" s="236" t="s">
        <v>1960</v>
      </c>
      <c r="B385" s="236">
        <v>40904.0</v>
      </c>
      <c r="C385" s="236"/>
      <c r="D385" s="236" t="s">
        <v>189</v>
      </c>
    </row>
    <row r="386" ht="14.0">
      <c r="A386" s="236" t="s">
        <v>1961</v>
      </c>
      <c r="B386" s="236">
        <v>40903.0</v>
      </c>
      <c r="C386" s="236"/>
      <c r="D386" s="236" t="s">
        <v>189</v>
      </c>
    </row>
    <row r="387" ht="14.0">
      <c r="A387" s="236" t="s">
        <v>1962</v>
      </c>
      <c r="B387" s="236">
        <v>40901.0</v>
      </c>
      <c r="C387" s="236"/>
      <c r="D387" s="236"/>
    </row>
    <row r="388" ht="14.0">
      <c r="A388" s="236" t="s">
        <v>1963</v>
      </c>
      <c r="B388" s="236">
        <v>40905.0</v>
      </c>
      <c r="C388" s="236"/>
      <c r="D388" s="236" t="s">
        <v>189</v>
      </c>
    </row>
    <row r="389" ht="14.0">
      <c r="A389" s="236" t="s">
        <v>1965</v>
      </c>
      <c r="B389" s="236" t="s">
        <v>1964</v>
      </c>
      <c r="C389" s="236"/>
      <c r="D389" s="236"/>
    </row>
    <row r="390" ht="14.0">
      <c r="A390" s="236" t="s">
        <v>1967</v>
      </c>
      <c r="B390" s="236" t="s">
        <v>1966</v>
      </c>
      <c r="C390" s="236"/>
      <c r="D390" s="236" t="s">
        <v>189</v>
      </c>
    </row>
    <row r="391" ht="14.0">
      <c r="A391" s="236" t="s">
        <v>1968</v>
      </c>
      <c r="B391" s="236">
        <v>43110.0</v>
      </c>
      <c r="C391" s="236"/>
      <c r="D391" s="236"/>
    </row>
    <row r="392" ht="14.0">
      <c r="A392" s="236" t="s">
        <v>1969</v>
      </c>
      <c r="B392" s="236">
        <v>43133.0</v>
      </c>
      <c r="C392" s="236"/>
      <c r="D392" s="236"/>
    </row>
    <row r="393" ht="14.0">
      <c r="A393" s="236" t="s">
        <v>1970</v>
      </c>
      <c r="B393" s="236">
        <v>43150.0</v>
      </c>
      <c r="C393" s="236"/>
      <c r="D393" s="236"/>
    </row>
    <row r="394" ht="14.0">
      <c r="A394" s="236" t="s">
        <v>1971</v>
      </c>
      <c r="B394" s="236">
        <v>43134.0</v>
      </c>
      <c r="C394" s="236"/>
      <c r="D394" s="236"/>
    </row>
    <row r="395" ht="14.0">
      <c r="A395" s="236" t="s">
        <v>1972</v>
      </c>
      <c r="B395" s="236">
        <v>43145.0</v>
      </c>
      <c r="C395" s="236"/>
      <c r="D395" s="236"/>
    </row>
    <row r="396" ht="14.0">
      <c r="A396" s="236" t="s">
        <v>1973</v>
      </c>
      <c r="B396" s="236">
        <v>43108.0</v>
      </c>
      <c r="C396" s="236"/>
      <c r="D396" s="236" t="s">
        <v>189</v>
      </c>
    </row>
    <row r="397" ht="14.0">
      <c r="A397" s="236" t="s">
        <v>1974</v>
      </c>
      <c r="B397" s="236">
        <v>43111.0</v>
      </c>
      <c r="C397" s="236"/>
      <c r="D397" s="236"/>
    </row>
    <row r="398" ht="14.0">
      <c r="A398" s="236" t="s">
        <v>1975</v>
      </c>
      <c r="B398" s="236">
        <v>43101.0</v>
      </c>
      <c r="C398" s="236"/>
      <c r="D398" s="236"/>
    </row>
    <row r="399" ht="14.0">
      <c r="A399" s="236" t="s">
        <v>1976</v>
      </c>
      <c r="B399" s="236">
        <v>43103.0</v>
      </c>
      <c r="C399" s="236"/>
      <c r="D399" s="236" t="s">
        <v>189</v>
      </c>
    </row>
    <row r="400" ht="14.0">
      <c r="A400" s="236" t="s">
        <v>1977</v>
      </c>
      <c r="B400" s="236">
        <v>43106.0</v>
      </c>
      <c r="C400" s="236"/>
      <c r="D400" s="236"/>
    </row>
    <row r="401" ht="14.0">
      <c r="A401" s="236" t="s">
        <v>1978</v>
      </c>
      <c r="B401" s="236">
        <v>43105.0</v>
      </c>
      <c r="C401" s="236"/>
      <c r="D401" s="236"/>
    </row>
    <row r="402" ht="14.0">
      <c r="A402" s="236" t="s">
        <v>1979</v>
      </c>
      <c r="B402" s="236">
        <v>43104.0</v>
      </c>
      <c r="C402" s="236"/>
      <c r="D402" s="236"/>
    </row>
    <row r="403" ht="14.0">
      <c r="A403" s="236" t="s">
        <v>1980</v>
      </c>
      <c r="B403" s="236">
        <v>43112.0</v>
      </c>
      <c r="C403" s="236"/>
      <c r="D403" s="236"/>
    </row>
    <row r="404" ht="14.0">
      <c r="A404" s="236" t="s">
        <v>1981</v>
      </c>
      <c r="B404" s="236">
        <v>43107.0</v>
      </c>
      <c r="C404" s="236"/>
      <c r="D404" s="236"/>
    </row>
    <row r="405" ht="14.0">
      <c r="A405" s="236" t="s">
        <v>1983</v>
      </c>
      <c r="B405" s="236" t="s">
        <v>1982</v>
      </c>
      <c r="C405" s="236"/>
      <c r="D405" s="236"/>
    </row>
    <row r="406" ht="14.0">
      <c r="A406" s="236" t="s">
        <v>1984</v>
      </c>
      <c r="B406" s="236">
        <v>40701.0</v>
      </c>
      <c r="C406" s="236"/>
      <c r="D406" s="236"/>
    </row>
    <row r="407" ht="14.0">
      <c r="A407" s="236" t="s">
        <v>1985</v>
      </c>
      <c r="B407" s="236">
        <v>40732.0</v>
      </c>
      <c r="C407" s="236"/>
      <c r="D407" s="236"/>
    </row>
    <row r="408" ht="14.0">
      <c r="A408" s="236" t="s">
        <v>1986</v>
      </c>
      <c r="B408" s="236">
        <v>40702.0</v>
      </c>
      <c r="C408" s="236"/>
      <c r="D408" s="236"/>
    </row>
    <row r="409" ht="14.0">
      <c r="A409" s="236" t="s">
        <v>1987</v>
      </c>
      <c r="B409" s="236">
        <v>40734.0</v>
      </c>
      <c r="C409" s="236"/>
      <c r="D409" s="236"/>
    </row>
    <row r="410" ht="14.0">
      <c r="A410" s="236" t="s">
        <v>1988</v>
      </c>
      <c r="B410" s="236">
        <v>40735.0</v>
      </c>
      <c r="C410" s="236"/>
      <c r="D410" s="236" t="s">
        <v>189</v>
      </c>
    </row>
    <row r="411" ht="14.0">
      <c r="A411" s="236" t="s">
        <v>1991</v>
      </c>
      <c r="B411" s="236">
        <v>40746.0</v>
      </c>
      <c r="C411" s="236"/>
      <c r="D411" s="236"/>
    </row>
    <row r="412" ht="14.0">
      <c r="A412" s="236" t="s">
        <v>1992</v>
      </c>
      <c r="B412" s="236">
        <v>40703.0</v>
      </c>
      <c r="C412" s="236"/>
      <c r="D412" s="236" t="s">
        <v>189</v>
      </c>
    </row>
    <row r="413" ht="14.0">
      <c r="A413" s="236" t="s">
        <v>1993</v>
      </c>
      <c r="B413" s="236">
        <v>40704.0</v>
      </c>
      <c r="C413" s="236"/>
      <c r="D413" s="236" t="s">
        <v>189</v>
      </c>
    </row>
    <row r="414" ht="14.0">
      <c r="A414" s="236" t="s">
        <v>1995</v>
      </c>
      <c r="B414" s="236">
        <v>40705.0</v>
      </c>
      <c r="C414" s="236"/>
      <c r="D414" s="236" t="s">
        <v>189</v>
      </c>
    </row>
    <row r="415" ht="14.0">
      <c r="A415" s="236" t="s">
        <v>1997</v>
      </c>
      <c r="B415" s="236" t="s">
        <v>1996</v>
      </c>
      <c r="C415" s="236"/>
      <c r="D415" s="236"/>
    </row>
    <row r="416" ht="14.0">
      <c r="A416" s="236" t="s">
        <v>1999</v>
      </c>
      <c r="B416" s="236" t="s">
        <v>1998</v>
      </c>
      <c r="C416" s="236"/>
      <c r="D416" s="236"/>
    </row>
    <row r="417" ht="14.0">
      <c r="A417" s="236" t="s">
        <v>2000</v>
      </c>
      <c r="B417" s="236">
        <v>43190.0</v>
      </c>
      <c r="C417" s="236"/>
      <c r="D417" s="236"/>
    </row>
    <row r="418" ht="14.0">
      <c r="A418" s="236" t="s">
        <v>7587</v>
      </c>
      <c r="B418" s="236" t="s">
        <v>2001</v>
      </c>
      <c r="C418" s="236"/>
      <c r="D418" s="236"/>
    </row>
    <row r="419" ht="14.0">
      <c r="A419" s="236" t="s">
        <v>2003</v>
      </c>
      <c r="B419" s="236">
        <v>53822.0</v>
      </c>
      <c r="C419" s="236">
        <v>240.0</v>
      </c>
      <c r="D419" s="236"/>
    </row>
    <row r="420" ht="14.0">
      <c r="A420" s="236" t="s">
        <v>2004</v>
      </c>
      <c r="B420" s="236">
        <v>53833.0</v>
      </c>
      <c r="C420" s="236">
        <v>240.0</v>
      </c>
      <c r="D420" s="236"/>
    </row>
    <row r="421" ht="14.0">
      <c r="A421" s="236" t="s">
        <v>2005</v>
      </c>
      <c r="B421" s="236">
        <v>53834.0</v>
      </c>
      <c r="C421" s="236">
        <v>240.0</v>
      </c>
      <c r="D421" s="236"/>
    </row>
    <row r="422" ht="14.0">
      <c r="A422" s="236" t="s">
        <v>2006</v>
      </c>
      <c r="B422" s="236">
        <v>53845.0</v>
      </c>
      <c r="C422" s="236">
        <v>240.0</v>
      </c>
      <c r="D422" s="236"/>
    </row>
    <row r="423" ht="14.0">
      <c r="A423" s="236" t="s">
        <v>2007</v>
      </c>
      <c r="B423" s="236">
        <v>53852.0</v>
      </c>
      <c r="C423" s="236">
        <v>240.0</v>
      </c>
      <c r="D423" s="236"/>
    </row>
    <row r="424" ht="14.0">
      <c r="A424" s="236" t="s">
        <v>2009</v>
      </c>
      <c r="B424" s="236" t="s">
        <v>2008</v>
      </c>
      <c r="C424" s="236"/>
      <c r="D424" s="236"/>
    </row>
    <row r="425" ht="14.0">
      <c r="A425" s="236" t="s">
        <v>2010</v>
      </c>
      <c r="B425" s="236">
        <v>40501.0</v>
      </c>
      <c r="C425" s="236"/>
      <c r="D425" s="236"/>
    </row>
    <row r="426" ht="14.0">
      <c r="A426" s="236" t="s">
        <v>2011</v>
      </c>
      <c r="B426" s="236">
        <v>40502.0</v>
      </c>
      <c r="C426" s="236"/>
      <c r="D426" s="236"/>
    </row>
    <row r="427" ht="14.0">
      <c r="A427" s="236" t="s">
        <v>2012</v>
      </c>
      <c r="B427" s="236">
        <v>40533.0</v>
      </c>
      <c r="C427" s="236"/>
      <c r="D427" s="236"/>
    </row>
    <row r="428" ht="14.0">
      <c r="A428" s="236" t="s">
        <v>2013</v>
      </c>
      <c r="B428" s="236">
        <v>40534.0</v>
      </c>
      <c r="C428" s="236"/>
      <c r="D428" s="236"/>
    </row>
    <row r="429" ht="14.0">
      <c r="A429" s="236" t="s">
        <v>2014</v>
      </c>
      <c r="B429" s="236">
        <v>40523.0</v>
      </c>
      <c r="C429" s="236"/>
      <c r="D429" s="236"/>
    </row>
    <row r="430" ht="14.0">
      <c r="A430" s="236" t="s">
        <v>2015</v>
      </c>
      <c r="B430" s="236">
        <v>40504.0</v>
      </c>
      <c r="C430" s="236">
        <v>240.0</v>
      </c>
      <c r="D430" s="236" t="s">
        <v>7571</v>
      </c>
    </row>
    <row r="431" ht="14.0">
      <c r="A431" s="236" t="s">
        <v>2016</v>
      </c>
      <c r="B431" s="236">
        <v>40503.0</v>
      </c>
      <c r="C431" s="236"/>
      <c r="D431" s="236"/>
    </row>
    <row r="432" ht="14.0">
      <c r="A432" s="236" t="s">
        <v>2018</v>
      </c>
      <c r="B432" s="236" t="s">
        <v>2017</v>
      </c>
      <c r="C432" s="236"/>
      <c r="D432" s="236"/>
    </row>
    <row r="433" ht="14.0">
      <c r="A433" s="236" t="s">
        <v>2020</v>
      </c>
      <c r="B433" s="236" t="s">
        <v>2019</v>
      </c>
      <c r="C433" s="236"/>
      <c r="D433" s="236"/>
    </row>
    <row r="434" ht="14.0">
      <c r="A434" s="236" t="s">
        <v>2021</v>
      </c>
      <c r="B434" s="236">
        <v>43010.0</v>
      </c>
      <c r="C434" s="236"/>
      <c r="D434" s="236"/>
    </row>
    <row r="435" ht="14.0">
      <c r="A435" s="236" t="s">
        <v>2023</v>
      </c>
      <c r="B435" s="236">
        <v>43011.0</v>
      </c>
      <c r="C435" s="236"/>
      <c r="D435" s="236"/>
    </row>
    <row r="436" ht="14.0">
      <c r="A436" s="236" t="s">
        <v>2026</v>
      </c>
      <c r="B436" s="236">
        <v>43008.0</v>
      </c>
      <c r="C436" s="236"/>
      <c r="D436" s="236"/>
    </row>
    <row r="437" ht="14.0">
      <c r="A437" s="236" t="s">
        <v>2027</v>
      </c>
      <c r="B437" s="236">
        <v>43001.0</v>
      </c>
      <c r="C437" s="236"/>
      <c r="D437" s="236"/>
    </row>
    <row r="438" ht="14.0">
      <c r="A438" s="236" t="s">
        <v>2028</v>
      </c>
      <c r="B438" s="236">
        <v>43003.0</v>
      </c>
      <c r="C438" s="236"/>
      <c r="D438" s="236"/>
    </row>
    <row r="439" ht="14.0">
      <c r="A439" s="236" t="s">
        <v>2029</v>
      </c>
      <c r="B439" s="236">
        <v>43006.0</v>
      </c>
      <c r="C439" s="236"/>
      <c r="D439" s="236"/>
    </row>
    <row r="440" ht="14.0">
      <c r="A440" s="236" t="s">
        <v>2030</v>
      </c>
      <c r="B440" s="236">
        <v>43004.0</v>
      </c>
      <c r="C440" s="236"/>
      <c r="D440" s="236"/>
    </row>
    <row r="441" ht="14.0">
      <c r="A441" s="236" t="s">
        <v>2031</v>
      </c>
      <c r="B441" s="236">
        <v>43012.0</v>
      </c>
      <c r="C441" s="236"/>
      <c r="D441" s="236"/>
    </row>
    <row r="442" ht="14.0">
      <c r="A442" s="236" t="s">
        <v>2033</v>
      </c>
      <c r="B442" s="236" t="s">
        <v>2032</v>
      </c>
      <c r="C442" s="236"/>
      <c r="D442" s="236" t="s">
        <v>189</v>
      </c>
    </row>
    <row r="443" ht="14.0">
      <c r="A443" s="236" t="s">
        <v>2035</v>
      </c>
      <c r="B443" s="236" t="s">
        <v>2034</v>
      </c>
      <c r="C443" s="236"/>
      <c r="D443" s="236"/>
    </row>
    <row r="444" ht="14.0">
      <c r="A444" s="236" t="s">
        <v>2038</v>
      </c>
      <c r="B444" s="236">
        <v>41101.0</v>
      </c>
      <c r="C444" s="236"/>
      <c r="D444" s="236"/>
    </row>
    <row r="445" ht="14.0">
      <c r="A445" s="236" t="s">
        <v>2039</v>
      </c>
      <c r="B445" s="236">
        <v>41103.0</v>
      </c>
      <c r="C445" s="236"/>
      <c r="D445" s="236"/>
    </row>
    <row r="446" ht="14.0">
      <c r="A446" s="236" t="s">
        <v>2040</v>
      </c>
      <c r="B446" s="236">
        <v>41102.0</v>
      </c>
      <c r="C446" s="236"/>
      <c r="D446" s="236"/>
    </row>
    <row r="447" ht="14.0">
      <c r="A447" s="236" t="s">
        <v>2041</v>
      </c>
      <c r="B447" s="236">
        <v>41104.0</v>
      </c>
      <c r="C447" s="236"/>
      <c r="D447" s="236"/>
    </row>
    <row r="448" ht="14.0">
      <c r="A448" s="236" t="s">
        <v>2043</v>
      </c>
      <c r="B448" s="236" t="s">
        <v>2042</v>
      </c>
      <c r="C448" s="236"/>
      <c r="D448" s="236"/>
    </row>
    <row r="449" ht="14.0">
      <c r="A449" s="236" t="s">
        <v>7588</v>
      </c>
      <c r="B449" s="236" t="s">
        <v>2044</v>
      </c>
      <c r="C449" s="236"/>
      <c r="D449" s="236"/>
    </row>
    <row r="450" ht="14.0">
      <c r="A450" s="236" t="s">
        <v>2046</v>
      </c>
      <c r="B450" s="236">
        <v>41001.0</v>
      </c>
      <c r="C450" s="236"/>
      <c r="D450" s="236"/>
    </row>
    <row r="451" ht="14.0">
      <c r="A451" s="236" t="s">
        <v>2047</v>
      </c>
      <c r="B451" s="236">
        <v>41002.0</v>
      </c>
      <c r="C451" s="236"/>
      <c r="D451" s="236"/>
    </row>
    <row r="452" ht="14.0">
      <c r="A452" s="236" t="s">
        <v>2048</v>
      </c>
      <c r="B452" s="236">
        <v>41005.0</v>
      </c>
      <c r="C452" s="236"/>
      <c r="D452" s="236"/>
    </row>
    <row r="453" ht="14.0">
      <c r="A453" s="236" t="s">
        <v>2049</v>
      </c>
      <c r="B453" s="236">
        <v>41034.0</v>
      </c>
      <c r="C453" s="236"/>
      <c r="D453" s="236"/>
    </row>
    <row r="454" ht="14.0">
      <c r="A454" s="236" t="s">
        <v>2050</v>
      </c>
      <c r="B454" s="236">
        <v>41023.0</v>
      </c>
      <c r="C454" s="236"/>
      <c r="D454" s="236"/>
    </row>
    <row r="455" ht="14.0">
      <c r="A455" s="236" t="s">
        <v>2051</v>
      </c>
      <c r="B455" s="236">
        <v>41004.0</v>
      </c>
      <c r="C455" s="236"/>
      <c r="D455" s="236" t="s">
        <v>189</v>
      </c>
    </row>
    <row r="456" ht="14.0">
      <c r="A456" s="236" t="s">
        <v>2052</v>
      </c>
      <c r="B456" s="236">
        <v>41003.0</v>
      </c>
      <c r="C456" s="236"/>
      <c r="D456" s="236"/>
    </row>
    <row r="457" ht="14.0">
      <c r="A457" s="236" t="s">
        <v>2054</v>
      </c>
      <c r="B457" s="236" t="s">
        <v>2053</v>
      </c>
      <c r="C457" s="236"/>
      <c r="D457" s="236" t="s">
        <v>189</v>
      </c>
    </row>
    <row r="458" ht="14.0">
      <c r="A458" s="236" t="s">
        <v>2058</v>
      </c>
      <c r="B458" s="236" t="s">
        <v>2057</v>
      </c>
      <c r="C458" s="236"/>
      <c r="D458" s="236"/>
    </row>
    <row r="459" ht="14.0">
      <c r="A459" s="236" t="s">
        <v>2060</v>
      </c>
      <c r="B459" s="236" t="s">
        <v>2059</v>
      </c>
      <c r="C459" s="236"/>
      <c r="D459" s="236"/>
    </row>
    <row r="460" ht="14.0">
      <c r="A460" s="236" t="s">
        <v>2062</v>
      </c>
      <c r="B460" s="236" t="s">
        <v>2061</v>
      </c>
      <c r="C460" s="236"/>
      <c r="D460" s="236"/>
    </row>
    <row r="461" ht="14.0">
      <c r="A461" s="236" t="s">
        <v>2115</v>
      </c>
      <c r="B461" s="236" t="s">
        <v>2114</v>
      </c>
      <c r="C461" s="236"/>
      <c r="D461" s="236" t="s">
        <v>189</v>
      </c>
    </row>
    <row r="462" ht="14.0">
      <c r="A462" s="236" t="s">
        <v>2117</v>
      </c>
      <c r="B462" s="236" t="s">
        <v>2116</v>
      </c>
      <c r="C462" s="236">
        <v>200.0</v>
      </c>
      <c r="D462" s="236"/>
    </row>
    <row r="463" ht="14.0">
      <c r="A463" s="236" t="s">
        <v>2131</v>
      </c>
      <c r="B463" s="236" t="s">
        <v>2130</v>
      </c>
      <c r="C463" s="126">
        <v>1000.0</v>
      </c>
      <c r="D463" s="236" t="s">
        <v>189</v>
      </c>
    </row>
    <row r="464" ht="14.0">
      <c r="A464" s="236" t="s">
        <v>2133</v>
      </c>
      <c r="B464" s="236" t="s">
        <v>2132</v>
      </c>
      <c r="C464" s="126">
        <v>1000.0</v>
      </c>
      <c r="D464" s="236" t="s">
        <v>189</v>
      </c>
    </row>
    <row r="465" ht="14.0">
      <c r="A465" s="236" t="s">
        <v>2135</v>
      </c>
      <c r="B465" s="236" t="s">
        <v>2134</v>
      </c>
      <c r="C465" s="126">
        <v>1000.0</v>
      </c>
      <c r="D465" s="236" t="s">
        <v>189</v>
      </c>
    </row>
    <row r="466" ht="14.0">
      <c r="A466" s="236" t="s">
        <v>2137</v>
      </c>
      <c r="B466" s="236" t="s">
        <v>2136</v>
      </c>
      <c r="C466" s="126">
        <v>1000.0</v>
      </c>
      <c r="D466" s="236" t="s">
        <v>189</v>
      </c>
    </row>
    <row r="467" ht="14.0">
      <c r="A467" s="236" t="s">
        <v>2143</v>
      </c>
      <c r="B467" s="236" t="s">
        <v>2142</v>
      </c>
      <c r="C467" s="236">
        <v>150.0</v>
      </c>
      <c r="D467" s="236" t="s">
        <v>189</v>
      </c>
    </row>
    <row r="468" ht="14.0">
      <c r="A468" s="236" t="s">
        <v>2145</v>
      </c>
      <c r="B468" s="236" t="s">
        <v>2144</v>
      </c>
      <c r="C468" s="236">
        <v>150.0</v>
      </c>
      <c r="D468" s="236" t="s">
        <v>189</v>
      </c>
    </row>
    <row r="469" ht="14.0">
      <c r="A469" s="236" t="s">
        <v>2181</v>
      </c>
      <c r="B469" s="236" t="s">
        <v>2180</v>
      </c>
      <c r="C469" s="236"/>
      <c r="D469" s="236" t="s">
        <v>189</v>
      </c>
    </row>
    <row r="470" ht="14.0">
      <c r="A470" s="236" t="s">
        <v>2185</v>
      </c>
      <c r="B470" s="236" t="s">
        <v>2184</v>
      </c>
      <c r="C470" s="236"/>
      <c r="D470" s="236" t="s">
        <v>189</v>
      </c>
    </row>
    <row r="471" ht="14.0">
      <c r="A471" s="236" t="s">
        <v>2187</v>
      </c>
      <c r="B471" s="236" t="s">
        <v>2186</v>
      </c>
      <c r="C471" s="236"/>
      <c r="D471" s="236" t="s">
        <v>189</v>
      </c>
    </row>
    <row r="472" ht="14.0">
      <c r="A472" s="236" t="s">
        <v>2189</v>
      </c>
      <c r="B472" s="236" t="s">
        <v>2188</v>
      </c>
      <c r="C472" s="236"/>
      <c r="D472" s="236" t="s">
        <v>189</v>
      </c>
    </row>
    <row r="473" ht="14.0">
      <c r="A473" s="236" t="s">
        <v>2191</v>
      </c>
      <c r="B473" s="236" t="s">
        <v>2190</v>
      </c>
      <c r="C473" s="236"/>
      <c r="D473" s="236" t="s">
        <v>189</v>
      </c>
    </row>
    <row r="474" ht="14.0">
      <c r="A474" s="236" t="s">
        <v>2193</v>
      </c>
      <c r="B474" s="236" t="s">
        <v>2192</v>
      </c>
      <c r="C474" s="236"/>
      <c r="D474" s="236" t="s">
        <v>189</v>
      </c>
    </row>
    <row r="475" ht="14.0">
      <c r="A475" s="236" t="s">
        <v>2197</v>
      </c>
      <c r="B475" s="236" t="s">
        <v>2196</v>
      </c>
      <c r="C475" s="236"/>
      <c r="D475" s="236" t="s">
        <v>189</v>
      </c>
    </row>
    <row r="476" ht="14.0">
      <c r="A476" s="236" t="s">
        <v>2203</v>
      </c>
      <c r="B476" s="236" t="s">
        <v>2202</v>
      </c>
      <c r="C476" s="236"/>
      <c r="D476" s="236" t="s">
        <v>189</v>
      </c>
    </row>
    <row r="477" ht="14.0">
      <c r="A477" s="236" t="s">
        <v>2205</v>
      </c>
      <c r="B477" s="236" t="s">
        <v>2204</v>
      </c>
      <c r="C477" s="236"/>
      <c r="D477" s="236" t="s">
        <v>189</v>
      </c>
    </row>
    <row r="478" ht="14.0">
      <c r="A478" s="236" t="s">
        <v>2207</v>
      </c>
      <c r="B478" s="236" t="s">
        <v>2206</v>
      </c>
      <c r="C478" s="236"/>
      <c r="D478" s="236" t="s">
        <v>189</v>
      </c>
    </row>
    <row r="479" ht="14.0">
      <c r="A479" s="236" t="s">
        <v>2209</v>
      </c>
      <c r="B479" s="236" t="s">
        <v>2208</v>
      </c>
      <c r="C479" s="236"/>
      <c r="D479" s="236" t="s">
        <v>189</v>
      </c>
    </row>
    <row r="480" ht="14.0">
      <c r="A480" s="236" t="s">
        <v>2211</v>
      </c>
      <c r="B480" s="236" t="s">
        <v>2210</v>
      </c>
      <c r="C480" s="236">
        <v>5.0</v>
      </c>
      <c r="D480" s="236"/>
    </row>
    <row r="481" ht="14.0">
      <c r="A481" s="236" t="s">
        <v>2213</v>
      </c>
      <c r="B481" s="236" t="s">
        <v>2212</v>
      </c>
      <c r="C481" s="236">
        <v>5.0</v>
      </c>
      <c r="D481" s="236"/>
    </row>
    <row r="482" ht="14.0">
      <c r="A482" s="236" t="s">
        <v>2215</v>
      </c>
      <c r="B482" s="236" t="s">
        <v>2214</v>
      </c>
      <c r="C482" s="236">
        <v>5.0</v>
      </c>
      <c r="D482" s="236"/>
    </row>
    <row r="483" ht="14.0">
      <c r="A483" s="236" t="s">
        <v>2217</v>
      </c>
      <c r="B483" s="236" t="s">
        <v>2216</v>
      </c>
      <c r="C483" s="236">
        <v>5.0</v>
      </c>
      <c r="D483" s="236"/>
    </row>
    <row r="484" ht="14.0">
      <c r="A484" s="236" t="s">
        <v>2219</v>
      </c>
      <c r="B484" s="236" t="s">
        <v>2218</v>
      </c>
      <c r="C484" s="236">
        <v>5.0</v>
      </c>
      <c r="D484" s="236"/>
    </row>
    <row r="485" ht="14.0">
      <c r="A485" s="236" t="s">
        <v>2221</v>
      </c>
      <c r="B485" s="236" t="s">
        <v>2220</v>
      </c>
      <c r="C485" s="236">
        <v>5.0</v>
      </c>
      <c r="D485" s="236"/>
    </row>
    <row r="486" ht="14.0">
      <c r="A486" s="236" t="s">
        <v>2223</v>
      </c>
      <c r="B486" s="236" t="s">
        <v>2222</v>
      </c>
      <c r="C486" s="236">
        <v>5.0</v>
      </c>
      <c r="D486" s="236"/>
    </row>
    <row r="487" ht="14.0">
      <c r="A487" s="236" t="s">
        <v>2225</v>
      </c>
      <c r="B487" s="236" t="s">
        <v>2224</v>
      </c>
      <c r="C487" s="236">
        <v>5.0</v>
      </c>
      <c r="D487" s="236"/>
    </row>
    <row r="488" ht="14.0">
      <c r="A488" s="236" t="s">
        <v>2227</v>
      </c>
      <c r="B488" s="236" t="s">
        <v>2226</v>
      </c>
      <c r="C488" s="236">
        <v>5.0</v>
      </c>
      <c r="D488" s="236"/>
    </row>
    <row r="489" ht="14.0">
      <c r="A489" s="236" t="s">
        <v>2229</v>
      </c>
      <c r="B489" s="236" t="s">
        <v>2228</v>
      </c>
      <c r="C489" s="236">
        <v>5.0</v>
      </c>
      <c r="D489" s="236"/>
    </row>
    <row r="490" ht="14.0">
      <c r="A490" s="236" t="s">
        <v>2231</v>
      </c>
      <c r="B490" s="236" t="s">
        <v>2230</v>
      </c>
      <c r="C490" s="236">
        <v>5.0</v>
      </c>
      <c r="D490" s="236"/>
    </row>
    <row r="491" ht="14.0">
      <c r="A491" s="236" t="s">
        <v>2233</v>
      </c>
      <c r="B491" s="236" t="s">
        <v>2232</v>
      </c>
      <c r="C491" s="236">
        <v>5.0</v>
      </c>
      <c r="D491" s="236"/>
    </row>
    <row r="492" ht="14.0">
      <c r="A492" s="236" t="s">
        <v>2235</v>
      </c>
      <c r="B492" s="236" t="s">
        <v>2234</v>
      </c>
      <c r="C492" s="236">
        <v>5.0</v>
      </c>
      <c r="D492" s="236"/>
    </row>
    <row r="493" ht="14.0">
      <c r="A493" s="236" t="s">
        <v>2237</v>
      </c>
      <c r="B493" s="236" t="s">
        <v>2236</v>
      </c>
      <c r="C493" s="236">
        <v>5.0</v>
      </c>
      <c r="D493" s="236"/>
    </row>
    <row r="494" ht="14.0">
      <c r="A494" s="236" t="s">
        <v>2239</v>
      </c>
      <c r="B494" s="236" t="s">
        <v>2238</v>
      </c>
      <c r="C494" s="236">
        <v>5.0</v>
      </c>
      <c r="D494" s="236"/>
    </row>
    <row r="495" ht="14.0">
      <c r="A495" s="236" t="s">
        <v>2241</v>
      </c>
      <c r="B495" s="236" t="s">
        <v>2240</v>
      </c>
      <c r="C495" s="236">
        <v>5.0</v>
      </c>
      <c r="D495" s="236"/>
    </row>
    <row r="496" ht="14.0">
      <c r="A496" s="236" t="s">
        <v>2243</v>
      </c>
      <c r="B496" s="236" t="s">
        <v>2242</v>
      </c>
      <c r="C496" s="236">
        <v>5.0</v>
      </c>
      <c r="D496" s="236"/>
    </row>
    <row r="497" ht="14.0">
      <c r="A497" s="236" t="s">
        <v>2245</v>
      </c>
      <c r="B497" s="236" t="s">
        <v>2244</v>
      </c>
      <c r="C497" s="236">
        <v>5.0</v>
      </c>
      <c r="D497" s="236"/>
    </row>
    <row r="498" ht="14.0">
      <c r="A498" s="236" t="s">
        <v>2247</v>
      </c>
      <c r="B498" s="236" t="s">
        <v>2246</v>
      </c>
      <c r="C498" s="236">
        <v>5.0</v>
      </c>
      <c r="D498" s="236"/>
    </row>
    <row r="499" ht="14.0">
      <c r="A499" s="236" t="s">
        <v>2249</v>
      </c>
      <c r="B499" s="236" t="s">
        <v>2248</v>
      </c>
      <c r="C499" s="236">
        <v>5.0</v>
      </c>
      <c r="D499" s="236"/>
    </row>
    <row r="500" ht="14.0">
      <c r="A500" s="236" t="s">
        <v>2251</v>
      </c>
      <c r="B500" s="236" t="s">
        <v>2250</v>
      </c>
      <c r="C500" s="236">
        <v>5.0</v>
      </c>
      <c r="D500" s="236"/>
    </row>
    <row r="501" ht="14.0">
      <c r="A501" s="236" t="s">
        <v>2253</v>
      </c>
      <c r="B501" s="236" t="s">
        <v>2252</v>
      </c>
      <c r="C501" s="236">
        <v>5.0</v>
      </c>
      <c r="D501" s="236" t="s">
        <v>7571</v>
      </c>
    </row>
    <row r="502" ht="14.0">
      <c r="A502" s="236" t="s">
        <v>2255</v>
      </c>
      <c r="B502" s="236" t="s">
        <v>2254</v>
      </c>
      <c r="C502" s="236">
        <v>5.0</v>
      </c>
      <c r="D502" s="236"/>
    </row>
    <row r="503" ht="14.0">
      <c r="A503" s="236" t="s">
        <v>2257</v>
      </c>
      <c r="B503" s="236" t="s">
        <v>2256</v>
      </c>
      <c r="C503" s="236">
        <v>5.0</v>
      </c>
      <c r="D503" s="236"/>
    </row>
    <row r="504" ht="14.0">
      <c r="A504" s="236" t="s">
        <v>2259</v>
      </c>
      <c r="B504" s="236" t="s">
        <v>2258</v>
      </c>
      <c r="C504" s="236">
        <v>5.0</v>
      </c>
      <c r="D504" s="236"/>
    </row>
    <row r="505" ht="14.0">
      <c r="A505" s="236" t="s">
        <v>2261</v>
      </c>
      <c r="B505" s="236" t="s">
        <v>2260</v>
      </c>
      <c r="C505" s="236">
        <v>5.0</v>
      </c>
      <c r="D505" s="236"/>
    </row>
    <row r="506" ht="14.0">
      <c r="A506" s="236" t="s">
        <v>2263</v>
      </c>
      <c r="B506" s="236" t="s">
        <v>2262</v>
      </c>
      <c r="C506" s="236">
        <v>5.0</v>
      </c>
      <c r="D506" s="236"/>
    </row>
    <row r="507" ht="14.0">
      <c r="A507" s="236" t="s">
        <v>2265</v>
      </c>
      <c r="B507" s="236" t="s">
        <v>2264</v>
      </c>
      <c r="C507" s="236">
        <v>5.0</v>
      </c>
      <c r="D507" s="236"/>
    </row>
    <row r="508" ht="14.0">
      <c r="A508" s="236" t="s">
        <v>2267</v>
      </c>
      <c r="B508" s="236" t="s">
        <v>2266</v>
      </c>
      <c r="C508" s="236">
        <v>5.0</v>
      </c>
      <c r="D508" s="236"/>
    </row>
    <row r="509" ht="14.0">
      <c r="A509" s="236" t="s">
        <v>2269</v>
      </c>
      <c r="B509" s="236" t="s">
        <v>2268</v>
      </c>
      <c r="C509" s="236">
        <v>5.0</v>
      </c>
      <c r="D509" s="236"/>
    </row>
    <row r="510" ht="14.0">
      <c r="A510" s="236" t="s">
        <v>2271</v>
      </c>
      <c r="B510" s="236" t="s">
        <v>2270</v>
      </c>
      <c r="C510" s="236">
        <v>5.0</v>
      </c>
      <c r="D510" s="236"/>
    </row>
    <row r="511" ht="14.0">
      <c r="A511" s="236" t="s">
        <v>2273</v>
      </c>
      <c r="B511" s="236" t="s">
        <v>2272</v>
      </c>
      <c r="C511" s="236">
        <v>5.0</v>
      </c>
      <c r="D511" s="236"/>
    </row>
    <row r="512" ht="14.0">
      <c r="A512" s="236" t="s">
        <v>2275</v>
      </c>
      <c r="B512" s="236" t="s">
        <v>2274</v>
      </c>
      <c r="C512" s="236">
        <v>5.0</v>
      </c>
      <c r="D512" s="236"/>
    </row>
    <row r="513" ht="14.0">
      <c r="A513" s="236" t="s">
        <v>2277</v>
      </c>
      <c r="B513" s="236" t="s">
        <v>2276</v>
      </c>
      <c r="C513" s="236">
        <v>5.0</v>
      </c>
      <c r="D513" s="236"/>
    </row>
    <row r="514" ht="14.0">
      <c r="A514" s="236" t="s">
        <v>2279</v>
      </c>
      <c r="B514" s="236" t="s">
        <v>2278</v>
      </c>
      <c r="C514" s="236">
        <v>5.0</v>
      </c>
      <c r="D514" s="236"/>
    </row>
    <row r="515" ht="14.0">
      <c r="A515" s="236" t="s">
        <v>2281</v>
      </c>
      <c r="B515" s="236" t="s">
        <v>2280</v>
      </c>
      <c r="C515" s="236">
        <v>5.0</v>
      </c>
      <c r="D515" s="236"/>
    </row>
    <row r="516" ht="14.0">
      <c r="A516" s="236" t="s">
        <v>2283</v>
      </c>
      <c r="B516" s="236" t="s">
        <v>2282</v>
      </c>
      <c r="C516" s="236">
        <v>5.0</v>
      </c>
      <c r="D516" s="236"/>
    </row>
    <row r="517" ht="14.0">
      <c r="A517" s="236" t="s">
        <v>2285</v>
      </c>
      <c r="B517" s="236" t="s">
        <v>2284</v>
      </c>
      <c r="C517" s="236">
        <v>5.0</v>
      </c>
      <c r="D517" s="236"/>
    </row>
    <row r="518" ht="14.0">
      <c r="A518" s="236" t="s">
        <v>2287</v>
      </c>
      <c r="B518" s="236" t="s">
        <v>2286</v>
      </c>
      <c r="C518" s="236">
        <v>5.0</v>
      </c>
      <c r="D518" s="236"/>
    </row>
    <row r="519" ht="14.0">
      <c r="A519" s="236" t="s">
        <v>2289</v>
      </c>
      <c r="B519" s="236" t="s">
        <v>2288</v>
      </c>
      <c r="C519" s="236">
        <v>5.0</v>
      </c>
      <c r="D519" s="236"/>
    </row>
    <row r="520" ht="14.0">
      <c r="A520" s="236" t="s">
        <v>2291</v>
      </c>
      <c r="B520" s="236" t="s">
        <v>2290</v>
      </c>
      <c r="C520" s="236">
        <v>5.0</v>
      </c>
      <c r="D520" s="236"/>
    </row>
    <row r="521" ht="14.0">
      <c r="A521" s="236" t="s">
        <v>2293</v>
      </c>
      <c r="B521" s="236" t="s">
        <v>2292</v>
      </c>
      <c r="C521" s="236">
        <v>5.0</v>
      </c>
      <c r="D521" s="236"/>
    </row>
    <row r="522" ht="14.0">
      <c r="A522" s="236" t="s">
        <v>2295</v>
      </c>
      <c r="B522" s="236" t="s">
        <v>2294</v>
      </c>
      <c r="C522" s="236">
        <v>5.0</v>
      </c>
      <c r="D522" s="236"/>
    </row>
    <row r="523" ht="14.0">
      <c r="A523" s="236" t="s">
        <v>2297</v>
      </c>
      <c r="B523" s="236" t="s">
        <v>2296</v>
      </c>
      <c r="C523" s="236">
        <v>5.0</v>
      </c>
      <c r="D523" s="236"/>
    </row>
    <row r="524" ht="14.0">
      <c r="A524" s="236" t="s">
        <v>2299</v>
      </c>
      <c r="B524" s="236" t="s">
        <v>2298</v>
      </c>
      <c r="C524" s="236">
        <v>5.0</v>
      </c>
      <c r="D524" s="236"/>
    </row>
    <row r="525" ht="14.0">
      <c r="A525" s="236" t="s">
        <v>2301</v>
      </c>
      <c r="B525" s="236" t="s">
        <v>2300</v>
      </c>
      <c r="C525" s="236">
        <v>5.0</v>
      </c>
      <c r="D525" s="236"/>
    </row>
    <row r="526" ht="14.0">
      <c r="A526" s="236" t="s">
        <v>2303</v>
      </c>
      <c r="B526" s="236" t="s">
        <v>2302</v>
      </c>
      <c r="C526" s="236">
        <v>5.0</v>
      </c>
      <c r="D526" s="236"/>
    </row>
    <row r="527" ht="14.0">
      <c r="A527" s="236" t="s">
        <v>2305</v>
      </c>
      <c r="B527" s="236" t="s">
        <v>2304</v>
      </c>
      <c r="C527" s="236">
        <v>5.0</v>
      </c>
      <c r="D527" s="236"/>
    </row>
    <row r="528" ht="14.0">
      <c r="A528" s="236" t="s">
        <v>2307</v>
      </c>
      <c r="B528" s="236" t="s">
        <v>2306</v>
      </c>
      <c r="C528" s="236">
        <v>5.0</v>
      </c>
      <c r="D528" s="236"/>
    </row>
    <row r="529" ht="14.0">
      <c r="A529" s="236" t="s">
        <v>2309</v>
      </c>
      <c r="B529" s="236" t="s">
        <v>2308</v>
      </c>
      <c r="C529" s="236">
        <v>5.0</v>
      </c>
      <c r="D529" s="236"/>
    </row>
    <row r="530" ht="14.0">
      <c r="A530" s="236" t="s">
        <v>2311</v>
      </c>
      <c r="B530" s="236" t="s">
        <v>2310</v>
      </c>
      <c r="C530" s="236">
        <v>5.0</v>
      </c>
      <c r="D530" s="236"/>
    </row>
    <row r="531" ht="14.0">
      <c r="A531" s="236" t="s">
        <v>2313</v>
      </c>
      <c r="B531" s="236" t="s">
        <v>2312</v>
      </c>
      <c r="C531" s="236">
        <v>5.0</v>
      </c>
      <c r="D531" s="236"/>
    </row>
    <row r="532" ht="14.0">
      <c r="A532" s="236" t="s">
        <v>2315</v>
      </c>
      <c r="B532" s="236" t="s">
        <v>2314</v>
      </c>
      <c r="C532" s="236">
        <v>5.0</v>
      </c>
      <c r="D532" s="236" t="s">
        <v>7571</v>
      </c>
    </row>
    <row r="533" ht="14.0">
      <c r="A533" s="236" t="s">
        <v>2317</v>
      </c>
      <c r="B533" s="236" t="s">
        <v>2316</v>
      </c>
      <c r="C533" s="236">
        <v>5.0</v>
      </c>
      <c r="D533" s="236" t="s">
        <v>7571</v>
      </c>
    </row>
    <row r="534" ht="14.0">
      <c r="A534" s="236" t="s">
        <v>2319</v>
      </c>
      <c r="B534" s="236" t="s">
        <v>2318</v>
      </c>
      <c r="C534" s="236">
        <v>5.0</v>
      </c>
      <c r="D534" s="236"/>
    </row>
    <row r="535" ht="14.0">
      <c r="A535" s="236" t="s">
        <v>2321</v>
      </c>
      <c r="B535" s="236" t="s">
        <v>2320</v>
      </c>
      <c r="C535" s="236">
        <v>5.0</v>
      </c>
      <c r="D535" s="236" t="s">
        <v>7571</v>
      </c>
    </row>
    <row r="536" ht="14.0">
      <c r="A536" s="236" t="s">
        <v>2323</v>
      </c>
      <c r="B536" s="236" t="s">
        <v>2322</v>
      </c>
      <c r="C536" s="236">
        <v>5.0</v>
      </c>
      <c r="D536" s="236"/>
    </row>
    <row r="537" ht="14.0">
      <c r="A537" s="236" t="s">
        <v>2325</v>
      </c>
      <c r="B537" s="236" t="s">
        <v>2324</v>
      </c>
      <c r="C537" s="236">
        <v>5.0</v>
      </c>
      <c r="D537" s="236" t="s">
        <v>7571</v>
      </c>
    </row>
    <row r="538" ht="14.0">
      <c r="A538" s="236" t="s">
        <v>2327</v>
      </c>
      <c r="B538" s="236" t="s">
        <v>2326</v>
      </c>
      <c r="C538" s="236">
        <v>5.0</v>
      </c>
      <c r="D538" s="236"/>
    </row>
    <row r="539" ht="14.0">
      <c r="A539" s="236" t="s">
        <v>2329</v>
      </c>
      <c r="B539" s="236" t="s">
        <v>2328</v>
      </c>
      <c r="C539" s="236">
        <v>5.0</v>
      </c>
      <c r="D539" s="236"/>
    </row>
    <row r="540" ht="14.0">
      <c r="A540" s="236" t="s">
        <v>2331</v>
      </c>
      <c r="B540" s="236" t="s">
        <v>2330</v>
      </c>
      <c r="C540" s="236">
        <v>5.0</v>
      </c>
      <c r="D540" s="236"/>
    </row>
    <row r="541" ht="14.0">
      <c r="A541" s="236" t="s">
        <v>2333</v>
      </c>
      <c r="B541" s="236" t="s">
        <v>2332</v>
      </c>
      <c r="C541" s="236">
        <v>5.0</v>
      </c>
      <c r="D541" s="236"/>
    </row>
    <row r="542" ht="14.0">
      <c r="A542" s="236" t="s">
        <v>2339</v>
      </c>
      <c r="B542" s="236" t="s">
        <v>2338</v>
      </c>
      <c r="C542" s="236"/>
      <c r="D542" s="236" t="s">
        <v>189</v>
      </c>
    </row>
    <row r="543" ht="14.0">
      <c r="A543" s="236" t="s">
        <v>2347</v>
      </c>
      <c r="B543" s="236" t="s">
        <v>2346</v>
      </c>
      <c r="C543" s="126">
        <v>1100.0</v>
      </c>
      <c r="D543" s="236"/>
    </row>
    <row r="544" ht="14.0">
      <c r="A544" s="236" t="s">
        <v>7589</v>
      </c>
      <c r="B544" s="236" t="s">
        <v>2435</v>
      </c>
      <c r="C544" s="236">
        <v>504.0</v>
      </c>
      <c r="D544" s="236" t="s">
        <v>189</v>
      </c>
    </row>
    <row r="545" ht="14.0">
      <c r="A545" s="236" t="s">
        <v>7590</v>
      </c>
      <c r="B545" s="236" t="s">
        <v>2441</v>
      </c>
      <c r="C545" s="236">
        <v>504.0</v>
      </c>
      <c r="D545" s="236" t="s">
        <v>189</v>
      </c>
    </row>
    <row r="546" ht="14.0">
      <c r="A546" s="236" t="s">
        <v>7591</v>
      </c>
      <c r="B546" s="236" t="s">
        <v>2453</v>
      </c>
      <c r="C546" s="236">
        <v>504.0</v>
      </c>
      <c r="D546" s="236" t="s">
        <v>189</v>
      </c>
    </row>
    <row r="547" ht="14.0">
      <c r="A547" s="236" t="s">
        <v>7592</v>
      </c>
      <c r="B547" s="236" t="s">
        <v>2467</v>
      </c>
      <c r="C547" s="236">
        <v>504.0</v>
      </c>
      <c r="D547" s="236" t="s">
        <v>189</v>
      </c>
    </row>
    <row r="548" ht="14.0">
      <c r="A548" s="236" t="s">
        <v>7593</v>
      </c>
      <c r="B548" s="236" t="s">
        <v>2479</v>
      </c>
      <c r="C548" s="236">
        <v>504.0</v>
      </c>
      <c r="D548" s="236" t="s">
        <v>189</v>
      </c>
    </row>
    <row r="549" ht="14.0">
      <c r="A549" s="236" t="s">
        <v>7594</v>
      </c>
      <c r="B549" s="236" t="s">
        <v>2483</v>
      </c>
      <c r="C549" s="236">
        <v>504.0</v>
      </c>
      <c r="D549" s="236" t="s">
        <v>189</v>
      </c>
    </row>
    <row r="550" ht="14.0">
      <c r="A550" s="236" t="s">
        <v>7595</v>
      </c>
      <c r="B550" s="236" t="s">
        <v>2513</v>
      </c>
      <c r="C550" s="236">
        <v>504.0</v>
      </c>
      <c r="D550" s="236" t="s">
        <v>189</v>
      </c>
    </row>
    <row r="551" ht="14.0">
      <c r="A551" s="236" t="s">
        <v>7596</v>
      </c>
      <c r="B551" s="236" t="s">
        <v>2523</v>
      </c>
      <c r="C551" s="236">
        <v>504.0</v>
      </c>
      <c r="D551" s="236" t="s">
        <v>189</v>
      </c>
    </row>
    <row r="552" ht="14.0">
      <c r="A552" s="236" t="s">
        <v>7597</v>
      </c>
      <c r="B552" s="236" t="s">
        <v>2529</v>
      </c>
      <c r="C552" s="236">
        <v>504.0</v>
      </c>
      <c r="D552" s="236" t="s">
        <v>189</v>
      </c>
    </row>
    <row r="553" ht="14.0">
      <c r="A553" s="236" t="s">
        <v>2351</v>
      </c>
      <c r="B553" s="236" t="s">
        <v>2350</v>
      </c>
      <c r="C553" s="236">
        <v>504.0</v>
      </c>
      <c r="D553" s="236" t="s">
        <v>189</v>
      </c>
    </row>
    <row r="554" ht="14.0">
      <c r="A554" s="236" t="s">
        <v>2353</v>
      </c>
      <c r="B554" s="236" t="s">
        <v>2352</v>
      </c>
      <c r="C554" s="236">
        <v>504.0</v>
      </c>
      <c r="D554" s="236" t="s">
        <v>189</v>
      </c>
    </row>
    <row r="555" ht="14.0">
      <c r="A555" s="236" t="s">
        <v>2355</v>
      </c>
      <c r="B555" s="236" t="s">
        <v>2354</v>
      </c>
      <c r="C555" s="236">
        <v>504.0</v>
      </c>
      <c r="D555" s="236" t="s">
        <v>189</v>
      </c>
    </row>
    <row r="556" ht="14.0">
      <c r="A556" s="236" t="s">
        <v>2357</v>
      </c>
      <c r="B556" s="236" t="s">
        <v>2356</v>
      </c>
      <c r="C556" s="236">
        <v>504.0</v>
      </c>
      <c r="D556" s="236" t="s">
        <v>189</v>
      </c>
    </row>
    <row r="557" ht="14.0">
      <c r="A557" s="236" t="s">
        <v>2359</v>
      </c>
      <c r="B557" s="236" t="s">
        <v>2358</v>
      </c>
      <c r="C557" s="236">
        <v>504.0</v>
      </c>
      <c r="D557" s="236" t="s">
        <v>189</v>
      </c>
    </row>
    <row r="558" ht="14.0">
      <c r="A558" s="236" t="s">
        <v>2361</v>
      </c>
      <c r="B558" s="236" t="s">
        <v>2360</v>
      </c>
      <c r="C558" s="236">
        <v>504.0</v>
      </c>
      <c r="D558" s="236" t="s">
        <v>189</v>
      </c>
    </row>
    <row r="559" ht="14.0">
      <c r="A559" s="236" t="s">
        <v>2363</v>
      </c>
      <c r="B559" s="236" t="s">
        <v>2362</v>
      </c>
      <c r="C559" s="236">
        <v>504.0</v>
      </c>
      <c r="D559" s="236" t="s">
        <v>189</v>
      </c>
    </row>
    <row r="560" ht="14.0">
      <c r="A560" s="236" t="s">
        <v>2365</v>
      </c>
      <c r="B560" s="236" t="s">
        <v>2364</v>
      </c>
      <c r="C560" s="236">
        <v>504.0</v>
      </c>
      <c r="D560" s="236" t="s">
        <v>189</v>
      </c>
    </row>
    <row r="561" ht="14.0">
      <c r="A561" s="236" t="s">
        <v>2367</v>
      </c>
      <c r="B561" s="236" t="s">
        <v>2366</v>
      </c>
      <c r="C561" s="236">
        <v>504.0</v>
      </c>
      <c r="D561" s="236" t="s">
        <v>189</v>
      </c>
    </row>
    <row r="562" ht="14.0">
      <c r="A562" s="236" t="s">
        <v>7598</v>
      </c>
      <c r="B562" s="236" t="s">
        <v>2368</v>
      </c>
      <c r="C562" s="236"/>
      <c r="D562" s="236" t="s">
        <v>189</v>
      </c>
    </row>
    <row r="563" ht="14.0">
      <c r="A563" s="236" t="s">
        <v>7599</v>
      </c>
      <c r="B563" s="236" t="s">
        <v>2567</v>
      </c>
      <c r="C563" s="236"/>
      <c r="D563" s="236" t="s">
        <v>189</v>
      </c>
    </row>
    <row r="564" ht="14.0">
      <c r="A564" s="236" t="s">
        <v>2403</v>
      </c>
      <c r="B564" s="236" t="s">
        <v>2402</v>
      </c>
      <c r="C564" s="236"/>
      <c r="D564" s="236" t="s">
        <v>7571</v>
      </c>
    </row>
    <row r="565" ht="14.0">
      <c r="A565" s="236" t="s">
        <v>2405</v>
      </c>
      <c r="B565" s="236" t="s">
        <v>2404</v>
      </c>
      <c r="C565" s="126">
        <v>1008.0</v>
      </c>
      <c r="D565" s="236" t="s">
        <v>189</v>
      </c>
    </row>
    <row r="566" ht="14.0">
      <c r="A566" s="236" t="s">
        <v>2576</v>
      </c>
      <c r="B566" s="236" t="s">
        <v>2575</v>
      </c>
      <c r="C566" s="236"/>
      <c r="D566" s="236" t="s">
        <v>189</v>
      </c>
    </row>
    <row r="567" ht="14.0">
      <c r="A567" s="236" t="s">
        <v>2578</v>
      </c>
      <c r="B567" s="236" t="s">
        <v>2577</v>
      </c>
      <c r="C567" s="236"/>
      <c r="D567" s="236" t="s">
        <v>189</v>
      </c>
    </row>
    <row r="568" ht="14.0">
      <c r="A568" s="236" t="s">
        <v>2582</v>
      </c>
      <c r="B568" s="236" t="s">
        <v>2581</v>
      </c>
      <c r="C568" s="236"/>
      <c r="D568" s="236" t="s">
        <v>189</v>
      </c>
    </row>
    <row r="569" ht="14.0">
      <c r="A569" s="236" t="s">
        <v>2584</v>
      </c>
      <c r="B569" s="236" t="s">
        <v>2583</v>
      </c>
      <c r="C569" s="236"/>
      <c r="D569" s="236" t="s">
        <v>189</v>
      </c>
    </row>
    <row r="570" ht="14.0">
      <c r="A570" s="236" t="s">
        <v>2586</v>
      </c>
      <c r="B570" s="236" t="s">
        <v>2585</v>
      </c>
      <c r="C570" s="236"/>
      <c r="D570" s="236" t="s">
        <v>189</v>
      </c>
    </row>
    <row r="571" ht="14.0">
      <c r="A571" s="236" t="s">
        <v>2614</v>
      </c>
      <c r="B571" s="236" t="s">
        <v>2613</v>
      </c>
      <c r="C571" s="236">
        <v>200.0</v>
      </c>
      <c r="D571" s="236" t="s">
        <v>189</v>
      </c>
    </row>
    <row r="572" ht="14.0">
      <c r="A572" s="236" t="s">
        <v>7600</v>
      </c>
      <c r="B572" s="236" t="s">
        <v>2615</v>
      </c>
      <c r="C572" s="236">
        <v>200.0</v>
      </c>
      <c r="D572" s="236"/>
    </row>
    <row r="573" ht="14.0">
      <c r="A573" s="236" t="s">
        <v>7601</v>
      </c>
      <c r="B573" s="236" t="s">
        <v>2617</v>
      </c>
      <c r="C573" s="236">
        <v>200.0</v>
      </c>
      <c r="D573" s="236"/>
    </row>
    <row r="574" ht="14.0">
      <c r="A574" s="236" t="s">
        <v>7602</v>
      </c>
      <c r="B574" s="236" t="s">
        <v>2619</v>
      </c>
      <c r="C574" s="236">
        <v>200.0</v>
      </c>
      <c r="D574" s="236"/>
    </row>
    <row r="575" ht="14.0">
      <c r="A575" s="236" t="s">
        <v>2709</v>
      </c>
      <c r="B575" s="236" t="s">
        <v>2708</v>
      </c>
      <c r="C575" s="236"/>
      <c r="D575" s="236" t="s">
        <v>189</v>
      </c>
    </row>
    <row r="576" ht="14.0">
      <c r="A576" s="236" t="s">
        <v>2713</v>
      </c>
      <c r="B576" s="236" t="s">
        <v>2712</v>
      </c>
      <c r="C576" s="236"/>
      <c r="D576" s="236" t="s">
        <v>189</v>
      </c>
    </row>
    <row r="577" ht="14.0">
      <c r="A577" s="236" t="s">
        <v>2727</v>
      </c>
      <c r="B577" s="236" t="s">
        <v>2726</v>
      </c>
      <c r="C577" s="236">
        <v>500.0</v>
      </c>
      <c r="D577" s="236" t="s">
        <v>189</v>
      </c>
    </row>
    <row r="578" ht="14.0">
      <c r="A578" s="236" t="s">
        <v>2729</v>
      </c>
      <c r="B578" s="236" t="s">
        <v>2728</v>
      </c>
      <c r="C578" s="236"/>
      <c r="D578" s="236" t="s">
        <v>189</v>
      </c>
    </row>
    <row r="579" ht="14.0">
      <c r="A579" s="236" t="s">
        <v>2731</v>
      </c>
      <c r="B579" s="236" t="s">
        <v>2730</v>
      </c>
      <c r="C579" s="236">
        <v>500.0</v>
      </c>
      <c r="D579" s="236" t="s">
        <v>189</v>
      </c>
    </row>
    <row r="580" ht="14.0">
      <c r="A580" s="236" t="s">
        <v>2737</v>
      </c>
      <c r="B580" s="236" t="s">
        <v>2736</v>
      </c>
      <c r="C580" s="126">
        <v>1000.0</v>
      </c>
      <c r="D580" s="236" t="s">
        <v>189</v>
      </c>
    </row>
    <row r="581" ht="14.0">
      <c r="A581" s="236" t="s">
        <v>2741</v>
      </c>
      <c r="B581" s="236" t="s">
        <v>2740</v>
      </c>
      <c r="C581" s="126">
        <v>1000.0</v>
      </c>
      <c r="D581" s="236" t="s">
        <v>189</v>
      </c>
    </row>
    <row r="582" ht="14.0">
      <c r="A582" s="236" t="s">
        <v>2743</v>
      </c>
      <c r="B582" s="236" t="s">
        <v>2742</v>
      </c>
      <c r="C582" s="126">
        <v>1000.0</v>
      </c>
      <c r="D582" s="236" t="s">
        <v>189</v>
      </c>
    </row>
    <row r="583" ht="14.0">
      <c r="A583" s="236" t="s">
        <v>2745</v>
      </c>
      <c r="B583" s="236" t="s">
        <v>2744</v>
      </c>
      <c r="C583" s="126">
        <v>1000.0</v>
      </c>
      <c r="D583" s="236" t="s">
        <v>189</v>
      </c>
    </row>
    <row r="584" ht="14.0">
      <c r="A584" s="236" t="s">
        <v>2747</v>
      </c>
      <c r="B584" s="236" t="s">
        <v>2746</v>
      </c>
      <c r="C584" s="126">
        <v>1000.0</v>
      </c>
      <c r="D584" s="236" t="s">
        <v>189</v>
      </c>
    </row>
    <row r="585" ht="14.0">
      <c r="A585" s="236" t="s">
        <v>2749</v>
      </c>
      <c r="B585" s="236" t="s">
        <v>2748</v>
      </c>
      <c r="C585" s="126">
        <v>1000.0</v>
      </c>
      <c r="D585" s="236" t="s">
        <v>189</v>
      </c>
    </row>
    <row r="586" ht="14.0">
      <c r="A586" s="236" t="s">
        <v>2751</v>
      </c>
      <c r="B586" s="236" t="s">
        <v>2750</v>
      </c>
      <c r="C586" s="126">
        <v>1000.0</v>
      </c>
      <c r="D586" s="236" t="s">
        <v>189</v>
      </c>
    </row>
    <row r="587" ht="14.0">
      <c r="A587" s="236" t="s">
        <v>2753</v>
      </c>
      <c r="B587" s="236" t="s">
        <v>2752</v>
      </c>
      <c r="C587" s="126">
        <v>1000.0</v>
      </c>
      <c r="D587" s="236" t="s">
        <v>189</v>
      </c>
    </row>
    <row r="588" ht="14.0">
      <c r="A588" s="236" t="s">
        <v>2770</v>
      </c>
      <c r="B588" s="236" t="s">
        <v>2769</v>
      </c>
      <c r="C588" s="236">
        <v>10.0</v>
      </c>
      <c r="D588" s="236"/>
    </row>
    <row r="589" ht="14.0">
      <c r="A589" s="236" t="s">
        <v>2772</v>
      </c>
      <c r="B589" s="236" t="s">
        <v>2771</v>
      </c>
      <c r="C589" s="126">
        <v>1002.0</v>
      </c>
      <c r="D589" s="236"/>
    </row>
    <row r="590" ht="14.0">
      <c r="A590" s="236" t="s">
        <v>2774</v>
      </c>
      <c r="B590" s="236" t="s">
        <v>2773</v>
      </c>
      <c r="C590" s="126">
        <v>1002.0</v>
      </c>
      <c r="D590" s="236"/>
    </row>
    <row r="591" ht="14.0">
      <c r="A591" s="236" t="s">
        <v>2776</v>
      </c>
      <c r="B591" s="236" t="s">
        <v>2775</v>
      </c>
      <c r="C591" s="126">
        <v>1002.0</v>
      </c>
      <c r="D591" s="236"/>
    </row>
    <row r="592" ht="14.0">
      <c r="A592" s="236" t="s">
        <v>2778</v>
      </c>
      <c r="B592" s="236" t="s">
        <v>2777</v>
      </c>
      <c r="C592" s="126">
        <v>1002.0</v>
      </c>
      <c r="D592" s="236"/>
    </row>
    <row r="593" ht="14.0">
      <c r="A593" s="236" t="s">
        <v>2780</v>
      </c>
      <c r="B593" s="236" t="s">
        <v>2779</v>
      </c>
      <c r="C593" s="126">
        <v>1002.0</v>
      </c>
      <c r="D593" s="236"/>
    </row>
    <row r="594" ht="14.0">
      <c r="A594" s="236" t="s">
        <v>2782</v>
      </c>
      <c r="B594" s="236" t="s">
        <v>2781</v>
      </c>
      <c r="C594" s="126">
        <v>1002.0</v>
      </c>
      <c r="D594" s="236"/>
    </row>
    <row r="595" ht="14.0">
      <c r="A595" s="236" t="s">
        <v>2784</v>
      </c>
      <c r="B595" s="236" t="s">
        <v>2783</v>
      </c>
      <c r="C595" s="236"/>
      <c r="D595" s="236"/>
    </row>
    <row r="596" ht="14.0">
      <c r="A596" s="236" t="s">
        <v>2794</v>
      </c>
      <c r="B596" s="236" t="s">
        <v>2793</v>
      </c>
      <c r="C596" s="236"/>
      <c r="D596" s="236" t="s">
        <v>189</v>
      </c>
    </row>
    <row r="597" ht="14.0">
      <c r="A597" s="236" t="s">
        <v>171</v>
      </c>
      <c r="B597" s="236" t="s">
        <v>172</v>
      </c>
      <c r="C597" s="236">
        <v>200.0</v>
      </c>
      <c r="D597" s="236"/>
    </row>
    <row r="598" ht="14.0">
      <c r="A598" s="236" t="s">
        <v>2816</v>
      </c>
      <c r="B598" s="236" t="s">
        <v>2815</v>
      </c>
      <c r="C598" s="236">
        <v>308.0</v>
      </c>
      <c r="D598" s="236"/>
    </row>
    <row r="599" ht="14.0">
      <c r="A599" s="236" t="s">
        <v>2818</v>
      </c>
      <c r="B599" s="236" t="s">
        <v>2817</v>
      </c>
      <c r="C599" s="236">
        <v>308.0</v>
      </c>
      <c r="D599" s="236"/>
    </row>
    <row r="600" ht="14.0">
      <c r="A600" s="236" t="s">
        <v>173</v>
      </c>
      <c r="B600" s="236" t="s">
        <v>174</v>
      </c>
      <c r="C600" s="236">
        <v>200.0</v>
      </c>
      <c r="D600" s="236"/>
    </row>
    <row r="601" ht="14.0">
      <c r="A601" s="236" t="s">
        <v>175</v>
      </c>
      <c r="B601" s="236" t="s">
        <v>176</v>
      </c>
      <c r="C601" s="236">
        <v>120.0</v>
      </c>
      <c r="D601" s="236"/>
    </row>
    <row r="602" ht="14.0">
      <c r="A602" s="236" t="s">
        <v>177</v>
      </c>
      <c r="B602" s="236" t="s">
        <v>178</v>
      </c>
      <c r="C602" s="236">
        <v>120.0</v>
      </c>
      <c r="D602" s="236"/>
    </row>
    <row r="603" ht="14.0">
      <c r="A603" s="236" t="s">
        <v>2828</v>
      </c>
      <c r="B603" s="236" t="s">
        <v>2827</v>
      </c>
      <c r="C603" s="236"/>
      <c r="D603" s="236"/>
    </row>
    <row r="604" ht="14.0">
      <c r="A604" s="236" t="s">
        <v>2830</v>
      </c>
      <c r="B604" s="236" t="s">
        <v>2829</v>
      </c>
      <c r="C604" s="236"/>
      <c r="D604" s="236"/>
    </row>
    <row r="605" ht="14.0">
      <c r="A605" s="236" t="s">
        <v>7603</v>
      </c>
      <c r="B605" s="236" t="s">
        <v>6473</v>
      </c>
      <c r="C605" s="236">
        <v>500.0</v>
      </c>
      <c r="D605" s="236"/>
    </row>
    <row r="606" ht="14.0">
      <c r="A606" s="236" t="s">
        <v>7604</v>
      </c>
      <c r="B606" s="236" t="s">
        <v>6475</v>
      </c>
      <c r="C606" s="236">
        <v>500.0</v>
      </c>
      <c r="D606" s="236"/>
    </row>
    <row r="607" ht="14.0">
      <c r="A607" s="236" t="s">
        <v>7605</v>
      </c>
      <c r="B607" s="236" t="s">
        <v>6477</v>
      </c>
      <c r="C607" s="236">
        <v>500.0</v>
      </c>
      <c r="D607" s="236"/>
    </row>
    <row r="608" ht="14.0">
      <c r="A608" s="236" t="s">
        <v>7606</v>
      </c>
      <c r="B608" s="236" t="s">
        <v>6481</v>
      </c>
      <c r="C608" s="236">
        <v>500.0</v>
      </c>
      <c r="D608" s="236"/>
    </row>
    <row r="609" ht="14.0">
      <c r="A609" s="236" t="s">
        <v>6422</v>
      </c>
      <c r="B609" s="236" t="s">
        <v>6421</v>
      </c>
      <c r="C609" s="236">
        <v>500.0</v>
      </c>
      <c r="D609" s="236"/>
    </row>
    <row r="610" ht="14.0">
      <c r="A610" s="236" t="s">
        <v>6424</v>
      </c>
      <c r="B610" s="236" t="s">
        <v>6423</v>
      </c>
      <c r="C610" s="236">
        <v>500.0</v>
      </c>
      <c r="D610" s="236"/>
    </row>
    <row r="611" ht="14.0">
      <c r="A611" s="236" t="s">
        <v>6426</v>
      </c>
      <c r="B611" s="236" t="s">
        <v>6425</v>
      </c>
      <c r="C611" s="236">
        <v>500.0</v>
      </c>
      <c r="D611" s="236"/>
    </row>
    <row r="612" ht="14.0">
      <c r="A612" s="236" t="s">
        <v>6430</v>
      </c>
      <c r="B612" s="236" t="s">
        <v>6429</v>
      </c>
      <c r="C612" s="236">
        <v>500.0</v>
      </c>
      <c r="D612" s="236"/>
    </row>
    <row r="613" ht="14.0">
      <c r="A613" s="236" t="s">
        <v>6480</v>
      </c>
      <c r="B613" s="236" t="s">
        <v>6479</v>
      </c>
      <c r="C613" s="236">
        <v>500.0</v>
      </c>
      <c r="D613" s="236"/>
    </row>
    <row r="614" ht="14.0">
      <c r="A614" s="236" t="s">
        <v>2889</v>
      </c>
      <c r="B614" s="236" t="s">
        <v>2888</v>
      </c>
      <c r="C614" s="236"/>
      <c r="D614" s="236" t="s">
        <v>189</v>
      </c>
    </row>
    <row r="615" ht="14.0">
      <c r="A615" s="236" t="s">
        <v>2891</v>
      </c>
      <c r="B615" s="236" t="s">
        <v>2890</v>
      </c>
      <c r="C615" s="236"/>
      <c r="D615" s="236" t="s">
        <v>189</v>
      </c>
    </row>
    <row r="616" ht="14.0">
      <c r="A616" s="236" t="s">
        <v>2893</v>
      </c>
      <c r="B616" s="236" t="s">
        <v>2892</v>
      </c>
      <c r="C616" s="236"/>
      <c r="D616" s="236" t="s">
        <v>189</v>
      </c>
    </row>
    <row r="617" ht="14.0">
      <c r="A617" s="236" t="s">
        <v>2895</v>
      </c>
      <c r="B617" s="236" t="s">
        <v>2894</v>
      </c>
      <c r="C617" s="236"/>
      <c r="D617" s="236" t="s">
        <v>189</v>
      </c>
    </row>
    <row r="618" ht="14.0">
      <c r="A618" s="236" t="s">
        <v>2897</v>
      </c>
      <c r="B618" s="236" t="s">
        <v>2896</v>
      </c>
      <c r="C618" s="236"/>
      <c r="D618" s="236" t="s">
        <v>189</v>
      </c>
    </row>
    <row r="619" ht="14.0">
      <c r="A619" s="236" t="s">
        <v>2903</v>
      </c>
      <c r="B619" s="236" t="s">
        <v>2902</v>
      </c>
      <c r="C619" s="236"/>
      <c r="D619" s="236" t="s">
        <v>189</v>
      </c>
    </row>
    <row r="620" ht="14.0">
      <c r="A620" s="236" t="s">
        <v>2905</v>
      </c>
      <c r="B620" s="236" t="s">
        <v>2904</v>
      </c>
      <c r="C620" s="236"/>
      <c r="D620" s="236" t="s">
        <v>189</v>
      </c>
    </row>
    <row r="621" ht="14.0">
      <c r="A621" s="236" t="s">
        <v>2907</v>
      </c>
      <c r="B621" s="236" t="s">
        <v>2906</v>
      </c>
      <c r="C621" s="236"/>
      <c r="D621" s="236" t="s">
        <v>189</v>
      </c>
    </row>
    <row r="622" ht="14.0">
      <c r="A622" s="236" t="s">
        <v>2909</v>
      </c>
      <c r="B622" s="236" t="s">
        <v>2908</v>
      </c>
      <c r="C622" s="236"/>
      <c r="D622" s="236" t="s">
        <v>189</v>
      </c>
    </row>
    <row r="623" ht="14.0">
      <c r="A623" s="236" t="s">
        <v>2911</v>
      </c>
      <c r="B623" s="236" t="s">
        <v>2910</v>
      </c>
      <c r="C623" s="236"/>
      <c r="D623" s="236" t="s">
        <v>189</v>
      </c>
    </row>
    <row r="624" ht="14.0">
      <c r="A624" s="236" t="s">
        <v>2913</v>
      </c>
      <c r="B624" s="236" t="s">
        <v>2912</v>
      </c>
      <c r="C624" s="236">
        <v>500.0</v>
      </c>
      <c r="D624" s="236"/>
    </row>
    <row r="625" ht="14.0">
      <c r="A625" s="236" t="s">
        <v>2915</v>
      </c>
      <c r="B625" s="236" t="s">
        <v>2914</v>
      </c>
      <c r="C625" s="236">
        <v>5.0</v>
      </c>
      <c r="D625" s="236"/>
    </row>
    <row r="626" ht="14.0">
      <c r="A626" s="236" t="s">
        <v>2917</v>
      </c>
      <c r="B626" s="236" t="s">
        <v>2916</v>
      </c>
      <c r="C626" s="236">
        <v>5.0</v>
      </c>
      <c r="D626" s="236"/>
    </row>
    <row r="627" ht="14.0">
      <c r="A627" s="236" t="s">
        <v>2919</v>
      </c>
      <c r="B627" s="236" t="s">
        <v>2918</v>
      </c>
      <c r="C627" s="236">
        <v>5.0</v>
      </c>
      <c r="D627" s="236"/>
    </row>
    <row r="628" ht="14.0">
      <c r="A628" s="236" t="s">
        <v>2921</v>
      </c>
      <c r="B628" s="236" t="s">
        <v>2920</v>
      </c>
      <c r="C628" s="236">
        <v>5.0</v>
      </c>
      <c r="D628" s="236"/>
    </row>
    <row r="629" ht="14.0">
      <c r="A629" s="236" t="s">
        <v>2923</v>
      </c>
      <c r="B629" s="236" t="s">
        <v>2922</v>
      </c>
      <c r="C629" s="236">
        <v>5.0</v>
      </c>
      <c r="D629" s="236"/>
    </row>
    <row r="630" ht="14.0">
      <c r="A630" s="236" t="s">
        <v>2925</v>
      </c>
      <c r="B630" s="236" t="s">
        <v>2924</v>
      </c>
      <c r="C630" s="236">
        <v>5.0</v>
      </c>
      <c r="D630" s="236"/>
    </row>
    <row r="631" ht="14.0">
      <c r="A631" s="236" t="s">
        <v>2927</v>
      </c>
      <c r="B631" s="236" t="s">
        <v>2926</v>
      </c>
      <c r="C631" s="236">
        <v>5.0</v>
      </c>
      <c r="D631" s="236"/>
    </row>
    <row r="632" ht="14.0">
      <c r="A632" s="236" t="s">
        <v>2929</v>
      </c>
      <c r="B632" s="236" t="s">
        <v>2928</v>
      </c>
      <c r="C632" s="236">
        <v>5.0</v>
      </c>
      <c r="D632" s="236"/>
    </row>
    <row r="633" ht="14.0">
      <c r="A633" s="236" t="s">
        <v>2931</v>
      </c>
      <c r="B633" s="236" t="s">
        <v>2930</v>
      </c>
      <c r="C633" s="236">
        <v>5.0</v>
      </c>
      <c r="D633" s="236"/>
    </row>
    <row r="634" ht="14.0">
      <c r="A634" s="236" t="s">
        <v>2933</v>
      </c>
      <c r="B634" s="236" t="s">
        <v>2932</v>
      </c>
      <c r="C634" s="236">
        <v>5.0</v>
      </c>
      <c r="D634" s="236"/>
    </row>
    <row r="635" ht="14.0">
      <c r="A635" s="236" t="s">
        <v>2935</v>
      </c>
      <c r="B635" s="236" t="s">
        <v>2934</v>
      </c>
      <c r="C635" s="236">
        <v>5.0</v>
      </c>
      <c r="D635" s="236"/>
    </row>
    <row r="636" ht="14.0">
      <c r="A636" s="236" t="s">
        <v>2937</v>
      </c>
      <c r="B636" s="236" t="s">
        <v>2936</v>
      </c>
      <c r="C636" s="236">
        <v>5.0</v>
      </c>
      <c r="D636" s="236"/>
    </row>
    <row r="637" ht="14.0">
      <c r="A637" s="236" t="s">
        <v>2939</v>
      </c>
      <c r="B637" s="236" t="s">
        <v>2938</v>
      </c>
      <c r="C637" s="236">
        <v>5.0</v>
      </c>
      <c r="D637" s="236"/>
    </row>
    <row r="638" ht="14.0">
      <c r="A638" s="236" t="s">
        <v>2941</v>
      </c>
      <c r="B638" s="236" t="s">
        <v>2940</v>
      </c>
      <c r="C638" s="236">
        <v>5.0</v>
      </c>
      <c r="D638" s="236"/>
    </row>
    <row r="639" ht="14.0">
      <c r="A639" s="236" t="s">
        <v>2943</v>
      </c>
      <c r="B639" s="236" t="s">
        <v>2942</v>
      </c>
      <c r="C639" s="236">
        <v>5.0</v>
      </c>
      <c r="D639" s="236"/>
    </row>
    <row r="640" ht="14.0">
      <c r="A640" s="236" t="s">
        <v>2945</v>
      </c>
      <c r="B640" s="236" t="s">
        <v>2944</v>
      </c>
      <c r="C640" s="236">
        <v>5.0</v>
      </c>
      <c r="D640" s="236"/>
    </row>
    <row r="641" ht="14.0">
      <c r="A641" s="236" t="s">
        <v>2947</v>
      </c>
      <c r="B641" s="236" t="s">
        <v>2946</v>
      </c>
      <c r="C641" s="236">
        <v>5.0</v>
      </c>
      <c r="D641" s="236"/>
    </row>
    <row r="642" ht="14.0">
      <c r="A642" s="236" t="s">
        <v>2949</v>
      </c>
      <c r="B642" s="236" t="s">
        <v>2948</v>
      </c>
      <c r="C642" s="236">
        <v>5.0</v>
      </c>
      <c r="D642" s="236"/>
    </row>
    <row r="643" ht="14.0">
      <c r="A643" s="236" t="s">
        <v>2951</v>
      </c>
      <c r="B643" s="236" t="s">
        <v>2950</v>
      </c>
      <c r="C643" s="236">
        <v>5.0</v>
      </c>
      <c r="D643" s="236"/>
    </row>
    <row r="644" ht="14.0">
      <c r="A644" s="236" t="s">
        <v>2953</v>
      </c>
      <c r="B644" s="236" t="s">
        <v>2952</v>
      </c>
      <c r="C644" s="236">
        <v>5.0</v>
      </c>
      <c r="D644" s="236"/>
    </row>
    <row r="645" ht="14.0">
      <c r="A645" s="236" t="s">
        <v>2955</v>
      </c>
      <c r="B645" s="236" t="s">
        <v>2954</v>
      </c>
      <c r="C645" s="236">
        <v>5.0</v>
      </c>
      <c r="D645" s="236"/>
    </row>
    <row r="646" ht="14.0">
      <c r="A646" s="236" t="s">
        <v>2957</v>
      </c>
      <c r="B646" s="236" t="s">
        <v>2956</v>
      </c>
      <c r="C646" s="236">
        <v>5.0</v>
      </c>
      <c r="D646" s="236"/>
    </row>
    <row r="647" ht="14.0">
      <c r="A647" s="236" t="s">
        <v>2959</v>
      </c>
      <c r="B647" s="236" t="s">
        <v>2958</v>
      </c>
      <c r="C647" s="236">
        <v>5.0</v>
      </c>
      <c r="D647" s="236"/>
    </row>
    <row r="648" ht="14.0">
      <c r="A648" s="236" t="s">
        <v>2961</v>
      </c>
      <c r="B648" s="236" t="s">
        <v>2960</v>
      </c>
      <c r="C648" s="236">
        <v>5.0</v>
      </c>
      <c r="D648" s="236"/>
    </row>
    <row r="649" ht="14.0">
      <c r="A649" s="236" t="s">
        <v>2963</v>
      </c>
      <c r="B649" s="236" t="s">
        <v>2962</v>
      </c>
      <c r="C649" s="236">
        <v>5.0</v>
      </c>
      <c r="D649" s="236"/>
    </row>
    <row r="650" ht="14.0">
      <c r="A650" s="236" t="s">
        <v>2965</v>
      </c>
      <c r="B650" s="236" t="s">
        <v>2964</v>
      </c>
      <c r="C650" s="236">
        <v>5.0</v>
      </c>
      <c r="D650" s="236"/>
    </row>
    <row r="651" ht="14.0">
      <c r="A651" s="236" t="s">
        <v>2967</v>
      </c>
      <c r="B651" s="236" t="s">
        <v>2966</v>
      </c>
      <c r="C651" s="236">
        <v>5.0</v>
      </c>
      <c r="D651" s="236"/>
    </row>
    <row r="652" ht="14.0">
      <c r="A652" s="236" t="s">
        <v>2969</v>
      </c>
      <c r="B652" s="236" t="s">
        <v>2968</v>
      </c>
      <c r="C652" s="236">
        <v>5.0</v>
      </c>
      <c r="D652" s="236"/>
    </row>
    <row r="653" ht="14.0">
      <c r="A653" s="236" t="s">
        <v>2971</v>
      </c>
      <c r="B653" s="236" t="s">
        <v>2970</v>
      </c>
      <c r="C653" s="236">
        <v>5.0</v>
      </c>
      <c r="D653" s="236"/>
    </row>
    <row r="654" ht="14.0">
      <c r="A654" s="236" t="s">
        <v>2973</v>
      </c>
      <c r="B654" s="236" t="s">
        <v>2972</v>
      </c>
      <c r="C654" s="236">
        <v>5.0</v>
      </c>
      <c r="D654" s="236"/>
    </row>
    <row r="655" ht="14.0">
      <c r="A655" s="236" t="s">
        <v>2975</v>
      </c>
      <c r="B655" s="236" t="s">
        <v>2974</v>
      </c>
      <c r="C655" s="236">
        <v>5.0</v>
      </c>
      <c r="D655" s="236"/>
    </row>
    <row r="656" ht="14.0">
      <c r="A656" s="236" t="s">
        <v>2977</v>
      </c>
      <c r="B656" s="236" t="s">
        <v>2976</v>
      </c>
      <c r="C656" s="236">
        <v>5.0</v>
      </c>
      <c r="D656" s="236" t="s">
        <v>7571</v>
      </c>
    </row>
    <row r="657" ht="14.0">
      <c r="A657" s="236" t="s">
        <v>2979</v>
      </c>
      <c r="B657" s="236" t="s">
        <v>2978</v>
      </c>
      <c r="C657" s="236">
        <v>5.0</v>
      </c>
      <c r="D657" s="236" t="s">
        <v>7571</v>
      </c>
    </row>
    <row r="658" ht="14.0">
      <c r="A658" s="236" t="s">
        <v>2981</v>
      </c>
      <c r="B658" s="236" t="s">
        <v>2980</v>
      </c>
      <c r="C658" s="236">
        <v>5.0</v>
      </c>
      <c r="D658" s="236"/>
    </row>
    <row r="659" ht="14.0">
      <c r="A659" s="236" t="s">
        <v>2983</v>
      </c>
      <c r="B659" s="236" t="s">
        <v>2982</v>
      </c>
      <c r="C659" s="236">
        <v>5.0</v>
      </c>
      <c r="D659" s="236"/>
    </row>
    <row r="660" ht="14.0">
      <c r="A660" s="236" t="s">
        <v>2985</v>
      </c>
      <c r="B660" s="236" t="s">
        <v>2984</v>
      </c>
      <c r="C660" s="236">
        <v>5.0</v>
      </c>
      <c r="D660" s="236"/>
    </row>
    <row r="661" ht="14.0">
      <c r="A661" s="236" t="s">
        <v>2987</v>
      </c>
      <c r="B661" s="236" t="s">
        <v>2986</v>
      </c>
      <c r="C661" s="236">
        <v>5.0</v>
      </c>
      <c r="D661" s="236"/>
    </row>
    <row r="662" ht="14.0">
      <c r="A662" s="236" t="s">
        <v>2989</v>
      </c>
      <c r="B662" s="236" t="s">
        <v>2988</v>
      </c>
      <c r="C662" s="236">
        <v>5.0</v>
      </c>
      <c r="D662" s="236"/>
    </row>
    <row r="663" ht="14.0">
      <c r="A663" s="236" t="s">
        <v>2991</v>
      </c>
      <c r="B663" s="236" t="s">
        <v>2990</v>
      </c>
      <c r="C663" s="236">
        <v>5.0</v>
      </c>
      <c r="D663" s="236"/>
    </row>
    <row r="664" ht="14.0">
      <c r="A664" s="236" t="s">
        <v>2993</v>
      </c>
      <c r="B664" s="236" t="s">
        <v>2992</v>
      </c>
      <c r="C664" s="236">
        <v>5.0</v>
      </c>
      <c r="D664" s="236"/>
    </row>
    <row r="665" ht="14.0">
      <c r="A665" s="236" t="s">
        <v>2995</v>
      </c>
      <c r="B665" s="236" t="s">
        <v>2994</v>
      </c>
      <c r="C665" s="236">
        <v>5.0</v>
      </c>
      <c r="D665" s="236"/>
    </row>
    <row r="666" ht="14.0">
      <c r="A666" s="236" t="s">
        <v>2997</v>
      </c>
      <c r="B666" s="236" t="s">
        <v>2996</v>
      </c>
      <c r="C666" s="236">
        <v>5.0</v>
      </c>
      <c r="D666" s="236"/>
    </row>
    <row r="667" ht="14.0">
      <c r="A667" s="236" t="s">
        <v>2999</v>
      </c>
      <c r="B667" s="236" t="s">
        <v>2998</v>
      </c>
      <c r="C667" s="236">
        <v>5.0</v>
      </c>
      <c r="D667" s="236"/>
    </row>
    <row r="668" ht="14.0">
      <c r="A668" s="236" t="s">
        <v>3001</v>
      </c>
      <c r="B668" s="236" t="s">
        <v>3000</v>
      </c>
      <c r="C668" s="236">
        <v>5.0</v>
      </c>
      <c r="D668" s="236"/>
    </row>
    <row r="669" ht="14.0">
      <c r="A669" s="236" t="s">
        <v>3003</v>
      </c>
      <c r="B669" s="236" t="s">
        <v>3002</v>
      </c>
      <c r="C669" s="236">
        <v>5.0</v>
      </c>
      <c r="D669" s="236"/>
    </row>
    <row r="670" ht="14.0">
      <c r="A670" s="236" t="s">
        <v>3005</v>
      </c>
      <c r="B670" s="236" t="s">
        <v>3004</v>
      </c>
      <c r="C670" s="236">
        <v>5.0</v>
      </c>
      <c r="D670" s="236" t="s">
        <v>7571</v>
      </c>
    </row>
    <row r="671" ht="14.0">
      <c r="A671" s="236" t="s">
        <v>3007</v>
      </c>
      <c r="B671" s="236" t="s">
        <v>3006</v>
      </c>
      <c r="C671" s="236">
        <v>5.0</v>
      </c>
      <c r="D671" s="236"/>
    </row>
    <row r="672" ht="14.0">
      <c r="A672" s="236" t="s">
        <v>3009</v>
      </c>
      <c r="B672" s="236" t="s">
        <v>3008</v>
      </c>
      <c r="C672" s="236">
        <v>5.0</v>
      </c>
      <c r="D672" s="236"/>
    </row>
    <row r="673" ht="14.0">
      <c r="A673" s="236" t="s">
        <v>3011</v>
      </c>
      <c r="B673" s="236" t="s">
        <v>3010</v>
      </c>
      <c r="C673" s="236">
        <v>5.0</v>
      </c>
      <c r="D673" s="236"/>
    </row>
    <row r="674" ht="14.0">
      <c r="A674" s="236" t="s">
        <v>3013</v>
      </c>
      <c r="B674" s="236" t="s">
        <v>3012</v>
      </c>
      <c r="C674" s="236">
        <v>5.0</v>
      </c>
      <c r="D674" s="236"/>
    </row>
    <row r="675" ht="14.0">
      <c r="A675" s="236" t="s">
        <v>3015</v>
      </c>
      <c r="B675" s="236" t="s">
        <v>3014</v>
      </c>
      <c r="C675" s="236">
        <v>5.0</v>
      </c>
      <c r="D675" s="236"/>
    </row>
    <row r="676" ht="14.0">
      <c r="A676" s="236" t="s">
        <v>3017</v>
      </c>
      <c r="B676" s="236" t="s">
        <v>3016</v>
      </c>
      <c r="C676" s="236">
        <v>5.0</v>
      </c>
      <c r="D676" s="236"/>
    </row>
    <row r="677" ht="14.0">
      <c r="A677" s="236" t="s">
        <v>3029</v>
      </c>
      <c r="B677" s="236" t="s">
        <v>3028</v>
      </c>
      <c r="C677" s="236"/>
      <c r="D677" s="236"/>
    </row>
    <row r="678" ht="14.0">
      <c r="A678" s="236" t="s">
        <v>3052</v>
      </c>
      <c r="B678" s="236">
        <v>45202.0</v>
      </c>
      <c r="C678" s="236"/>
      <c r="D678" s="236" t="s">
        <v>189</v>
      </c>
    </row>
    <row r="679" ht="14.0">
      <c r="A679" s="236" t="s">
        <v>3053</v>
      </c>
      <c r="B679" s="236">
        <v>45203.0</v>
      </c>
      <c r="C679" s="236"/>
      <c r="D679" s="236" t="s">
        <v>189</v>
      </c>
    </row>
    <row r="680" ht="14.0">
      <c r="A680" s="236" t="s">
        <v>3054</v>
      </c>
      <c r="B680" s="236">
        <v>45201.0</v>
      </c>
      <c r="C680" s="236"/>
      <c r="D680" s="236" t="s">
        <v>189</v>
      </c>
    </row>
    <row r="681" ht="14.0">
      <c r="A681" s="236" t="s">
        <v>3074</v>
      </c>
      <c r="B681" s="236" t="s">
        <v>3073</v>
      </c>
      <c r="C681" s="236">
        <v>136.0</v>
      </c>
      <c r="D681" s="236"/>
    </row>
    <row r="682" ht="14.0">
      <c r="A682" s="236" t="s">
        <v>3104</v>
      </c>
      <c r="B682" s="236" t="s">
        <v>3103</v>
      </c>
      <c r="C682" s="236"/>
      <c r="D682" s="236"/>
    </row>
    <row r="683" ht="14.0">
      <c r="A683" s="236" t="s">
        <v>7607</v>
      </c>
      <c r="B683" s="236" t="s">
        <v>3105</v>
      </c>
      <c r="C683" s="236"/>
      <c r="D683" s="236"/>
    </row>
    <row r="684" ht="14.0">
      <c r="A684" s="236" t="s">
        <v>3120</v>
      </c>
      <c r="B684" s="236" t="s">
        <v>3119</v>
      </c>
      <c r="C684" s="236">
        <v>60.0</v>
      </c>
      <c r="D684" s="236"/>
    </row>
    <row r="685" ht="14.0">
      <c r="A685" s="236" t="s">
        <v>3123</v>
      </c>
      <c r="B685" s="236">
        <v>34101.0</v>
      </c>
      <c r="C685" s="236"/>
      <c r="D685" s="236"/>
    </row>
    <row r="686" ht="14.0">
      <c r="A686" s="236" t="s">
        <v>3125</v>
      </c>
      <c r="B686" s="236" t="s">
        <v>3124</v>
      </c>
      <c r="C686" s="236"/>
      <c r="D686" s="236"/>
    </row>
    <row r="687" ht="14.0">
      <c r="A687" s="236" t="s">
        <v>58</v>
      </c>
      <c r="B687" s="236" t="s">
        <v>59</v>
      </c>
      <c r="C687" s="236"/>
      <c r="D687" s="236"/>
    </row>
    <row r="688" ht="14.0">
      <c r="A688" s="236" t="s">
        <v>7608</v>
      </c>
      <c r="B688" s="236" t="s">
        <v>7609</v>
      </c>
      <c r="C688" s="236"/>
      <c r="D688" s="236"/>
    </row>
    <row r="689" ht="14.0">
      <c r="A689" s="236" t="s">
        <v>3159</v>
      </c>
      <c r="B689" s="236" t="s">
        <v>3158</v>
      </c>
      <c r="C689" s="236"/>
      <c r="D689" s="236" t="s">
        <v>189</v>
      </c>
    </row>
    <row r="690" ht="14.0">
      <c r="A690" s="236" t="s">
        <v>3161</v>
      </c>
      <c r="B690" s="236" t="s">
        <v>3160</v>
      </c>
      <c r="C690" s="236"/>
      <c r="D690" s="236" t="s">
        <v>189</v>
      </c>
    </row>
    <row r="691" ht="14.0">
      <c r="A691" s="236" t="s">
        <v>3163</v>
      </c>
      <c r="B691" s="236" t="s">
        <v>3162</v>
      </c>
      <c r="C691" s="236"/>
      <c r="D691" s="236" t="s">
        <v>189</v>
      </c>
    </row>
    <row r="692" ht="14.0">
      <c r="A692" s="236" t="s">
        <v>3167</v>
      </c>
      <c r="B692" s="236" t="s">
        <v>3166</v>
      </c>
      <c r="C692" s="236"/>
      <c r="D692" s="236" t="s">
        <v>189</v>
      </c>
    </row>
    <row r="693" ht="14.0">
      <c r="A693" s="236" t="s">
        <v>3173</v>
      </c>
      <c r="B693" s="236" t="s">
        <v>3172</v>
      </c>
      <c r="C693" s="126">
        <v>1002.0</v>
      </c>
      <c r="D693" s="236" t="s">
        <v>189</v>
      </c>
    </row>
    <row r="694" ht="14.0">
      <c r="A694" s="236" t="s">
        <v>3175</v>
      </c>
      <c r="B694" s="236" t="s">
        <v>3174</v>
      </c>
      <c r="C694" s="126">
        <v>1002.0</v>
      </c>
      <c r="D694" s="236" t="s">
        <v>189</v>
      </c>
    </row>
    <row r="695" ht="14.0">
      <c r="A695" s="236" t="s">
        <v>3177</v>
      </c>
      <c r="B695" s="236" t="s">
        <v>3176</v>
      </c>
      <c r="C695" s="126">
        <v>1002.0</v>
      </c>
      <c r="D695" s="236" t="s">
        <v>189</v>
      </c>
    </row>
    <row r="696" ht="14.0">
      <c r="A696" s="236" t="s">
        <v>3179</v>
      </c>
      <c r="B696" s="236" t="s">
        <v>3178</v>
      </c>
      <c r="C696" s="126">
        <v>1002.0</v>
      </c>
      <c r="D696" s="236" t="s">
        <v>189</v>
      </c>
    </row>
    <row r="697" ht="14.0">
      <c r="A697" s="236" t="s">
        <v>3181</v>
      </c>
      <c r="B697" s="236" t="s">
        <v>3180</v>
      </c>
      <c r="C697" s="126">
        <v>1002.0</v>
      </c>
      <c r="D697" s="236" t="s">
        <v>189</v>
      </c>
    </row>
    <row r="698" ht="14.0">
      <c r="A698" s="236" t="s">
        <v>3183</v>
      </c>
      <c r="B698" s="236" t="s">
        <v>3182</v>
      </c>
      <c r="C698" s="126">
        <v>1002.0</v>
      </c>
      <c r="D698" s="236" t="s">
        <v>189</v>
      </c>
    </row>
    <row r="699" ht="14.0">
      <c r="A699" s="236" t="s">
        <v>3185</v>
      </c>
      <c r="B699" s="236" t="s">
        <v>3184</v>
      </c>
      <c r="C699" s="126">
        <v>1002.0</v>
      </c>
      <c r="D699" s="236" t="s">
        <v>189</v>
      </c>
    </row>
    <row r="700" ht="14.0">
      <c r="A700" s="236" t="s">
        <v>3187</v>
      </c>
      <c r="B700" s="236" t="s">
        <v>3186</v>
      </c>
      <c r="C700" s="126">
        <v>1002.0</v>
      </c>
      <c r="D700" s="236" t="s">
        <v>189</v>
      </c>
    </row>
    <row r="701" ht="14.0">
      <c r="A701" s="236" t="s">
        <v>3189</v>
      </c>
      <c r="B701" s="236" t="s">
        <v>3188</v>
      </c>
      <c r="C701" s="126">
        <v>1002.0</v>
      </c>
      <c r="D701" s="236" t="s">
        <v>189</v>
      </c>
    </row>
    <row r="702" ht="14.0">
      <c r="A702" s="236" t="s">
        <v>3193</v>
      </c>
      <c r="B702" s="236" t="s">
        <v>3192</v>
      </c>
      <c r="C702" s="126">
        <v>1000.0</v>
      </c>
      <c r="D702" s="236"/>
    </row>
    <row r="703" ht="14.0">
      <c r="A703" s="236" t="s">
        <v>3195</v>
      </c>
      <c r="B703" s="236" t="s">
        <v>3194</v>
      </c>
      <c r="C703" s="126">
        <v>1000.0</v>
      </c>
      <c r="D703" s="236"/>
    </row>
    <row r="704" ht="14.0">
      <c r="A704" s="236" t="s">
        <v>3285</v>
      </c>
      <c r="B704" s="236" t="s">
        <v>3284</v>
      </c>
      <c r="C704" s="236"/>
      <c r="D704" s="236" t="s">
        <v>189</v>
      </c>
    </row>
    <row r="705" ht="14.0">
      <c r="A705" s="236" t="s">
        <v>3287</v>
      </c>
      <c r="B705" s="236" t="s">
        <v>3286</v>
      </c>
      <c r="C705" s="236">
        <v>100.0</v>
      </c>
      <c r="D705" s="236" t="s">
        <v>189</v>
      </c>
    </row>
    <row r="706" ht="14.0">
      <c r="A706" s="236" t="s">
        <v>3289</v>
      </c>
      <c r="B706" s="236" t="s">
        <v>3288</v>
      </c>
      <c r="C706" s="236">
        <v>100.0</v>
      </c>
      <c r="D706" s="236" t="s">
        <v>189</v>
      </c>
    </row>
    <row r="707" ht="14.0">
      <c r="A707" s="236" t="s">
        <v>3307</v>
      </c>
      <c r="B707" s="236" t="s">
        <v>3306</v>
      </c>
      <c r="C707" s="236"/>
      <c r="D707" s="236" t="s">
        <v>189</v>
      </c>
    </row>
    <row r="708" ht="14.0">
      <c r="A708" s="236" t="s">
        <v>3327</v>
      </c>
      <c r="B708" s="236" t="s">
        <v>3326</v>
      </c>
      <c r="C708" s="236"/>
      <c r="D708" s="236" t="s">
        <v>189</v>
      </c>
    </row>
    <row r="709" ht="14.0">
      <c r="A709" s="236" t="s">
        <v>3329</v>
      </c>
      <c r="B709" s="236" t="s">
        <v>3328</v>
      </c>
      <c r="C709" s="236"/>
      <c r="D709" s="236" t="s">
        <v>189</v>
      </c>
    </row>
    <row r="710" ht="14.0">
      <c r="A710" s="236" t="s">
        <v>3331</v>
      </c>
      <c r="B710" s="236" t="s">
        <v>3330</v>
      </c>
      <c r="C710" s="236"/>
      <c r="D710" s="236" t="s">
        <v>189</v>
      </c>
    </row>
    <row r="711" ht="14.0">
      <c r="A711" s="236" t="s">
        <v>3335</v>
      </c>
      <c r="B711" s="236" t="s">
        <v>3334</v>
      </c>
      <c r="C711" s="236"/>
      <c r="D711" s="236" t="s">
        <v>189</v>
      </c>
    </row>
    <row r="712" ht="14.0">
      <c r="A712" s="236" t="s">
        <v>3338</v>
      </c>
      <c r="B712" s="236">
        <v>36804.0</v>
      </c>
      <c r="C712" s="236"/>
      <c r="D712" s="236" t="s">
        <v>189</v>
      </c>
    </row>
    <row r="713" ht="14.0">
      <c r="A713" s="236" t="s">
        <v>3340</v>
      </c>
      <c r="B713" s="236">
        <v>36805.0</v>
      </c>
      <c r="C713" s="236"/>
      <c r="D713" s="236" t="s">
        <v>189</v>
      </c>
    </row>
    <row r="714" ht="14.0">
      <c r="A714" s="236" t="s">
        <v>3341</v>
      </c>
      <c r="B714" s="236">
        <v>36801.0</v>
      </c>
      <c r="C714" s="236"/>
      <c r="D714" s="236" t="s">
        <v>189</v>
      </c>
    </row>
    <row r="715" ht="14.0">
      <c r="A715" s="236" t="s">
        <v>3342</v>
      </c>
      <c r="B715" s="236">
        <v>36803.0</v>
      </c>
      <c r="C715" s="236"/>
      <c r="D715" s="236" t="s">
        <v>189</v>
      </c>
    </row>
    <row r="716" ht="14.0">
      <c r="A716" s="236" t="s">
        <v>3343</v>
      </c>
      <c r="B716" s="236">
        <v>36802.0</v>
      </c>
      <c r="C716" s="236"/>
      <c r="D716" s="236" t="s">
        <v>189</v>
      </c>
    </row>
    <row r="717" ht="14.0">
      <c r="A717" s="236" t="s">
        <v>3345</v>
      </c>
      <c r="B717" s="236" t="s">
        <v>3344</v>
      </c>
      <c r="C717" s="236"/>
      <c r="D717" s="236" t="s">
        <v>189</v>
      </c>
    </row>
    <row r="718" ht="14.0">
      <c r="A718" s="236" t="s">
        <v>3347</v>
      </c>
      <c r="B718" s="236" t="s">
        <v>3346</v>
      </c>
      <c r="C718" s="236"/>
      <c r="D718" s="236" t="s">
        <v>189</v>
      </c>
    </row>
    <row r="719" ht="14.0">
      <c r="A719" s="236" t="s">
        <v>3355</v>
      </c>
      <c r="B719" s="236" t="s">
        <v>3354</v>
      </c>
      <c r="C719" s="126">
        <v>1000.0</v>
      </c>
      <c r="D719" s="236"/>
    </row>
    <row r="720" ht="14.0">
      <c r="A720" s="236" t="s">
        <v>3357</v>
      </c>
      <c r="B720" s="236" t="s">
        <v>3356</v>
      </c>
      <c r="C720" s="126">
        <v>1000.0</v>
      </c>
      <c r="D720" s="236" t="s">
        <v>189</v>
      </c>
    </row>
    <row r="721" ht="14.0">
      <c r="A721" s="236" t="s">
        <v>3361</v>
      </c>
      <c r="B721" s="236" t="s">
        <v>3360</v>
      </c>
      <c r="C721" s="126">
        <v>1000.0</v>
      </c>
      <c r="D721" s="236" t="s">
        <v>189</v>
      </c>
    </row>
    <row r="722" ht="14.0">
      <c r="A722" s="236" t="s">
        <v>3363</v>
      </c>
      <c r="B722" s="236" t="s">
        <v>3362</v>
      </c>
      <c r="C722" s="126">
        <v>1000.0</v>
      </c>
      <c r="D722" s="236" t="s">
        <v>189</v>
      </c>
    </row>
    <row r="723" ht="14.0">
      <c r="A723" s="236" t="s">
        <v>3365</v>
      </c>
      <c r="B723" s="236" t="s">
        <v>3364</v>
      </c>
      <c r="C723" s="126">
        <v>1000.0</v>
      </c>
      <c r="D723" s="236"/>
    </row>
    <row r="724" ht="14.0">
      <c r="A724" s="236" t="s">
        <v>3367</v>
      </c>
      <c r="B724" s="236" t="s">
        <v>3366</v>
      </c>
      <c r="C724" s="126">
        <v>1000.0</v>
      </c>
      <c r="D724" s="236" t="s">
        <v>189</v>
      </c>
    </row>
    <row r="725" ht="14.0">
      <c r="A725" s="236" t="s">
        <v>3369</v>
      </c>
      <c r="B725" s="236" t="s">
        <v>3368</v>
      </c>
      <c r="C725" s="126">
        <v>1000.0</v>
      </c>
      <c r="D725" s="236"/>
    </row>
    <row r="726" ht="14.0">
      <c r="A726" s="236" t="s">
        <v>3373</v>
      </c>
      <c r="B726" s="236" t="s">
        <v>3372</v>
      </c>
      <c r="C726" s="126">
        <v>1000.0</v>
      </c>
      <c r="D726" s="236"/>
    </row>
    <row r="727" ht="14.0">
      <c r="A727" s="236" t="s">
        <v>3381</v>
      </c>
      <c r="B727" s="236" t="s">
        <v>3380</v>
      </c>
      <c r="C727" s="126">
        <v>1000.0</v>
      </c>
      <c r="D727" s="236"/>
    </row>
    <row r="728" ht="14.0">
      <c r="A728" s="236" t="s">
        <v>3387</v>
      </c>
      <c r="B728" s="236" t="s">
        <v>3386</v>
      </c>
      <c r="C728" s="126">
        <v>1000.0</v>
      </c>
      <c r="D728" s="236" t="s">
        <v>189</v>
      </c>
    </row>
    <row r="729" ht="14.0">
      <c r="A729" s="236" t="s">
        <v>7610</v>
      </c>
      <c r="B729" s="236" t="s">
        <v>3394</v>
      </c>
      <c r="C729" s="236"/>
      <c r="D729" s="236"/>
    </row>
    <row r="730" ht="14.0">
      <c r="A730" s="236" t="s">
        <v>7611</v>
      </c>
      <c r="B730" s="236" t="s">
        <v>3392</v>
      </c>
      <c r="C730" s="236"/>
      <c r="D730" s="236" t="s">
        <v>189</v>
      </c>
    </row>
    <row r="731" ht="14.0">
      <c r="A731" s="236" t="s">
        <v>3479</v>
      </c>
      <c r="B731" s="236" t="s">
        <v>3478</v>
      </c>
      <c r="C731" s="236">
        <v>500.0</v>
      </c>
      <c r="D731" s="236" t="s">
        <v>189</v>
      </c>
    </row>
    <row r="732" ht="14.0">
      <c r="A732" s="236" t="s">
        <v>3481</v>
      </c>
      <c r="B732" s="236" t="s">
        <v>3480</v>
      </c>
      <c r="C732" s="236">
        <v>500.0</v>
      </c>
      <c r="D732" s="236"/>
    </row>
    <row r="733" ht="14.0">
      <c r="A733" s="236" t="s">
        <v>3483</v>
      </c>
      <c r="B733" s="236" t="s">
        <v>3482</v>
      </c>
      <c r="C733" s="236">
        <v>500.0</v>
      </c>
      <c r="D733" s="236"/>
    </row>
    <row r="734" ht="14.0">
      <c r="A734" s="236" t="s">
        <v>3485</v>
      </c>
      <c r="B734" s="236" t="s">
        <v>3484</v>
      </c>
      <c r="C734" s="236">
        <v>500.0</v>
      </c>
      <c r="D734" s="236"/>
    </row>
    <row r="735" ht="14.0">
      <c r="A735" s="236" t="s">
        <v>3487</v>
      </c>
      <c r="B735" s="236" t="s">
        <v>3486</v>
      </c>
      <c r="C735" s="236">
        <v>500.0</v>
      </c>
      <c r="D735" s="236" t="s">
        <v>189</v>
      </c>
    </row>
    <row r="736" ht="14.0">
      <c r="A736" s="236" t="s">
        <v>3489</v>
      </c>
      <c r="B736" s="236" t="s">
        <v>4720</v>
      </c>
      <c r="C736" s="236"/>
      <c r="D736" s="236" t="s">
        <v>7571</v>
      </c>
    </row>
    <row r="737" ht="14.0">
      <c r="A737" s="236" t="s">
        <v>7612</v>
      </c>
      <c r="B737" s="236" t="s">
        <v>3490</v>
      </c>
      <c r="C737" s="236"/>
      <c r="D737" s="236"/>
    </row>
    <row r="738" ht="14.0">
      <c r="A738" s="236" t="s">
        <v>7613</v>
      </c>
      <c r="B738" s="236" t="s">
        <v>7614</v>
      </c>
      <c r="C738" s="236"/>
      <c r="D738" s="236"/>
    </row>
    <row r="739" ht="14.0">
      <c r="A739" s="236" t="s">
        <v>3497</v>
      </c>
      <c r="B739" s="236" t="s">
        <v>3496</v>
      </c>
      <c r="C739" s="126">
        <v>1008.0</v>
      </c>
      <c r="D739" s="236"/>
    </row>
    <row r="740" ht="14.0">
      <c r="A740" s="236" t="s">
        <v>3509</v>
      </c>
      <c r="B740" s="236" t="s">
        <v>3508</v>
      </c>
      <c r="C740" s="126">
        <v>1008.0</v>
      </c>
      <c r="D740" s="236"/>
    </row>
    <row r="741" ht="14.0">
      <c r="A741" s="236" t="s">
        <v>3545</v>
      </c>
      <c r="B741" s="236" t="s">
        <v>3544</v>
      </c>
      <c r="C741" s="126">
        <v>2016.0</v>
      </c>
      <c r="D741" s="236"/>
    </row>
    <row r="742" ht="14.0">
      <c r="A742" s="236" t="s">
        <v>3549</v>
      </c>
      <c r="B742" s="236" t="s">
        <v>3548</v>
      </c>
      <c r="C742" s="126">
        <v>1000.0</v>
      </c>
      <c r="D742" s="236"/>
    </row>
    <row r="743" ht="14.0">
      <c r="A743" s="236" t="s">
        <v>154</v>
      </c>
      <c r="B743" s="236" t="s">
        <v>155</v>
      </c>
      <c r="C743" s="126">
        <v>1008.0</v>
      </c>
      <c r="D743" s="236"/>
    </row>
    <row r="744" ht="14.0">
      <c r="A744" s="236" t="s">
        <v>3551</v>
      </c>
      <c r="B744" s="236" t="s">
        <v>3550</v>
      </c>
      <c r="C744" s="126">
        <v>1000.0</v>
      </c>
      <c r="D744" s="236"/>
    </row>
    <row r="745" ht="14.0">
      <c r="A745" s="236" t="s">
        <v>3553</v>
      </c>
      <c r="B745" s="236" t="s">
        <v>3552</v>
      </c>
      <c r="C745" s="126">
        <v>1008.0</v>
      </c>
      <c r="D745" s="236"/>
    </row>
    <row r="746" ht="14.0">
      <c r="A746" s="236" t="s">
        <v>164</v>
      </c>
      <c r="B746" s="236" t="s">
        <v>165</v>
      </c>
      <c r="C746" s="126">
        <v>1002.0</v>
      </c>
      <c r="D746" s="236"/>
    </row>
    <row r="747" ht="14.0">
      <c r="A747" s="236" t="s">
        <v>160</v>
      </c>
      <c r="B747" s="236" t="s">
        <v>161</v>
      </c>
      <c r="C747" s="126">
        <v>1000.0</v>
      </c>
      <c r="D747" s="236"/>
    </row>
    <row r="748" ht="14.0">
      <c r="A748" s="236" t="s">
        <v>3555</v>
      </c>
      <c r="B748" s="236" t="s">
        <v>3554</v>
      </c>
      <c r="C748" s="126">
        <v>2016.0</v>
      </c>
      <c r="D748" s="236"/>
    </row>
    <row r="749" ht="14.0">
      <c r="A749" s="236" t="s">
        <v>152</v>
      </c>
      <c r="B749" s="236" t="s">
        <v>153</v>
      </c>
      <c r="C749" s="126">
        <v>1000.0</v>
      </c>
      <c r="D749" s="236"/>
    </row>
    <row r="750" ht="14.0">
      <c r="A750" s="236" t="s">
        <v>3557</v>
      </c>
      <c r="B750" s="236" t="s">
        <v>3556</v>
      </c>
      <c r="C750" s="126">
        <v>2016.0</v>
      </c>
      <c r="D750" s="236"/>
    </row>
    <row r="751" ht="14.0">
      <c r="A751" s="236" t="s">
        <v>3559</v>
      </c>
      <c r="B751" s="236" t="s">
        <v>3558</v>
      </c>
      <c r="C751" s="126">
        <v>2016.0</v>
      </c>
      <c r="D751" s="236"/>
    </row>
    <row r="752" ht="14.0">
      <c r="A752" s="236" t="s">
        <v>3561</v>
      </c>
      <c r="B752" s="236" t="s">
        <v>3560</v>
      </c>
      <c r="C752" s="126">
        <v>2016.0</v>
      </c>
      <c r="D752" s="236"/>
    </row>
    <row r="753" ht="14.0">
      <c r="A753" s="236" t="s">
        <v>3563</v>
      </c>
      <c r="B753" s="236" t="s">
        <v>3562</v>
      </c>
      <c r="C753" s="126">
        <v>1000.0</v>
      </c>
      <c r="D753" s="236"/>
    </row>
    <row r="754" ht="14.0">
      <c r="A754" s="236" t="s">
        <v>162</v>
      </c>
      <c r="B754" s="236" t="s">
        <v>163</v>
      </c>
      <c r="C754" s="126">
        <v>1008.0</v>
      </c>
      <c r="D754" s="236"/>
    </row>
    <row r="755" ht="14.0">
      <c r="A755" s="236" t="s">
        <v>3565</v>
      </c>
      <c r="B755" s="236" t="s">
        <v>3564</v>
      </c>
      <c r="C755" s="126">
        <v>2016.0</v>
      </c>
      <c r="D755" s="236"/>
    </row>
    <row r="756" ht="14.0">
      <c r="A756" s="236" t="s">
        <v>3567</v>
      </c>
      <c r="B756" s="236" t="s">
        <v>3566</v>
      </c>
      <c r="C756" s="126">
        <v>2016.0</v>
      </c>
      <c r="D756" s="236"/>
    </row>
    <row r="757" ht="14.0">
      <c r="A757" s="236" t="s">
        <v>3569</v>
      </c>
      <c r="B757" s="236" t="s">
        <v>3568</v>
      </c>
      <c r="C757" s="126">
        <v>1008.0</v>
      </c>
      <c r="D757" s="236"/>
    </row>
    <row r="758" ht="14.0">
      <c r="A758" s="236" t="s">
        <v>3571</v>
      </c>
      <c r="B758" s="236" t="s">
        <v>3570</v>
      </c>
      <c r="C758" s="126">
        <v>2016.0</v>
      </c>
      <c r="D758" s="236" t="s">
        <v>7571</v>
      </c>
    </row>
    <row r="759" ht="14.0">
      <c r="A759" s="236" t="s">
        <v>3573</v>
      </c>
      <c r="B759" s="236" t="s">
        <v>3572</v>
      </c>
      <c r="C759" s="126">
        <v>1008.0</v>
      </c>
      <c r="D759" s="236"/>
    </row>
    <row r="760" ht="14.0">
      <c r="A760" s="236" t="s">
        <v>3575</v>
      </c>
      <c r="B760" s="236" t="s">
        <v>3574</v>
      </c>
      <c r="C760" s="126">
        <v>2016.0</v>
      </c>
      <c r="D760" s="236"/>
    </row>
    <row r="761" ht="14.0">
      <c r="A761" s="236" t="s">
        <v>3577</v>
      </c>
      <c r="B761" s="236" t="s">
        <v>3576</v>
      </c>
      <c r="C761" s="126">
        <v>2016.0</v>
      </c>
      <c r="D761" s="236"/>
    </row>
    <row r="762" ht="14.0">
      <c r="A762" s="236" t="s">
        <v>156</v>
      </c>
      <c r="B762" s="236" t="s">
        <v>157</v>
      </c>
      <c r="C762" s="126">
        <v>1008.0</v>
      </c>
      <c r="D762" s="236"/>
    </row>
    <row r="763" ht="14.0">
      <c r="A763" s="236" t="s">
        <v>3579</v>
      </c>
      <c r="B763" s="236" t="s">
        <v>3578</v>
      </c>
      <c r="C763" s="126">
        <v>1008.0</v>
      </c>
      <c r="D763" s="236"/>
    </row>
    <row r="764" ht="14.0">
      <c r="A764" s="236" t="s">
        <v>3583</v>
      </c>
      <c r="B764" s="236" t="s">
        <v>3582</v>
      </c>
      <c r="C764" s="126">
        <v>2016.0</v>
      </c>
      <c r="D764" s="236"/>
    </row>
    <row r="765" ht="14.0">
      <c r="A765" s="236" t="s">
        <v>158</v>
      </c>
      <c r="B765" s="236" t="s">
        <v>159</v>
      </c>
      <c r="C765" s="236"/>
      <c r="D765" s="236" t="s">
        <v>189</v>
      </c>
    </row>
    <row r="766" ht="14.0">
      <c r="A766" s="236" t="s">
        <v>3591</v>
      </c>
      <c r="B766" s="236" t="s">
        <v>3590</v>
      </c>
      <c r="C766" s="126">
        <v>1000.0</v>
      </c>
      <c r="D766" s="236"/>
    </row>
    <row r="767" ht="14.0">
      <c r="A767" s="236" t="s">
        <v>3593</v>
      </c>
      <c r="B767" s="236" t="s">
        <v>3592</v>
      </c>
      <c r="C767" s="126">
        <v>2016.0</v>
      </c>
      <c r="D767" s="236"/>
    </row>
    <row r="768" ht="14.0">
      <c r="A768" s="236" t="s">
        <v>3595</v>
      </c>
      <c r="B768" s="236" t="s">
        <v>3594</v>
      </c>
      <c r="C768" s="236"/>
      <c r="D768" s="236" t="s">
        <v>189</v>
      </c>
    </row>
    <row r="769" ht="14.0">
      <c r="A769" s="236" t="s">
        <v>7615</v>
      </c>
      <c r="B769" s="236" t="s">
        <v>3598</v>
      </c>
      <c r="C769" s="236"/>
      <c r="D769" s="236" t="s">
        <v>189</v>
      </c>
    </row>
    <row r="770" ht="14.0">
      <c r="A770" s="236" t="s">
        <v>3736</v>
      </c>
      <c r="B770" s="236" t="s">
        <v>3735</v>
      </c>
      <c r="C770" s="236"/>
      <c r="D770" s="236" t="s">
        <v>189</v>
      </c>
    </row>
    <row r="771" ht="14.0">
      <c r="A771" s="236" t="s">
        <v>3738</v>
      </c>
      <c r="B771" s="236" t="s">
        <v>3737</v>
      </c>
      <c r="C771" s="236"/>
      <c r="D771" s="236" t="s">
        <v>189</v>
      </c>
    </row>
    <row r="772" ht="14.0">
      <c r="A772" s="236" t="s">
        <v>3750</v>
      </c>
      <c r="B772" s="236" t="s">
        <v>3749</v>
      </c>
      <c r="C772" s="236">
        <v>0.0</v>
      </c>
      <c r="D772" s="236"/>
    </row>
    <row r="773" ht="14.0">
      <c r="A773" s="236" t="s">
        <v>3752</v>
      </c>
      <c r="B773" s="236" t="s">
        <v>3751</v>
      </c>
      <c r="C773" s="236">
        <v>0.0</v>
      </c>
      <c r="D773" s="236"/>
    </row>
    <row r="774" ht="14.0">
      <c r="A774" s="236" t="s">
        <v>3754</v>
      </c>
      <c r="B774" s="236" t="s">
        <v>3753</v>
      </c>
      <c r="C774" s="236">
        <v>0.0</v>
      </c>
      <c r="D774" s="236"/>
    </row>
    <row r="775" ht="14.0">
      <c r="A775" s="236" t="s">
        <v>3756</v>
      </c>
      <c r="B775" s="236" t="s">
        <v>3755</v>
      </c>
      <c r="C775" s="236"/>
      <c r="D775" s="236"/>
    </row>
    <row r="776" ht="14.0">
      <c r="A776" s="236" t="s">
        <v>3776</v>
      </c>
      <c r="B776" s="236" t="s">
        <v>3775</v>
      </c>
      <c r="C776" s="236"/>
      <c r="D776" s="236"/>
    </row>
    <row r="777" ht="14.0">
      <c r="A777" s="236" t="s">
        <v>3832</v>
      </c>
      <c r="B777" s="236" t="s">
        <v>3831</v>
      </c>
      <c r="C777" s="236">
        <v>501.0</v>
      </c>
      <c r="D777" s="236"/>
    </row>
    <row r="778" ht="14.0">
      <c r="A778" s="236" t="s">
        <v>3834</v>
      </c>
      <c r="B778" s="236" t="s">
        <v>3833</v>
      </c>
      <c r="C778" s="236">
        <v>501.0</v>
      </c>
      <c r="D778" s="236"/>
    </row>
    <row r="779" ht="14.0">
      <c r="A779" s="236" t="s">
        <v>3838</v>
      </c>
      <c r="B779" s="236" t="s">
        <v>3837</v>
      </c>
      <c r="C779" s="236">
        <v>501.0</v>
      </c>
      <c r="D779" s="236"/>
    </row>
    <row r="780" ht="14.0">
      <c r="A780" s="236" t="s">
        <v>3844</v>
      </c>
      <c r="B780" s="236" t="s">
        <v>3843</v>
      </c>
      <c r="C780" s="236">
        <v>501.0</v>
      </c>
      <c r="D780" s="236"/>
    </row>
    <row r="781" ht="14.0">
      <c r="A781" s="236" t="s">
        <v>3846</v>
      </c>
      <c r="B781" s="236" t="s">
        <v>3845</v>
      </c>
      <c r="C781" s="236">
        <v>501.0</v>
      </c>
      <c r="D781" s="236"/>
    </row>
    <row r="782" ht="14.0">
      <c r="A782" s="236" t="s">
        <v>3848</v>
      </c>
      <c r="B782" s="236" t="s">
        <v>3847</v>
      </c>
      <c r="C782" s="236">
        <v>501.0</v>
      </c>
      <c r="D782" s="236"/>
    </row>
    <row r="783" ht="14.0">
      <c r="A783" s="236" t="s">
        <v>3850</v>
      </c>
      <c r="B783" s="236" t="s">
        <v>3849</v>
      </c>
      <c r="C783" s="236">
        <v>501.0</v>
      </c>
      <c r="D783" s="236"/>
    </row>
    <row r="784" ht="14.0">
      <c r="A784" s="236" t="s">
        <v>3856</v>
      </c>
      <c r="B784" s="236" t="s">
        <v>3855</v>
      </c>
      <c r="C784" s="236">
        <v>501.0</v>
      </c>
      <c r="D784" s="236"/>
    </row>
    <row r="785" ht="14.0">
      <c r="A785" s="236" t="s">
        <v>3858</v>
      </c>
      <c r="B785" s="236" t="s">
        <v>3857</v>
      </c>
      <c r="C785" s="236">
        <v>501.0</v>
      </c>
      <c r="D785" s="236"/>
    </row>
    <row r="786" ht="14.0">
      <c r="A786" s="236" t="s">
        <v>3864</v>
      </c>
      <c r="B786" s="236" t="s">
        <v>3863</v>
      </c>
      <c r="C786" s="236">
        <v>501.0</v>
      </c>
      <c r="D786" s="236"/>
    </row>
    <row r="787" ht="14.0">
      <c r="A787" s="236" t="s">
        <v>3866</v>
      </c>
      <c r="B787" s="236" t="s">
        <v>3865</v>
      </c>
      <c r="C787" s="236">
        <v>501.0</v>
      </c>
      <c r="D787" s="236"/>
    </row>
    <row r="788" ht="14.0">
      <c r="A788" s="236" t="s">
        <v>3868</v>
      </c>
      <c r="B788" s="236" t="s">
        <v>3867</v>
      </c>
      <c r="C788" s="236">
        <v>501.0</v>
      </c>
      <c r="D788" s="236"/>
    </row>
    <row r="789" ht="14.0">
      <c r="A789" s="236" t="s">
        <v>3876</v>
      </c>
      <c r="B789" s="236" t="s">
        <v>3875</v>
      </c>
      <c r="C789" s="236">
        <v>501.0</v>
      </c>
      <c r="D789" s="236"/>
    </row>
    <row r="790" ht="14.0">
      <c r="A790" s="236" t="s">
        <v>3939</v>
      </c>
      <c r="B790" s="236">
        <v>71501.0</v>
      </c>
      <c r="C790" s="236"/>
      <c r="D790" s="236"/>
    </row>
    <row r="791" ht="14.0">
      <c r="A791" s="236" t="s">
        <v>3940</v>
      </c>
      <c r="B791" s="236">
        <v>71201.0</v>
      </c>
      <c r="C791" s="236"/>
      <c r="D791" s="236"/>
    </row>
    <row r="792" ht="14.0">
      <c r="A792" s="236" t="s">
        <v>3971</v>
      </c>
      <c r="B792" s="236" t="s">
        <v>3970</v>
      </c>
      <c r="C792" s="236"/>
      <c r="D792" s="236" t="s">
        <v>189</v>
      </c>
    </row>
    <row r="793" ht="14.0">
      <c r="A793" s="236" t="s">
        <v>4003</v>
      </c>
      <c r="B793" s="236" t="s">
        <v>4002</v>
      </c>
      <c r="C793" s="236">
        <v>504.0</v>
      </c>
      <c r="D793" s="236"/>
    </row>
    <row r="794" ht="14.0">
      <c r="A794" s="236" t="s">
        <v>4005</v>
      </c>
      <c r="B794" s="236" t="s">
        <v>4004</v>
      </c>
      <c r="C794" s="236">
        <v>504.0</v>
      </c>
      <c r="D794" s="236" t="s">
        <v>7571</v>
      </c>
    </row>
    <row r="795" ht="14.0">
      <c r="A795" s="236" t="s">
        <v>4013</v>
      </c>
      <c r="B795" s="236" t="s">
        <v>4012</v>
      </c>
      <c r="C795" s="236">
        <v>504.0</v>
      </c>
      <c r="D795" s="236"/>
    </row>
    <row r="796" ht="14.0">
      <c r="A796" s="236" t="s">
        <v>4023</v>
      </c>
      <c r="B796" s="236" t="s">
        <v>4022</v>
      </c>
      <c r="C796" s="236">
        <v>528.0</v>
      </c>
      <c r="D796" s="236"/>
    </row>
    <row r="797" ht="14.0">
      <c r="A797" s="236" t="s">
        <v>4025</v>
      </c>
      <c r="B797" s="236" t="s">
        <v>4024</v>
      </c>
      <c r="C797" s="236">
        <v>504.0</v>
      </c>
      <c r="D797" s="236"/>
    </row>
    <row r="798" ht="14.0">
      <c r="A798" s="236" t="s">
        <v>4027</v>
      </c>
      <c r="B798" s="236" t="s">
        <v>4026</v>
      </c>
      <c r="C798" s="236">
        <v>504.0</v>
      </c>
      <c r="D798" s="236"/>
    </row>
    <row r="799" ht="14.0">
      <c r="A799" s="236" t="s">
        <v>4029</v>
      </c>
      <c r="B799" s="236" t="s">
        <v>4028</v>
      </c>
      <c r="C799" s="236">
        <v>504.0</v>
      </c>
      <c r="D799" s="236"/>
    </row>
    <row r="800" ht="14.0">
      <c r="A800" s="236" t="s">
        <v>4033</v>
      </c>
      <c r="B800" s="236" t="s">
        <v>4032</v>
      </c>
      <c r="C800" s="236">
        <v>504.0</v>
      </c>
      <c r="D800" s="236"/>
    </row>
    <row r="801" ht="14.0">
      <c r="A801" s="236" t="s">
        <v>4041</v>
      </c>
      <c r="B801" s="236" t="s">
        <v>4040</v>
      </c>
      <c r="C801" s="236">
        <v>200.0</v>
      </c>
      <c r="D801" s="236"/>
    </row>
    <row r="802" ht="14.0">
      <c r="A802" s="236" t="s">
        <v>4091</v>
      </c>
      <c r="B802" s="236" t="s">
        <v>4090</v>
      </c>
      <c r="C802" s="236"/>
      <c r="D802" s="236" t="s">
        <v>189</v>
      </c>
    </row>
    <row r="803" ht="14.0">
      <c r="A803" s="236" t="s">
        <v>4093</v>
      </c>
      <c r="B803" s="236" t="s">
        <v>4092</v>
      </c>
      <c r="C803" s="236"/>
      <c r="D803" s="236" t="s">
        <v>189</v>
      </c>
    </row>
    <row r="804" ht="14.0">
      <c r="A804" s="236" t="s">
        <v>4099</v>
      </c>
      <c r="B804" s="236" t="s">
        <v>4098</v>
      </c>
      <c r="C804" s="236"/>
      <c r="D804" s="236" t="s">
        <v>189</v>
      </c>
    </row>
    <row r="805" ht="14.0">
      <c r="A805" s="236" t="s">
        <v>4121</v>
      </c>
      <c r="B805" s="236" t="s">
        <v>4120</v>
      </c>
      <c r="C805" s="236">
        <v>500.0</v>
      </c>
      <c r="D805" s="236" t="s">
        <v>189</v>
      </c>
    </row>
    <row r="806" ht="14.0">
      <c r="A806" s="236" t="s">
        <v>4123</v>
      </c>
      <c r="B806" s="236" t="s">
        <v>4122</v>
      </c>
      <c r="C806" s="236">
        <v>500.0</v>
      </c>
      <c r="D806" s="236"/>
    </row>
    <row r="807" ht="14.0">
      <c r="A807" s="236" t="s">
        <v>4133</v>
      </c>
      <c r="B807" s="236" t="s">
        <v>4132</v>
      </c>
      <c r="C807" s="236">
        <v>500.0</v>
      </c>
      <c r="D807" s="236"/>
    </row>
    <row r="808" ht="14.0">
      <c r="A808" s="236" t="s">
        <v>4135</v>
      </c>
      <c r="B808" s="236" t="s">
        <v>4134</v>
      </c>
      <c r="C808" s="236">
        <v>500.0</v>
      </c>
      <c r="D808" s="236" t="s">
        <v>7571</v>
      </c>
    </row>
    <row r="809" ht="14.0">
      <c r="A809" s="236" t="s">
        <v>4137</v>
      </c>
      <c r="B809" s="236" t="s">
        <v>4136</v>
      </c>
      <c r="C809" s="236">
        <v>500.0</v>
      </c>
      <c r="D809" s="236" t="s">
        <v>189</v>
      </c>
    </row>
    <row r="810" ht="14.0">
      <c r="A810" s="236" t="s">
        <v>4139</v>
      </c>
      <c r="B810" s="236" t="s">
        <v>4138</v>
      </c>
      <c r="C810" s="236">
        <v>500.0</v>
      </c>
      <c r="D810" s="236"/>
    </row>
    <row r="811" ht="14.0">
      <c r="A811" s="236" t="s">
        <v>4174</v>
      </c>
      <c r="B811" s="236" t="s">
        <v>4173</v>
      </c>
      <c r="C811" s="126">
        <v>1002.0</v>
      </c>
      <c r="D811" s="236"/>
    </row>
    <row r="812" ht="14.0">
      <c r="A812" s="236" t="s">
        <v>4178</v>
      </c>
      <c r="B812" s="236" t="s">
        <v>4177</v>
      </c>
      <c r="C812" s="126">
        <v>1002.0</v>
      </c>
      <c r="D812" s="236"/>
    </row>
    <row r="813" ht="14.0">
      <c r="A813" s="236" t="s">
        <v>4182</v>
      </c>
      <c r="B813" s="236" t="s">
        <v>4181</v>
      </c>
      <c r="C813" s="126">
        <v>1002.0</v>
      </c>
      <c r="D813" s="236" t="s">
        <v>189</v>
      </c>
    </row>
    <row r="814" ht="14.0">
      <c r="A814" s="236" t="s">
        <v>4184</v>
      </c>
      <c r="B814" s="236" t="s">
        <v>4183</v>
      </c>
      <c r="C814" s="126">
        <v>1002.0</v>
      </c>
      <c r="D814" s="236"/>
    </row>
    <row r="815" ht="14.0">
      <c r="A815" s="236" t="s">
        <v>4186</v>
      </c>
      <c r="B815" s="236" t="s">
        <v>4185</v>
      </c>
      <c r="C815" s="126">
        <v>1002.0</v>
      </c>
      <c r="D815" s="236" t="s">
        <v>7571</v>
      </c>
    </row>
    <row r="816" ht="14.0">
      <c r="A816" s="236" t="s">
        <v>4188</v>
      </c>
      <c r="B816" s="236" t="s">
        <v>4187</v>
      </c>
      <c r="C816" s="126">
        <v>1002.0</v>
      </c>
      <c r="D816" s="236"/>
    </row>
    <row r="817" ht="14.0">
      <c r="A817" s="236" t="s">
        <v>4190</v>
      </c>
      <c r="B817" s="236" t="s">
        <v>4189</v>
      </c>
      <c r="C817" s="126">
        <v>1002.0</v>
      </c>
      <c r="D817" s="236"/>
    </row>
    <row r="818" ht="14.0">
      <c r="A818" s="236" t="s">
        <v>4210</v>
      </c>
      <c r="B818" s="236" t="s">
        <v>4209</v>
      </c>
      <c r="C818" s="126">
        <v>1002.0</v>
      </c>
      <c r="D818" s="236"/>
    </row>
    <row r="819" ht="14.0">
      <c r="A819" s="236" t="s">
        <v>4214</v>
      </c>
      <c r="B819" s="236" t="s">
        <v>4213</v>
      </c>
      <c r="C819" s="126">
        <v>1002.0</v>
      </c>
      <c r="D819" s="236" t="s">
        <v>7571</v>
      </c>
    </row>
    <row r="820" ht="14.0">
      <c r="A820" s="236" t="s">
        <v>4216</v>
      </c>
      <c r="B820" s="236" t="s">
        <v>4215</v>
      </c>
      <c r="C820" s="126">
        <v>1002.0</v>
      </c>
      <c r="D820" s="236" t="s">
        <v>189</v>
      </c>
    </row>
    <row r="821" ht="14.0">
      <c r="A821" s="236" t="s">
        <v>4218</v>
      </c>
      <c r="B821" s="236" t="s">
        <v>4217</v>
      </c>
      <c r="C821" s="126">
        <v>1002.0</v>
      </c>
      <c r="D821" s="236"/>
    </row>
    <row r="822" ht="14.0">
      <c r="A822" s="236" t="s">
        <v>4220</v>
      </c>
      <c r="B822" s="236" t="s">
        <v>4219</v>
      </c>
      <c r="C822" s="126">
        <v>1002.0</v>
      </c>
      <c r="D822" s="236" t="s">
        <v>189</v>
      </c>
    </row>
    <row r="823" ht="14.0">
      <c r="A823" s="236" t="s">
        <v>4224</v>
      </c>
      <c r="B823" s="236" t="s">
        <v>4223</v>
      </c>
      <c r="C823" s="126">
        <v>1002.0</v>
      </c>
      <c r="D823" s="236" t="s">
        <v>189</v>
      </c>
    </row>
    <row r="824" ht="14.0">
      <c r="A824" s="236" t="s">
        <v>4228</v>
      </c>
      <c r="B824" s="236" t="s">
        <v>4227</v>
      </c>
      <c r="C824" s="126">
        <v>1002.0</v>
      </c>
      <c r="D824" s="236" t="s">
        <v>189</v>
      </c>
    </row>
    <row r="825" ht="14.0">
      <c r="A825" s="236" t="s">
        <v>4232</v>
      </c>
      <c r="B825" s="236" t="s">
        <v>4231</v>
      </c>
      <c r="C825" s="126">
        <v>1002.0</v>
      </c>
      <c r="D825" s="236"/>
    </row>
    <row r="826" ht="14.0">
      <c r="A826" s="236" t="s">
        <v>4234</v>
      </c>
      <c r="B826" s="236" t="s">
        <v>4233</v>
      </c>
      <c r="C826" s="126">
        <v>1002.0</v>
      </c>
      <c r="D826" s="236"/>
    </row>
    <row r="827" ht="14.0">
      <c r="A827" s="236" t="s">
        <v>4236</v>
      </c>
      <c r="B827" s="236" t="s">
        <v>4235</v>
      </c>
      <c r="C827" s="126">
        <v>1002.0</v>
      </c>
      <c r="D827" s="236" t="s">
        <v>189</v>
      </c>
    </row>
    <row r="828" ht="14.0">
      <c r="A828" s="236" t="s">
        <v>4238</v>
      </c>
      <c r="B828" s="236" t="s">
        <v>4237</v>
      </c>
      <c r="C828" s="126">
        <v>1002.0</v>
      </c>
      <c r="D828" s="236"/>
    </row>
    <row r="829" ht="14.0">
      <c r="A829" s="236" t="s">
        <v>4240</v>
      </c>
      <c r="B829" s="236" t="s">
        <v>4239</v>
      </c>
      <c r="C829" s="126">
        <v>1002.0</v>
      </c>
      <c r="D829" s="236" t="s">
        <v>189</v>
      </c>
    </row>
    <row r="830" ht="14.0">
      <c r="A830" s="236" t="s">
        <v>4242</v>
      </c>
      <c r="B830" s="236" t="s">
        <v>4241</v>
      </c>
      <c r="C830" s="126">
        <v>1002.0</v>
      </c>
      <c r="D830" s="236"/>
    </row>
    <row r="831" ht="14.0">
      <c r="A831" s="236" t="s">
        <v>4244</v>
      </c>
      <c r="B831" s="236" t="s">
        <v>4243</v>
      </c>
      <c r="C831" s="126">
        <v>1002.0</v>
      </c>
      <c r="D831" s="236"/>
    </row>
    <row r="832" ht="14.0">
      <c r="A832" s="236" t="s">
        <v>4246</v>
      </c>
      <c r="B832" s="236" t="s">
        <v>4245</v>
      </c>
      <c r="C832" s="126">
        <v>1002.0</v>
      </c>
      <c r="D832" s="236"/>
    </row>
    <row r="833" ht="14.0">
      <c r="A833" s="236" t="s">
        <v>4248</v>
      </c>
      <c r="B833" s="236" t="s">
        <v>4247</v>
      </c>
      <c r="C833" s="126">
        <v>1002.0</v>
      </c>
      <c r="D833" s="236"/>
    </row>
    <row r="834" ht="14.0">
      <c r="A834" s="236" t="s">
        <v>4252</v>
      </c>
      <c r="B834" s="236" t="s">
        <v>4251</v>
      </c>
      <c r="C834" s="126">
        <v>1002.0</v>
      </c>
      <c r="D834" s="236"/>
    </row>
    <row r="835" ht="14.0">
      <c r="A835" s="236" t="s">
        <v>4254</v>
      </c>
      <c r="B835" s="236" t="s">
        <v>4253</v>
      </c>
      <c r="C835" s="126">
        <v>1002.0</v>
      </c>
      <c r="D835" s="236"/>
    </row>
    <row r="836" ht="14.0">
      <c r="A836" s="236" t="s">
        <v>4256</v>
      </c>
      <c r="B836" s="236" t="s">
        <v>4255</v>
      </c>
      <c r="C836" s="126">
        <v>1002.0</v>
      </c>
      <c r="D836" s="236"/>
    </row>
    <row r="837" ht="14.0">
      <c r="A837" s="236" t="s">
        <v>4258</v>
      </c>
      <c r="B837" s="236" t="s">
        <v>4257</v>
      </c>
      <c r="C837" s="126">
        <v>1002.0</v>
      </c>
      <c r="D837" s="236"/>
    </row>
    <row r="838" ht="14.0">
      <c r="A838" s="236" t="s">
        <v>4260</v>
      </c>
      <c r="B838" s="236" t="s">
        <v>4259</v>
      </c>
      <c r="C838" s="126">
        <v>1002.0</v>
      </c>
      <c r="D838" s="236"/>
    </row>
    <row r="839" ht="14.0">
      <c r="A839" s="236" t="s">
        <v>4262</v>
      </c>
      <c r="B839" s="236" t="s">
        <v>4261</v>
      </c>
      <c r="C839" s="126">
        <v>1002.0</v>
      </c>
      <c r="D839" s="236"/>
    </row>
    <row r="840" ht="14.0">
      <c r="A840" s="236" t="s">
        <v>4264</v>
      </c>
      <c r="B840" s="236" t="s">
        <v>4263</v>
      </c>
      <c r="C840" s="126">
        <v>1002.0</v>
      </c>
      <c r="D840" s="236"/>
    </row>
    <row r="841" ht="14.0">
      <c r="A841" s="236" t="s">
        <v>4266</v>
      </c>
      <c r="B841" s="236" t="s">
        <v>4265</v>
      </c>
      <c r="C841" s="126">
        <v>1002.0</v>
      </c>
      <c r="D841" s="236"/>
    </row>
    <row r="842" ht="14.0">
      <c r="A842" s="236" t="s">
        <v>4268</v>
      </c>
      <c r="B842" s="236" t="s">
        <v>4267</v>
      </c>
      <c r="C842" s="126">
        <v>1002.0</v>
      </c>
      <c r="D842" s="236"/>
    </row>
    <row r="843" ht="14.0">
      <c r="A843" s="236" t="s">
        <v>4270</v>
      </c>
      <c r="B843" s="236" t="s">
        <v>4269</v>
      </c>
      <c r="C843" s="236"/>
      <c r="D843" s="236" t="s">
        <v>7571</v>
      </c>
    </row>
    <row r="844" ht="14.0">
      <c r="A844" s="236" t="s">
        <v>4272</v>
      </c>
      <c r="B844" s="236" t="s">
        <v>4271</v>
      </c>
      <c r="C844" s="236">
        <v>100.0</v>
      </c>
      <c r="D844" s="236"/>
    </row>
    <row r="845" ht="14.0">
      <c r="A845" s="236" t="s">
        <v>4290</v>
      </c>
      <c r="B845" s="236" t="s">
        <v>4289</v>
      </c>
      <c r="C845" s="236"/>
      <c r="D845" s="236" t="s">
        <v>189</v>
      </c>
    </row>
    <row r="846" ht="14.0">
      <c r="A846" s="236" t="s">
        <v>4294</v>
      </c>
      <c r="B846" s="236" t="s">
        <v>4293</v>
      </c>
      <c r="C846" s="236"/>
      <c r="D846" s="236" t="s">
        <v>189</v>
      </c>
    </row>
    <row r="847" ht="14.0">
      <c r="A847" s="236" t="s">
        <v>4296</v>
      </c>
      <c r="B847" s="236" t="s">
        <v>4295</v>
      </c>
      <c r="C847" s="126">
        <v>1002.0</v>
      </c>
      <c r="D847" s="236" t="s">
        <v>189</v>
      </c>
    </row>
    <row r="848" ht="14.0">
      <c r="A848" s="236" t="s">
        <v>4300</v>
      </c>
      <c r="B848" s="236" t="s">
        <v>4299</v>
      </c>
      <c r="C848" s="126">
        <v>1002.0</v>
      </c>
      <c r="D848" s="236" t="s">
        <v>189</v>
      </c>
    </row>
    <row r="849" ht="14.0">
      <c r="A849" s="236" t="s">
        <v>4302</v>
      </c>
      <c r="B849" s="236" t="s">
        <v>4301</v>
      </c>
      <c r="C849" s="236"/>
      <c r="D849" s="236" t="s">
        <v>189</v>
      </c>
    </row>
    <row r="850" ht="14.0">
      <c r="A850" s="236" t="s">
        <v>4310</v>
      </c>
      <c r="B850" s="236" t="s">
        <v>4309</v>
      </c>
      <c r="C850" s="126">
        <v>1002.0</v>
      </c>
      <c r="D850" s="236" t="s">
        <v>189</v>
      </c>
    </row>
    <row r="851" ht="14.0">
      <c r="A851" s="236" t="s">
        <v>4312</v>
      </c>
      <c r="B851" s="236" t="s">
        <v>4311</v>
      </c>
      <c r="C851" s="236">
        <v>500.0</v>
      </c>
      <c r="D851" s="236" t="s">
        <v>189</v>
      </c>
    </row>
    <row r="852" ht="14.0">
      <c r="A852" s="236" t="s">
        <v>4314</v>
      </c>
      <c r="B852" s="236" t="s">
        <v>4313</v>
      </c>
      <c r="C852" s="236"/>
      <c r="D852" s="236" t="s">
        <v>189</v>
      </c>
    </row>
    <row r="853" ht="14.0">
      <c r="A853" s="236" t="s">
        <v>4316</v>
      </c>
      <c r="B853" s="236" t="s">
        <v>4315</v>
      </c>
      <c r="C853" s="236"/>
      <c r="D853" s="236" t="s">
        <v>189</v>
      </c>
    </row>
    <row r="854" ht="14.0">
      <c r="A854" s="236" t="s">
        <v>4318</v>
      </c>
      <c r="B854" s="236" t="s">
        <v>4317</v>
      </c>
      <c r="C854" s="236">
        <v>500.0</v>
      </c>
      <c r="D854" s="236" t="s">
        <v>189</v>
      </c>
    </row>
    <row r="855" ht="14.0">
      <c r="A855" s="236" t="s">
        <v>4320</v>
      </c>
      <c r="B855" s="236" t="s">
        <v>4319</v>
      </c>
      <c r="C855" s="236">
        <v>500.0</v>
      </c>
      <c r="D855" s="236" t="s">
        <v>189</v>
      </c>
    </row>
    <row r="856" ht="14.0">
      <c r="A856" s="236" t="s">
        <v>4479</v>
      </c>
      <c r="B856" s="236" t="s">
        <v>4478</v>
      </c>
      <c r="C856" s="236"/>
      <c r="D856" s="236"/>
    </row>
    <row r="857" ht="14.0">
      <c r="A857" s="236" t="s">
        <v>4487</v>
      </c>
      <c r="B857" s="236" t="s">
        <v>4486</v>
      </c>
      <c r="C857" s="126">
        <v>1002.0</v>
      </c>
      <c r="D857" s="236"/>
    </row>
    <row r="858" ht="14.0">
      <c r="A858" s="236" t="s">
        <v>4491</v>
      </c>
      <c r="B858" s="236" t="s">
        <v>4490</v>
      </c>
      <c r="C858" s="126">
        <v>1002.0</v>
      </c>
      <c r="D858" s="236" t="s">
        <v>189</v>
      </c>
    </row>
    <row r="859" ht="14.0">
      <c r="A859" s="236" t="s">
        <v>4493</v>
      </c>
      <c r="B859" s="236" t="s">
        <v>4492</v>
      </c>
      <c r="C859" s="126">
        <v>1002.0</v>
      </c>
      <c r="D859" s="236" t="s">
        <v>189</v>
      </c>
    </row>
    <row r="860" ht="14.0">
      <c r="A860" s="236" t="s">
        <v>4497</v>
      </c>
      <c r="B860" s="236" t="s">
        <v>4496</v>
      </c>
      <c r="C860" s="126">
        <v>1002.0</v>
      </c>
      <c r="D860" s="236"/>
    </row>
    <row r="861" ht="14.0">
      <c r="A861" s="236" t="s">
        <v>4503</v>
      </c>
      <c r="B861" s="236" t="s">
        <v>4502</v>
      </c>
      <c r="C861" s="126">
        <v>1002.0</v>
      </c>
      <c r="D861" s="236" t="s">
        <v>189</v>
      </c>
    </row>
    <row r="862" ht="14.0">
      <c r="A862" s="236" t="s">
        <v>4505</v>
      </c>
      <c r="B862" s="236" t="s">
        <v>4504</v>
      </c>
      <c r="C862" s="236"/>
      <c r="D862" s="236" t="s">
        <v>189</v>
      </c>
    </row>
    <row r="863" ht="14.0">
      <c r="A863" s="236" t="s">
        <v>4507</v>
      </c>
      <c r="B863" s="236" t="s">
        <v>4506</v>
      </c>
      <c r="C863" s="126">
        <v>1002.0</v>
      </c>
      <c r="D863" s="236" t="s">
        <v>189</v>
      </c>
    </row>
    <row r="864" ht="14.0">
      <c r="A864" s="236" t="s">
        <v>4511</v>
      </c>
      <c r="B864" s="236" t="s">
        <v>4510</v>
      </c>
      <c r="C864" s="236"/>
      <c r="D864" s="236" t="s">
        <v>189</v>
      </c>
    </row>
    <row r="865" ht="14.0">
      <c r="A865" s="236" t="s">
        <v>4513</v>
      </c>
      <c r="B865" s="236" t="s">
        <v>4512</v>
      </c>
      <c r="C865" s="236"/>
      <c r="D865" s="236" t="s">
        <v>7571</v>
      </c>
    </row>
    <row r="866" ht="14.0">
      <c r="A866" s="236" t="s">
        <v>7616</v>
      </c>
      <c r="B866" s="236" t="s">
        <v>7617</v>
      </c>
      <c r="C866" s="236"/>
      <c r="D866" s="236"/>
    </row>
    <row r="867" ht="14.0">
      <c r="A867" s="236" t="s">
        <v>4617</v>
      </c>
      <c r="B867" s="236" t="s">
        <v>4616</v>
      </c>
      <c r="C867" s="236"/>
      <c r="D867" s="236" t="s">
        <v>189</v>
      </c>
    </row>
    <row r="868" ht="14.0">
      <c r="A868" s="236" t="s">
        <v>4619</v>
      </c>
      <c r="B868" s="236" t="s">
        <v>4618</v>
      </c>
      <c r="C868" s="236"/>
      <c r="D868" s="236" t="s">
        <v>189</v>
      </c>
    </row>
    <row r="869" ht="14.0">
      <c r="A869" s="236" t="s">
        <v>4621</v>
      </c>
      <c r="B869" s="236" t="s">
        <v>4620</v>
      </c>
      <c r="C869" s="236"/>
      <c r="D869" s="236" t="s">
        <v>189</v>
      </c>
    </row>
    <row r="870" ht="14.0">
      <c r="A870" s="236" t="s">
        <v>4623</v>
      </c>
      <c r="B870" s="236" t="s">
        <v>4622</v>
      </c>
      <c r="C870" s="236"/>
      <c r="D870" s="236" t="s">
        <v>189</v>
      </c>
    </row>
    <row r="871" ht="14.0">
      <c r="A871" s="236" t="s">
        <v>4625</v>
      </c>
      <c r="B871" s="236" t="s">
        <v>4624</v>
      </c>
      <c r="C871" s="236"/>
      <c r="D871" s="236" t="s">
        <v>189</v>
      </c>
    </row>
    <row r="872" ht="14.0">
      <c r="A872" s="236" t="s">
        <v>4627</v>
      </c>
      <c r="B872" s="236" t="s">
        <v>4626</v>
      </c>
      <c r="C872" s="236"/>
      <c r="D872" s="236" t="s">
        <v>189</v>
      </c>
    </row>
    <row r="873" ht="14.0">
      <c r="A873" s="236" t="s">
        <v>4629</v>
      </c>
      <c r="B873" s="236" t="s">
        <v>4628</v>
      </c>
      <c r="C873" s="236"/>
      <c r="D873" s="236" t="s">
        <v>189</v>
      </c>
    </row>
    <row r="874" ht="14.0">
      <c r="A874" s="236" t="s">
        <v>4631</v>
      </c>
      <c r="B874" s="236" t="s">
        <v>4630</v>
      </c>
      <c r="C874" s="236"/>
      <c r="D874" s="236" t="s">
        <v>189</v>
      </c>
    </row>
    <row r="875" ht="14.0">
      <c r="A875" s="236" t="s">
        <v>4633</v>
      </c>
      <c r="B875" s="236" t="s">
        <v>4632</v>
      </c>
      <c r="C875" s="236"/>
      <c r="D875" s="236" t="s">
        <v>189</v>
      </c>
    </row>
    <row r="876" ht="14.0">
      <c r="A876" s="236" t="s">
        <v>4635</v>
      </c>
      <c r="B876" s="236" t="s">
        <v>4634</v>
      </c>
      <c r="C876" s="236"/>
      <c r="D876" s="236" t="s">
        <v>189</v>
      </c>
    </row>
    <row r="877" ht="14.0">
      <c r="A877" s="236" t="s">
        <v>4637</v>
      </c>
      <c r="B877" s="236" t="s">
        <v>4636</v>
      </c>
      <c r="C877" s="236"/>
      <c r="D877" s="236" t="s">
        <v>189</v>
      </c>
    </row>
    <row r="878" ht="14.0">
      <c r="A878" s="236" t="s">
        <v>7618</v>
      </c>
      <c r="B878" s="236" t="s">
        <v>7618</v>
      </c>
      <c r="C878" s="236"/>
      <c r="D878" s="236" t="s">
        <v>189</v>
      </c>
    </row>
    <row r="879" ht="14.0">
      <c r="A879" s="236" t="s">
        <v>4649</v>
      </c>
      <c r="B879" s="236" t="s">
        <v>4648</v>
      </c>
      <c r="C879" s="126">
        <v>1800.0</v>
      </c>
      <c r="D879" s="236"/>
    </row>
    <row r="880" ht="14.0">
      <c r="A880" s="236" t="s">
        <v>4711</v>
      </c>
      <c r="B880" s="236" t="s">
        <v>4710</v>
      </c>
      <c r="C880" s="236"/>
      <c r="D880" s="236" t="s">
        <v>189</v>
      </c>
    </row>
    <row r="881" ht="14.0">
      <c r="A881" s="236" t="s">
        <v>4756</v>
      </c>
      <c r="B881" s="236" t="s">
        <v>4755</v>
      </c>
      <c r="C881" s="236"/>
      <c r="D881" s="236" t="s">
        <v>189</v>
      </c>
    </row>
    <row r="882" ht="14.0">
      <c r="A882" s="236" t="s">
        <v>4772</v>
      </c>
      <c r="B882" s="236" t="s">
        <v>4771</v>
      </c>
      <c r="C882" s="236"/>
      <c r="D882" s="236" t="s">
        <v>189</v>
      </c>
    </row>
    <row r="883" ht="14.0">
      <c r="A883" s="236" t="s">
        <v>4776</v>
      </c>
      <c r="B883" s="236" t="s">
        <v>4775</v>
      </c>
      <c r="C883" s="236"/>
      <c r="D883" s="236" t="s">
        <v>189</v>
      </c>
    </row>
    <row r="884" ht="14.0">
      <c r="A884" s="236" t="s">
        <v>4778</v>
      </c>
      <c r="B884" s="236" t="s">
        <v>4777</v>
      </c>
      <c r="C884" s="236"/>
      <c r="D884" s="236" t="s">
        <v>189</v>
      </c>
    </row>
    <row r="885" ht="14.0">
      <c r="A885" s="236" t="s">
        <v>4810</v>
      </c>
      <c r="B885" s="236" t="s">
        <v>4809</v>
      </c>
      <c r="C885" s="236"/>
      <c r="D885" s="236" t="s">
        <v>189</v>
      </c>
    </row>
    <row r="886" ht="14.0">
      <c r="A886" s="236" t="s">
        <v>4812</v>
      </c>
      <c r="B886" s="236" t="s">
        <v>4811</v>
      </c>
      <c r="C886" s="236"/>
      <c r="D886" s="236" t="s">
        <v>189</v>
      </c>
    </row>
    <row r="887" ht="14.0">
      <c r="A887" s="236" t="s">
        <v>4814</v>
      </c>
      <c r="B887" s="236" t="s">
        <v>4813</v>
      </c>
      <c r="C887" s="236"/>
      <c r="D887" s="236" t="s">
        <v>189</v>
      </c>
    </row>
    <row r="888" ht="14.0">
      <c r="A888" s="236" t="s">
        <v>4820</v>
      </c>
      <c r="B888" s="236" t="s">
        <v>4819</v>
      </c>
      <c r="C888" s="236"/>
      <c r="D888" s="236" t="s">
        <v>7571</v>
      </c>
    </row>
    <row r="889" ht="14.0">
      <c r="A889" s="236" t="s">
        <v>4824</v>
      </c>
      <c r="B889" s="236" t="s">
        <v>4823</v>
      </c>
      <c r="C889" s="126">
        <v>1002.0</v>
      </c>
      <c r="D889" s="236"/>
    </row>
    <row r="890" ht="14.0">
      <c r="A890" s="236" t="s">
        <v>60</v>
      </c>
      <c r="B890" s="236" t="s">
        <v>61</v>
      </c>
      <c r="C890" s="126">
        <v>3000.0</v>
      </c>
      <c r="D890" s="236"/>
    </row>
    <row r="891" ht="14.0">
      <c r="A891" s="236" t="s">
        <v>65</v>
      </c>
      <c r="B891" s="236" t="s">
        <v>66</v>
      </c>
      <c r="C891" s="126">
        <v>3000.0</v>
      </c>
      <c r="D891" s="236"/>
    </row>
    <row r="892" ht="14.0">
      <c r="A892" s="236" t="s">
        <v>67</v>
      </c>
      <c r="B892" s="236" t="s">
        <v>68</v>
      </c>
      <c r="C892" s="126">
        <v>3000.0</v>
      </c>
      <c r="D892" s="236"/>
    </row>
    <row r="893" ht="14.0">
      <c r="A893" s="236" t="s">
        <v>62</v>
      </c>
      <c r="B893" s="236" t="s">
        <v>63</v>
      </c>
      <c r="C893" s="126">
        <v>3000.0</v>
      </c>
      <c r="D893" s="236"/>
    </row>
    <row r="894" ht="14.0">
      <c r="A894" s="236" t="s">
        <v>4847</v>
      </c>
      <c r="B894" s="236" t="s">
        <v>4846</v>
      </c>
      <c r="C894" s="236"/>
      <c r="D894" s="236" t="s">
        <v>189</v>
      </c>
    </row>
    <row r="895" ht="14.0">
      <c r="A895" s="236" t="s">
        <v>4863</v>
      </c>
      <c r="B895" s="236" t="s">
        <v>4862</v>
      </c>
      <c r="C895" s="236"/>
      <c r="D895" s="236" t="s">
        <v>189</v>
      </c>
    </row>
    <row r="896" ht="14.0">
      <c r="A896" s="236" t="s">
        <v>4897</v>
      </c>
      <c r="B896" s="236" t="s">
        <v>4896</v>
      </c>
      <c r="C896" s="236"/>
      <c r="D896" s="236" t="s">
        <v>189</v>
      </c>
    </row>
    <row r="897" ht="14.0">
      <c r="A897" s="236" t="s">
        <v>4899</v>
      </c>
      <c r="B897" s="236" t="s">
        <v>4898</v>
      </c>
      <c r="C897" s="236"/>
      <c r="D897" s="236" t="s">
        <v>189</v>
      </c>
    </row>
    <row r="898" ht="14.0">
      <c r="A898" s="236" t="s">
        <v>5090</v>
      </c>
      <c r="B898" s="236" t="s">
        <v>5089</v>
      </c>
      <c r="C898" s="236"/>
      <c r="D898" s="236"/>
    </row>
    <row r="899" ht="14.0">
      <c r="A899" s="236" t="s">
        <v>5092</v>
      </c>
      <c r="B899" s="236" t="s">
        <v>5091</v>
      </c>
      <c r="C899" s="236"/>
      <c r="D899" s="236"/>
    </row>
    <row r="900" ht="14.0">
      <c r="A900" s="236" t="s">
        <v>7619</v>
      </c>
      <c r="B900" s="236" t="s">
        <v>5097</v>
      </c>
      <c r="C900" s="236">
        <v>125.0</v>
      </c>
      <c r="D900" s="236"/>
    </row>
    <row r="901" ht="14.0">
      <c r="A901" s="236" t="s">
        <v>7620</v>
      </c>
      <c r="B901" s="236" t="s">
        <v>5103</v>
      </c>
      <c r="C901" s="236">
        <v>76.0</v>
      </c>
      <c r="D901" s="236"/>
    </row>
    <row r="902" ht="14.0">
      <c r="A902" s="236" t="s">
        <v>5100</v>
      </c>
      <c r="B902" s="236" t="s">
        <v>5099</v>
      </c>
      <c r="C902" s="236">
        <v>436.0</v>
      </c>
      <c r="D902" s="236"/>
    </row>
    <row r="903" ht="14.0">
      <c r="A903" s="236" t="s">
        <v>5102</v>
      </c>
      <c r="B903" s="236" t="s">
        <v>5101</v>
      </c>
      <c r="C903" s="236">
        <v>292.0</v>
      </c>
      <c r="D903" s="236"/>
    </row>
    <row r="904" ht="14.0">
      <c r="A904" s="236" t="s">
        <v>5106</v>
      </c>
      <c r="B904" s="236" t="s">
        <v>5105</v>
      </c>
      <c r="C904" s="236">
        <v>271.0</v>
      </c>
      <c r="D904" s="236"/>
    </row>
    <row r="905" ht="14.0">
      <c r="A905" s="236" t="s">
        <v>5110</v>
      </c>
      <c r="B905" s="236" t="s">
        <v>5109</v>
      </c>
      <c r="C905" s="236"/>
      <c r="D905" s="236"/>
    </row>
    <row r="906" ht="14.0">
      <c r="A906" s="236" t="s">
        <v>5122</v>
      </c>
      <c r="B906" s="236" t="s">
        <v>5121</v>
      </c>
      <c r="C906" s="236"/>
      <c r="D906" s="236"/>
    </row>
    <row r="907" ht="14.0">
      <c r="A907" s="236" t="s">
        <v>5124</v>
      </c>
      <c r="B907" s="236" t="s">
        <v>5123</v>
      </c>
      <c r="C907" s="236">
        <v>122.0</v>
      </c>
      <c r="D907" s="236"/>
    </row>
    <row r="908" ht="14.0">
      <c r="A908" s="236" t="s">
        <v>5126</v>
      </c>
      <c r="B908" s="236" t="s">
        <v>5125</v>
      </c>
      <c r="C908" s="236"/>
      <c r="D908" s="236"/>
    </row>
    <row r="909" ht="14.0">
      <c r="A909" s="236" t="s">
        <v>5128</v>
      </c>
      <c r="B909" s="236" t="s">
        <v>5127</v>
      </c>
      <c r="C909" s="236"/>
      <c r="D909" s="236"/>
    </row>
    <row r="910" ht="14.0">
      <c r="A910" s="236" t="s">
        <v>5130</v>
      </c>
      <c r="B910" s="236" t="s">
        <v>5129</v>
      </c>
      <c r="C910" s="236"/>
      <c r="D910" s="236"/>
    </row>
    <row r="911" ht="14.0">
      <c r="A911" s="236" t="s">
        <v>5136</v>
      </c>
      <c r="B911" s="236" t="s">
        <v>5135</v>
      </c>
      <c r="C911" s="236"/>
      <c r="D911" s="236"/>
    </row>
    <row r="912" ht="14.0">
      <c r="A912" s="236" t="s">
        <v>5138</v>
      </c>
      <c r="B912" s="236" t="s">
        <v>5137</v>
      </c>
      <c r="C912" s="236"/>
      <c r="D912" s="236"/>
    </row>
    <row r="913" ht="14.0">
      <c r="A913" s="236" t="s">
        <v>5144</v>
      </c>
      <c r="B913" s="236" t="s">
        <v>5143</v>
      </c>
      <c r="C913" s="236"/>
      <c r="D913" s="236"/>
    </row>
    <row r="914" ht="14.0">
      <c r="A914" s="236" t="s">
        <v>5146</v>
      </c>
      <c r="B914" s="236" t="s">
        <v>5145</v>
      </c>
      <c r="C914" s="236"/>
      <c r="D914" s="236"/>
    </row>
    <row r="915" ht="14.0">
      <c r="A915" s="236" t="s">
        <v>5148</v>
      </c>
      <c r="B915" s="236" t="s">
        <v>5147</v>
      </c>
      <c r="C915" s="236"/>
      <c r="D915" s="236"/>
    </row>
    <row r="916" ht="14.0">
      <c r="A916" s="236" t="s">
        <v>5150</v>
      </c>
      <c r="B916" s="236" t="s">
        <v>5149</v>
      </c>
      <c r="C916" s="236"/>
      <c r="D916" s="236"/>
    </row>
    <row r="917" ht="14.0">
      <c r="A917" s="236" t="s">
        <v>5152</v>
      </c>
      <c r="B917" s="236" t="s">
        <v>5151</v>
      </c>
      <c r="C917" s="236"/>
      <c r="D917" s="236"/>
    </row>
    <row r="918" ht="14.0">
      <c r="A918" s="236" t="s">
        <v>5154</v>
      </c>
      <c r="B918" s="236" t="s">
        <v>5153</v>
      </c>
      <c r="C918" s="236"/>
      <c r="D918" s="236"/>
    </row>
    <row r="919" ht="14.0">
      <c r="A919" s="236" t="s">
        <v>5217</v>
      </c>
      <c r="B919" s="236" t="s">
        <v>5216</v>
      </c>
      <c r="C919" s="236"/>
      <c r="D919" s="236" t="s">
        <v>189</v>
      </c>
    </row>
    <row r="920" ht="14.0">
      <c r="A920" s="236" t="s">
        <v>5225</v>
      </c>
      <c r="B920" s="236" t="s">
        <v>5224</v>
      </c>
      <c r="C920" s="236">
        <v>600.0</v>
      </c>
      <c r="D920" s="236" t="s">
        <v>189</v>
      </c>
    </row>
    <row r="921" ht="14.0">
      <c r="A921" s="236" t="s">
        <v>5227</v>
      </c>
      <c r="B921" s="236" t="s">
        <v>5226</v>
      </c>
      <c r="C921" s="236">
        <v>600.0</v>
      </c>
      <c r="D921" s="236" t="s">
        <v>189</v>
      </c>
    </row>
    <row r="922" ht="14.0">
      <c r="A922" s="236" t="s">
        <v>5229</v>
      </c>
      <c r="B922" s="236" t="s">
        <v>5228</v>
      </c>
      <c r="C922" s="236"/>
      <c r="D922" s="236" t="s">
        <v>189</v>
      </c>
    </row>
    <row r="923" ht="14.0">
      <c r="A923" s="236" t="s">
        <v>5257</v>
      </c>
      <c r="B923" s="236" t="s">
        <v>5256</v>
      </c>
      <c r="C923" s="236"/>
      <c r="D923" s="236" t="s">
        <v>189</v>
      </c>
    </row>
    <row r="924" ht="14.0">
      <c r="A924" s="236" t="s">
        <v>5301</v>
      </c>
      <c r="B924" s="236" t="s">
        <v>5300</v>
      </c>
      <c r="C924" s="236"/>
      <c r="D924" s="236"/>
    </row>
    <row r="925" ht="14.0">
      <c r="A925" s="236" t="s">
        <v>5386</v>
      </c>
      <c r="B925" s="236" t="s">
        <v>5385</v>
      </c>
      <c r="C925" s="236">
        <v>308.0</v>
      </c>
      <c r="D925" s="236"/>
    </row>
    <row r="926" ht="14.0">
      <c r="A926" s="236" t="s">
        <v>5416</v>
      </c>
      <c r="B926" s="236" t="s">
        <v>5415</v>
      </c>
      <c r="C926" s="236"/>
      <c r="D926" s="236" t="s">
        <v>189</v>
      </c>
    </row>
    <row r="927" ht="14.0">
      <c r="A927" s="236" t="s">
        <v>5426</v>
      </c>
      <c r="B927" s="236" t="s">
        <v>5425</v>
      </c>
      <c r="C927" s="236"/>
      <c r="D927" s="236"/>
    </row>
    <row r="928" ht="14.0">
      <c r="A928" s="236" t="s">
        <v>7621</v>
      </c>
      <c r="B928" s="236" t="s">
        <v>5427</v>
      </c>
      <c r="C928" s="126">
        <v>1002.0</v>
      </c>
      <c r="D928" s="236"/>
    </row>
    <row r="929" ht="14.0">
      <c r="A929" s="236" t="s">
        <v>5430</v>
      </c>
      <c r="B929" s="236" t="s">
        <v>5429</v>
      </c>
      <c r="C929" s="126">
        <v>1002.0</v>
      </c>
      <c r="D929" s="236"/>
    </row>
    <row r="930" ht="14.0">
      <c r="A930" s="236" t="s">
        <v>5432</v>
      </c>
      <c r="B930" s="236" t="s">
        <v>5431</v>
      </c>
      <c r="C930" s="126">
        <v>1002.0</v>
      </c>
      <c r="D930" s="236"/>
    </row>
    <row r="931" ht="14.0">
      <c r="A931" s="236" t="s">
        <v>5434</v>
      </c>
      <c r="B931" s="236" t="s">
        <v>5433</v>
      </c>
      <c r="C931" s="126">
        <v>1002.0</v>
      </c>
      <c r="D931" s="236"/>
    </row>
    <row r="932" ht="14.0">
      <c r="A932" s="236" t="s">
        <v>5436</v>
      </c>
      <c r="B932" s="236" t="s">
        <v>5435</v>
      </c>
      <c r="C932" s="126">
        <v>1002.0</v>
      </c>
      <c r="D932" s="236"/>
    </row>
    <row r="933" ht="14.0">
      <c r="A933" s="236" t="s">
        <v>5438</v>
      </c>
      <c r="B933" s="236" t="s">
        <v>5437</v>
      </c>
      <c r="C933" s="126">
        <v>1002.0</v>
      </c>
      <c r="D933" s="236"/>
    </row>
    <row r="934" ht="14.0">
      <c r="A934" s="236" t="s">
        <v>7622</v>
      </c>
      <c r="B934" s="236" t="s">
        <v>5439</v>
      </c>
      <c r="C934" s="236"/>
      <c r="D934" s="236"/>
    </row>
    <row r="935" ht="14.0">
      <c r="A935" s="236" t="s">
        <v>5442</v>
      </c>
      <c r="B935" s="236" t="s">
        <v>5441</v>
      </c>
      <c r="C935" s="236"/>
      <c r="D935" s="236" t="s">
        <v>189</v>
      </c>
    </row>
    <row r="936" ht="14.0">
      <c r="A936" s="236" t="s">
        <v>5444</v>
      </c>
      <c r="B936" s="236" t="s">
        <v>5443</v>
      </c>
      <c r="C936" s="236"/>
      <c r="D936" s="236" t="s">
        <v>189</v>
      </c>
    </row>
    <row r="937" ht="14.0">
      <c r="A937" s="236" t="s">
        <v>111</v>
      </c>
      <c r="B937" s="236" t="s">
        <v>112</v>
      </c>
      <c r="C937" s="126">
        <v>1008.0</v>
      </c>
      <c r="D937" s="236"/>
    </row>
    <row r="938" ht="14.0">
      <c r="A938" s="236" t="s">
        <v>105</v>
      </c>
      <c r="B938" s="236" t="s">
        <v>106</v>
      </c>
      <c r="C938" s="126">
        <v>1008.0</v>
      </c>
      <c r="D938" s="236"/>
    </row>
    <row r="939" ht="17.0">
      <c r="A939" s="236" t="s">
        <v>117</v>
      </c>
      <c r="B939" s="236" t="s">
        <v>118</v>
      </c>
      <c r="C939" s="126">
        <v>1008.0</v>
      </c>
      <c r="D939" s="236"/>
    </row>
    <row r="940" ht="14.0">
      <c r="A940" s="236" t="s">
        <v>103</v>
      </c>
      <c r="B940" s="236" t="s">
        <v>104</v>
      </c>
      <c r="C940" s="126">
        <v>1008.0</v>
      </c>
      <c r="D940" s="236" t="s">
        <v>7571</v>
      </c>
    </row>
    <row r="941" ht="14.0">
      <c r="A941" s="236" t="s">
        <v>123</v>
      </c>
      <c r="B941" s="236" t="s">
        <v>124</v>
      </c>
      <c r="C941" s="126">
        <v>1008.0</v>
      </c>
      <c r="D941" s="236"/>
    </row>
    <row r="942" ht="14.0">
      <c r="A942" s="236" t="s">
        <v>129</v>
      </c>
      <c r="B942" s="236" t="s">
        <v>130</v>
      </c>
      <c r="C942" s="126">
        <v>1008.0</v>
      </c>
      <c r="D942" s="236"/>
    </row>
    <row r="943" ht="14.0">
      <c r="A943" s="236" t="s">
        <v>119</v>
      </c>
      <c r="B943" s="236" t="s">
        <v>120</v>
      </c>
      <c r="C943" s="126">
        <v>1008.0</v>
      </c>
      <c r="D943" s="236" t="s">
        <v>7571</v>
      </c>
    </row>
    <row r="944" ht="14.0">
      <c r="A944" s="236" t="s">
        <v>127</v>
      </c>
      <c r="B944" s="236" t="s">
        <v>128</v>
      </c>
      <c r="C944" s="126">
        <v>1008.0</v>
      </c>
      <c r="D944" s="236"/>
    </row>
    <row r="945" ht="14.0">
      <c r="A945" s="236" t="s">
        <v>125</v>
      </c>
      <c r="B945" s="236" t="s">
        <v>126</v>
      </c>
      <c r="C945" s="126">
        <v>1008.0</v>
      </c>
      <c r="D945" s="236"/>
    </row>
    <row r="946" ht="17.0">
      <c r="A946" s="236" t="s">
        <v>109</v>
      </c>
      <c r="B946" s="236" t="s">
        <v>110</v>
      </c>
      <c r="C946" s="126">
        <v>1008.0</v>
      </c>
      <c r="D946" s="236"/>
    </row>
    <row r="947" ht="14.0">
      <c r="A947" s="236" t="s">
        <v>113</v>
      </c>
      <c r="B947" s="236" t="s">
        <v>114</v>
      </c>
      <c r="C947" s="126">
        <v>1008.0</v>
      </c>
      <c r="D947" s="236"/>
    </row>
    <row r="948" ht="14.0">
      <c r="A948" s="236" t="s">
        <v>107</v>
      </c>
      <c r="B948" s="236" t="s">
        <v>108</v>
      </c>
      <c r="C948" s="126">
        <v>1008.0</v>
      </c>
      <c r="D948" s="236"/>
    </row>
    <row r="949" ht="14.0">
      <c r="A949" s="236" t="s">
        <v>101</v>
      </c>
      <c r="B949" s="236" t="s">
        <v>102</v>
      </c>
      <c r="C949" s="126">
        <v>1008.0</v>
      </c>
      <c r="D949" s="236"/>
    </row>
    <row r="950" ht="14.0">
      <c r="A950" s="236" t="s">
        <v>131</v>
      </c>
      <c r="B950" s="236" t="s">
        <v>132</v>
      </c>
      <c r="C950" s="126">
        <v>1008.0</v>
      </c>
      <c r="D950" s="236"/>
    </row>
    <row r="951" ht="14.0">
      <c r="A951" s="236" t="s">
        <v>121</v>
      </c>
      <c r="B951" s="236" t="s">
        <v>122</v>
      </c>
      <c r="C951" s="126">
        <v>1008.0</v>
      </c>
      <c r="D951" s="236" t="s">
        <v>7571</v>
      </c>
    </row>
    <row r="952" ht="17.0">
      <c r="A952" s="236" t="s">
        <v>99</v>
      </c>
      <c r="B952" s="236" t="s">
        <v>100</v>
      </c>
      <c r="C952" s="126">
        <v>1008.0</v>
      </c>
      <c r="D952" s="236"/>
    </row>
    <row r="953" ht="14.0">
      <c r="A953" s="236" t="s">
        <v>115</v>
      </c>
      <c r="B953" s="236" t="s">
        <v>116</v>
      </c>
      <c r="C953" s="126">
        <v>1008.0</v>
      </c>
      <c r="D953" s="236"/>
    </row>
    <row r="954" ht="14.0">
      <c r="A954" s="236" t="s">
        <v>145</v>
      </c>
      <c r="B954" s="236" t="s">
        <v>146</v>
      </c>
      <c r="C954" s="236"/>
      <c r="D954" s="236"/>
    </row>
    <row r="955" ht="14.0">
      <c r="A955" s="236" t="s">
        <v>143</v>
      </c>
      <c r="B955" s="236" t="s">
        <v>144</v>
      </c>
      <c r="C955" s="236"/>
      <c r="D955" s="236"/>
    </row>
    <row r="956" ht="14.0">
      <c r="A956" s="236" t="s">
        <v>5483</v>
      </c>
      <c r="B956" s="236" t="s">
        <v>5482</v>
      </c>
      <c r="C956" s="126">
        <v>1000.0</v>
      </c>
      <c r="D956" s="236"/>
    </row>
    <row r="957" ht="14.0">
      <c r="A957" s="236" t="s">
        <v>5485</v>
      </c>
      <c r="B957" s="236" t="s">
        <v>5484</v>
      </c>
      <c r="C957" s="126">
        <v>1000.0</v>
      </c>
      <c r="D957" s="236"/>
    </row>
    <row r="958" ht="14.0">
      <c r="A958" s="236" t="s">
        <v>5495</v>
      </c>
      <c r="B958" s="236" t="s">
        <v>5494</v>
      </c>
      <c r="C958" s="126">
        <v>1000.0</v>
      </c>
      <c r="D958" s="236"/>
    </row>
    <row r="959" ht="14.0">
      <c r="A959" s="236" t="s">
        <v>5497</v>
      </c>
      <c r="B959" s="236" t="s">
        <v>5496</v>
      </c>
      <c r="C959" s="126">
        <v>1000.0</v>
      </c>
      <c r="D959" s="236"/>
    </row>
    <row r="960" ht="14.0">
      <c r="A960" s="236" t="s">
        <v>7623</v>
      </c>
      <c r="B960" s="236" t="s">
        <v>5498</v>
      </c>
      <c r="C960" s="126">
        <v>1000.0</v>
      </c>
      <c r="D960" s="236"/>
    </row>
    <row r="961" ht="14.0">
      <c r="A961" s="236" t="s">
        <v>5505</v>
      </c>
      <c r="B961" s="236" t="s">
        <v>5504</v>
      </c>
      <c r="C961" s="126">
        <v>1000.0</v>
      </c>
      <c r="D961" s="236"/>
    </row>
    <row r="962" ht="14.0">
      <c r="A962" s="236" t="s">
        <v>5509</v>
      </c>
      <c r="B962" s="236" t="s">
        <v>5508</v>
      </c>
      <c r="C962" s="126">
        <v>1000.0</v>
      </c>
      <c r="D962" s="236"/>
    </row>
    <row r="963" ht="14.0">
      <c r="A963" s="236" t="s">
        <v>5511</v>
      </c>
      <c r="B963" s="236" t="s">
        <v>5510</v>
      </c>
      <c r="C963" s="236"/>
      <c r="D963" s="236" t="s">
        <v>189</v>
      </c>
    </row>
    <row r="964" ht="14.0">
      <c r="A964" s="236" t="s">
        <v>5513</v>
      </c>
      <c r="B964" s="236" t="s">
        <v>5512</v>
      </c>
      <c r="C964" s="126">
        <v>1000.0</v>
      </c>
      <c r="D964" s="236"/>
    </row>
    <row r="965" ht="14.0">
      <c r="A965" s="236" t="s">
        <v>7624</v>
      </c>
      <c r="B965" s="236" t="s">
        <v>5524</v>
      </c>
      <c r="C965" s="126">
        <v>1000.0</v>
      </c>
      <c r="D965" s="236"/>
    </row>
    <row r="966" ht="14.0">
      <c r="A966" s="236" t="s">
        <v>7625</v>
      </c>
      <c r="B966" s="236" t="s">
        <v>5528</v>
      </c>
      <c r="C966" s="126">
        <v>1000.0</v>
      </c>
      <c r="D966" s="236"/>
    </row>
    <row r="967" ht="14.0">
      <c r="A967" s="236" t="s">
        <v>7626</v>
      </c>
      <c r="B967" s="236" t="s">
        <v>5532</v>
      </c>
      <c r="C967" s="126">
        <v>1000.0</v>
      </c>
      <c r="D967" s="236"/>
    </row>
    <row r="968" ht="14.0">
      <c r="A968" s="236" t="s">
        <v>5537</v>
      </c>
      <c r="B968" s="236" t="s">
        <v>5536</v>
      </c>
      <c r="C968" s="126">
        <v>1000.0</v>
      </c>
      <c r="D968" s="236"/>
    </row>
    <row r="969" ht="14.0">
      <c r="A969" s="236" t="s">
        <v>5539</v>
      </c>
      <c r="B969" s="236" t="s">
        <v>5538</v>
      </c>
      <c r="C969" s="126">
        <v>1000.0</v>
      </c>
      <c r="D969" s="236"/>
    </row>
    <row r="970" ht="14.0">
      <c r="A970" s="236" t="s">
        <v>5545</v>
      </c>
      <c r="B970" s="236" t="s">
        <v>5544</v>
      </c>
      <c r="C970" s="126">
        <v>1000.0</v>
      </c>
      <c r="D970" s="236"/>
    </row>
    <row r="971" ht="14.0">
      <c r="A971" s="236" t="s">
        <v>5547</v>
      </c>
      <c r="B971" s="236" t="s">
        <v>5546</v>
      </c>
      <c r="C971" s="236"/>
      <c r="D971" s="236" t="s">
        <v>189</v>
      </c>
    </row>
    <row r="972" ht="14.0">
      <c r="A972" s="236" t="s">
        <v>5549</v>
      </c>
      <c r="B972" s="236" t="s">
        <v>5548</v>
      </c>
      <c r="C972" s="126">
        <v>1000.0</v>
      </c>
      <c r="D972" s="236"/>
    </row>
    <row r="973" ht="14.0">
      <c r="A973" s="236" t="s">
        <v>5551</v>
      </c>
      <c r="B973" s="236" t="s">
        <v>5550</v>
      </c>
      <c r="C973" s="126">
        <v>1000.0</v>
      </c>
      <c r="D973" s="236"/>
    </row>
    <row r="974" ht="14.0">
      <c r="A974" s="236" t="s">
        <v>5553</v>
      </c>
      <c r="B974" s="236" t="s">
        <v>5552</v>
      </c>
      <c r="C974" s="126">
        <v>1000.0</v>
      </c>
      <c r="D974" s="236"/>
    </row>
    <row r="975" ht="14.0">
      <c r="A975" s="236" t="s">
        <v>7627</v>
      </c>
      <c r="B975" s="236" t="s">
        <v>5556</v>
      </c>
      <c r="C975" s="126">
        <v>1000.0</v>
      </c>
      <c r="D975" s="236"/>
    </row>
    <row r="976" ht="14.0">
      <c r="A976" s="236" t="s">
        <v>7628</v>
      </c>
      <c r="B976" s="236" t="s">
        <v>5560</v>
      </c>
      <c r="C976" s="126">
        <v>1000.0</v>
      </c>
      <c r="D976" s="236"/>
    </row>
    <row r="977" ht="14.0">
      <c r="A977" s="236" t="s">
        <v>5565</v>
      </c>
      <c r="B977" s="236" t="s">
        <v>5564</v>
      </c>
      <c r="C977" s="126">
        <v>1000.0</v>
      </c>
      <c r="D977" s="236"/>
    </row>
    <row r="978" ht="14.0">
      <c r="A978" s="236" t="s">
        <v>5567</v>
      </c>
      <c r="B978" s="236" t="s">
        <v>5566</v>
      </c>
      <c r="C978" s="126">
        <v>1000.0</v>
      </c>
      <c r="D978" s="236"/>
    </row>
    <row r="979" ht="14.0">
      <c r="A979" s="236" t="s">
        <v>5569</v>
      </c>
      <c r="B979" s="236" t="s">
        <v>5568</v>
      </c>
      <c r="C979" s="236"/>
      <c r="D979" s="236" t="s">
        <v>189</v>
      </c>
    </row>
    <row r="980" ht="14.0">
      <c r="A980" s="236" t="s">
        <v>5571</v>
      </c>
      <c r="B980" s="236" t="s">
        <v>5570</v>
      </c>
      <c r="C980" s="236"/>
      <c r="D980" s="236"/>
    </row>
    <row r="981" ht="14.0">
      <c r="A981" s="236" t="s">
        <v>5573</v>
      </c>
      <c r="B981" s="236" t="s">
        <v>5572</v>
      </c>
      <c r="C981" s="236"/>
      <c r="D981" s="236" t="s">
        <v>189</v>
      </c>
    </row>
    <row r="982" ht="14.0">
      <c r="A982" s="236" t="s">
        <v>5575</v>
      </c>
      <c r="B982" s="236" t="s">
        <v>5574</v>
      </c>
      <c r="C982" s="236"/>
      <c r="D982" s="236" t="s">
        <v>189</v>
      </c>
    </row>
    <row r="983" ht="14.0">
      <c r="A983" s="236" t="s">
        <v>5577</v>
      </c>
      <c r="B983" s="236" t="s">
        <v>5576</v>
      </c>
      <c r="C983" s="236"/>
      <c r="D983" s="236"/>
    </row>
    <row r="984" ht="14.0">
      <c r="A984" s="236" t="s">
        <v>5581</v>
      </c>
      <c r="B984" s="236" t="s">
        <v>5580</v>
      </c>
      <c r="C984" s="236"/>
      <c r="D984" s="236" t="s">
        <v>189</v>
      </c>
    </row>
    <row r="985" ht="14.0">
      <c r="A985" s="236" t="s">
        <v>5583</v>
      </c>
      <c r="B985" s="236" t="s">
        <v>5582</v>
      </c>
      <c r="C985" s="236"/>
      <c r="D985" s="236"/>
    </row>
    <row r="986" ht="14.0">
      <c r="A986" s="236" t="s">
        <v>5587</v>
      </c>
      <c r="B986" s="236" t="s">
        <v>5586</v>
      </c>
      <c r="C986" s="236"/>
      <c r="D986" s="236" t="s">
        <v>189</v>
      </c>
    </row>
    <row r="987" ht="14.0">
      <c r="A987" s="236" t="s">
        <v>5589</v>
      </c>
      <c r="B987" s="236" t="s">
        <v>5588</v>
      </c>
      <c r="C987" s="236"/>
      <c r="D987" s="236"/>
    </row>
    <row r="988" ht="14.0">
      <c r="A988" s="236" t="s">
        <v>5597</v>
      </c>
      <c r="B988" s="236" t="s">
        <v>5596</v>
      </c>
      <c r="C988" s="236"/>
      <c r="D988" s="236" t="s">
        <v>189</v>
      </c>
    </row>
    <row r="989" ht="14.0">
      <c r="A989" s="236" t="s">
        <v>5632</v>
      </c>
      <c r="B989" s="236" t="s">
        <v>5631</v>
      </c>
      <c r="C989" s="236"/>
      <c r="D989" s="236" t="s">
        <v>189</v>
      </c>
    </row>
    <row r="990" ht="14.0">
      <c r="A990" s="236" t="s">
        <v>7629</v>
      </c>
      <c r="B990" s="236" t="s">
        <v>5665</v>
      </c>
      <c r="C990" s="236"/>
      <c r="D990" s="236"/>
    </row>
    <row r="991" ht="14.0">
      <c r="A991" s="236" t="s">
        <v>5664</v>
      </c>
      <c r="B991" s="236" t="s">
        <v>5663</v>
      </c>
      <c r="C991" s="236"/>
      <c r="D991" s="236"/>
    </row>
    <row r="992" ht="14.0">
      <c r="A992" s="236" t="s">
        <v>5690</v>
      </c>
      <c r="B992" s="236" t="s">
        <v>5689</v>
      </c>
      <c r="C992" s="236"/>
      <c r="D992" s="236" t="s">
        <v>189</v>
      </c>
    </row>
    <row r="993" ht="14.0">
      <c r="A993" s="236" t="s">
        <v>5692</v>
      </c>
      <c r="B993" s="236" t="s">
        <v>5691</v>
      </c>
      <c r="C993" s="236"/>
      <c r="D993" s="236" t="s">
        <v>189</v>
      </c>
    </row>
    <row r="994" ht="14.0">
      <c r="A994" s="236" t="s">
        <v>5696</v>
      </c>
      <c r="B994" s="236" t="s">
        <v>5695</v>
      </c>
      <c r="C994" s="236"/>
      <c r="D994" s="236" t="s">
        <v>189</v>
      </c>
    </row>
    <row r="995" ht="14.0">
      <c r="A995" s="236" t="s">
        <v>5698</v>
      </c>
      <c r="B995" s="236" t="s">
        <v>5697</v>
      </c>
      <c r="C995" s="236"/>
      <c r="D995" s="236" t="s">
        <v>189</v>
      </c>
    </row>
    <row r="996" ht="14.0">
      <c r="A996" s="236" t="s">
        <v>5700</v>
      </c>
      <c r="B996" s="236" t="s">
        <v>5699</v>
      </c>
      <c r="C996" s="236"/>
      <c r="D996" s="236" t="s">
        <v>189</v>
      </c>
    </row>
    <row r="997" ht="14.0">
      <c r="A997" s="236" t="s">
        <v>5702</v>
      </c>
      <c r="B997" s="236" t="s">
        <v>5701</v>
      </c>
      <c r="C997" s="236"/>
      <c r="D997" s="236" t="s">
        <v>189</v>
      </c>
    </row>
    <row r="998" ht="14.0">
      <c r="A998" s="236" t="s">
        <v>5712</v>
      </c>
      <c r="B998" s="236" t="s">
        <v>5711</v>
      </c>
      <c r="C998" s="126">
        <v>1000.0</v>
      </c>
      <c r="D998" s="236" t="s">
        <v>189</v>
      </c>
    </row>
    <row r="999" ht="14.0">
      <c r="A999" s="236" t="s">
        <v>5714</v>
      </c>
      <c r="B999" s="236" t="s">
        <v>5713</v>
      </c>
      <c r="C999" s="126">
        <v>1000.0</v>
      </c>
      <c r="D999" s="236" t="s">
        <v>189</v>
      </c>
    </row>
    <row r="1000" ht="14.0">
      <c r="A1000" s="236" t="s">
        <v>5716</v>
      </c>
      <c r="B1000" s="236" t="s">
        <v>5715</v>
      </c>
      <c r="C1000" s="236"/>
      <c r="D1000" s="236" t="s">
        <v>189</v>
      </c>
    </row>
    <row r="1001" ht="14.0">
      <c r="A1001" s="236" t="s">
        <v>5720</v>
      </c>
      <c r="B1001" s="236" t="s">
        <v>5719</v>
      </c>
      <c r="C1001" s="126">
        <v>1000.0</v>
      </c>
      <c r="D1001" s="236" t="s">
        <v>189</v>
      </c>
    </row>
    <row r="1002" ht="14.0">
      <c r="A1002" s="236" t="s">
        <v>5724</v>
      </c>
      <c r="B1002" s="236" t="s">
        <v>5723</v>
      </c>
      <c r="C1002" s="236"/>
      <c r="D1002" s="236" t="s">
        <v>189</v>
      </c>
    </row>
    <row r="1003" ht="14.0">
      <c r="A1003" s="236" t="s">
        <v>5726</v>
      </c>
      <c r="B1003" s="236" t="s">
        <v>5725</v>
      </c>
      <c r="C1003" s="236">
        <v>500.0</v>
      </c>
      <c r="D1003" s="236" t="s">
        <v>189</v>
      </c>
    </row>
    <row r="1004" ht="14.0">
      <c r="A1004" s="236" t="s">
        <v>5728</v>
      </c>
      <c r="B1004" s="236" t="s">
        <v>5727</v>
      </c>
      <c r="C1004" s="236">
        <v>500.0</v>
      </c>
      <c r="D1004" s="236" t="s">
        <v>189</v>
      </c>
    </row>
    <row r="1005" ht="14.0">
      <c r="A1005" s="236" t="s">
        <v>5730</v>
      </c>
      <c r="B1005" s="236" t="s">
        <v>5729</v>
      </c>
      <c r="C1005" s="236">
        <v>500.0</v>
      </c>
      <c r="D1005" s="236" t="s">
        <v>189</v>
      </c>
    </row>
    <row r="1006" ht="14.0">
      <c r="A1006" s="236" t="s">
        <v>5732</v>
      </c>
      <c r="B1006" s="236" t="s">
        <v>5731</v>
      </c>
      <c r="C1006" s="236">
        <v>500.0</v>
      </c>
      <c r="D1006" s="236" t="s">
        <v>189</v>
      </c>
    </row>
    <row r="1007" ht="14.0">
      <c r="A1007" s="236" t="s">
        <v>5734</v>
      </c>
      <c r="B1007" s="236" t="s">
        <v>5733</v>
      </c>
      <c r="C1007" s="236">
        <v>500.0</v>
      </c>
      <c r="D1007" s="236" t="s">
        <v>189</v>
      </c>
    </row>
    <row r="1008" ht="14.0">
      <c r="A1008" s="236" t="s">
        <v>5736</v>
      </c>
      <c r="B1008" s="236" t="s">
        <v>5735</v>
      </c>
      <c r="C1008" s="236">
        <v>500.0</v>
      </c>
      <c r="D1008" s="236" t="s">
        <v>189</v>
      </c>
    </row>
    <row r="1009" ht="14.0">
      <c r="A1009" s="236" t="s">
        <v>5738</v>
      </c>
      <c r="B1009" s="236" t="s">
        <v>5737</v>
      </c>
      <c r="C1009" s="236">
        <v>500.0</v>
      </c>
      <c r="D1009" s="236" t="s">
        <v>189</v>
      </c>
    </row>
    <row r="1010" ht="14.0">
      <c r="A1010" s="236" t="s">
        <v>7630</v>
      </c>
      <c r="B1010" s="236" t="s">
        <v>5741</v>
      </c>
      <c r="C1010" s="236"/>
      <c r="D1010" s="236"/>
    </row>
    <row r="1011" ht="14.0">
      <c r="A1011" s="236" t="s">
        <v>5740</v>
      </c>
      <c r="B1011" s="236" t="s">
        <v>5739</v>
      </c>
      <c r="C1011" s="236"/>
      <c r="D1011" s="236"/>
    </row>
    <row r="1012" ht="14.0">
      <c r="A1012" s="236" t="s">
        <v>7631</v>
      </c>
      <c r="B1012" s="236" t="s">
        <v>5745</v>
      </c>
      <c r="C1012" s="236"/>
      <c r="D1012" s="236"/>
    </row>
    <row r="1013" ht="14.0">
      <c r="A1013" s="236" t="s">
        <v>5744</v>
      </c>
      <c r="B1013" s="236" t="s">
        <v>5743</v>
      </c>
      <c r="C1013" s="236"/>
      <c r="D1013" s="236"/>
    </row>
    <row r="1014" ht="14.0">
      <c r="A1014" s="236" t="s">
        <v>5752</v>
      </c>
      <c r="B1014" s="236" t="s">
        <v>5751</v>
      </c>
      <c r="C1014" s="236"/>
      <c r="D1014" s="236" t="s">
        <v>189</v>
      </c>
    </row>
    <row r="1015" ht="14.0">
      <c r="A1015" s="236" t="s">
        <v>5754</v>
      </c>
      <c r="B1015" s="236" t="s">
        <v>5753</v>
      </c>
      <c r="C1015" s="236"/>
      <c r="D1015" s="236" t="s">
        <v>189</v>
      </c>
    </row>
    <row r="1016" ht="14.0">
      <c r="A1016" s="236" t="s">
        <v>5760</v>
      </c>
      <c r="B1016" s="236" t="s">
        <v>5759</v>
      </c>
      <c r="C1016" s="236"/>
      <c r="D1016" s="236" t="s">
        <v>189</v>
      </c>
    </row>
    <row r="1017" ht="14.0">
      <c r="A1017" s="236" t="s">
        <v>5792</v>
      </c>
      <c r="B1017" s="236" t="s">
        <v>5791</v>
      </c>
      <c r="C1017" s="236">
        <v>500.0</v>
      </c>
      <c r="D1017" s="236"/>
    </row>
    <row r="1018" ht="14.0">
      <c r="A1018" s="236" t="s">
        <v>5800</v>
      </c>
      <c r="B1018" s="236" t="s">
        <v>5799</v>
      </c>
      <c r="C1018" s="236"/>
      <c r="D1018" s="236" t="s">
        <v>189</v>
      </c>
    </row>
    <row r="1019" ht="14.0">
      <c r="A1019" s="236" t="s">
        <v>5810</v>
      </c>
      <c r="B1019" s="236" t="s">
        <v>5809</v>
      </c>
      <c r="C1019" s="236">
        <v>500.0</v>
      </c>
      <c r="D1019" s="236"/>
    </row>
    <row r="1020" ht="14.0">
      <c r="A1020" s="236" t="s">
        <v>5818</v>
      </c>
      <c r="B1020" s="236" t="s">
        <v>5817</v>
      </c>
      <c r="C1020" s="236"/>
      <c r="D1020" s="236"/>
    </row>
    <row r="1021" ht="14.0">
      <c r="A1021" s="236" t="s">
        <v>7632</v>
      </c>
      <c r="B1021" s="236" t="s">
        <v>5829</v>
      </c>
      <c r="C1021" s="236"/>
      <c r="D1021" s="236"/>
    </row>
    <row r="1022" ht="14.0">
      <c r="A1022" s="236" t="s">
        <v>5828</v>
      </c>
      <c r="B1022" s="236" t="s">
        <v>5827</v>
      </c>
      <c r="C1022" s="236"/>
      <c r="D1022" s="236"/>
    </row>
    <row r="1023" ht="14.0">
      <c r="A1023" s="236" t="s">
        <v>7633</v>
      </c>
      <c r="B1023" s="236" t="s">
        <v>7633</v>
      </c>
      <c r="C1023" s="236"/>
      <c r="D1023" s="236" t="s">
        <v>189</v>
      </c>
    </row>
    <row r="1024" ht="14.0">
      <c r="A1024" s="236" t="s">
        <v>7634</v>
      </c>
      <c r="B1024" s="236" t="s">
        <v>7634</v>
      </c>
      <c r="C1024" s="236"/>
      <c r="D1024" s="236" t="s">
        <v>189</v>
      </c>
    </row>
    <row r="1025" ht="14.0">
      <c r="A1025" s="236" t="s">
        <v>7635</v>
      </c>
      <c r="B1025" s="236" t="s">
        <v>5890</v>
      </c>
      <c r="C1025" s="236"/>
      <c r="D1025" s="236"/>
    </row>
    <row r="1026" ht="14.0">
      <c r="A1026" s="236" t="s">
        <v>5889</v>
      </c>
      <c r="B1026" s="236" t="s">
        <v>5888</v>
      </c>
      <c r="C1026" s="236"/>
      <c r="D1026" s="236"/>
    </row>
    <row r="1027" ht="14.0">
      <c r="A1027" s="236" t="s">
        <v>5954</v>
      </c>
      <c r="B1027" s="236" t="s">
        <v>5953</v>
      </c>
      <c r="C1027" s="126">
        <v>1002.0</v>
      </c>
      <c r="D1027" s="236"/>
    </row>
    <row r="1028" ht="14.0">
      <c r="A1028" s="236" t="s">
        <v>5956</v>
      </c>
      <c r="B1028" s="236" t="s">
        <v>5955</v>
      </c>
      <c r="C1028" s="126">
        <v>1002.0</v>
      </c>
      <c r="D1028" s="236"/>
    </row>
    <row r="1029" ht="14.0">
      <c r="A1029" s="236" t="s">
        <v>5958</v>
      </c>
      <c r="B1029" s="236" t="s">
        <v>5957</v>
      </c>
      <c r="C1029" s="126">
        <v>1002.0</v>
      </c>
      <c r="D1029" s="236"/>
    </row>
    <row r="1030" ht="14.0">
      <c r="A1030" s="236" t="s">
        <v>5960</v>
      </c>
      <c r="B1030" s="236" t="s">
        <v>5959</v>
      </c>
      <c r="C1030" s="126">
        <v>1002.0</v>
      </c>
      <c r="D1030" s="236"/>
    </row>
    <row r="1031" ht="14.0">
      <c r="A1031" s="236" t="s">
        <v>5962</v>
      </c>
      <c r="B1031" s="236" t="s">
        <v>5961</v>
      </c>
      <c r="C1031" s="126">
        <v>1002.0</v>
      </c>
      <c r="D1031" s="236"/>
    </row>
    <row r="1032" ht="14.0">
      <c r="A1032" s="236" t="s">
        <v>5964</v>
      </c>
      <c r="B1032" s="236" t="s">
        <v>5963</v>
      </c>
      <c r="C1032" s="126">
        <v>1002.0</v>
      </c>
      <c r="D1032" s="236"/>
    </row>
    <row r="1033" ht="14.0">
      <c r="A1033" s="236" t="s">
        <v>5966</v>
      </c>
      <c r="B1033" s="236" t="s">
        <v>5965</v>
      </c>
      <c r="C1033" s="236"/>
      <c r="D1033" s="236"/>
    </row>
    <row r="1034" ht="14.0">
      <c r="A1034" s="236" t="s">
        <v>5994</v>
      </c>
      <c r="B1034" s="236" t="s">
        <v>5993</v>
      </c>
      <c r="C1034" s="236">
        <v>512.0</v>
      </c>
      <c r="D1034" s="236" t="s">
        <v>189</v>
      </c>
    </row>
    <row r="1035" ht="14.0">
      <c r="A1035" s="236" t="s">
        <v>5996</v>
      </c>
      <c r="B1035" s="236" t="s">
        <v>5995</v>
      </c>
      <c r="C1035" s="236">
        <v>512.0</v>
      </c>
      <c r="D1035" s="236" t="s">
        <v>189</v>
      </c>
    </row>
    <row r="1036" ht="14.0">
      <c r="A1036" s="236" t="s">
        <v>5998</v>
      </c>
      <c r="B1036" s="236" t="s">
        <v>5997</v>
      </c>
      <c r="C1036" s="236">
        <v>512.0</v>
      </c>
      <c r="D1036" s="236" t="s">
        <v>189</v>
      </c>
    </row>
    <row r="1037" ht="14.0">
      <c r="A1037" s="236" t="s">
        <v>6000</v>
      </c>
      <c r="B1037" s="236" t="s">
        <v>5999</v>
      </c>
      <c r="C1037" s="236">
        <v>512.0</v>
      </c>
      <c r="D1037" s="236" t="s">
        <v>189</v>
      </c>
    </row>
    <row r="1038" ht="14.0">
      <c r="A1038" s="236" t="s">
        <v>6002</v>
      </c>
      <c r="B1038" s="236" t="s">
        <v>6001</v>
      </c>
      <c r="C1038" s="236">
        <v>512.0</v>
      </c>
      <c r="D1038" s="236" t="s">
        <v>189</v>
      </c>
    </row>
    <row r="1039" ht="14.0">
      <c r="A1039" s="236" t="s">
        <v>6004</v>
      </c>
      <c r="B1039" s="236" t="s">
        <v>6003</v>
      </c>
      <c r="C1039" s="236"/>
      <c r="D1039" s="236" t="s">
        <v>189</v>
      </c>
    </row>
    <row r="1040" ht="14.0">
      <c r="A1040" s="236" t="s">
        <v>6006</v>
      </c>
      <c r="B1040" s="236" t="s">
        <v>6005</v>
      </c>
      <c r="C1040" s="236">
        <v>512.0</v>
      </c>
      <c r="D1040" s="236" t="s">
        <v>189</v>
      </c>
    </row>
    <row r="1041" ht="14.0">
      <c r="A1041" s="236" t="s">
        <v>6008</v>
      </c>
      <c r="B1041" s="236" t="s">
        <v>6007</v>
      </c>
      <c r="C1041" s="236">
        <v>504.0</v>
      </c>
      <c r="D1041" s="236" t="s">
        <v>189</v>
      </c>
    </row>
    <row r="1042" ht="14.0">
      <c r="A1042" s="236" t="s">
        <v>6010</v>
      </c>
      <c r="B1042" s="236" t="s">
        <v>6009</v>
      </c>
      <c r="C1042" s="126">
        <v>1002.0</v>
      </c>
      <c r="D1042" s="236" t="s">
        <v>189</v>
      </c>
    </row>
    <row r="1043" ht="14.0">
      <c r="A1043" s="236" t="s">
        <v>6012</v>
      </c>
      <c r="B1043" s="236" t="s">
        <v>6011</v>
      </c>
      <c r="C1043" s="236">
        <v>504.0</v>
      </c>
      <c r="D1043" s="236" t="s">
        <v>189</v>
      </c>
    </row>
    <row r="1044" ht="14.0">
      <c r="A1044" s="236" t="s">
        <v>6014</v>
      </c>
      <c r="B1044" s="236" t="s">
        <v>6013</v>
      </c>
      <c r="C1044" s="126">
        <v>1008.0</v>
      </c>
      <c r="D1044" s="236" t="s">
        <v>189</v>
      </c>
    </row>
    <row r="1045" ht="14.0">
      <c r="A1045" s="236" t="s">
        <v>6016</v>
      </c>
      <c r="B1045" s="236" t="s">
        <v>6015</v>
      </c>
      <c r="C1045" s="126">
        <v>1002.0</v>
      </c>
      <c r="D1045" s="236" t="s">
        <v>189</v>
      </c>
    </row>
    <row r="1046" ht="14.0">
      <c r="A1046" s="236" t="s">
        <v>6018</v>
      </c>
      <c r="B1046" s="236" t="s">
        <v>6017</v>
      </c>
      <c r="C1046" s="236">
        <v>504.0</v>
      </c>
      <c r="D1046" s="236" t="s">
        <v>189</v>
      </c>
    </row>
    <row r="1047" ht="14.0">
      <c r="A1047" s="236" t="s">
        <v>6020</v>
      </c>
      <c r="B1047" s="236" t="s">
        <v>6019</v>
      </c>
      <c r="C1047" s="126">
        <v>1002.0</v>
      </c>
      <c r="D1047" s="236" t="s">
        <v>189</v>
      </c>
    </row>
    <row r="1048" ht="14.0">
      <c r="A1048" s="236" t="s">
        <v>6022</v>
      </c>
      <c r="B1048" s="236" t="s">
        <v>6021</v>
      </c>
      <c r="C1048" s="236"/>
      <c r="D1048" s="236" t="s">
        <v>189</v>
      </c>
    </row>
    <row r="1049" ht="14.0">
      <c r="A1049" s="236" t="s">
        <v>6024</v>
      </c>
      <c r="B1049" s="236" t="s">
        <v>6023</v>
      </c>
      <c r="C1049" s="236">
        <v>10.0</v>
      </c>
      <c r="D1049" s="236" t="s">
        <v>189</v>
      </c>
    </row>
    <row r="1050" ht="14.0">
      <c r="A1050" s="236" t="s">
        <v>6026</v>
      </c>
      <c r="B1050" s="236" t="s">
        <v>6025</v>
      </c>
      <c r="C1050" s="236"/>
      <c r="D1050" s="236" t="s">
        <v>189</v>
      </c>
    </row>
    <row r="1051" ht="14.0">
      <c r="A1051" s="236" t="s">
        <v>6028</v>
      </c>
      <c r="B1051" s="236" t="s">
        <v>6027</v>
      </c>
      <c r="C1051" s="236"/>
      <c r="D1051" s="236" t="s">
        <v>189</v>
      </c>
    </row>
    <row r="1052" ht="14.0">
      <c r="A1052" s="236" t="s">
        <v>6043</v>
      </c>
      <c r="B1052" s="236">
        <v>40402.0</v>
      </c>
      <c r="C1052" s="236"/>
      <c r="D1052" s="236"/>
    </row>
    <row r="1053" ht="14.0">
      <c r="A1053" s="236" t="s">
        <v>6044</v>
      </c>
      <c r="B1053" s="236">
        <v>40403.0</v>
      </c>
      <c r="C1053" s="236"/>
      <c r="D1053" s="236"/>
    </row>
    <row r="1054" ht="14.0">
      <c r="A1054" s="236" t="s">
        <v>6045</v>
      </c>
      <c r="B1054" s="236">
        <v>40404.0</v>
      </c>
      <c r="C1054" s="236"/>
      <c r="D1054" s="236"/>
    </row>
    <row r="1055" ht="14.0">
      <c r="A1055" s="236" t="s">
        <v>6040</v>
      </c>
      <c r="B1055" s="236">
        <v>40407.0</v>
      </c>
      <c r="C1055" s="236"/>
      <c r="D1055" s="236"/>
    </row>
    <row r="1056" ht="14.0">
      <c r="A1056" s="236" t="s">
        <v>6041</v>
      </c>
      <c r="B1056" s="236">
        <v>40408.0</v>
      </c>
      <c r="C1056" s="236"/>
      <c r="D1056" s="236"/>
    </row>
    <row r="1057" ht="14.0">
      <c r="A1057" s="236" t="s">
        <v>6042</v>
      </c>
      <c r="B1057" s="236">
        <v>40409.0</v>
      </c>
      <c r="C1057" s="236"/>
      <c r="D1057" s="236"/>
    </row>
    <row r="1058" ht="14.0">
      <c r="A1058" s="236" t="s">
        <v>6051</v>
      </c>
      <c r="B1058" s="236" t="s">
        <v>6050</v>
      </c>
      <c r="C1058" s="126">
        <v>1008.0</v>
      </c>
      <c r="D1058" s="236" t="s">
        <v>189</v>
      </c>
    </row>
    <row r="1059" ht="14.0">
      <c r="A1059" s="236" t="s">
        <v>6070</v>
      </c>
      <c r="B1059" s="236" t="s">
        <v>6069</v>
      </c>
      <c r="C1059" s="236"/>
      <c r="D1059" s="236" t="s">
        <v>189</v>
      </c>
    </row>
    <row r="1060" ht="14.0">
      <c r="A1060" s="236" t="s">
        <v>6072</v>
      </c>
      <c r="B1060" s="236" t="s">
        <v>6071</v>
      </c>
      <c r="C1060" s="236"/>
      <c r="D1060" s="236" t="s">
        <v>189</v>
      </c>
    </row>
    <row r="1061" ht="14.0">
      <c r="A1061" s="236" t="s">
        <v>6088</v>
      </c>
      <c r="B1061" s="236" t="s">
        <v>6087</v>
      </c>
      <c r="C1061" s="126">
        <v>1008.0</v>
      </c>
      <c r="D1061" s="236" t="s">
        <v>189</v>
      </c>
    </row>
    <row r="1062" ht="14.0">
      <c r="A1062" s="236" t="s">
        <v>6090</v>
      </c>
      <c r="B1062" s="236" t="s">
        <v>6089</v>
      </c>
      <c r="C1062" s="236"/>
      <c r="D1062" s="236" t="s">
        <v>189</v>
      </c>
    </row>
    <row r="1063" ht="14.0">
      <c r="A1063" s="236" t="s">
        <v>6096</v>
      </c>
      <c r="B1063" s="236" t="s">
        <v>6095</v>
      </c>
      <c r="C1063" s="126">
        <v>1008.0</v>
      </c>
      <c r="D1063" s="236" t="s">
        <v>189</v>
      </c>
    </row>
    <row r="1064" ht="14.0">
      <c r="A1064" s="236" t="s">
        <v>6098</v>
      </c>
      <c r="B1064" s="236" t="s">
        <v>6097</v>
      </c>
      <c r="C1064" s="126">
        <v>1008.0</v>
      </c>
      <c r="D1064" s="236" t="s">
        <v>189</v>
      </c>
    </row>
    <row r="1065" ht="14.0">
      <c r="A1065" s="236" t="s">
        <v>6100</v>
      </c>
      <c r="B1065" s="236" t="s">
        <v>6099</v>
      </c>
      <c r="C1065" s="126">
        <v>1008.0</v>
      </c>
      <c r="D1065" s="236" t="s">
        <v>189</v>
      </c>
    </row>
    <row r="1066" ht="14.0">
      <c r="A1066" s="236" t="s">
        <v>6102</v>
      </c>
      <c r="B1066" s="236" t="s">
        <v>6101</v>
      </c>
      <c r="C1066" s="126">
        <v>1008.0</v>
      </c>
      <c r="D1066" s="236" t="s">
        <v>189</v>
      </c>
    </row>
    <row r="1067" ht="14.0">
      <c r="A1067" s="236" t="s">
        <v>6104</v>
      </c>
      <c r="B1067" s="236" t="s">
        <v>6103</v>
      </c>
      <c r="C1067" s="236"/>
      <c r="D1067" s="236" t="s">
        <v>189</v>
      </c>
    </row>
    <row r="1068" ht="14.0">
      <c r="A1068" s="236" t="s">
        <v>6106</v>
      </c>
      <c r="B1068" s="236" t="s">
        <v>6105</v>
      </c>
      <c r="C1068" s="126">
        <v>1008.0</v>
      </c>
      <c r="D1068" s="236" t="s">
        <v>189</v>
      </c>
    </row>
    <row r="1069" ht="14.0">
      <c r="A1069" s="236" t="s">
        <v>6108</v>
      </c>
      <c r="B1069" s="236" t="s">
        <v>6107</v>
      </c>
      <c r="C1069" s="236"/>
      <c r="D1069" s="236" t="s">
        <v>189</v>
      </c>
    </row>
    <row r="1070" ht="14.0">
      <c r="A1070" s="236" t="s">
        <v>6110</v>
      </c>
      <c r="B1070" s="236" t="s">
        <v>6109</v>
      </c>
      <c r="C1070" s="236"/>
      <c r="D1070" s="236" t="s">
        <v>189</v>
      </c>
    </row>
    <row r="1071" ht="14.0">
      <c r="A1071" s="236" t="s">
        <v>6112</v>
      </c>
      <c r="B1071" s="236" t="s">
        <v>6111</v>
      </c>
      <c r="C1071" s="126">
        <v>1008.0</v>
      </c>
      <c r="D1071" s="236" t="s">
        <v>189</v>
      </c>
    </row>
    <row r="1072" ht="14.0">
      <c r="A1072" s="236" t="s">
        <v>6114</v>
      </c>
      <c r="B1072" s="236" t="s">
        <v>6113</v>
      </c>
      <c r="C1072" s="236"/>
      <c r="D1072" s="236" t="s">
        <v>189</v>
      </c>
    </row>
    <row r="1073" ht="14.0">
      <c r="A1073" s="236" t="s">
        <v>6116</v>
      </c>
      <c r="B1073" s="236" t="s">
        <v>6115</v>
      </c>
      <c r="C1073" s="126">
        <v>1008.0</v>
      </c>
      <c r="D1073" s="236" t="s">
        <v>189</v>
      </c>
    </row>
    <row r="1074" ht="14.0">
      <c r="A1074" s="236" t="s">
        <v>6162</v>
      </c>
      <c r="B1074" s="236" t="s">
        <v>6161</v>
      </c>
      <c r="C1074" s="126">
        <v>1008.0</v>
      </c>
      <c r="D1074" s="236"/>
    </row>
    <row r="1075" ht="14.0">
      <c r="A1075" s="236" t="s">
        <v>6170</v>
      </c>
      <c r="B1075" s="236" t="s">
        <v>6169</v>
      </c>
      <c r="C1075" s="236">
        <v>504.0</v>
      </c>
      <c r="D1075" s="236"/>
    </row>
    <row r="1076" ht="14.0">
      <c r="A1076" s="236" t="s">
        <v>6174</v>
      </c>
      <c r="B1076" s="236" t="s">
        <v>6173</v>
      </c>
      <c r="C1076" s="236">
        <v>504.0</v>
      </c>
      <c r="D1076" s="236"/>
    </row>
    <row r="1077" ht="14.0">
      <c r="A1077" s="236" t="s">
        <v>6178</v>
      </c>
      <c r="B1077" s="236" t="s">
        <v>6177</v>
      </c>
      <c r="C1077" s="236">
        <v>504.0</v>
      </c>
      <c r="D1077" s="236"/>
    </row>
    <row r="1078" ht="14.0">
      <c r="A1078" s="236" t="s">
        <v>6180</v>
      </c>
      <c r="B1078" s="236" t="s">
        <v>6179</v>
      </c>
      <c r="C1078" s="236">
        <v>504.0</v>
      </c>
      <c r="D1078" s="236"/>
    </row>
    <row r="1079" ht="14.0">
      <c r="A1079" s="236" t="s">
        <v>6188</v>
      </c>
      <c r="B1079" s="236" t="s">
        <v>6187</v>
      </c>
      <c r="C1079" s="236">
        <v>504.0</v>
      </c>
      <c r="D1079" s="236"/>
    </row>
    <row r="1080" ht="14.0">
      <c r="A1080" s="236" t="s">
        <v>6196</v>
      </c>
      <c r="B1080" s="236" t="s">
        <v>6195</v>
      </c>
      <c r="C1080" s="236">
        <v>504.0</v>
      </c>
      <c r="D1080" s="236"/>
    </row>
    <row r="1081" ht="14.0">
      <c r="A1081" s="236" t="s">
        <v>6198</v>
      </c>
      <c r="B1081" s="236" t="s">
        <v>6197</v>
      </c>
      <c r="C1081" s="236">
        <v>504.0</v>
      </c>
      <c r="D1081" s="236"/>
    </row>
    <row r="1082" ht="14.0">
      <c r="A1082" s="236" t="s">
        <v>6208</v>
      </c>
      <c r="B1082" s="236" t="s">
        <v>6207</v>
      </c>
      <c r="C1082" s="236"/>
      <c r="D1082" s="236" t="s">
        <v>189</v>
      </c>
    </row>
    <row r="1083" ht="14.0">
      <c r="A1083" s="236" t="s">
        <v>6220</v>
      </c>
      <c r="B1083" s="236" t="s">
        <v>6219</v>
      </c>
      <c r="C1083" s="236"/>
      <c r="D1083" s="236" t="s">
        <v>189</v>
      </c>
    </row>
    <row r="1084" ht="14.0">
      <c r="A1084" s="236" t="s">
        <v>6222</v>
      </c>
      <c r="B1084" s="236" t="s">
        <v>6221</v>
      </c>
      <c r="C1084" s="236"/>
      <c r="D1084" s="236" t="s">
        <v>189</v>
      </c>
    </row>
    <row r="1085" ht="14.0">
      <c r="A1085" s="236" t="s">
        <v>6224</v>
      </c>
      <c r="B1085" s="236" t="s">
        <v>6223</v>
      </c>
      <c r="C1085" s="236"/>
      <c r="D1085" s="236" t="s">
        <v>189</v>
      </c>
    </row>
    <row r="1086" ht="14.0">
      <c r="A1086" s="236" t="s">
        <v>6246</v>
      </c>
      <c r="B1086" s="236" t="s">
        <v>6245</v>
      </c>
      <c r="C1086" s="236"/>
      <c r="D1086" s="236" t="s">
        <v>189</v>
      </c>
    </row>
    <row r="1087" ht="14.0">
      <c r="A1087" s="236" t="s">
        <v>6264</v>
      </c>
      <c r="B1087" s="236" t="s">
        <v>6263</v>
      </c>
      <c r="C1087" s="236">
        <v>500.0</v>
      </c>
      <c r="D1087" s="236" t="s">
        <v>189</v>
      </c>
    </row>
    <row r="1088" ht="14.0">
      <c r="A1088" s="236" t="s">
        <v>6266</v>
      </c>
      <c r="B1088" s="236" t="s">
        <v>6265</v>
      </c>
      <c r="C1088" s="236">
        <v>500.0</v>
      </c>
      <c r="D1088" s="236" t="s">
        <v>189</v>
      </c>
    </row>
    <row r="1089" ht="14.0">
      <c r="A1089" s="236" t="s">
        <v>6268</v>
      </c>
      <c r="B1089" s="236" t="s">
        <v>6267</v>
      </c>
      <c r="C1089" s="236">
        <v>500.0</v>
      </c>
      <c r="D1089" s="236" t="s">
        <v>189</v>
      </c>
    </row>
    <row r="1090" ht="14.0">
      <c r="A1090" s="236" t="s">
        <v>6270</v>
      </c>
      <c r="B1090" s="236" t="s">
        <v>6269</v>
      </c>
      <c r="C1090" s="236">
        <v>500.0</v>
      </c>
      <c r="D1090" s="236" t="s">
        <v>189</v>
      </c>
    </row>
    <row r="1091" ht="14.0">
      <c r="A1091" s="236" t="s">
        <v>6272</v>
      </c>
      <c r="B1091" s="236" t="s">
        <v>6271</v>
      </c>
      <c r="C1091" s="236">
        <v>500.0</v>
      </c>
      <c r="D1091" s="236" t="s">
        <v>189</v>
      </c>
    </row>
    <row r="1092" ht="14.0">
      <c r="A1092" s="236" t="s">
        <v>6274</v>
      </c>
      <c r="B1092" s="236" t="s">
        <v>6273</v>
      </c>
      <c r="C1092" s="236">
        <v>500.0</v>
      </c>
      <c r="D1092" s="236" t="s">
        <v>189</v>
      </c>
    </row>
    <row r="1093" ht="14.0">
      <c r="A1093" s="236" t="s">
        <v>6276</v>
      </c>
      <c r="B1093" s="236" t="s">
        <v>6275</v>
      </c>
      <c r="C1093" s="236"/>
      <c r="D1093" s="236" t="s">
        <v>189</v>
      </c>
    </row>
    <row r="1094" ht="14.0">
      <c r="A1094" s="236" t="s">
        <v>6282</v>
      </c>
      <c r="B1094" s="236" t="s">
        <v>6281</v>
      </c>
      <c r="C1094" s="236"/>
      <c r="D1094" s="236" t="s">
        <v>189</v>
      </c>
    </row>
    <row r="1095" ht="14.0">
      <c r="A1095" s="236" t="s">
        <v>6284</v>
      </c>
      <c r="B1095" s="236" t="s">
        <v>6283</v>
      </c>
      <c r="C1095" s="236"/>
      <c r="D1095" s="236" t="s">
        <v>189</v>
      </c>
    </row>
    <row r="1096" ht="14.0">
      <c r="A1096" s="236" t="s">
        <v>6290</v>
      </c>
      <c r="B1096" s="236" t="s">
        <v>6289</v>
      </c>
      <c r="C1096" s="236"/>
      <c r="D1096" s="236" t="s">
        <v>189</v>
      </c>
    </row>
    <row r="1097" ht="14.0">
      <c r="A1097" s="236" t="s">
        <v>6292</v>
      </c>
      <c r="B1097" s="236" t="s">
        <v>6291</v>
      </c>
      <c r="C1097" s="236"/>
      <c r="D1097" s="236" t="s">
        <v>189</v>
      </c>
    </row>
    <row r="1098" ht="14.0">
      <c r="A1098" s="236" t="s">
        <v>6298</v>
      </c>
      <c r="B1098" s="236" t="s">
        <v>6297</v>
      </c>
      <c r="C1098" s="236"/>
      <c r="D1098" s="236" t="s">
        <v>189</v>
      </c>
    </row>
    <row r="1099" ht="14.0">
      <c r="A1099" s="236" t="s">
        <v>6310</v>
      </c>
      <c r="B1099" s="236" t="s">
        <v>6309</v>
      </c>
      <c r="C1099" s="236"/>
      <c r="D1099" s="236" t="s">
        <v>189</v>
      </c>
    </row>
    <row r="1100" ht="14.0">
      <c r="A1100" s="236" t="s">
        <v>50</v>
      </c>
      <c r="B1100" s="236" t="s">
        <v>51</v>
      </c>
      <c r="C1100" s="236">
        <v>480.0</v>
      </c>
      <c r="D1100" s="236"/>
    </row>
    <row r="1101" ht="14.0">
      <c r="A1101" s="236" t="s">
        <v>54</v>
      </c>
      <c r="B1101" s="236" t="s">
        <v>55</v>
      </c>
      <c r="C1101" s="236">
        <v>480.0</v>
      </c>
      <c r="D1101" s="236"/>
    </row>
    <row r="1102" ht="14.0">
      <c r="A1102" s="236" t="s">
        <v>56</v>
      </c>
      <c r="B1102" s="236" t="s">
        <v>57</v>
      </c>
      <c r="C1102" s="236">
        <v>480.0</v>
      </c>
      <c r="D1102" s="236"/>
    </row>
    <row r="1103" ht="14.0">
      <c r="A1103" s="236" t="s">
        <v>52</v>
      </c>
      <c r="B1103" s="236" t="s">
        <v>53</v>
      </c>
      <c r="C1103" s="236">
        <v>480.0</v>
      </c>
      <c r="D1103" s="236"/>
    </row>
    <row r="1104" ht="14.0">
      <c r="A1104" s="236" t="s">
        <v>69</v>
      </c>
      <c r="B1104" s="236" t="s">
        <v>70</v>
      </c>
      <c r="C1104" s="126">
        <v>1620.0</v>
      </c>
      <c r="D1104" s="236"/>
    </row>
    <row r="1105" ht="14.0">
      <c r="A1105" s="236" t="s">
        <v>73</v>
      </c>
      <c r="B1105" s="236" t="s">
        <v>74</v>
      </c>
      <c r="C1105" s="236">
        <v>660.0</v>
      </c>
      <c r="D1105" s="236"/>
    </row>
    <row r="1106" ht="14.0">
      <c r="A1106" s="236" t="s">
        <v>71</v>
      </c>
      <c r="B1106" s="236" t="s">
        <v>72</v>
      </c>
      <c r="C1106" s="126">
        <v>1080.0</v>
      </c>
      <c r="D1106" s="236"/>
    </row>
    <row r="1107" ht="14.0">
      <c r="A1107" s="236" t="s">
        <v>75</v>
      </c>
      <c r="B1107" s="236" t="s">
        <v>76</v>
      </c>
      <c r="C1107" s="236">
        <v>480.0</v>
      </c>
      <c r="D1107" s="236"/>
    </row>
    <row r="1108" ht="14.0">
      <c r="A1108" s="236" t="s">
        <v>78</v>
      </c>
      <c r="B1108" s="236" t="s">
        <v>79</v>
      </c>
      <c r="C1108" s="236"/>
      <c r="D1108" s="236"/>
    </row>
    <row r="1109" ht="14.0">
      <c r="A1109" s="236" t="s">
        <v>6317</v>
      </c>
      <c r="B1109" s="236" t="s">
        <v>6316</v>
      </c>
      <c r="C1109" s="236">
        <v>120.0</v>
      </c>
      <c r="D1109" s="236"/>
    </row>
    <row r="1110" ht="14.0">
      <c r="A1110" s="236" t="s">
        <v>6330</v>
      </c>
      <c r="B1110" s="236" t="s">
        <v>6329</v>
      </c>
      <c r="C1110" s="236"/>
      <c r="D1110" s="236" t="s">
        <v>189</v>
      </c>
    </row>
    <row r="1111" ht="14.0">
      <c r="A1111" s="236" t="s">
        <v>6332</v>
      </c>
      <c r="B1111" s="236" t="s">
        <v>6331</v>
      </c>
      <c r="C1111" s="236"/>
      <c r="D1111" s="236" t="s">
        <v>189</v>
      </c>
    </row>
    <row r="1112" ht="14.0">
      <c r="A1112" s="236" t="s">
        <v>6334</v>
      </c>
      <c r="B1112" s="236" t="s">
        <v>6333</v>
      </c>
      <c r="C1112" s="236"/>
      <c r="D1112" s="236" t="s">
        <v>189</v>
      </c>
    </row>
    <row r="1113" ht="14.0">
      <c r="A1113" s="236" t="s">
        <v>6336</v>
      </c>
      <c r="B1113" s="236" t="s">
        <v>6335</v>
      </c>
      <c r="C1113" s="236"/>
      <c r="D1113" s="236" t="s">
        <v>189</v>
      </c>
    </row>
    <row r="1114" ht="14.0">
      <c r="A1114" s="236" t="s">
        <v>6338</v>
      </c>
      <c r="B1114" s="236" t="s">
        <v>6337</v>
      </c>
      <c r="C1114" s="236"/>
      <c r="D1114" s="236" t="s">
        <v>189</v>
      </c>
    </row>
    <row r="1115" ht="14.0">
      <c r="A1115" s="236" t="s">
        <v>6340</v>
      </c>
      <c r="B1115" s="236" t="s">
        <v>6339</v>
      </c>
      <c r="C1115" s="236"/>
      <c r="D1115" s="236" t="s">
        <v>189</v>
      </c>
    </row>
    <row r="1116" ht="14.0">
      <c r="A1116" s="236" t="s">
        <v>6342</v>
      </c>
      <c r="B1116" s="236" t="s">
        <v>6341</v>
      </c>
      <c r="C1116" s="236">
        <v>120.0</v>
      </c>
      <c r="D1116" s="236"/>
    </row>
    <row r="1117" ht="14.0">
      <c r="A1117" s="236" t="s">
        <v>6346</v>
      </c>
      <c r="B1117" s="236" t="s">
        <v>6345</v>
      </c>
      <c r="C1117" s="236"/>
      <c r="D1117" s="236" t="s">
        <v>189</v>
      </c>
    </row>
    <row r="1118" ht="14.0">
      <c r="A1118" s="236" t="s">
        <v>6350</v>
      </c>
      <c r="B1118" s="236" t="s">
        <v>6349</v>
      </c>
      <c r="C1118" s="236"/>
      <c r="D1118" s="236" t="s">
        <v>189</v>
      </c>
    </row>
    <row r="1119" ht="14.0">
      <c r="A1119" s="236" t="s">
        <v>7636</v>
      </c>
      <c r="B1119" s="236" t="s">
        <v>7637</v>
      </c>
      <c r="C1119" s="236"/>
      <c r="D1119" s="236" t="s">
        <v>189</v>
      </c>
    </row>
    <row r="1120" ht="14.0">
      <c r="A1120" s="236" t="s">
        <v>6364</v>
      </c>
      <c r="B1120" s="236" t="s">
        <v>6363</v>
      </c>
      <c r="C1120" s="236">
        <v>120.0</v>
      </c>
      <c r="D1120" s="236"/>
    </row>
    <row r="1121" ht="14.0">
      <c r="A1121" s="236" t="s">
        <v>6366</v>
      </c>
      <c r="B1121" s="236" t="s">
        <v>6365</v>
      </c>
      <c r="C1121" s="236">
        <v>120.0</v>
      </c>
      <c r="D1121" s="236"/>
    </row>
    <row r="1122" ht="14.0">
      <c r="A1122" s="236" t="s">
        <v>6368</v>
      </c>
      <c r="B1122" s="236" t="s">
        <v>6367</v>
      </c>
      <c r="C1122" s="236">
        <v>120.0</v>
      </c>
      <c r="D1122" s="236"/>
    </row>
    <row r="1123" ht="14.0">
      <c r="A1123" s="236" t="s">
        <v>6370</v>
      </c>
      <c r="B1123" s="236" t="s">
        <v>6369</v>
      </c>
      <c r="C1123" s="236">
        <v>120.0</v>
      </c>
      <c r="D1123" s="236"/>
    </row>
    <row r="1124" ht="14.0">
      <c r="A1124" s="236" t="s">
        <v>6404</v>
      </c>
      <c r="B1124" s="236" t="s">
        <v>6403</v>
      </c>
      <c r="C1124" s="236">
        <v>500.0</v>
      </c>
      <c r="D1124" s="236" t="s">
        <v>189</v>
      </c>
    </row>
    <row r="1125" ht="14.0">
      <c r="A1125" s="236" t="s">
        <v>6406</v>
      </c>
      <c r="B1125" s="236" t="s">
        <v>6405</v>
      </c>
      <c r="C1125" s="236">
        <v>500.0</v>
      </c>
      <c r="D1125" s="236" t="s">
        <v>189</v>
      </c>
    </row>
    <row r="1126" ht="14.0">
      <c r="A1126" s="236" t="s">
        <v>6408</v>
      </c>
      <c r="B1126" s="236" t="s">
        <v>6407</v>
      </c>
      <c r="C1126" s="236">
        <v>500.0</v>
      </c>
      <c r="D1126" s="236" t="s">
        <v>189</v>
      </c>
    </row>
    <row r="1127" ht="14.0">
      <c r="A1127" s="236" t="s">
        <v>6434</v>
      </c>
      <c r="B1127" s="236" t="s">
        <v>6433</v>
      </c>
      <c r="C1127" s="236">
        <v>500.0</v>
      </c>
      <c r="D1127" s="236"/>
    </row>
    <row r="1128" ht="14.0">
      <c r="A1128" s="236" t="s">
        <v>6436</v>
      </c>
      <c r="B1128" s="236" t="s">
        <v>6435</v>
      </c>
      <c r="C1128" s="236">
        <v>500.0</v>
      </c>
      <c r="D1128" s="236"/>
    </row>
    <row r="1129" ht="14.0">
      <c r="A1129" s="236" t="s">
        <v>6446</v>
      </c>
      <c r="B1129" s="236" t="s">
        <v>6445</v>
      </c>
      <c r="C1129" s="236">
        <v>500.0</v>
      </c>
      <c r="D1129" s="236"/>
    </row>
    <row r="1130" ht="14.0">
      <c r="A1130" s="236" t="s">
        <v>6448</v>
      </c>
      <c r="B1130" s="236" t="s">
        <v>6447</v>
      </c>
      <c r="C1130" s="236">
        <v>500.0</v>
      </c>
      <c r="D1130" s="236"/>
    </row>
    <row r="1131" ht="14.0">
      <c r="A1131" s="236" t="s">
        <v>6450</v>
      </c>
      <c r="B1131" s="236" t="s">
        <v>6449</v>
      </c>
      <c r="C1131" s="236">
        <v>500.0</v>
      </c>
      <c r="D1131" s="236"/>
    </row>
    <row r="1132" ht="14.0">
      <c r="A1132" s="236" t="s">
        <v>6454</v>
      </c>
      <c r="B1132" s="236" t="s">
        <v>6453</v>
      </c>
      <c r="C1132" s="236">
        <v>500.0</v>
      </c>
      <c r="D1132" s="236"/>
    </row>
    <row r="1133" ht="14.0">
      <c r="A1133" s="236" t="s">
        <v>6460</v>
      </c>
      <c r="B1133" s="236" t="s">
        <v>6459</v>
      </c>
      <c r="C1133" s="236">
        <v>500.0</v>
      </c>
      <c r="D1133" s="236"/>
    </row>
    <row r="1134" ht="14.0">
      <c r="A1134" s="236" t="s">
        <v>6464</v>
      </c>
      <c r="B1134" s="236" t="s">
        <v>6463</v>
      </c>
      <c r="C1134" s="236">
        <v>500.0</v>
      </c>
      <c r="D1134" s="236"/>
    </row>
    <row r="1135" ht="14.0">
      <c r="A1135" s="236" t="s">
        <v>6470</v>
      </c>
      <c r="B1135" s="236" t="s">
        <v>6469</v>
      </c>
      <c r="C1135" s="236">
        <v>500.0</v>
      </c>
      <c r="D1135" s="236"/>
    </row>
    <row r="1136" ht="14.0">
      <c r="A1136" s="236" t="s">
        <v>6487</v>
      </c>
      <c r="B1136" s="236">
        <v>35801.0</v>
      </c>
      <c r="C1136" s="236"/>
      <c r="D1136" s="236"/>
    </row>
    <row r="1137" ht="14.0">
      <c r="A1137" s="236" t="s">
        <v>6488</v>
      </c>
      <c r="B1137" s="236">
        <v>35804.0</v>
      </c>
      <c r="C1137" s="236"/>
      <c r="D1137" s="236"/>
    </row>
    <row r="1138" ht="14.0">
      <c r="A1138" s="236" t="s">
        <v>6489</v>
      </c>
      <c r="B1138" s="236">
        <v>35805.0</v>
      </c>
      <c r="C1138" s="236"/>
      <c r="D1138" s="236"/>
    </row>
    <row r="1139" ht="14.0">
      <c r="A1139" s="236" t="s">
        <v>6491</v>
      </c>
      <c r="B1139" s="236" t="s">
        <v>6490</v>
      </c>
      <c r="C1139" s="236"/>
      <c r="D1139" s="236"/>
    </row>
    <row r="1140" ht="14.0">
      <c r="A1140" s="236" t="s">
        <v>6493</v>
      </c>
      <c r="B1140" s="236" t="s">
        <v>6492</v>
      </c>
      <c r="C1140" s="236"/>
      <c r="D1140" s="236"/>
    </row>
    <row r="1141" ht="14.0">
      <c r="A1141" s="236" t="s">
        <v>6545</v>
      </c>
      <c r="B1141" s="236" t="s">
        <v>6544</v>
      </c>
      <c r="C1141" s="236">
        <v>500.0</v>
      </c>
      <c r="D1141" s="236" t="s">
        <v>189</v>
      </c>
    </row>
    <row r="1142" ht="14.0">
      <c r="A1142" s="236" t="s">
        <v>6547</v>
      </c>
      <c r="B1142" s="236" t="s">
        <v>6546</v>
      </c>
      <c r="C1142" s="236">
        <v>500.0</v>
      </c>
      <c r="D1142" s="236" t="s">
        <v>189</v>
      </c>
    </row>
    <row r="1143" ht="14.0">
      <c r="A1143" s="236" t="s">
        <v>6549</v>
      </c>
      <c r="B1143" s="236" t="s">
        <v>6548</v>
      </c>
      <c r="C1143" s="236">
        <v>500.0</v>
      </c>
      <c r="D1143" s="236" t="s">
        <v>189</v>
      </c>
    </row>
    <row r="1144" ht="14.0">
      <c r="A1144" s="236" t="s">
        <v>6551</v>
      </c>
      <c r="B1144" s="236" t="s">
        <v>6550</v>
      </c>
      <c r="C1144" s="236">
        <v>500.0</v>
      </c>
      <c r="D1144" s="236" t="s">
        <v>189</v>
      </c>
    </row>
    <row r="1145" ht="14.0">
      <c r="A1145" s="236" t="s">
        <v>6553</v>
      </c>
      <c r="B1145" s="236" t="s">
        <v>6552</v>
      </c>
      <c r="C1145" s="236">
        <v>500.0</v>
      </c>
      <c r="D1145" s="236" t="s">
        <v>189</v>
      </c>
    </row>
    <row r="1146" ht="14.0">
      <c r="A1146" s="236" t="s">
        <v>92</v>
      </c>
      <c r="B1146" s="236" t="s">
        <v>93</v>
      </c>
      <c r="C1146" s="236">
        <v>504.0</v>
      </c>
      <c r="D1146" s="236"/>
    </row>
    <row r="1147" ht="14.0">
      <c r="A1147" s="236" t="s">
        <v>6573</v>
      </c>
      <c r="B1147" s="236" t="s">
        <v>6572</v>
      </c>
      <c r="C1147" s="236">
        <v>504.0</v>
      </c>
      <c r="D1147" s="236"/>
    </row>
    <row r="1148" ht="14.0">
      <c r="A1148" s="236" t="s">
        <v>6579</v>
      </c>
      <c r="B1148" s="236" t="s">
        <v>6578</v>
      </c>
      <c r="C1148" s="236">
        <v>501.0</v>
      </c>
      <c r="D1148" s="236"/>
    </row>
    <row r="1149" ht="14.0">
      <c r="A1149" s="236" t="s">
        <v>6581</v>
      </c>
      <c r="B1149" s="236" t="s">
        <v>6580</v>
      </c>
      <c r="C1149" s="236">
        <v>501.0</v>
      </c>
      <c r="D1149" s="236"/>
    </row>
    <row r="1150" ht="14.0">
      <c r="A1150" s="236" t="s">
        <v>6583</v>
      </c>
      <c r="B1150" s="236" t="s">
        <v>6582</v>
      </c>
      <c r="C1150" s="236">
        <v>501.0</v>
      </c>
      <c r="D1150" s="236"/>
    </row>
    <row r="1151" ht="14.0">
      <c r="A1151" s="236" t="s">
        <v>6585</v>
      </c>
      <c r="B1151" s="236" t="s">
        <v>6584</v>
      </c>
      <c r="C1151" s="236">
        <v>501.0</v>
      </c>
      <c r="D1151" s="236"/>
    </row>
    <row r="1152" ht="14.0">
      <c r="A1152" s="236" t="s">
        <v>6589</v>
      </c>
      <c r="B1152" s="236" t="s">
        <v>6588</v>
      </c>
      <c r="C1152" s="236">
        <v>500.0</v>
      </c>
      <c r="D1152" s="236"/>
    </row>
    <row r="1153" ht="14.0">
      <c r="A1153" s="236" t="s">
        <v>6591</v>
      </c>
      <c r="B1153" s="236" t="s">
        <v>6590</v>
      </c>
      <c r="C1153" s="236">
        <v>500.0</v>
      </c>
      <c r="D1153" s="236"/>
    </row>
    <row r="1154" ht="14.0">
      <c r="A1154" s="236" t="s">
        <v>6593</v>
      </c>
      <c r="B1154" s="236" t="s">
        <v>6592</v>
      </c>
      <c r="C1154" s="236">
        <v>500.0</v>
      </c>
      <c r="D1154" s="236"/>
    </row>
    <row r="1155" ht="14.0">
      <c r="A1155" s="236" t="s">
        <v>6599</v>
      </c>
      <c r="B1155" s="236" t="s">
        <v>6598</v>
      </c>
      <c r="C1155" s="236">
        <v>500.0</v>
      </c>
      <c r="D1155" s="236"/>
    </row>
    <row r="1156" ht="14.0">
      <c r="A1156" s="236" t="s">
        <v>6601</v>
      </c>
      <c r="B1156" s="236" t="s">
        <v>6600</v>
      </c>
      <c r="C1156" s="236">
        <v>500.0</v>
      </c>
      <c r="D1156" s="236"/>
    </row>
    <row r="1157" ht="14.0">
      <c r="A1157" s="236" t="s">
        <v>6603</v>
      </c>
      <c r="B1157" s="236" t="s">
        <v>6602</v>
      </c>
      <c r="C1157" s="236"/>
      <c r="D1157" s="236" t="s">
        <v>189</v>
      </c>
    </row>
    <row r="1158" ht="14.0">
      <c r="A1158" s="236" t="s">
        <v>6605</v>
      </c>
      <c r="B1158" s="236" t="s">
        <v>6604</v>
      </c>
      <c r="C1158" s="236">
        <v>500.0</v>
      </c>
      <c r="D1158" s="236"/>
    </row>
    <row r="1159" ht="14.0">
      <c r="A1159" s="236" t="s">
        <v>6611</v>
      </c>
      <c r="B1159" s="236" t="s">
        <v>6610</v>
      </c>
      <c r="C1159" s="236">
        <v>500.0</v>
      </c>
      <c r="D1159" s="236"/>
    </row>
    <row r="1160" ht="14.0">
      <c r="A1160" s="236" t="s">
        <v>6613</v>
      </c>
      <c r="B1160" s="236" t="s">
        <v>6612</v>
      </c>
      <c r="C1160" s="236">
        <v>500.0</v>
      </c>
      <c r="D1160" s="236"/>
    </row>
    <row r="1161" ht="14.0">
      <c r="A1161" s="236" t="s">
        <v>6615</v>
      </c>
      <c r="B1161" s="236" t="s">
        <v>6614</v>
      </c>
      <c r="C1161" s="236"/>
      <c r="D1161" s="236" t="s">
        <v>189</v>
      </c>
    </row>
    <row r="1162" ht="14.0">
      <c r="A1162" s="236" t="s">
        <v>6619</v>
      </c>
      <c r="B1162" s="236" t="s">
        <v>6618</v>
      </c>
      <c r="C1162" s="236"/>
      <c r="D1162" s="236"/>
    </row>
    <row r="1163" ht="14.0">
      <c r="A1163" s="236" t="s">
        <v>6621</v>
      </c>
      <c r="B1163" s="236" t="s">
        <v>6620</v>
      </c>
      <c r="C1163" s="236"/>
      <c r="D1163" s="236" t="s">
        <v>189</v>
      </c>
    </row>
    <row r="1164" ht="14.0">
      <c r="A1164" s="236" t="s">
        <v>6623</v>
      </c>
      <c r="B1164" s="236" t="s">
        <v>6622</v>
      </c>
      <c r="C1164" s="236"/>
      <c r="D1164" s="236"/>
    </row>
    <row r="1165" ht="14.0">
      <c r="A1165" s="236" t="s">
        <v>6625</v>
      </c>
      <c r="B1165" s="236" t="s">
        <v>6624</v>
      </c>
      <c r="C1165" s="236"/>
      <c r="D1165" s="236" t="s">
        <v>189</v>
      </c>
    </row>
    <row r="1166" ht="14.0">
      <c r="A1166" s="236" t="s">
        <v>6627</v>
      </c>
      <c r="B1166" s="236" t="s">
        <v>6626</v>
      </c>
      <c r="C1166" s="236"/>
      <c r="D1166" s="236" t="s">
        <v>189</v>
      </c>
    </row>
    <row r="1167" ht="14.0">
      <c r="A1167" s="236" t="s">
        <v>6629</v>
      </c>
      <c r="B1167" s="236" t="s">
        <v>6628</v>
      </c>
      <c r="C1167" s="236"/>
      <c r="D1167" s="236"/>
    </row>
    <row r="1168" ht="14.0">
      <c r="A1168" s="236" t="s">
        <v>6665</v>
      </c>
      <c r="B1168" s="236" t="s">
        <v>6664</v>
      </c>
      <c r="C1168" s="236"/>
      <c r="D1168" s="236" t="s">
        <v>189</v>
      </c>
    </row>
    <row r="1169" ht="14.0">
      <c r="A1169" s="236" t="s">
        <v>6669</v>
      </c>
      <c r="B1169" s="236" t="s">
        <v>6668</v>
      </c>
      <c r="C1169" s="236"/>
      <c r="D1169" s="236" t="s">
        <v>189</v>
      </c>
    </row>
    <row r="1170" ht="14.0">
      <c r="A1170" s="236" t="s">
        <v>6671</v>
      </c>
      <c r="B1170" s="236" t="s">
        <v>6670</v>
      </c>
      <c r="C1170" s="236"/>
      <c r="D1170" s="236" t="s">
        <v>189</v>
      </c>
    </row>
    <row r="1171" ht="14.0">
      <c r="A1171" s="236" t="s">
        <v>7638</v>
      </c>
      <c r="B1171" s="236" t="s">
        <v>6674</v>
      </c>
      <c r="C1171" s="236"/>
      <c r="D1171" s="236" t="s">
        <v>189</v>
      </c>
    </row>
    <row r="1172" ht="14.0">
      <c r="A1172" s="236" t="s">
        <v>6677</v>
      </c>
      <c r="B1172" s="236" t="s">
        <v>6676</v>
      </c>
      <c r="C1172" s="236"/>
      <c r="D1172" s="236" t="s">
        <v>189</v>
      </c>
    </row>
    <row r="1173" ht="14.0">
      <c r="A1173" s="236" t="s">
        <v>6683</v>
      </c>
      <c r="B1173" s="236" t="s">
        <v>6682</v>
      </c>
      <c r="C1173" s="236"/>
      <c r="D1173" s="236" t="s">
        <v>189</v>
      </c>
    </row>
    <row r="1174" ht="14.0">
      <c r="A1174" s="236" t="s">
        <v>6687</v>
      </c>
      <c r="B1174" s="236" t="s">
        <v>6686</v>
      </c>
      <c r="C1174" s="236"/>
      <c r="D1174" s="236" t="s">
        <v>189</v>
      </c>
    </row>
    <row r="1175" ht="14.0">
      <c r="A1175" s="236" t="s">
        <v>6691</v>
      </c>
      <c r="B1175" s="236" t="s">
        <v>6690</v>
      </c>
      <c r="C1175" s="236"/>
      <c r="D1175" s="236" t="s">
        <v>189</v>
      </c>
    </row>
    <row r="1176" ht="14.0">
      <c r="A1176" s="236" t="s">
        <v>6693</v>
      </c>
      <c r="B1176" s="236" t="s">
        <v>6692</v>
      </c>
      <c r="C1176" s="236"/>
      <c r="D1176" s="236" t="s">
        <v>189</v>
      </c>
    </row>
    <row r="1177" ht="14.0">
      <c r="A1177" s="236" t="s">
        <v>6695</v>
      </c>
      <c r="B1177" s="236" t="s">
        <v>6694</v>
      </c>
      <c r="C1177" s="236"/>
      <c r="D1177" s="236" t="s">
        <v>189</v>
      </c>
    </row>
    <row r="1178" ht="14.0">
      <c r="A1178" s="236" t="s">
        <v>6697</v>
      </c>
      <c r="B1178" s="236" t="s">
        <v>6696</v>
      </c>
      <c r="C1178" s="236"/>
      <c r="D1178" s="236" t="s">
        <v>189</v>
      </c>
    </row>
    <row r="1179" ht="14.0">
      <c r="A1179" s="236" t="s">
        <v>6703</v>
      </c>
      <c r="B1179" s="236" t="s">
        <v>6702</v>
      </c>
      <c r="C1179" s="236"/>
      <c r="D1179" s="236" t="s">
        <v>189</v>
      </c>
    </row>
    <row r="1180" ht="14.0">
      <c r="A1180" s="236" t="s">
        <v>6709</v>
      </c>
      <c r="B1180" s="236" t="s">
        <v>6708</v>
      </c>
      <c r="C1180" s="236"/>
      <c r="D1180" s="236" t="s">
        <v>189</v>
      </c>
    </row>
    <row r="1181" ht="14.0">
      <c r="A1181" s="236" t="s">
        <v>6711</v>
      </c>
      <c r="B1181" s="236" t="s">
        <v>6710</v>
      </c>
      <c r="C1181" s="236"/>
      <c r="D1181" s="236" t="s">
        <v>189</v>
      </c>
    </row>
    <row r="1182" ht="14.0">
      <c r="A1182" s="236" t="s">
        <v>6713</v>
      </c>
      <c r="B1182" s="236" t="s">
        <v>6712</v>
      </c>
      <c r="C1182" s="236"/>
      <c r="D1182" s="236" t="s">
        <v>189</v>
      </c>
    </row>
    <row r="1183" ht="14.0">
      <c r="A1183" s="236" t="s">
        <v>6729</v>
      </c>
      <c r="B1183" s="236" t="s">
        <v>6728</v>
      </c>
      <c r="C1183" s="236"/>
      <c r="D1183" s="236" t="s">
        <v>189</v>
      </c>
    </row>
    <row r="1184" ht="14.0">
      <c r="A1184" s="236" t="s">
        <v>6739</v>
      </c>
      <c r="B1184" s="236" t="s">
        <v>6738</v>
      </c>
      <c r="C1184" s="236"/>
      <c r="D1184" s="236" t="s">
        <v>189</v>
      </c>
    </row>
    <row r="1185" ht="14.0">
      <c r="A1185" s="236" t="s">
        <v>6743</v>
      </c>
      <c r="B1185" s="236" t="s">
        <v>6742</v>
      </c>
      <c r="C1185" s="236"/>
      <c r="D1185" s="236" t="s">
        <v>189</v>
      </c>
    </row>
    <row r="1186" ht="14.0">
      <c r="A1186" s="236" t="s">
        <v>6753</v>
      </c>
      <c r="B1186" s="236" t="s">
        <v>6752</v>
      </c>
      <c r="C1186" s="236"/>
      <c r="D1186" s="236" t="s">
        <v>189</v>
      </c>
    </row>
    <row r="1187" ht="14.0">
      <c r="A1187" s="236" t="s">
        <v>6833</v>
      </c>
      <c r="B1187" s="236" t="s">
        <v>6832</v>
      </c>
      <c r="C1187" s="236">
        <v>500.0</v>
      </c>
      <c r="D1187" s="236"/>
    </row>
    <row r="1188" ht="14.0">
      <c r="A1188" s="236" t="s">
        <v>6835</v>
      </c>
      <c r="B1188" s="236" t="s">
        <v>6834</v>
      </c>
      <c r="C1188" s="236">
        <v>500.0</v>
      </c>
      <c r="D1188" s="236"/>
    </row>
    <row r="1189" ht="14.0">
      <c r="A1189" s="236" t="s">
        <v>6837</v>
      </c>
      <c r="B1189" s="236" t="s">
        <v>6836</v>
      </c>
      <c r="C1189" s="236">
        <v>500.0</v>
      </c>
      <c r="D1189" s="236" t="s">
        <v>189</v>
      </c>
    </row>
    <row r="1190" ht="14.0">
      <c r="A1190" s="236" t="s">
        <v>6839</v>
      </c>
      <c r="B1190" s="236" t="s">
        <v>6838</v>
      </c>
      <c r="C1190" s="236">
        <v>500.0</v>
      </c>
      <c r="D1190" s="236" t="s">
        <v>189</v>
      </c>
    </row>
    <row r="1191" ht="14.0">
      <c r="A1191" s="236" t="s">
        <v>6841</v>
      </c>
      <c r="B1191" s="236" t="s">
        <v>6840</v>
      </c>
      <c r="C1191" s="236">
        <v>500.0</v>
      </c>
      <c r="D1191" s="236" t="s">
        <v>189</v>
      </c>
    </row>
    <row r="1192" ht="14.0">
      <c r="A1192" s="236" t="s">
        <v>6843</v>
      </c>
      <c r="B1192" s="236" t="s">
        <v>6842</v>
      </c>
      <c r="C1192" s="236">
        <v>500.0</v>
      </c>
      <c r="D1192" s="236"/>
    </row>
    <row r="1193" ht="14.0">
      <c r="A1193" s="236" t="s">
        <v>6845</v>
      </c>
      <c r="B1193" s="236" t="s">
        <v>6844</v>
      </c>
      <c r="C1193" s="236">
        <v>500.0</v>
      </c>
      <c r="D1193" s="236" t="s">
        <v>189</v>
      </c>
    </row>
    <row r="1194" ht="14.0">
      <c r="A1194" s="236" t="s">
        <v>6847</v>
      </c>
      <c r="B1194" s="236" t="s">
        <v>6846</v>
      </c>
      <c r="C1194" s="236">
        <v>500.0</v>
      </c>
      <c r="D1194" s="236"/>
    </row>
    <row r="1195" ht="14.0">
      <c r="A1195" s="236" t="s">
        <v>6849</v>
      </c>
      <c r="B1195" s="236" t="s">
        <v>6848</v>
      </c>
      <c r="C1195" s="236">
        <v>500.0</v>
      </c>
      <c r="D1195" s="236"/>
    </row>
    <row r="1196" ht="14.0">
      <c r="A1196" s="236" t="s">
        <v>6851</v>
      </c>
      <c r="B1196" s="236" t="s">
        <v>6850</v>
      </c>
      <c r="C1196" s="236">
        <v>500.0</v>
      </c>
      <c r="D1196" s="236"/>
    </row>
    <row r="1197" ht="14.0">
      <c r="A1197" s="236" t="s">
        <v>6853</v>
      </c>
      <c r="B1197" s="236" t="s">
        <v>6852</v>
      </c>
      <c r="C1197" s="236">
        <v>500.0</v>
      </c>
      <c r="D1197" s="236" t="s">
        <v>189</v>
      </c>
    </row>
    <row r="1198" ht="14.0">
      <c r="A1198" s="236" t="s">
        <v>6855</v>
      </c>
      <c r="B1198" s="236" t="s">
        <v>6854</v>
      </c>
      <c r="C1198" s="236">
        <v>500.0</v>
      </c>
      <c r="D1198" s="236"/>
    </row>
    <row r="1199" ht="14.0">
      <c r="A1199" s="236" t="s">
        <v>6857</v>
      </c>
      <c r="B1199" s="236" t="s">
        <v>6856</v>
      </c>
      <c r="C1199" s="236">
        <v>500.0</v>
      </c>
      <c r="D1199" s="236"/>
    </row>
    <row r="1200" ht="14.0">
      <c r="A1200" s="236" t="s">
        <v>6859</v>
      </c>
      <c r="B1200" s="236" t="s">
        <v>6858</v>
      </c>
      <c r="C1200" s="236">
        <v>500.0</v>
      </c>
      <c r="D1200" s="236"/>
    </row>
    <row r="1201" ht="14.0">
      <c r="A1201" s="236" t="s">
        <v>6863</v>
      </c>
      <c r="B1201" s="236" t="s">
        <v>6862</v>
      </c>
      <c r="C1201" s="236">
        <v>500.0</v>
      </c>
      <c r="D1201" s="236"/>
    </row>
    <row r="1202" ht="14.0">
      <c r="A1202" s="236" t="s">
        <v>6865</v>
      </c>
      <c r="B1202" s="236" t="s">
        <v>6864</v>
      </c>
      <c r="C1202" s="236">
        <v>500.0</v>
      </c>
      <c r="D1202" s="236"/>
    </row>
    <row r="1203" ht="14.0">
      <c r="A1203" s="236" t="s">
        <v>6867</v>
      </c>
      <c r="B1203" s="236" t="s">
        <v>6866</v>
      </c>
      <c r="C1203" s="236">
        <v>500.0</v>
      </c>
      <c r="D1203" s="236"/>
    </row>
    <row r="1204" ht="14.0">
      <c r="A1204" s="236" t="s">
        <v>7639</v>
      </c>
      <c r="B1204" s="236" t="s">
        <v>6871</v>
      </c>
      <c r="C1204" s="236"/>
      <c r="D1204" s="236"/>
    </row>
    <row r="1205" ht="14.0">
      <c r="A1205" s="236" t="s">
        <v>6870</v>
      </c>
      <c r="B1205" s="236" t="s">
        <v>6869</v>
      </c>
      <c r="C1205" s="236"/>
      <c r="D1205" s="236"/>
    </row>
    <row r="1206" ht="14.0">
      <c r="A1206" s="236" t="s">
        <v>6882</v>
      </c>
      <c r="B1206" s="236" t="s">
        <v>6881</v>
      </c>
      <c r="C1206" s="126">
        <v>1002.0</v>
      </c>
      <c r="D1206" s="236" t="s">
        <v>189</v>
      </c>
    </row>
    <row r="1207" ht="14.0">
      <c r="A1207" s="236" t="s">
        <v>6884</v>
      </c>
      <c r="B1207" s="236" t="s">
        <v>6883</v>
      </c>
      <c r="C1207" s="236"/>
      <c r="D1207" s="236" t="s">
        <v>189</v>
      </c>
    </row>
    <row r="1208" ht="14.0">
      <c r="A1208" s="236" t="s">
        <v>6886</v>
      </c>
      <c r="B1208" s="236" t="s">
        <v>6885</v>
      </c>
      <c r="C1208" s="126">
        <v>1002.0</v>
      </c>
      <c r="D1208" s="236" t="s">
        <v>189</v>
      </c>
    </row>
    <row r="1209" ht="14.0">
      <c r="A1209" s="236" t="s">
        <v>6888</v>
      </c>
      <c r="B1209" s="236" t="s">
        <v>6887</v>
      </c>
      <c r="C1209" s="126">
        <v>1002.0</v>
      </c>
      <c r="D1209" s="236" t="s">
        <v>189</v>
      </c>
    </row>
    <row r="1210" ht="14.0">
      <c r="A1210" s="236" t="s">
        <v>6890</v>
      </c>
      <c r="B1210" s="236" t="s">
        <v>6889</v>
      </c>
      <c r="C1210" s="126">
        <v>1002.0</v>
      </c>
      <c r="D1210" s="236" t="s">
        <v>189</v>
      </c>
    </row>
    <row r="1211" ht="14.0">
      <c r="A1211" s="236" t="s">
        <v>6892</v>
      </c>
      <c r="B1211" s="236" t="s">
        <v>6891</v>
      </c>
      <c r="C1211" s="126">
        <v>1002.0</v>
      </c>
      <c r="D1211" s="236" t="s">
        <v>189</v>
      </c>
    </row>
    <row r="1212" ht="14.0">
      <c r="A1212" s="236" t="s">
        <v>6894</v>
      </c>
      <c r="B1212" s="236" t="s">
        <v>6893</v>
      </c>
      <c r="C1212" s="126">
        <v>1002.0</v>
      </c>
      <c r="D1212" s="236" t="s">
        <v>189</v>
      </c>
    </row>
    <row r="1213" ht="14.0">
      <c r="A1213" s="236" t="s">
        <v>6896</v>
      </c>
      <c r="B1213" s="236" t="s">
        <v>6895</v>
      </c>
      <c r="C1213" s="126">
        <v>1002.0</v>
      </c>
      <c r="D1213" s="236" t="s">
        <v>189</v>
      </c>
    </row>
    <row r="1214" ht="14.0">
      <c r="A1214" s="236" t="s">
        <v>6898</v>
      </c>
      <c r="B1214" s="236" t="s">
        <v>6897</v>
      </c>
      <c r="C1214" s="126">
        <v>1002.0</v>
      </c>
      <c r="D1214" s="236" t="s">
        <v>189</v>
      </c>
    </row>
    <row r="1215" ht="14.0">
      <c r="A1215" s="236" t="s">
        <v>6900</v>
      </c>
      <c r="B1215" s="236" t="s">
        <v>6899</v>
      </c>
      <c r="C1215" s="126">
        <v>1002.0</v>
      </c>
      <c r="D1215" s="236" t="s">
        <v>189</v>
      </c>
    </row>
    <row r="1216" ht="14.0">
      <c r="A1216" s="236" t="s">
        <v>6902</v>
      </c>
      <c r="B1216" s="236" t="s">
        <v>6901</v>
      </c>
      <c r="C1216" s="126">
        <v>1002.0</v>
      </c>
      <c r="D1216" s="236" t="s">
        <v>189</v>
      </c>
    </row>
    <row r="1217" ht="14.0">
      <c r="A1217" s="236" t="s">
        <v>6904</v>
      </c>
      <c r="B1217" s="236" t="s">
        <v>6903</v>
      </c>
      <c r="C1217" s="126">
        <v>1002.0</v>
      </c>
      <c r="D1217" s="236" t="s">
        <v>189</v>
      </c>
    </row>
    <row r="1218" ht="14.0">
      <c r="A1218" s="236" t="s">
        <v>6906</v>
      </c>
      <c r="B1218" s="236" t="s">
        <v>6905</v>
      </c>
      <c r="C1218" s="236"/>
      <c r="D1218" s="236" t="s">
        <v>189</v>
      </c>
    </row>
    <row r="1219" ht="14.0">
      <c r="A1219" s="236" t="s">
        <v>6908</v>
      </c>
      <c r="B1219" s="236" t="s">
        <v>6907</v>
      </c>
      <c r="C1219" s="236"/>
      <c r="D1219" s="236" t="s">
        <v>189</v>
      </c>
    </row>
    <row r="1220" ht="14.0">
      <c r="A1220" s="236" t="s">
        <v>6910</v>
      </c>
      <c r="B1220" s="236" t="s">
        <v>6909</v>
      </c>
      <c r="C1220" s="126">
        <v>1002.0</v>
      </c>
      <c r="D1220" s="236" t="s">
        <v>189</v>
      </c>
    </row>
    <row r="1221" ht="14.0">
      <c r="A1221" s="236" t="s">
        <v>6920</v>
      </c>
      <c r="B1221" s="236" t="s">
        <v>6919</v>
      </c>
      <c r="C1221" s="236"/>
      <c r="D1221" s="236" t="s">
        <v>189</v>
      </c>
    </row>
    <row r="1222" ht="14.0">
      <c r="A1222" s="236" t="s">
        <v>6922</v>
      </c>
      <c r="B1222" s="236" t="s">
        <v>6921</v>
      </c>
      <c r="C1222" s="236">
        <v>200.0</v>
      </c>
      <c r="D1222" s="236" t="s">
        <v>189</v>
      </c>
    </row>
    <row r="1223" ht="14.0">
      <c r="A1223" s="236" t="s">
        <v>6934</v>
      </c>
      <c r="B1223" s="236" t="s">
        <v>6933</v>
      </c>
      <c r="C1223" s="236">
        <v>500.0</v>
      </c>
      <c r="D1223" s="236"/>
    </row>
    <row r="1224" ht="14.0">
      <c r="A1224" s="236" t="s">
        <v>6938</v>
      </c>
      <c r="B1224" s="236" t="s">
        <v>6937</v>
      </c>
      <c r="C1224" s="236">
        <v>500.0</v>
      </c>
      <c r="D1224" s="236"/>
    </row>
    <row r="1225" ht="14.0">
      <c r="A1225" s="236" t="s">
        <v>6942</v>
      </c>
      <c r="B1225" s="236" t="s">
        <v>6941</v>
      </c>
      <c r="C1225" s="236">
        <v>500.0</v>
      </c>
      <c r="D1225" s="236"/>
    </row>
    <row r="1226" ht="14.0">
      <c r="A1226" s="236" t="s">
        <v>6944</v>
      </c>
      <c r="B1226" s="236" t="s">
        <v>7640</v>
      </c>
      <c r="C1226" s="236">
        <v>500.0</v>
      </c>
      <c r="D1226" s="236"/>
    </row>
    <row r="1227" ht="14.0">
      <c r="A1227" s="236" t="s">
        <v>6948</v>
      </c>
      <c r="B1227" s="236" t="s">
        <v>6947</v>
      </c>
      <c r="C1227" s="236">
        <v>500.0</v>
      </c>
      <c r="D1227" s="236"/>
    </row>
    <row r="1228" ht="14.0">
      <c r="A1228" s="236" t="s">
        <v>6952</v>
      </c>
      <c r="B1228" s="236" t="s">
        <v>6951</v>
      </c>
      <c r="C1228" s="236">
        <v>500.0</v>
      </c>
      <c r="D1228" s="236"/>
    </row>
    <row r="1229" ht="14.0">
      <c r="A1229" s="236" t="s">
        <v>6962</v>
      </c>
      <c r="B1229" s="236" t="s">
        <v>6961</v>
      </c>
      <c r="C1229" s="236"/>
      <c r="D1229" s="236"/>
    </row>
    <row r="1230" ht="14.0">
      <c r="A1230" s="236" t="s">
        <v>6974</v>
      </c>
      <c r="B1230" s="236" t="s">
        <v>6973</v>
      </c>
      <c r="C1230" s="236"/>
      <c r="D1230" s="236" t="s">
        <v>189</v>
      </c>
    </row>
    <row r="1231" ht="14.0">
      <c r="A1231" s="236" t="s">
        <v>7641</v>
      </c>
      <c r="B1231" s="236" t="s">
        <v>7001</v>
      </c>
      <c r="C1231" s="236"/>
      <c r="D1231" s="236"/>
    </row>
    <row r="1232" ht="14.0">
      <c r="A1232" s="236" t="s">
        <v>6978</v>
      </c>
      <c r="B1232" s="236" t="s">
        <v>6977</v>
      </c>
      <c r="C1232" s="126">
        <v>1002.0</v>
      </c>
      <c r="D1232" s="236"/>
    </row>
    <row r="1233" ht="14.0">
      <c r="A1233" s="236" t="s">
        <v>6980</v>
      </c>
      <c r="B1233" s="236" t="s">
        <v>6979</v>
      </c>
      <c r="C1233" s="126">
        <v>1002.0</v>
      </c>
      <c r="D1233" s="236"/>
    </row>
    <row r="1234" ht="14.0">
      <c r="A1234" s="236" t="s">
        <v>6982</v>
      </c>
      <c r="B1234" s="236" t="s">
        <v>6981</v>
      </c>
      <c r="C1234" s="126">
        <v>1002.0</v>
      </c>
      <c r="D1234" s="236"/>
    </row>
    <row r="1235" ht="14.0">
      <c r="A1235" s="236" t="s">
        <v>6984</v>
      </c>
      <c r="B1235" s="236" t="s">
        <v>6983</v>
      </c>
      <c r="C1235" s="126">
        <v>1002.0</v>
      </c>
      <c r="D1235" s="236"/>
    </row>
    <row r="1236" ht="14.0">
      <c r="A1236" s="236" t="s">
        <v>6986</v>
      </c>
      <c r="B1236" s="236" t="s">
        <v>6985</v>
      </c>
      <c r="C1236" s="126">
        <v>1002.0</v>
      </c>
      <c r="D1236" s="236"/>
    </row>
    <row r="1237" ht="14.0">
      <c r="A1237" s="236" t="s">
        <v>6988</v>
      </c>
      <c r="B1237" s="236" t="s">
        <v>6987</v>
      </c>
      <c r="C1237" s="126">
        <v>1002.0</v>
      </c>
      <c r="D1237" s="236"/>
    </row>
    <row r="1238" ht="14.0">
      <c r="A1238" s="236" t="s">
        <v>6990</v>
      </c>
      <c r="B1238" s="236" t="s">
        <v>6989</v>
      </c>
      <c r="C1238" s="126">
        <v>1002.0</v>
      </c>
      <c r="D1238" s="236"/>
    </row>
    <row r="1239" ht="14.0">
      <c r="A1239" s="236" t="s">
        <v>6992</v>
      </c>
      <c r="B1239" s="236" t="s">
        <v>6991</v>
      </c>
      <c r="C1239" s="126">
        <v>1002.0</v>
      </c>
      <c r="D1239" s="236"/>
    </row>
    <row r="1240" ht="14.0">
      <c r="A1240" s="236" t="s">
        <v>6994</v>
      </c>
      <c r="B1240" s="236" t="s">
        <v>6993</v>
      </c>
      <c r="C1240" s="126">
        <v>1002.0</v>
      </c>
      <c r="D1240" s="236"/>
    </row>
    <row r="1241" ht="14.0">
      <c r="A1241" s="236" t="s">
        <v>6996</v>
      </c>
      <c r="B1241" s="236" t="s">
        <v>6995</v>
      </c>
      <c r="C1241" s="126">
        <v>1002.0</v>
      </c>
      <c r="D1241" s="236"/>
    </row>
    <row r="1242" ht="14.0">
      <c r="A1242" s="236" t="s">
        <v>6998</v>
      </c>
      <c r="B1242" s="236" t="s">
        <v>6997</v>
      </c>
      <c r="C1242" s="126">
        <v>1002.0</v>
      </c>
      <c r="D1242" s="236"/>
    </row>
    <row r="1243" ht="14.0">
      <c r="A1243" s="236" t="s">
        <v>7000</v>
      </c>
      <c r="B1243" s="236" t="s">
        <v>6999</v>
      </c>
      <c r="C1243" s="126">
        <v>1002.0</v>
      </c>
      <c r="D1243" s="236"/>
    </row>
    <row r="1244" ht="14.0">
      <c r="A1244" s="236" t="s">
        <v>5774</v>
      </c>
      <c r="B1244" s="236" t="s">
        <v>5773</v>
      </c>
      <c r="C1244" s="236">
        <v>500.0</v>
      </c>
      <c r="D1244" s="236"/>
    </row>
    <row r="1245" ht="14.0">
      <c r="A1245" s="236" t="s">
        <v>5780</v>
      </c>
      <c r="B1245" s="236" t="s">
        <v>5779</v>
      </c>
      <c r="C1245" s="236">
        <v>500.0</v>
      </c>
      <c r="D1245" s="236"/>
    </row>
    <row r="1246" ht="14.0">
      <c r="A1246" s="236" t="s">
        <v>5788</v>
      </c>
      <c r="B1246" s="236" t="s">
        <v>5787</v>
      </c>
      <c r="C1246" s="236">
        <v>500.0</v>
      </c>
      <c r="D1246" s="236" t="s">
        <v>189</v>
      </c>
    </row>
    <row r="1247" ht="14.0">
      <c r="A1247" s="236" t="s">
        <v>5804</v>
      </c>
      <c r="B1247" s="236" t="s">
        <v>5803</v>
      </c>
      <c r="C1247" s="236">
        <v>500.0</v>
      </c>
      <c r="D1247" s="236"/>
    </row>
    <row r="1248" ht="14.0">
      <c r="A1248" s="236" t="s">
        <v>5806</v>
      </c>
      <c r="B1248" s="236" t="s">
        <v>5805</v>
      </c>
      <c r="C1248" s="236">
        <v>500.0</v>
      </c>
      <c r="D1248" s="236"/>
    </row>
    <row r="1249" ht="14.0">
      <c r="A1249" s="236" t="s">
        <v>7642</v>
      </c>
      <c r="B1249" s="236" t="s">
        <v>7003</v>
      </c>
      <c r="C1249" s="236"/>
      <c r="D1249" s="236" t="s">
        <v>189</v>
      </c>
    </row>
    <row r="1250" ht="14.0">
      <c r="A1250" s="236" t="s">
        <v>5812</v>
      </c>
      <c r="B1250" s="236" t="s">
        <v>5811</v>
      </c>
      <c r="C1250" s="236">
        <v>500.0</v>
      </c>
      <c r="D1250" s="236" t="s">
        <v>189</v>
      </c>
    </row>
    <row r="1251" ht="14.0">
      <c r="A1251" s="236" t="s">
        <v>7016</v>
      </c>
      <c r="B1251" s="236" t="s">
        <v>7015</v>
      </c>
      <c r="C1251" s="236">
        <v>250.0</v>
      </c>
      <c r="D1251" s="236"/>
    </row>
    <row r="1252" ht="14.0">
      <c r="A1252" s="236" t="s">
        <v>7028</v>
      </c>
      <c r="B1252" s="236" t="s">
        <v>7027</v>
      </c>
      <c r="C1252" s="236"/>
      <c r="D1252" s="236" t="s">
        <v>189</v>
      </c>
    </row>
    <row r="1253" ht="14.0">
      <c r="A1253" s="236" t="s">
        <v>7032</v>
      </c>
      <c r="B1253" s="236" t="s">
        <v>7031</v>
      </c>
      <c r="C1253" s="236"/>
      <c r="D1253" s="236"/>
    </row>
    <row r="1254" ht="14.0">
      <c r="A1254" s="236" t="s">
        <v>7034</v>
      </c>
      <c r="B1254" s="236" t="s">
        <v>7033</v>
      </c>
      <c r="C1254" s="236"/>
      <c r="D1254" s="236" t="s">
        <v>189</v>
      </c>
    </row>
    <row r="1255" ht="14.0">
      <c r="A1255" s="236" t="s">
        <v>7064</v>
      </c>
      <c r="B1255" s="236" t="s">
        <v>7063</v>
      </c>
      <c r="C1255" s="236"/>
      <c r="D1255" s="236" t="s">
        <v>189</v>
      </c>
    </row>
    <row r="1256" ht="14.0">
      <c r="A1256" s="236" t="s">
        <v>7643</v>
      </c>
      <c r="B1256" s="236" t="s">
        <v>7065</v>
      </c>
      <c r="C1256" s="236"/>
      <c r="D1256" s="236"/>
    </row>
    <row r="1257" ht="14.0">
      <c r="A1257" s="236" t="s">
        <v>7068</v>
      </c>
      <c r="B1257" s="236" t="s">
        <v>7067</v>
      </c>
      <c r="C1257" s="236">
        <v>180.0</v>
      </c>
      <c r="D1257" s="236"/>
    </row>
    <row r="1258" ht="14.0">
      <c r="A1258" s="236" t="s">
        <v>7070</v>
      </c>
      <c r="B1258" s="236" t="s">
        <v>7069</v>
      </c>
      <c r="C1258" s="236">
        <v>180.0</v>
      </c>
      <c r="D1258" s="236"/>
    </row>
    <row r="1259" ht="14.0">
      <c r="A1259" s="236" t="s">
        <v>7072</v>
      </c>
      <c r="B1259" s="236" t="s">
        <v>7071</v>
      </c>
      <c r="C1259" s="236">
        <v>180.0</v>
      </c>
      <c r="D1259" s="236"/>
    </row>
    <row r="1260" ht="14.0">
      <c r="A1260" s="236" t="s">
        <v>7074</v>
      </c>
      <c r="B1260" s="236" t="s">
        <v>7073</v>
      </c>
      <c r="C1260" s="236">
        <v>180.0</v>
      </c>
      <c r="D1260" s="236"/>
    </row>
    <row r="1261" ht="14.0">
      <c r="A1261" s="236" t="s">
        <v>7076</v>
      </c>
      <c r="B1261" s="236" t="s">
        <v>7075</v>
      </c>
      <c r="C1261" s="236">
        <v>180.0</v>
      </c>
      <c r="D1261" s="236"/>
    </row>
    <row r="1262" ht="14.0">
      <c r="A1262" s="236" t="s">
        <v>7078</v>
      </c>
      <c r="B1262" s="236" t="s">
        <v>7077</v>
      </c>
      <c r="C1262" s="236">
        <v>180.0</v>
      </c>
      <c r="D1262" s="236"/>
    </row>
    <row r="1263" ht="14.0">
      <c r="A1263" s="236" t="s">
        <v>94</v>
      </c>
      <c r="B1263" s="236" t="s">
        <v>95</v>
      </c>
      <c r="C1263" s="236">
        <v>480.0</v>
      </c>
      <c r="D1263" s="236"/>
    </row>
    <row r="1264" ht="14.0">
      <c r="A1264" s="236" t="s">
        <v>96</v>
      </c>
      <c r="B1264" s="236" t="s">
        <v>97</v>
      </c>
      <c r="C1264" s="236">
        <v>480.0</v>
      </c>
      <c r="D1264" s="236"/>
    </row>
    <row r="1265" ht="14.0">
      <c r="A1265" s="236" t="s">
        <v>7550</v>
      </c>
      <c r="B1265" s="236" t="s">
        <v>7549</v>
      </c>
      <c r="C1265" s="236"/>
      <c r="D1265" s="236"/>
    </row>
    <row r="1266" ht="14.0">
      <c r="A1266" s="236" t="s">
        <v>7552</v>
      </c>
      <c r="B1266" s="236" t="s">
        <v>7551</v>
      </c>
      <c r="C1266" s="236"/>
      <c r="D1266" s="236" t="s">
        <v>189</v>
      </c>
    </row>
    <row r="1267" ht="14.0">
      <c r="A1267" s="236" t="s">
        <v>7554</v>
      </c>
      <c r="B1267" s="236" t="s">
        <v>7553</v>
      </c>
      <c r="C1267" s="236"/>
      <c r="D1267" s="236" t="s">
        <v>189</v>
      </c>
    </row>
    <row r="1268" ht="14.0">
      <c r="A1268" s="236" t="s">
        <v>7556</v>
      </c>
      <c r="B1268" s="236" t="s">
        <v>7555</v>
      </c>
      <c r="C1268" s="236"/>
      <c r="D1268" s="236" t="s">
        <v>189</v>
      </c>
    </row>
    <row r="1269" ht="14.0">
      <c r="A1269" s="236" t="s">
        <v>7562</v>
      </c>
      <c r="B1269" s="236" t="s">
        <v>7561</v>
      </c>
      <c r="C1269" s="236"/>
      <c r="D1269" s="236" t="s">
        <v>189</v>
      </c>
    </row>
    <row r="1270" ht="14.0">
      <c r="A1270" s="236" t="s">
        <v>7566</v>
      </c>
      <c r="B1270" s="236" t="s">
        <v>7565</v>
      </c>
      <c r="C1270" s="236"/>
      <c r="D1270" s="236" t="s">
        <v>189</v>
      </c>
    </row>
  </sheetData>
  <extLst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V96"/>
  <sheetViews>
    <sheetView workbookViewId="0"/>
  </sheetViews>
  <sheetFormatPr defaultRowHeight="14.0" customHeight="1"/>
  <cols>
    <col min="1" max="1" style="232" width="20.27"/>
    <col min="2" max="2" style="232" width="23.58"/>
    <col min="3" max="3" style="232" width="21.59"/>
    <col min="4" max="4" style="126" width="60.15"/>
    <col min="5" max="5" style="126" width="45.18"/>
    <col min="6" max="6" style="126" width="14.17"/>
    <col min="7" max="7" style="126" width="16.82"/>
    <col min="8" max="8" style="126" width="10.46"/>
    <col min="9" max="9" style="126" width="27.55"/>
    <col min="10" max="10" style="126" width="15.23"/>
    <col min="11" max="996" width="13.24"/>
    <col min="997" max="2048" width="13.24"/>
  </cols>
  <sheetData>
    <row r="1" customFormat="1" s="126">
      <c r="A1" s="238" t="s">
        <v>7644</v>
      </c>
      <c r="B1" s="238" t="s">
        <v>7645</v>
      </c>
      <c r="C1" s="238" t="s">
        <v>7646</v>
      </c>
      <c r="D1" s="239" t="s">
        <v>7647</v>
      </c>
      <c r="E1" s="239" t="s">
        <v>7569</v>
      </c>
      <c r="F1" s="239" t="s">
        <v>262</v>
      </c>
      <c r="G1" s="239" t="s">
        <v>7648</v>
      </c>
      <c r="H1" s="239" t="s">
        <v>7649</v>
      </c>
      <c r="I1" s="240" t="s">
        <v>270</v>
      </c>
      <c r="J1" s="240" t="s">
        <v>7650</v>
      </c>
    </row>
    <row r="2" customHeight="1" ht="12.0" customFormat="1" s="126">
      <c r="A2" s="241">
        <v>45960</v>
      </c>
      <c r="B2" s="97" t="s">
        <v>7651</v>
      </c>
      <c r="C2" s="97" t="s">
        <v>7652</v>
      </c>
      <c r="D2" s="96" t="s">
        <v>7653</v>
      </c>
      <c r="E2" s="96" t="s">
        <v>5529</v>
      </c>
      <c r="F2" s="97" t="s">
        <v>5528</v>
      </c>
      <c r="G2" s="96">
        <v>1000.0</v>
      </c>
      <c r="H2" s="96">
        <v>1.87</v>
      </c>
      <c r="I2" s="49"/>
      <c r="J2" s="49" t="s">
        <v>7654</v>
      </c>
      <c r="K2" s="242"/>
      <c r="L2" s="242"/>
      <c r="M2" s="242"/>
    </row>
    <row r="3" customHeight="1" ht="12.0" customFormat="1" s="126">
      <c r="A3" s="241">
        <v>45960</v>
      </c>
      <c r="B3" s="97" t="s">
        <v>7651</v>
      </c>
      <c r="C3" s="97" t="s">
        <v>7652</v>
      </c>
      <c r="D3" s="96" t="s">
        <v>7653</v>
      </c>
      <c r="E3" s="96" t="s">
        <v>5531</v>
      </c>
      <c r="F3" s="97" t="s">
        <v>5530</v>
      </c>
      <c r="G3" s="96">
        <v>700.0</v>
      </c>
      <c r="H3" s="96">
        <v>1.75</v>
      </c>
      <c r="I3" s="49"/>
      <c r="J3" s="49" t="s">
        <v>7654</v>
      </c>
      <c r="K3" s="242"/>
      <c r="L3" s="242"/>
      <c r="M3" s="242"/>
    </row>
    <row r="4" customHeight="1" ht="12.0" customFormat="1" s="126">
      <c r="A4" s="241">
        <v>45960</v>
      </c>
      <c r="B4" s="97" t="s">
        <v>7651</v>
      </c>
      <c r="C4" s="97" t="s">
        <v>7652</v>
      </c>
      <c r="D4" s="96" t="s">
        <v>7653</v>
      </c>
      <c r="E4" s="96" t="s">
        <v>5507</v>
      </c>
      <c r="F4" s="97" t="s">
        <v>5506</v>
      </c>
      <c r="G4" s="96">
        <v>500.0</v>
      </c>
      <c r="H4" s="96">
        <v>1.67</v>
      </c>
      <c r="I4" s="49"/>
      <c r="J4" s="49" t="s">
        <v>7654</v>
      </c>
      <c r="K4" s="242"/>
      <c r="L4" s="242"/>
      <c r="M4" s="242"/>
    </row>
    <row r="5" customHeight="1" ht="12.0" customFormat="1" s="126">
      <c r="A5" s="241">
        <v>45960</v>
      </c>
      <c r="B5" s="97" t="s">
        <v>7651</v>
      </c>
      <c r="C5" s="97" t="s">
        <v>7652</v>
      </c>
      <c r="D5" s="96" t="s">
        <v>7653</v>
      </c>
      <c r="E5" s="96" t="s">
        <v>5557</v>
      </c>
      <c r="F5" s="97" t="s">
        <v>5556</v>
      </c>
      <c r="G5" s="96">
        <v>300.0</v>
      </c>
      <c r="H5" s="96">
        <v>1.88</v>
      </c>
      <c r="I5" s="49"/>
      <c r="J5" s="49" t="s">
        <v>7654</v>
      </c>
      <c r="K5" s="242"/>
      <c r="L5" s="242"/>
      <c r="M5" s="242"/>
    </row>
    <row r="6" customHeight="1" ht="12.0" customFormat="1" s="126">
      <c r="A6" s="241">
        <v>45960</v>
      </c>
      <c r="B6" s="97" t="s">
        <v>7651</v>
      </c>
      <c r="C6" s="97" t="s">
        <v>7652</v>
      </c>
      <c r="D6" s="96" t="s">
        <v>7653</v>
      </c>
      <c r="E6" s="96" t="s">
        <v>5559</v>
      </c>
      <c r="F6" s="97" t="s">
        <v>5558</v>
      </c>
      <c r="G6" s="96">
        <v>1000.0</v>
      </c>
      <c r="H6" s="96">
        <v>1.76</v>
      </c>
      <c r="I6" s="49"/>
      <c r="J6" s="49" t="s">
        <v>7654</v>
      </c>
      <c r="K6" s="138"/>
      <c r="L6" s="138"/>
      <c r="M6" s="138"/>
      <c r="N6" s="138"/>
      <c r="O6" s="138"/>
      <c r="P6" s="138"/>
      <c r="Q6" s="138"/>
      <c r="R6" s="138"/>
      <c r="S6" s="138"/>
      <c r="T6" s="243" t="e">
        <f t="shared" ref="T6:T25" si="0">VLOOKUP(#REF!,SEPT30SOH,3,false)</f>
        <v>#REF!</v>
      </c>
      <c r="U6" s="243" t="e">
        <f t="shared" ref="U6:U25" si="1">VLOOKUP(#REF!,OCT22SOH,3,false)</f>
        <v>#REF!</v>
      </c>
      <c r="V6" s="243" t="e">
        <f t="shared" ref="V6:V25" si="2">VLOOKUP(#REF!,OCT28SOH,3,false)</f>
        <v>#REF!</v>
      </c>
    </row>
    <row r="7" customHeight="1" ht="12.0" customFormat="1" s="126">
      <c r="A7" s="241">
        <v>45960</v>
      </c>
      <c r="B7" s="97" t="s">
        <v>7651</v>
      </c>
      <c r="C7" s="97" t="s">
        <v>7652</v>
      </c>
      <c r="D7" s="96" t="s">
        <v>7653</v>
      </c>
      <c r="E7" s="96" t="s">
        <v>5561</v>
      </c>
      <c r="F7" s="97" t="s">
        <v>5560</v>
      </c>
      <c r="G7" s="96">
        <v>700.0</v>
      </c>
      <c r="H7" s="96">
        <v>1.95</v>
      </c>
      <c r="I7" s="49"/>
      <c r="J7" s="49" t="s">
        <v>7654</v>
      </c>
      <c r="K7" s="138"/>
      <c r="L7" s="138"/>
      <c r="M7" s="138"/>
      <c r="N7" s="138"/>
      <c r="O7" s="138"/>
      <c r="P7" s="138"/>
      <c r="Q7" s="138"/>
      <c r="R7" s="138"/>
      <c r="S7" s="138"/>
      <c r="T7" s="243" t="e">
        <f t="shared" si="0"/>
        <v>#REF!</v>
      </c>
      <c r="U7" s="243" t="e">
        <f t="shared" si="1"/>
        <v>#REF!</v>
      </c>
      <c r="V7" s="243" t="e">
        <f t="shared" si="2"/>
        <v>#REF!</v>
      </c>
    </row>
    <row r="8" customHeight="1" ht="12.0" customFormat="1" s="126">
      <c r="A8" s="241">
        <v>45960</v>
      </c>
      <c r="B8" s="97" t="s">
        <v>7651</v>
      </c>
      <c r="C8" s="97" t="s">
        <v>7652</v>
      </c>
      <c r="D8" s="96" t="s">
        <v>7653</v>
      </c>
      <c r="E8" s="96" t="s">
        <v>5563</v>
      </c>
      <c r="F8" s="97" t="s">
        <v>5562</v>
      </c>
      <c r="G8" s="96">
        <v>500.0</v>
      </c>
      <c r="H8" s="96">
        <v>1.83</v>
      </c>
      <c r="I8" s="49"/>
      <c r="J8" s="49" t="s">
        <v>7654</v>
      </c>
      <c r="K8" s="138"/>
      <c r="L8" s="138"/>
      <c r="M8" s="138"/>
      <c r="N8" s="138"/>
      <c r="O8" s="138"/>
      <c r="P8" s="138"/>
      <c r="Q8" s="138"/>
      <c r="R8" s="138"/>
      <c r="S8" s="138"/>
      <c r="T8" s="243" t="e">
        <f t="shared" si="0"/>
        <v>#REF!</v>
      </c>
      <c r="U8" s="243" t="e">
        <f t="shared" si="1"/>
        <v>#REF!</v>
      </c>
      <c r="V8" s="243" t="e">
        <f t="shared" si="2"/>
        <v>#REF!</v>
      </c>
    </row>
    <row r="9" customHeight="1" ht="12.0" customFormat="1" s="126">
      <c r="A9" s="241">
        <v>45960</v>
      </c>
      <c r="B9" s="97" t="s">
        <v>7651</v>
      </c>
      <c r="C9" s="97" t="s">
        <v>7652</v>
      </c>
      <c r="D9" s="96" t="s">
        <v>7653</v>
      </c>
      <c r="E9" s="96" t="s">
        <v>5533</v>
      </c>
      <c r="F9" s="97" t="s">
        <v>5532</v>
      </c>
      <c r="G9" s="96">
        <v>500.0</v>
      </c>
      <c r="H9" s="96">
        <v>1.95</v>
      </c>
      <c r="I9" s="49"/>
      <c r="J9" s="49" t="s">
        <v>7654</v>
      </c>
      <c r="K9" s="138"/>
      <c r="L9" s="138"/>
      <c r="M9" s="138"/>
      <c r="N9" s="138"/>
      <c r="O9" s="138"/>
      <c r="P9" s="138"/>
      <c r="Q9" s="138"/>
      <c r="R9" s="138"/>
      <c r="S9" s="138"/>
      <c r="T9" s="243" t="e">
        <f t="shared" si="0"/>
        <v>#REF!</v>
      </c>
      <c r="U9" s="243" t="e">
        <f t="shared" si="1"/>
        <v>#REF!</v>
      </c>
      <c r="V9" s="243" t="e">
        <f t="shared" si="2"/>
        <v>#REF!</v>
      </c>
    </row>
    <row r="10" customFormat="1" s="126">
      <c r="A10" s="241">
        <v>45960</v>
      </c>
      <c r="B10" s="97" t="s">
        <v>7651</v>
      </c>
      <c r="C10" s="97" t="s">
        <v>7652</v>
      </c>
      <c r="D10" s="96" t="s">
        <v>7653</v>
      </c>
      <c r="E10" s="96" t="s">
        <v>5535</v>
      </c>
      <c r="F10" s="97" t="s">
        <v>5534</v>
      </c>
      <c r="G10" s="96">
        <v>500.0</v>
      </c>
      <c r="H10" s="96">
        <v>1.83</v>
      </c>
      <c r="I10" s="49"/>
      <c r="J10" s="49" t="s">
        <v>7654</v>
      </c>
      <c r="K10" s="138"/>
      <c r="L10" s="138"/>
      <c r="M10" s="138"/>
      <c r="N10" s="138"/>
      <c r="O10" s="138"/>
      <c r="P10" s="138"/>
      <c r="Q10" s="138"/>
      <c r="R10" s="138"/>
      <c r="S10" s="138"/>
      <c r="T10" s="243" t="e">
        <f t="shared" si="0"/>
        <v>#REF!</v>
      </c>
      <c r="U10" s="243" t="e">
        <f t="shared" si="1"/>
        <v>#REF!</v>
      </c>
      <c r="V10" s="243" t="e">
        <f t="shared" si="2"/>
        <v>#REF!</v>
      </c>
    </row>
    <row r="11" customFormat="1" s="126">
      <c r="A11" s="241">
        <v>45960</v>
      </c>
      <c r="B11" s="97" t="s">
        <v>7651</v>
      </c>
      <c r="C11" s="97" t="s">
        <v>7652</v>
      </c>
      <c r="D11" s="96" t="s">
        <v>7653</v>
      </c>
      <c r="E11" s="96" t="s">
        <v>5485</v>
      </c>
      <c r="F11" s="97" t="s">
        <v>5484</v>
      </c>
      <c r="G11" s="96">
        <v>500.0</v>
      </c>
      <c r="H11" s="96">
        <v>1.75</v>
      </c>
      <c r="I11" s="49"/>
      <c r="J11" s="49" t="s">
        <v>7654</v>
      </c>
      <c r="K11" s="138"/>
      <c r="L11" s="138"/>
      <c r="M11" s="138"/>
      <c r="N11" s="138"/>
      <c r="O11" s="138"/>
      <c r="P11" s="138"/>
      <c r="Q11" s="138"/>
      <c r="R11" s="138"/>
      <c r="S11" s="138"/>
      <c r="T11" s="243" t="e">
        <f t="shared" si="0"/>
        <v>#REF!</v>
      </c>
      <c r="U11" s="243" t="e">
        <f t="shared" si="1"/>
        <v>#REF!</v>
      </c>
      <c r="V11" s="243" t="e">
        <f t="shared" si="2"/>
        <v>#REF!</v>
      </c>
    </row>
    <row r="12" customFormat="1" s="126">
      <c r="A12" s="241">
        <v>45960</v>
      </c>
      <c r="B12" s="97" t="s">
        <v>7651</v>
      </c>
      <c r="C12" s="97" t="s">
        <v>7652</v>
      </c>
      <c r="D12" s="96" t="s">
        <v>7653</v>
      </c>
      <c r="E12" s="96" t="s">
        <v>5487</v>
      </c>
      <c r="F12" s="97" t="s">
        <v>5486</v>
      </c>
      <c r="G12" s="96">
        <v>300.0</v>
      </c>
      <c r="H12" s="96">
        <v>1.75</v>
      </c>
      <c r="I12" s="49"/>
      <c r="J12" s="49" t="s">
        <v>7654</v>
      </c>
      <c r="K12" s="138"/>
      <c r="L12" s="138"/>
      <c r="M12" s="138"/>
      <c r="N12" s="138"/>
      <c r="O12" s="138"/>
      <c r="P12" s="138"/>
      <c r="Q12" s="138"/>
      <c r="R12" s="138"/>
      <c r="S12" s="138"/>
      <c r="T12" s="243" t="e">
        <f t="shared" si="0"/>
        <v>#REF!</v>
      </c>
      <c r="U12" s="243" t="e">
        <f t="shared" si="1"/>
        <v>#REF!</v>
      </c>
      <c r="V12" s="243" t="e">
        <f t="shared" si="2"/>
        <v>#REF!</v>
      </c>
    </row>
    <row r="13" customFormat="1" s="126">
      <c r="A13" s="241">
        <v>45960</v>
      </c>
      <c r="B13" s="97" t="s">
        <v>7651</v>
      </c>
      <c r="C13" s="97" t="s">
        <v>7652</v>
      </c>
      <c r="D13" s="96" t="s">
        <v>7653</v>
      </c>
      <c r="E13" s="96" t="s">
        <v>5537</v>
      </c>
      <c r="F13" s="97" t="s">
        <v>5536</v>
      </c>
      <c r="G13" s="96">
        <v>300.0</v>
      </c>
      <c r="H13" s="96">
        <v>1.48</v>
      </c>
      <c r="I13" s="49"/>
      <c r="J13" s="49" t="s">
        <v>7654</v>
      </c>
      <c r="K13" s="138"/>
      <c r="L13" s="138"/>
      <c r="M13" s="138"/>
      <c r="N13" s="138"/>
      <c r="O13" s="138"/>
      <c r="P13" s="138"/>
      <c r="Q13" s="138"/>
      <c r="R13" s="138"/>
      <c r="S13" s="138"/>
      <c r="T13" s="243" t="e">
        <f t="shared" si="0"/>
        <v>#REF!</v>
      </c>
      <c r="U13" s="243" t="e">
        <f t="shared" si="1"/>
        <v>#REF!</v>
      </c>
      <c r="V13" s="243" t="e">
        <f t="shared" si="2"/>
        <v>#REF!</v>
      </c>
    </row>
    <row r="14" customFormat="1" s="126">
      <c r="A14" s="241">
        <v>45960</v>
      </c>
      <c r="B14" s="97" t="s">
        <v>7651</v>
      </c>
      <c r="C14" s="97" t="s">
        <v>7652</v>
      </c>
      <c r="D14" s="96" t="s">
        <v>7653</v>
      </c>
      <c r="E14" s="96" t="s">
        <v>5483</v>
      </c>
      <c r="F14" s="97" t="s">
        <v>5482</v>
      </c>
      <c r="G14" s="96">
        <v>850.0</v>
      </c>
      <c r="H14" s="96">
        <v>1.67</v>
      </c>
      <c r="I14" s="49"/>
      <c r="J14" s="49" t="s">
        <v>7654</v>
      </c>
      <c r="K14" s="138"/>
      <c r="L14" s="138"/>
      <c r="M14" s="138"/>
      <c r="N14" s="138"/>
      <c r="O14" s="138"/>
      <c r="P14" s="138"/>
      <c r="Q14" s="138"/>
      <c r="R14" s="138"/>
      <c r="S14" s="138"/>
      <c r="T14" s="243" t="e">
        <f t="shared" si="0"/>
        <v>#REF!</v>
      </c>
      <c r="U14" s="243" t="e">
        <f t="shared" si="1"/>
        <v>#REF!</v>
      </c>
      <c r="V14" s="243" t="e">
        <f t="shared" si="2"/>
        <v>#REF!</v>
      </c>
    </row>
    <row r="15" customFormat="1" s="126">
      <c r="A15" s="241">
        <v>45960</v>
      </c>
      <c r="B15" s="97" t="s">
        <v>7651</v>
      </c>
      <c r="C15" s="97" t="s">
        <v>7652</v>
      </c>
      <c r="D15" s="96" t="s">
        <v>7653</v>
      </c>
      <c r="E15" s="96" t="s">
        <v>5565</v>
      </c>
      <c r="F15" s="97" t="s">
        <v>5564</v>
      </c>
      <c r="G15" s="96">
        <v>650.0</v>
      </c>
      <c r="H15" s="96">
        <v>1.98</v>
      </c>
      <c r="I15" s="49"/>
      <c r="J15" s="49" t="s">
        <v>7654</v>
      </c>
      <c r="K15" s="138"/>
      <c r="L15" s="138"/>
      <c r="M15" s="138"/>
      <c r="N15" s="138"/>
      <c r="O15" s="138"/>
      <c r="P15" s="138"/>
      <c r="Q15" s="138"/>
      <c r="R15" s="138"/>
      <c r="S15" s="138"/>
      <c r="T15" s="243" t="e">
        <f t="shared" si="0"/>
        <v>#REF!</v>
      </c>
      <c r="U15" s="243" t="e">
        <f t="shared" si="1"/>
        <v>#REF!</v>
      </c>
      <c r="V15" s="243" t="e">
        <f t="shared" si="2"/>
        <v>#REF!</v>
      </c>
    </row>
    <row r="16" customFormat="1" s="126">
      <c r="A16" s="241">
        <v>45960</v>
      </c>
      <c r="B16" s="97" t="s">
        <v>7651</v>
      </c>
      <c r="C16" s="97" t="s">
        <v>7652</v>
      </c>
      <c r="D16" s="96" t="s">
        <v>7653</v>
      </c>
      <c r="E16" s="96" t="s">
        <v>5489</v>
      </c>
      <c r="F16" s="97" t="s">
        <v>5488</v>
      </c>
      <c r="G16" s="96">
        <v>800.0</v>
      </c>
      <c r="H16" s="96">
        <v>1.22</v>
      </c>
      <c r="I16" s="49" t="s">
        <v>7655</v>
      </c>
      <c r="J16" s="49" t="s">
        <v>7654</v>
      </c>
      <c r="K16" s="138"/>
      <c r="L16" s="138"/>
      <c r="M16" s="138"/>
      <c r="N16" s="138"/>
      <c r="O16" s="138"/>
      <c r="P16" s="138"/>
      <c r="Q16" s="138"/>
      <c r="R16" s="138"/>
      <c r="S16" s="138"/>
      <c r="T16" s="243" t="e">
        <f t="shared" si="0"/>
        <v>#REF!</v>
      </c>
      <c r="U16" s="243" t="e">
        <f t="shared" si="1"/>
        <v>#REF!</v>
      </c>
      <c r="V16" s="243" t="e">
        <f t="shared" si="2"/>
        <v>#REF!</v>
      </c>
    </row>
    <row r="17" customFormat="1" s="126">
      <c r="A17" s="241">
        <v>45960</v>
      </c>
      <c r="B17" s="97" t="s">
        <v>7651</v>
      </c>
      <c r="C17" s="97" t="s">
        <v>7652</v>
      </c>
      <c r="D17" s="96" t="s">
        <v>7653</v>
      </c>
      <c r="E17" s="96" t="s">
        <v>5519</v>
      </c>
      <c r="F17" s="97" t="s">
        <v>5518</v>
      </c>
      <c r="G17" s="96">
        <v>800.0</v>
      </c>
      <c r="H17" s="96">
        <v>1.22</v>
      </c>
      <c r="I17" s="49" t="s">
        <v>7655</v>
      </c>
      <c r="J17" s="49" t="s">
        <v>7654</v>
      </c>
      <c r="K17" s="138"/>
      <c r="L17" s="138"/>
      <c r="M17" s="138"/>
      <c r="N17" s="138"/>
      <c r="O17" s="138"/>
      <c r="P17" s="138"/>
      <c r="Q17" s="138"/>
      <c r="R17" s="138"/>
      <c r="S17" s="138"/>
      <c r="T17" s="243" t="e">
        <f t="shared" si="0"/>
        <v>#REF!</v>
      </c>
      <c r="U17" s="243" t="e">
        <f t="shared" si="1"/>
        <v>#REF!</v>
      </c>
      <c r="V17" s="243" t="e">
        <f t="shared" si="2"/>
        <v>#REF!</v>
      </c>
    </row>
    <row r="18" customFormat="1" s="126">
      <c r="A18" s="241">
        <v>45960</v>
      </c>
      <c r="B18" s="97" t="s">
        <v>7651</v>
      </c>
      <c r="C18" s="97" t="s">
        <v>7652</v>
      </c>
      <c r="D18" s="96" t="s">
        <v>7653</v>
      </c>
      <c r="E18" s="96" t="s">
        <v>5517</v>
      </c>
      <c r="F18" s="97" t="s">
        <v>5516</v>
      </c>
      <c r="G18" s="96">
        <v>800.0</v>
      </c>
      <c r="H18" s="96">
        <v>1.22</v>
      </c>
      <c r="I18" s="49" t="s">
        <v>7655</v>
      </c>
      <c r="J18" s="49" t="s">
        <v>7654</v>
      </c>
      <c r="K18" s="138"/>
      <c r="L18" s="138"/>
      <c r="M18" s="138"/>
      <c r="N18" s="138"/>
      <c r="O18" s="138"/>
      <c r="P18" s="138"/>
      <c r="Q18" s="138"/>
      <c r="R18" s="138"/>
      <c r="S18" s="138"/>
      <c r="T18" s="243" t="e">
        <f t="shared" si="0"/>
        <v>#REF!</v>
      </c>
      <c r="U18" s="243" t="e">
        <f t="shared" si="1"/>
        <v>#REF!</v>
      </c>
      <c r="V18" s="243" t="e">
        <f t="shared" si="2"/>
        <v>#REF!</v>
      </c>
    </row>
    <row r="19" customFormat="1" s="126">
      <c r="A19" s="241">
        <v>45960</v>
      </c>
      <c r="B19" s="97" t="s">
        <v>7651</v>
      </c>
      <c r="C19" s="97" t="s">
        <v>7652</v>
      </c>
      <c r="D19" s="96" t="s">
        <v>7653</v>
      </c>
      <c r="E19" s="96" t="s">
        <v>5515</v>
      </c>
      <c r="F19" s="97" t="s">
        <v>5514</v>
      </c>
      <c r="G19" s="96">
        <v>800.0</v>
      </c>
      <c r="H19" s="96">
        <v>1.22</v>
      </c>
      <c r="I19" s="49" t="s">
        <v>7655</v>
      </c>
      <c r="J19" s="49" t="s">
        <v>7654</v>
      </c>
      <c r="K19" s="138"/>
      <c r="L19" s="138"/>
      <c r="M19" s="138"/>
      <c r="N19" s="138"/>
      <c r="O19" s="138"/>
      <c r="P19" s="138"/>
      <c r="Q19" s="138"/>
      <c r="R19" s="138"/>
      <c r="S19" s="138"/>
      <c r="T19" s="243" t="e">
        <f t="shared" si="0"/>
        <v>#REF!</v>
      </c>
      <c r="U19" s="243" t="e">
        <f t="shared" si="1"/>
        <v>#REF!</v>
      </c>
      <c r="V19" s="243" t="e">
        <f t="shared" si="2"/>
        <v>#REF!</v>
      </c>
    </row>
    <row r="20" customFormat="1" s="126">
      <c r="A20" s="241">
        <v>45960</v>
      </c>
      <c r="B20" s="97" t="s">
        <v>7651</v>
      </c>
      <c r="C20" s="97" t="s">
        <v>7652</v>
      </c>
      <c r="D20" s="96" t="s">
        <v>7653</v>
      </c>
      <c r="E20" s="96" t="s">
        <v>5491</v>
      </c>
      <c r="F20" s="97" t="s">
        <v>5490</v>
      </c>
      <c r="G20" s="96">
        <v>800.0</v>
      </c>
      <c r="H20" s="96">
        <v>1.22</v>
      </c>
      <c r="I20" s="49" t="s">
        <v>7655</v>
      </c>
      <c r="J20" s="49" t="s">
        <v>7654</v>
      </c>
      <c r="K20" s="138"/>
      <c r="L20" s="138"/>
      <c r="M20" s="138"/>
      <c r="N20" s="138"/>
      <c r="O20" s="138"/>
      <c r="P20" s="138"/>
      <c r="Q20" s="138"/>
      <c r="R20" s="138"/>
      <c r="S20" s="138"/>
      <c r="T20" s="243" t="e">
        <f t="shared" si="0"/>
        <v>#REF!</v>
      </c>
      <c r="U20" s="243" t="e">
        <f t="shared" si="1"/>
        <v>#REF!</v>
      </c>
      <c r="V20" s="243" t="e">
        <f t="shared" si="2"/>
        <v>#REF!</v>
      </c>
    </row>
    <row r="21" customFormat="1" s="126">
      <c r="A21" s="241">
        <v>45960</v>
      </c>
      <c r="B21" s="97" t="s">
        <v>7651</v>
      </c>
      <c r="C21" s="97" t="s">
        <v>7652</v>
      </c>
      <c r="D21" s="96" t="s">
        <v>7653</v>
      </c>
      <c r="E21" s="96" t="s">
        <v>5493</v>
      </c>
      <c r="F21" s="97" t="s">
        <v>5492</v>
      </c>
      <c r="G21" s="96">
        <v>800.0</v>
      </c>
      <c r="H21" s="96">
        <v>1.22</v>
      </c>
      <c r="I21" s="49" t="s">
        <v>7655</v>
      </c>
      <c r="J21" s="49" t="s">
        <v>7654</v>
      </c>
      <c r="K21" s="138"/>
      <c r="L21" s="138"/>
      <c r="M21" s="138"/>
      <c r="N21" s="138"/>
      <c r="O21" s="138"/>
      <c r="P21" s="138"/>
      <c r="Q21" s="138"/>
      <c r="R21" s="138"/>
      <c r="S21" s="138"/>
      <c r="T21" s="243" t="e">
        <f t="shared" si="0"/>
        <v>#REF!</v>
      </c>
      <c r="U21" s="243" t="e">
        <f t="shared" si="1"/>
        <v>#REF!</v>
      </c>
      <c r="V21" s="243" t="e">
        <f t="shared" si="2"/>
        <v>#REF!</v>
      </c>
    </row>
    <row r="22" customFormat="1" s="126">
      <c r="A22" s="241">
        <v>45960</v>
      </c>
      <c r="B22" s="97" t="s">
        <v>7651</v>
      </c>
      <c r="C22" s="97" t="s">
        <v>7652</v>
      </c>
      <c r="D22" s="96" t="s">
        <v>7653</v>
      </c>
      <c r="E22" s="96" t="s">
        <v>5523</v>
      </c>
      <c r="F22" s="97" t="s">
        <v>5522</v>
      </c>
      <c r="G22" s="96">
        <v>800.0</v>
      </c>
      <c r="H22" s="96">
        <v>1.22</v>
      </c>
      <c r="I22" s="49" t="s">
        <v>7655</v>
      </c>
      <c r="J22" s="49" t="s">
        <v>7654</v>
      </c>
      <c r="K22" s="138"/>
      <c r="L22" s="138"/>
      <c r="M22" s="138"/>
      <c r="N22" s="138"/>
      <c r="O22" s="138"/>
      <c r="P22" s="138"/>
      <c r="Q22" s="138"/>
      <c r="R22" s="138"/>
      <c r="S22" s="138"/>
      <c r="T22" s="243" t="e">
        <f t="shared" si="0"/>
        <v>#REF!</v>
      </c>
      <c r="U22" s="243" t="e">
        <f t="shared" si="1"/>
        <v>#REF!</v>
      </c>
      <c r="V22" s="243" t="e">
        <f t="shared" si="2"/>
        <v>#REF!</v>
      </c>
    </row>
    <row r="23" customFormat="1" s="126">
      <c r="A23" s="241">
        <v>45960</v>
      </c>
      <c r="B23" s="97" t="s">
        <v>7651</v>
      </c>
      <c r="C23" s="97" t="s">
        <v>7652</v>
      </c>
      <c r="D23" s="96" t="s">
        <v>7653</v>
      </c>
      <c r="E23" s="96" t="s">
        <v>5527</v>
      </c>
      <c r="F23" s="97" t="s">
        <v>5526</v>
      </c>
      <c r="G23" s="96">
        <v>800.0</v>
      </c>
      <c r="H23" s="96">
        <v>1.22</v>
      </c>
      <c r="I23" s="49" t="s">
        <v>7655</v>
      </c>
      <c r="J23" s="49" t="s">
        <v>7654</v>
      </c>
      <c r="K23" s="138"/>
      <c r="L23" s="138"/>
      <c r="M23" s="138"/>
      <c r="N23" s="138"/>
      <c r="O23" s="138"/>
      <c r="P23" s="138"/>
      <c r="Q23" s="138"/>
      <c r="R23" s="138"/>
      <c r="S23" s="138"/>
      <c r="T23" s="243" t="e">
        <f t="shared" si="0"/>
        <v>#REF!</v>
      </c>
      <c r="U23" s="243" t="e">
        <f t="shared" si="1"/>
        <v>#REF!</v>
      </c>
      <c r="V23" s="243" t="e">
        <f t="shared" si="2"/>
        <v>#REF!</v>
      </c>
    </row>
    <row r="24" customFormat="1" s="126">
      <c r="A24" s="241">
        <v>45973</v>
      </c>
      <c r="B24" s="97" t="s">
        <v>7656</v>
      </c>
      <c r="C24" s="97" t="s">
        <v>7652</v>
      </c>
      <c r="D24" s="96" t="s">
        <v>7657</v>
      </c>
      <c r="E24" s="96" t="s">
        <v>3866</v>
      </c>
      <c r="F24" s="97" t="s">
        <v>3865</v>
      </c>
      <c r="G24" s="96">
        <v>504.0</v>
      </c>
      <c r="H24" s="96">
        <v>2.75</v>
      </c>
      <c r="I24" s="49"/>
      <c r="J24" s="49" t="s">
        <v>7654</v>
      </c>
      <c r="K24" s="138"/>
      <c r="L24" s="138"/>
      <c r="M24" s="138"/>
      <c r="N24" s="138"/>
      <c r="O24" s="138"/>
      <c r="P24" s="138"/>
      <c r="Q24" s="138"/>
      <c r="R24" s="138"/>
      <c r="S24" s="138"/>
      <c r="T24" s="243" t="e">
        <f t="shared" si="0"/>
        <v>#REF!</v>
      </c>
      <c r="U24" s="243" t="e">
        <f t="shared" si="1"/>
        <v>#REF!</v>
      </c>
      <c r="V24" s="243" t="e">
        <f t="shared" si="2"/>
        <v>#REF!</v>
      </c>
    </row>
    <row r="25" customFormat="1" s="126">
      <c r="A25" s="241">
        <v>45973</v>
      </c>
      <c r="B25" s="97" t="s">
        <v>7656</v>
      </c>
      <c r="C25" s="97" t="s">
        <v>7652</v>
      </c>
      <c r="D25" s="96" t="s">
        <v>7657</v>
      </c>
      <c r="E25" s="96" t="s">
        <v>3820</v>
      </c>
      <c r="F25" s="97" t="s">
        <v>3819</v>
      </c>
      <c r="G25" s="96">
        <v>504.0</v>
      </c>
      <c r="H25" s="96">
        <v>2.75</v>
      </c>
      <c r="I25" s="49"/>
      <c r="J25" s="49" t="s">
        <v>7654</v>
      </c>
      <c r="K25" s="138"/>
      <c r="L25" s="138"/>
      <c r="M25" s="138"/>
      <c r="N25" s="138"/>
      <c r="O25" s="138"/>
      <c r="P25" s="138"/>
      <c r="Q25" s="138"/>
      <c r="R25" s="138"/>
      <c r="S25" s="138"/>
      <c r="T25" s="243" t="e">
        <f t="shared" si="0"/>
        <v>#REF!</v>
      </c>
      <c r="U25" s="243" t="e">
        <f t="shared" si="1"/>
        <v>#REF!</v>
      </c>
      <c r="V25" s="243" t="e">
        <f t="shared" si="2"/>
        <v>#REF!</v>
      </c>
    </row>
    <row r="26" customFormat="1" s="126">
      <c r="A26" s="241">
        <v>45973</v>
      </c>
      <c r="B26" s="97" t="s">
        <v>7656</v>
      </c>
      <c r="C26" s="97" t="s">
        <v>7652</v>
      </c>
      <c r="D26" s="96" t="s">
        <v>7657</v>
      </c>
      <c r="E26" s="96" t="s">
        <v>3836</v>
      </c>
      <c r="F26" s="97" t="s">
        <v>3835</v>
      </c>
      <c r="G26" s="96">
        <v>504.0</v>
      </c>
      <c r="H26" s="96">
        <v>2.75</v>
      </c>
      <c r="I26" s="49"/>
      <c r="J26" s="49" t="s">
        <v>7654</v>
      </c>
    </row>
    <row r="27" customFormat="1" s="126">
      <c r="A27" s="241">
        <v>45973</v>
      </c>
      <c r="B27" s="97" t="s">
        <v>7656</v>
      </c>
      <c r="C27" s="97" t="s">
        <v>7652</v>
      </c>
      <c r="D27" s="96" t="s">
        <v>7657</v>
      </c>
      <c r="E27" s="96" t="s">
        <v>3922</v>
      </c>
      <c r="F27" s="97" t="s">
        <v>3921</v>
      </c>
      <c r="G27" s="96">
        <v>504.0</v>
      </c>
      <c r="H27" s="96">
        <v>2.75</v>
      </c>
      <c r="I27" s="49" t="s">
        <v>7655</v>
      </c>
      <c r="J27" s="49" t="s">
        <v>7654</v>
      </c>
    </row>
    <row r="28" customFormat="1" s="126">
      <c r="A28" s="241">
        <v>45973</v>
      </c>
      <c r="B28" s="97" t="s">
        <v>7656</v>
      </c>
      <c r="C28" s="97" t="s">
        <v>7652</v>
      </c>
      <c r="D28" s="96" t="s">
        <v>7657</v>
      </c>
      <c r="E28" s="96" t="s">
        <v>3912</v>
      </c>
      <c r="F28" s="97" t="s">
        <v>3911</v>
      </c>
      <c r="G28" s="96">
        <v>504.0</v>
      </c>
      <c r="H28" s="96">
        <v>2.75</v>
      </c>
      <c r="I28" s="49" t="s">
        <v>7655</v>
      </c>
      <c r="J28" s="49" t="s">
        <v>7654</v>
      </c>
    </row>
    <row r="29" customFormat="1" s="126">
      <c r="A29" s="241">
        <v>45973</v>
      </c>
      <c r="B29" s="97" t="s">
        <v>7656</v>
      </c>
      <c r="C29" s="97" t="s">
        <v>7652</v>
      </c>
      <c r="D29" s="96" t="s">
        <v>7657</v>
      </c>
      <c r="E29" s="96" t="s">
        <v>3888</v>
      </c>
      <c r="F29" s="97" t="s">
        <v>3887</v>
      </c>
      <c r="G29" s="96">
        <v>504.0</v>
      </c>
      <c r="H29" s="96">
        <v>1.72</v>
      </c>
      <c r="I29" s="49"/>
      <c r="J29" s="49" t="s">
        <v>7654</v>
      </c>
    </row>
    <row r="30" customFormat="1" s="126">
      <c r="A30" s="241">
        <v>45973</v>
      </c>
      <c r="B30" s="97" t="s">
        <v>7656</v>
      </c>
      <c r="C30" s="97" t="s">
        <v>7652</v>
      </c>
      <c r="D30" s="96" t="s">
        <v>7657</v>
      </c>
      <c r="E30" s="96" t="s">
        <v>3928</v>
      </c>
      <c r="F30" s="97" t="s">
        <v>3927</v>
      </c>
      <c r="G30" s="96">
        <v>504.0</v>
      </c>
      <c r="H30" s="96">
        <v>1.72</v>
      </c>
      <c r="I30" s="49" t="s">
        <v>7655</v>
      </c>
      <c r="J30" s="49" t="s">
        <v>7654</v>
      </c>
    </row>
    <row r="31" customFormat="1" s="126">
      <c r="A31" s="241">
        <v>45973</v>
      </c>
      <c r="B31" s="97" t="s">
        <v>7656</v>
      </c>
      <c r="C31" s="97" t="s">
        <v>7652</v>
      </c>
      <c r="D31" s="96" t="s">
        <v>7657</v>
      </c>
      <c r="E31" s="96" t="s">
        <v>3926</v>
      </c>
      <c r="F31" s="97" t="s">
        <v>3925</v>
      </c>
      <c r="G31" s="96">
        <v>504.0</v>
      </c>
      <c r="H31" s="96">
        <v>1.72</v>
      </c>
      <c r="I31" s="49" t="s">
        <v>7655</v>
      </c>
      <c r="J31" s="49" t="s">
        <v>7654</v>
      </c>
    </row>
    <row r="32" customFormat="1" s="126">
      <c r="A32" s="241">
        <v>45973</v>
      </c>
      <c r="B32" s="97" t="s">
        <v>7656</v>
      </c>
      <c r="C32" s="97" t="s">
        <v>7652</v>
      </c>
      <c r="D32" s="96" t="s">
        <v>7657</v>
      </c>
      <c r="E32" s="96" t="s">
        <v>3902</v>
      </c>
      <c r="F32" s="97" t="s">
        <v>3901</v>
      </c>
      <c r="G32" s="96">
        <v>504.0</v>
      </c>
      <c r="H32" s="96">
        <v>1.51</v>
      </c>
      <c r="I32" s="49"/>
      <c r="J32" s="49" t="s">
        <v>7654</v>
      </c>
    </row>
    <row r="33" customFormat="1" s="126">
      <c r="A33" s="241">
        <v>45973</v>
      </c>
      <c r="B33" s="97" t="s">
        <v>7656</v>
      </c>
      <c r="C33" s="97" t="s">
        <v>7652</v>
      </c>
      <c r="D33" s="96" t="s">
        <v>7657</v>
      </c>
      <c r="E33" s="96" t="s">
        <v>3898</v>
      </c>
      <c r="F33" s="97" t="s">
        <v>3897</v>
      </c>
      <c r="G33" s="96">
        <v>504.0</v>
      </c>
      <c r="H33" s="96">
        <v>1.51</v>
      </c>
      <c r="I33" s="49"/>
      <c r="J33" s="49" t="s">
        <v>7654</v>
      </c>
    </row>
    <row r="34" customFormat="1" s="126">
      <c r="A34" s="241">
        <v>45973</v>
      </c>
      <c r="B34" s="97" t="s">
        <v>7656</v>
      </c>
      <c r="C34" s="97" t="s">
        <v>7652</v>
      </c>
      <c r="D34" s="96" t="s">
        <v>7657</v>
      </c>
      <c r="E34" s="96" t="s">
        <v>3900</v>
      </c>
      <c r="F34" s="97" t="s">
        <v>3899</v>
      </c>
      <c r="G34" s="96">
        <v>504.0</v>
      </c>
      <c r="H34" s="96">
        <v>1.51</v>
      </c>
      <c r="I34" s="49"/>
      <c r="J34" s="49" t="s">
        <v>7654</v>
      </c>
    </row>
    <row r="35" customFormat="1" s="126">
      <c r="A35" s="241">
        <v>45973</v>
      </c>
      <c r="B35" s="97" t="s">
        <v>7656</v>
      </c>
      <c r="C35" s="97" t="s">
        <v>7652</v>
      </c>
      <c r="D35" s="96" t="s">
        <v>7657</v>
      </c>
      <c r="E35" s="96" t="s">
        <v>3932</v>
      </c>
      <c r="F35" s="97" t="s">
        <v>3931</v>
      </c>
      <c r="G35" s="96">
        <v>504.0</v>
      </c>
      <c r="H35" s="96">
        <v>1.51</v>
      </c>
      <c r="I35" s="49" t="s">
        <v>7655</v>
      </c>
      <c r="J35" s="49" t="s">
        <v>7654</v>
      </c>
    </row>
    <row r="36" customFormat="1" s="126">
      <c r="A36" s="241">
        <v>45973</v>
      </c>
      <c r="B36" s="97" t="s">
        <v>7656</v>
      </c>
      <c r="C36" s="97" t="s">
        <v>7652</v>
      </c>
      <c r="D36" s="96" t="s">
        <v>7657</v>
      </c>
      <c r="E36" s="96" t="s">
        <v>3930</v>
      </c>
      <c r="F36" s="97" t="s">
        <v>3929</v>
      </c>
      <c r="G36" s="96">
        <v>504.0</v>
      </c>
      <c r="H36" s="96">
        <v>1.51</v>
      </c>
      <c r="I36" s="49" t="s">
        <v>7655</v>
      </c>
      <c r="J36" s="49" t="s">
        <v>7654</v>
      </c>
    </row>
    <row r="37" customFormat="1" s="126">
      <c r="A37" s="241">
        <v>45973</v>
      </c>
      <c r="B37" s="97" t="s">
        <v>7658</v>
      </c>
      <c r="C37" s="97" t="s">
        <v>7652</v>
      </c>
      <c r="D37" s="96" t="s">
        <v>7659</v>
      </c>
      <c r="E37" s="96" t="s">
        <v>5804</v>
      </c>
      <c r="F37" s="97" t="s">
        <v>5803</v>
      </c>
      <c r="G37" s="96">
        <v>500.0</v>
      </c>
      <c r="H37" s="96">
        <v>2.12</v>
      </c>
      <c r="I37" s="49"/>
      <c r="J37" s="49" t="s">
        <v>7654</v>
      </c>
    </row>
    <row r="38" customFormat="1" s="126">
      <c r="A38" s="241">
        <v>45973</v>
      </c>
      <c r="B38" s="97" t="s">
        <v>7658</v>
      </c>
      <c r="C38" s="97" t="s">
        <v>7652</v>
      </c>
      <c r="D38" s="96" t="s">
        <v>7659</v>
      </c>
      <c r="E38" s="96" t="s">
        <v>5770</v>
      </c>
      <c r="F38" s="97" t="s">
        <v>5769</v>
      </c>
      <c r="G38" s="96">
        <v>500.0</v>
      </c>
      <c r="H38" s="96">
        <v>2.12</v>
      </c>
      <c r="I38" s="49"/>
      <c r="J38" s="49" t="s">
        <v>7654</v>
      </c>
    </row>
    <row r="39" customFormat="1" s="126">
      <c r="A39" s="241">
        <v>45973</v>
      </c>
      <c r="B39" s="97" t="s">
        <v>7658</v>
      </c>
      <c r="C39" s="97" t="s">
        <v>7652</v>
      </c>
      <c r="D39" s="96" t="s">
        <v>7659</v>
      </c>
      <c r="E39" s="96" t="s">
        <v>5796</v>
      </c>
      <c r="F39" s="97" t="s">
        <v>5795</v>
      </c>
      <c r="G39" s="96">
        <v>500.0</v>
      </c>
      <c r="H39" s="96">
        <v>2.12</v>
      </c>
      <c r="I39" s="49" t="s">
        <v>7655</v>
      </c>
      <c r="J39" s="49" t="s">
        <v>7654</v>
      </c>
    </row>
    <row r="40" customFormat="1" s="126">
      <c r="A40" s="241">
        <v>45973</v>
      </c>
      <c r="B40" s="97" t="s">
        <v>7658</v>
      </c>
      <c r="C40" s="97" t="s">
        <v>7652</v>
      </c>
      <c r="D40" s="96" t="s">
        <v>7659</v>
      </c>
      <c r="E40" s="96" t="s">
        <v>5778</v>
      </c>
      <c r="F40" s="97" t="s">
        <v>5777</v>
      </c>
      <c r="G40" s="96">
        <v>500.0</v>
      </c>
      <c r="H40" s="96">
        <v>2.12</v>
      </c>
      <c r="I40" s="49" t="s">
        <v>7655</v>
      </c>
      <c r="J40" s="49" t="s">
        <v>7654</v>
      </c>
    </row>
    <row r="41" customFormat="1" s="126">
      <c r="A41" s="241">
        <v>45973</v>
      </c>
      <c r="B41" s="97" t="s">
        <v>7660</v>
      </c>
      <c r="C41" s="97" t="s">
        <v>7652</v>
      </c>
      <c r="D41" s="96" t="s">
        <v>7661</v>
      </c>
      <c r="E41" s="96" t="s">
        <v>6438</v>
      </c>
      <c r="F41" s="97" t="s">
        <v>6437</v>
      </c>
      <c r="G41" s="96">
        <v>501.0</v>
      </c>
      <c r="H41" s="96">
        <v>2.58</v>
      </c>
      <c r="I41" s="49"/>
      <c r="J41" s="49" t="s">
        <v>7654</v>
      </c>
    </row>
    <row r="42" customFormat="1" s="126">
      <c r="A42" s="241">
        <v>45973</v>
      </c>
      <c r="B42" s="97" t="s">
        <v>7660</v>
      </c>
      <c r="C42" s="97" t="s">
        <v>7652</v>
      </c>
      <c r="D42" s="96" t="s">
        <v>7661</v>
      </c>
      <c r="E42" s="96" t="s">
        <v>6440</v>
      </c>
      <c r="F42" s="97" t="s">
        <v>6439</v>
      </c>
      <c r="G42" s="96">
        <v>501.0</v>
      </c>
      <c r="H42" s="96">
        <v>2.58</v>
      </c>
      <c r="I42" s="49"/>
      <c r="J42" s="49" t="s">
        <v>7654</v>
      </c>
    </row>
    <row r="43" customFormat="1" s="126">
      <c r="A43" s="241">
        <v>45973</v>
      </c>
      <c r="B43" s="97" t="s">
        <v>7660</v>
      </c>
      <c r="C43" s="97" t="s">
        <v>7652</v>
      </c>
      <c r="D43" s="96" t="s">
        <v>7661</v>
      </c>
      <c r="E43" s="96" t="s">
        <v>6458</v>
      </c>
      <c r="F43" s="97" t="s">
        <v>6457</v>
      </c>
      <c r="G43" s="96">
        <v>501.0</v>
      </c>
      <c r="H43" s="96">
        <v>2.58</v>
      </c>
      <c r="I43" s="49"/>
      <c r="J43" s="49" t="s">
        <v>7654</v>
      </c>
    </row>
    <row r="44" customFormat="1" s="126">
      <c r="A44" s="241">
        <v>45973</v>
      </c>
      <c r="B44" s="97" t="s">
        <v>7660</v>
      </c>
      <c r="C44" s="97" t="s">
        <v>7652</v>
      </c>
      <c r="D44" s="96" t="s">
        <v>7661</v>
      </c>
      <c r="E44" s="96" t="s">
        <v>6462</v>
      </c>
      <c r="F44" s="97" t="s">
        <v>6461</v>
      </c>
      <c r="G44" s="96">
        <v>501.0</v>
      </c>
      <c r="H44" s="96">
        <v>2.58</v>
      </c>
      <c r="I44" s="49" t="s">
        <v>7655</v>
      </c>
      <c r="J44" s="49" t="s">
        <v>7654</v>
      </c>
    </row>
    <row r="45" customFormat="1" s="126">
      <c r="A45" s="241">
        <v>45973</v>
      </c>
      <c r="B45" s="97" t="s">
        <v>7660</v>
      </c>
      <c r="C45" s="97" t="s">
        <v>7652</v>
      </c>
      <c r="D45" s="96" t="s">
        <v>7661</v>
      </c>
      <c r="E45" s="96" t="s">
        <v>6442</v>
      </c>
      <c r="F45" s="97" t="s">
        <v>6441</v>
      </c>
      <c r="G45" s="96">
        <v>501.0</v>
      </c>
      <c r="H45" s="96">
        <v>2.58</v>
      </c>
      <c r="I45" s="49" t="s">
        <v>7655</v>
      </c>
      <c r="J45" s="49" t="s">
        <v>7654</v>
      </c>
    </row>
    <row r="46" customFormat="1" s="126">
      <c r="A46" s="241">
        <v>45973</v>
      </c>
      <c r="B46" s="97" t="s">
        <v>7662</v>
      </c>
      <c r="C46" s="97" t="s">
        <v>7652</v>
      </c>
      <c r="D46" s="96" t="s">
        <v>7663</v>
      </c>
      <c r="E46" s="96" t="s">
        <v>6948</v>
      </c>
      <c r="F46" s="97" t="s">
        <v>6947</v>
      </c>
      <c r="G46" s="96">
        <v>501.0</v>
      </c>
      <c r="H46" s="96">
        <v>4.87</v>
      </c>
      <c r="I46" s="49"/>
      <c r="J46" s="49" t="s">
        <v>7654</v>
      </c>
    </row>
    <row r="47" customFormat="1" s="126">
      <c r="A47" s="241">
        <v>45973</v>
      </c>
      <c r="B47" s="97" t="s">
        <v>7662</v>
      </c>
      <c r="C47" s="97" t="s">
        <v>7652</v>
      </c>
      <c r="D47" s="96" t="s">
        <v>7663</v>
      </c>
      <c r="E47" s="96" t="s">
        <v>6928</v>
      </c>
      <c r="F47" s="97" t="s">
        <v>6927</v>
      </c>
      <c r="G47" s="96">
        <v>501.0</v>
      </c>
      <c r="H47" s="96">
        <v>4.87</v>
      </c>
      <c r="I47" s="49"/>
      <c r="J47" s="49" t="s">
        <v>7654</v>
      </c>
    </row>
    <row r="48" customFormat="1" s="126">
      <c r="A48" s="241">
        <v>45973</v>
      </c>
      <c r="B48" s="97" t="s">
        <v>7662</v>
      </c>
      <c r="C48" s="97" t="s">
        <v>7652</v>
      </c>
      <c r="D48" s="96" t="s">
        <v>7663</v>
      </c>
      <c r="E48" s="96" t="s">
        <v>6936</v>
      </c>
      <c r="F48" s="97" t="s">
        <v>6935</v>
      </c>
      <c r="G48" s="96">
        <v>501.0</v>
      </c>
      <c r="H48" s="96">
        <v>4.87</v>
      </c>
      <c r="I48" s="49"/>
      <c r="J48" s="49" t="s">
        <v>7654</v>
      </c>
    </row>
    <row r="49" customFormat="1" s="126">
      <c r="A49" s="241">
        <v>45973</v>
      </c>
      <c r="B49" s="97" t="s">
        <v>7662</v>
      </c>
      <c r="C49" s="97" t="s">
        <v>7652</v>
      </c>
      <c r="D49" s="96" t="s">
        <v>7663</v>
      </c>
      <c r="E49" s="96" t="s">
        <v>6932</v>
      </c>
      <c r="F49" s="97" t="s">
        <v>6931</v>
      </c>
      <c r="G49" s="96">
        <v>501.0</v>
      </c>
      <c r="H49" s="96">
        <v>4.87</v>
      </c>
      <c r="I49" s="49" t="s">
        <v>7655</v>
      </c>
      <c r="J49" s="49" t="s">
        <v>7654</v>
      </c>
    </row>
    <row r="50" customFormat="1" s="126">
      <c r="A50" s="241">
        <v>45973</v>
      </c>
      <c r="B50" s="97" t="s">
        <v>7662</v>
      </c>
      <c r="C50" s="97" t="s">
        <v>7652</v>
      </c>
      <c r="D50" s="96" t="s">
        <v>7663</v>
      </c>
      <c r="E50" s="96" t="s">
        <v>6956</v>
      </c>
      <c r="F50" s="97" t="s">
        <v>6955</v>
      </c>
      <c r="G50" s="96">
        <v>250.0</v>
      </c>
      <c r="H50" s="96">
        <v>0.0</v>
      </c>
      <c r="I50" s="49"/>
      <c r="J50" s="49" t="s">
        <v>7654</v>
      </c>
    </row>
    <row r="51" customFormat="1" s="126">
      <c r="A51" s="241">
        <v>45973</v>
      </c>
      <c r="B51" s="97" t="s">
        <v>7664</v>
      </c>
      <c r="C51" s="97" t="s">
        <v>7652</v>
      </c>
      <c r="D51" s="96" t="s">
        <v>7665</v>
      </c>
      <c r="E51" s="96" t="s">
        <v>3509</v>
      </c>
      <c r="F51" s="97" t="s">
        <v>3508</v>
      </c>
      <c r="G51" s="96">
        <v>1008.0</v>
      </c>
      <c r="H51" s="96">
        <v>1.53</v>
      </c>
      <c r="I51" s="49"/>
      <c r="J51" s="49" t="s">
        <v>7654</v>
      </c>
    </row>
    <row r="52" customFormat="1" s="126">
      <c r="A52" s="241">
        <v>45973</v>
      </c>
      <c r="B52" s="97" t="s">
        <v>7664</v>
      </c>
      <c r="C52" s="97" t="s">
        <v>7652</v>
      </c>
      <c r="D52" s="96" t="s">
        <v>7665</v>
      </c>
      <c r="E52" s="96" t="s">
        <v>3507</v>
      </c>
      <c r="F52" s="97" t="s">
        <v>3506</v>
      </c>
      <c r="G52" s="96">
        <v>1008.0</v>
      </c>
      <c r="H52" s="96">
        <v>1.53</v>
      </c>
      <c r="I52" s="49" t="s">
        <v>7655</v>
      </c>
      <c r="J52" s="49" t="s">
        <v>7654</v>
      </c>
    </row>
    <row r="53" customFormat="1" s="126">
      <c r="A53" s="241">
        <v>45973</v>
      </c>
      <c r="B53" s="97" t="s">
        <v>7664</v>
      </c>
      <c r="C53" s="97" t="s">
        <v>7652</v>
      </c>
      <c r="D53" s="96" t="s">
        <v>7665</v>
      </c>
      <c r="E53" s="96" t="s">
        <v>3495</v>
      </c>
      <c r="F53" s="97" t="s">
        <v>3494</v>
      </c>
      <c r="G53" s="96">
        <v>1008.0</v>
      </c>
      <c r="H53" s="96">
        <v>1.53</v>
      </c>
      <c r="I53" s="49" t="s">
        <v>7655</v>
      </c>
      <c r="J53" s="49" t="s">
        <v>7654</v>
      </c>
    </row>
    <row r="54" customFormat="1" s="126">
      <c r="A54" s="241">
        <v>45973</v>
      </c>
      <c r="B54" s="97" t="s">
        <v>7664</v>
      </c>
      <c r="C54" s="97" t="s">
        <v>7652</v>
      </c>
      <c r="D54" s="96" t="s">
        <v>7665</v>
      </c>
      <c r="E54" s="96" t="s">
        <v>4065</v>
      </c>
      <c r="F54" s="97" t="s">
        <v>4064</v>
      </c>
      <c r="G54" s="96">
        <v>1008.0</v>
      </c>
      <c r="H54" s="96">
        <v>1.01</v>
      </c>
      <c r="I54" s="49" t="s">
        <v>7655</v>
      </c>
      <c r="J54" s="49" t="s">
        <v>7654</v>
      </c>
    </row>
    <row r="55" customFormat="1" s="126">
      <c r="A55" s="241">
        <v>45973</v>
      </c>
      <c r="B55" s="97" t="s">
        <v>7664</v>
      </c>
      <c r="C55" s="97" t="s">
        <v>7652</v>
      </c>
      <c r="D55" s="96" t="s">
        <v>7665</v>
      </c>
      <c r="E55" s="96" t="s">
        <v>4057</v>
      </c>
      <c r="F55" s="97" t="s">
        <v>4056</v>
      </c>
      <c r="G55" s="96">
        <v>1008.0</v>
      </c>
      <c r="H55" s="96">
        <v>1.01</v>
      </c>
      <c r="I55" s="49" t="s">
        <v>7655</v>
      </c>
      <c r="J55" s="49" t="s">
        <v>7654</v>
      </c>
    </row>
    <row r="56" customFormat="1" s="126">
      <c r="A56" s="241">
        <v>45973</v>
      </c>
      <c r="B56" s="97" t="s">
        <v>7664</v>
      </c>
      <c r="C56" s="97" t="s">
        <v>7652</v>
      </c>
      <c r="D56" s="96" t="s">
        <v>7665</v>
      </c>
      <c r="E56" s="96" t="s">
        <v>3525</v>
      </c>
      <c r="F56" s="97" t="s">
        <v>3524</v>
      </c>
      <c r="G56" s="96">
        <v>100.0</v>
      </c>
      <c r="H56" s="96">
        <v>0.48</v>
      </c>
      <c r="I56" s="49" t="s">
        <v>7655</v>
      </c>
      <c r="J56" s="49" t="s">
        <v>7654</v>
      </c>
    </row>
    <row r="57" customFormat="1" s="126">
      <c r="A57" s="241">
        <v>45973</v>
      </c>
      <c r="B57" s="97" t="s">
        <v>7664</v>
      </c>
      <c r="C57" s="97" t="s">
        <v>7652</v>
      </c>
      <c r="D57" s="96" t="s">
        <v>7665</v>
      </c>
      <c r="E57" s="96" t="s">
        <v>3517</v>
      </c>
      <c r="F57" s="97" t="s">
        <v>3516</v>
      </c>
      <c r="G57" s="96">
        <v>100.0</v>
      </c>
      <c r="H57" s="96">
        <v>0.48</v>
      </c>
      <c r="I57" s="49" t="s">
        <v>7655</v>
      </c>
      <c r="J57" s="49" t="s">
        <v>7654</v>
      </c>
    </row>
    <row r="58" customFormat="1" s="126">
      <c r="A58" s="241">
        <v>45973</v>
      </c>
      <c r="B58" s="97" t="s">
        <v>7666</v>
      </c>
      <c r="C58" s="97" t="s">
        <v>7652</v>
      </c>
      <c r="D58" s="96" t="s">
        <v>7667</v>
      </c>
      <c r="E58" s="96" t="s">
        <v>5207</v>
      </c>
      <c r="F58" s="97" t="s">
        <v>5206</v>
      </c>
      <c r="G58" s="96">
        <v>600.0</v>
      </c>
      <c r="H58" s="96">
        <v>1.68</v>
      </c>
      <c r="I58" s="49" t="s">
        <v>7655</v>
      </c>
      <c r="J58" s="49" t="s">
        <v>7654</v>
      </c>
    </row>
    <row r="59" customFormat="1" s="126">
      <c r="A59" s="241">
        <v>45973</v>
      </c>
      <c r="B59" s="97" t="s">
        <v>7666</v>
      </c>
      <c r="C59" s="97" t="s">
        <v>7652</v>
      </c>
      <c r="D59" s="96" t="s">
        <v>7667</v>
      </c>
      <c r="E59" s="96" t="s">
        <v>5201</v>
      </c>
      <c r="F59" s="97" t="s">
        <v>5200</v>
      </c>
      <c r="G59" s="96">
        <v>600.0</v>
      </c>
      <c r="H59" s="96">
        <v>1.68</v>
      </c>
      <c r="I59" s="49" t="s">
        <v>7655</v>
      </c>
      <c r="J59" s="49" t="s">
        <v>7654</v>
      </c>
    </row>
    <row r="60" customFormat="1" s="126">
      <c r="A60" s="241">
        <v>45973</v>
      </c>
      <c r="B60" s="97" t="s">
        <v>7668</v>
      </c>
      <c r="C60" s="97" t="s">
        <v>7652</v>
      </c>
      <c r="D60" s="96" t="s">
        <v>7669</v>
      </c>
      <c r="E60" s="96" t="s">
        <v>5648</v>
      </c>
      <c r="F60" s="97" t="s">
        <v>5647</v>
      </c>
      <c r="G60" s="96">
        <v>1002.0</v>
      </c>
      <c r="H60" s="96">
        <v>1.5944</v>
      </c>
      <c r="I60" s="49" t="s">
        <v>7655</v>
      </c>
      <c r="J60" s="49" t="s">
        <v>7654</v>
      </c>
    </row>
    <row r="61" customFormat="1" s="126">
      <c r="A61" s="241">
        <v>45973</v>
      </c>
      <c r="B61" s="97" t="s">
        <v>7668</v>
      </c>
      <c r="C61" s="97" t="s">
        <v>7652</v>
      </c>
      <c r="D61" s="96" t="s">
        <v>7669</v>
      </c>
      <c r="E61" s="96" t="s">
        <v>5638</v>
      </c>
      <c r="F61" s="97" t="s">
        <v>5637</v>
      </c>
      <c r="G61" s="96">
        <v>1002.0</v>
      </c>
      <c r="H61" s="96">
        <v>1.5943</v>
      </c>
      <c r="I61" s="49" t="s">
        <v>7655</v>
      </c>
      <c r="J61" s="49" t="s">
        <v>7654</v>
      </c>
    </row>
    <row r="62" customFormat="1" s="126">
      <c r="A62" s="241">
        <v>45986</v>
      </c>
      <c r="B62" s="97" t="s">
        <v>7670</v>
      </c>
      <c r="C62" s="97" t="s">
        <v>7652</v>
      </c>
      <c r="D62" s="96" t="s">
        <v>7671</v>
      </c>
      <c r="E62" s="96" t="s">
        <v>1666</v>
      </c>
      <c r="F62" s="97" t="s">
        <v>1665</v>
      </c>
      <c r="G62" s="96">
        <v>100.0</v>
      </c>
      <c r="H62" s="96">
        <v>21.5</v>
      </c>
      <c r="I62" s="49" t="s">
        <v>7655</v>
      </c>
      <c r="J62" s="49" t="s">
        <v>7654</v>
      </c>
    </row>
    <row r="63" customFormat="1" s="126">
      <c r="A63" s="244">
        <v>45995</v>
      </c>
      <c r="B63" s="97" t="s">
        <v>7672</v>
      </c>
      <c r="C63" s="97" t="s">
        <v>7652</v>
      </c>
      <c r="D63" s="96" t="s">
        <v>7661</v>
      </c>
      <c r="E63" s="96" t="s">
        <v>6452</v>
      </c>
      <c r="F63" s="97" t="s">
        <v>6451</v>
      </c>
      <c r="G63" s="96">
        <v>501.0</v>
      </c>
      <c r="H63" s="96">
        <v>2.6362</v>
      </c>
      <c r="I63" s="49"/>
      <c r="J63" s="49" t="s">
        <v>7654</v>
      </c>
    </row>
    <row r="64" customFormat="1" s="126">
      <c r="A64" s="244">
        <v>45995</v>
      </c>
      <c r="B64" s="97" t="s">
        <v>7672</v>
      </c>
      <c r="C64" s="97" t="s">
        <v>7652</v>
      </c>
      <c r="D64" s="96" t="s">
        <v>7661</v>
      </c>
      <c r="E64" s="96" t="s">
        <v>5678</v>
      </c>
      <c r="F64" s="97" t="s">
        <v>5677</v>
      </c>
      <c r="G64" s="96">
        <v>501.0</v>
      </c>
      <c r="H64" s="96">
        <v>2.6362</v>
      </c>
      <c r="I64" s="49"/>
      <c r="J64" s="49" t="s">
        <v>7654</v>
      </c>
    </row>
    <row r="65" customFormat="1" s="126">
      <c r="A65" s="244">
        <v>45995</v>
      </c>
      <c r="B65" s="97" t="s">
        <v>7672</v>
      </c>
      <c r="C65" s="97" t="s">
        <v>7652</v>
      </c>
      <c r="D65" s="96" t="s">
        <v>7661</v>
      </c>
      <c r="E65" s="96" t="s">
        <v>5672</v>
      </c>
      <c r="F65" s="97" t="s">
        <v>5671</v>
      </c>
      <c r="G65" s="96">
        <v>501.0</v>
      </c>
      <c r="H65" s="96">
        <v>2.6362</v>
      </c>
      <c r="I65" s="49"/>
      <c r="J65" s="49" t="s">
        <v>7654</v>
      </c>
    </row>
    <row r="66" customFormat="1" s="126">
      <c r="A66" s="244">
        <v>45995</v>
      </c>
      <c r="B66" s="97" t="s">
        <v>7672</v>
      </c>
      <c r="C66" s="97" t="s">
        <v>7652</v>
      </c>
      <c r="D66" s="96" t="s">
        <v>7661</v>
      </c>
      <c r="E66" s="96" t="s">
        <v>5676</v>
      </c>
      <c r="F66" s="97" t="s">
        <v>5675</v>
      </c>
      <c r="G66" s="96">
        <v>501.0</v>
      </c>
      <c r="H66" s="96">
        <v>2.6362</v>
      </c>
      <c r="I66" s="49"/>
      <c r="J66" s="49" t="s">
        <v>7654</v>
      </c>
    </row>
    <row r="67">
      <c r="A67" s="244">
        <v>45995</v>
      </c>
      <c r="B67" s="97" t="s">
        <v>7672</v>
      </c>
      <c r="C67" s="97" t="s">
        <v>7652</v>
      </c>
      <c r="D67" s="96" t="s">
        <v>7661</v>
      </c>
      <c r="E67" s="96" t="s">
        <v>5670</v>
      </c>
      <c r="F67" s="97" t="s">
        <v>5669</v>
      </c>
      <c r="G67" s="96">
        <v>501.0</v>
      </c>
      <c r="H67" s="96">
        <v>2.6362</v>
      </c>
      <c r="I67" s="49"/>
      <c r="J67" s="49" t="s">
        <v>7654</v>
      </c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</row>
    <row r="68" customHeight="1" ht="14.0" customFormat="1" s="126">
      <c r="A68" s="244">
        <v>45995</v>
      </c>
      <c r="B68" s="97" t="s">
        <v>7672</v>
      </c>
      <c r="C68" s="97" t="s">
        <v>7652</v>
      </c>
      <c r="D68" s="96" t="s">
        <v>7661</v>
      </c>
      <c r="E68" s="96" t="s">
        <v>5674</v>
      </c>
      <c r="F68" s="97" t="s">
        <v>5673</v>
      </c>
      <c r="G68" s="96">
        <v>501.0</v>
      </c>
      <c r="H68" s="96">
        <v>2.6362</v>
      </c>
      <c r="I68" s="49"/>
      <c r="J68" s="49" t="s">
        <v>7654</v>
      </c>
    </row>
    <row r="69" ht="14.0" customFormat="1" s="126">
      <c r="A69" s="244">
        <v>45995</v>
      </c>
      <c r="B69" s="97" t="s">
        <v>7672</v>
      </c>
      <c r="C69" s="97" t="s">
        <v>7652</v>
      </c>
      <c r="D69" s="96" t="s">
        <v>7661</v>
      </c>
      <c r="E69" s="96" t="s">
        <v>6478</v>
      </c>
      <c r="F69" s="97" t="s">
        <v>6477</v>
      </c>
      <c r="G69" s="96">
        <v>501.0</v>
      </c>
      <c r="H69" s="96">
        <v>2.5798</v>
      </c>
      <c r="I69" s="49"/>
      <c r="J69" s="49" t="s">
        <v>7654</v>
      </c>
    </row>
    <row r="70" ht="14.0" customFormat="1" s="126">
      <c r="A70" s="241">
        <v>46003</v>
      </c>
      <c r="B70" s="97" t="s">
        <v>7673</v>
      </c>
      <c r="C70" s="97" t="s">
        <v>7652</v>
      </c>
      <c r="D70" s="96" t="s">
        <v>7674</v>
      </c>
      <c r="E70" s="96" t="s">
        <v>3778</v>
      </c>
      <c r="F70" s="97" t="s">
        <v>3777</v>
      </c>
      <c r="G70" s="96">
        <v>501.0</v>
      </c>
      <c r="H70" s="96">
        <v>1.29</v>
      </c>
      <c r="I70" s="49"/>
      <c r="J70" s="49" t="s">
        <v>7654</v>
      </c>
    </row>
    <row r="71" ht="14.0" customFormat="1" s="126">
      <c r="A71" s="241">
        <v>46003</v>
      </c>
      <c r="B71" s="97" t="s">
        <v>7673</v>
      </c>
      <c r="C71" s="97" t="s">
        <v>7652</v>
      </c>
      <c r="D71" s="96" t="s">
        <v>7674</v>
      </c>
      <c r="E71" s="96" t="s">
        <v>3786</v>
      </c>
      <c r="F71" s="97" t="s">
        <v>3785</v>
      </c>
      <c r="G71" s="96">
        <v>501.0</v>
      </c>
      <c r="H71" s="96">
        <v>1.29</v>
      </c>
      <c r="I71" s="49" t="s">
        <v>7655</v>
      </c>
      <c r="J71" s="49" t="s">
        <v>7654</v>
      </c>
    </row>
    <row r="72" ht="14.0" customFormat="1" s="126">
      <c r="A72" s="241">
        <v>46003</v>
      </c>
      <c r="B72" s="97" t="s">
        <v>7673</v>
      </c>
      <c r="C72" s="97" t="s">
        <v>7652</v>
      </c>
      <c r="D72" s="96" t="s">
        <v>7674</v>
      </c>
      <c r="E72" s="96" t="s">
        <v>3780</v>
      </c>
      <c r="F72" s="97" t="s">
        <v>3779</v>
      </c>
      <c r="G72" s="96">
        <v>501.0</v>
      </c>
      <c r="H72" s="96">
        <v>1.29</v>
      </c>
      <c r="I72" s="49" t="s">
        <v>7655</v>
      </c>
      <c r="J72" s="49" t="s">
        <v>7654</v>
      </c>
    </row>
    <row r="73" ht="14.0" customFormat="1" s="126">
      <c r="A73" s="241">
        <v>46007</v>
      </c>
      <c r="B73" s="97" t="s">
        <v>7675</v>
      </c>
      <c r="C73" s="97" t="s">
        <v>7652</v>
      </c>
      <c r="D73" s="96" t="s">
        <v>7676</v>
      </c>
      <c r="E73" s="96" t="s">
        <v>6631</v>
      </c>
      <c r="F73" s="97" t="s">
        <v>6630</v>
      </c>
      <c r="G73" s="96">
        <v>300.0</v>
      </c>
      <c r="H73" s="96">
        <v>3.6</v>
      </c>
      <c r="I73" s="49"/>
      <c r="J73" s="49" t="s">
        <v>7654</v>
      </c>
    </row>
    <row r="74" ht="14.0" customFormat="1" s="126">
      <c r="A74" s="241">
        <v>46007</v>
      </c>
      <c r="B74" s="97" t="s">
        <v>7675</v>
      </c>
      <c r="C74" s="97" t="s">
        <v>7652</v>
      </c>
      <c r="D74" s="96" t="s">
        <v>7676</v>
      </c>
      <c r="E74" s="96" t="s">
        <v>6637</v>
      </c>
      <c r="F74" s="97" t="s">
        <v>6636</v>
      </c>
      <c r="G74" s="96">
        <v>300.0</v>
      </c>
      <c r="H74" s="96">
        <v>3.6</v>
      </c>
      <c r="I74" s="49" t="s">
        <v>7655</v>
      </c>
      <c r="J74" s="49" t="s">
        <v>7654</v>
      </c>
    </row>
    <row r="75" ht="14.0" customFormat="1" s="126">
      <c r="A75" s="241">
        <v>46007</v>
      </c>
      <c r="B75" s="97" t="s">
        <v>7675</v>
      </c>
      <c r="C75" s="97" t="s">
        <v>7652</v>
      </c>
      <c r="D75" s="96" t="s">
        <v>7676</v>
      </c>
      <c r="E75" s="96" t="s">
        <v>6633</v>
      </c>
      <c r="F75" s="97" t="s">
        <v>6632</v>
      </c>
      <c r="G75" s="96">
        <v>300.0</v>
      </c>
      <c r="H75" s="96">
        <v>3.6</v>
      </c>
      <c r="I75" s="49" t="s">
        <v>7655</v>
      </c>
      <c r="J75" s="49" t="s">
        <v>7654</v>
      </c>
    </row>
    <row r="76" ht="14.0" customFormat="1" s="126">
      <c r="A76" s="245">
        <v>46034</v>
      </c>
      <c r="B76" s="97" t="s">
        <v>7677</v>
      </c>
      <c r="C76" s="97" t="s">
        <v>7652</v>
      </c>
      <c r="D76" s="96" t="s">
        <v>7678</v>
      </c>
      <c r="E76" s="96"/>
      <c r="F76" s="96"/>
      <c r="G76" s="96">
        <v>2.0</v>
      </c>
      <c r="H76" s="96">
        <v>362.0</v>
      </c>
      <c r="I76" s="49" t="s">
        <v>7679</v>
      </c>
      <c r="J76" s="49" t="s">
        <v>7654</v>
      </c>
    </row>
    <row r="77" ht="14.0" customFormat="1" s="126">
      <c r="A77" s="245">
        <v>46034</v>
      </c>
      <c r="B77" s="97" t="s">
        <v>7677</v>
      </c>
      <c r="C77" s="97" t="s">
        <v>7652</v>
      </c>
      <c r="D77" s="96" t="s">
        <v>7678</v>
      </c>
      <c r="E77" s="96"/>
      <c r="F77" s="96"/>
      <c r="G77" s="96">
        <v>1.0</v>
      </c>
      <c r="H77" s="96">
        <v>200.0</v>
      </c>
      <c r="I77" s="49" t="s">
        <v>7679</v>
      </c>
      <c r="J77" s="49" t="s">
        <v>7654</v>
      </c>
    </row>
    <row r="78" ht="14.0" customFormat="1" s="126">
      <c r="A78" s="245">
        <v>46034</v>
      </c>
      <c r="B78" s="97" t="s">
        <v>7677</v>
      </c>
      <c r="C78" s="97" t="s">
        <v>7652</v>
      </c>
      <c r="D78" s="96" t="s">
        <v>7678</v>
      </c>
      <c r="E78" s="96"/>
      <c r="F78" s="96"/>
      <c r="G78" s="96">
        <v>2.0</v>
      </c>
      <c r="H78" s="96">
        <v>521.0</v>
      </c>
      <c r="I78" s="49" t="s">
        <v>7679</v>
      </c>
      <c r="J78" s="49" t="s">
        <v>7654</v>
      </c>
    </row>
    <row r="79" ht="14.0" customFormat="1" s="126">
      <c r="A79" s="245">
        <v>46034</v>
      </c>
      <c r="B79" s="97" t="s">
        <v>7677</v>
      </c>
      <c r="C79" s="97" t="s">
        <v>7652</v>
      </c>
      <c r="D79" s="96" t="s">
        <v>7678</v>
      </c>
      <c r="E79" s="96"/>
      <c r="F79" s="96"/>
      <c r="G79" s="96">
        <v>1.0</v>
      </c>
      <c r="H79" s="96">
        <v>30.0</v>
      </c>
      <c r="I79" s="49" t="s">
        <v>7679</v>
      </c>
      <c r="J79" s="49" t="s">
        <v>7654</v>
      </c>
    </row>
    <row r="80" ht="14.0" customFormat="1" s="126">
      <c r="A80" s="245">
        <v>46038</v>
      </c>
      <c r="B80" s="97" t="s">
        <v>7680</v>
      </c>
      <c r="C80" s="97" t="s">
        <v>7652</v>
      </c>
      <c r="D80" s="96" t="s">
        <v>7681</v>
      </c>
      <c r="E80" s="96" t="s">
        <v>1414</v>
      </c>
      <c r="F80" s="96" t="s">
        <v>1413</v>
      </c>
      <c r="G80" s="96">
        <v>900.0</v>
      </c>
      <c r="H80" s="96">
        <v>3.48</v>
      </c>
      <c r="I80" s="49"/>
      <c r="J80" s="49" t="s">
        <v>7654</v>
      </c>
    </row>
    <row r="81" ht="14.0" customFormat="1" s="126">
      <c r="A81" s="245">
        <v>46038</v>
      </c>
      <c r="B81" s="97" t="s">
        <v>7680</v>
      </c>
      <c r="C81" s="97" t="s">
        <v>7652</v>
      </c>
      <c r="D81" s="96" t="s">
        <v>7681</v>
      </c>
      <c r="E81" s="96" t="s">
        <v>1412</v>
      </c>
      <c r="F81" s="96" t="s">
        <v>1411</v>
      </c>
      <c r="G81" s="96">
        <v>900.0</v>
      </c>
      <c r="H81" s="96">
        <v>1.74</v>
      </c>
      <c r="I81" s="49"/>
      <c r="J81" s="49" t="s">
        <v>7654</v>
      </c>
    </row>
    <row r="82" ht="14.0" customFormat="1" s="126">
      <c r="A82" s="246">
        <v>45973</v>
      </c>
      <c r="B82" s="247" t="s">
        <v>7662</v>
      </c>
      <c r="C82" s="247" t="s">
        <v>7652</v>
      </c>
      <c r="D82" s="248" t="s">
        <v>7663</v>
      </c>
      <c r="E82" s="248" t="s">
        <v>6946</v>
      </c>
      <c r="F82" s="247" t="s">
        <v>6945</v>
      </c>
      <c r="G82" s="248">
        <v>501.0</v>
      </c>
      <c r="H82" s="248">
        <v>4.87</v>
      </c>
      <c r="I82" s="249" t="s">
        <v>7655</v>
      </c>
      <c r="J82" s="250" t="s">
        <v>7682</v>
      </c>
    </row>
    <row r="83" ht="14.0" customFormat="1" s="126">
      <c r="A83" s="245">
        <v>46044</v>
      </c>
      <c r="B83" s="97" t="s">
        <v>7683</v>
      </c>
      <c r="C83" s="97" t="s">
        <v>7652</v>
      </c>
      <c r="D83" s="96" t="s">
        <v>7657</v>
      </c>
      <c r="E83" s="96" t="s">
        <v>2121</v>
      </c>
      <c r="F83" s="96" t="s">
        <v>2120</v>
      </c>
      <c r="G83" s="96">
        <v>10000.0</v>
      </c>
      <c r="H83" s="96">
        <v>0.071</v>
      </c>
      <c r="I83" s="49" t="s">
        <v>7684</v>
      </c>
      <c r="J83" s="251" t="s">
        <v>7685</v>
      </c>
    </row>
    <row r="84" ht="14.0" customFormat="1" s="126">
      <c r="A84" s="245">
        <v>46044</v>
      </c>
      <c r="B84" s="97" t="s">
        <v>7683</v>
      </c>
      <c r="C84" s="97" t="s">
        <v>7652</v>
      </c>
      <c r="D84" s="96" t="s">
        <v>7657</v>
      </c>
      <c r="E84" s="96" t="s">
        <v>2123</v>
      </c>
      <c r="F84" s="96" t="s">
        <v>2122</v>
      </c>
      <c r="G84" s="96">
        <v>50000.0</v>
      </c>
      <c r="H84" s="96">
        <v>0.03</v>
      </c>
      <c r="I84" s="49" t="s">
        <v>7684</v>
      </c>
      <c r="J84" s="251" t="s">
        <v>7685</v>
      </c>
    </row>
    <row r="85" ht="14.0" customFormat="1" s="126">
      <c r="A85" s="245">
        <v>46050</v>
      </c>
      <c r="B85" s="97" t="s">
        <v>7686</v>
      </c>
      <c r="C85" s="97" t="s">
        <v>7687</v>
      </c>
      <c r="D85" s="96" t="s">
        <v>7657</v>
      </c>
      <c r="E85" s="96" t="s">
        <v>3967</v>
      </c>
      <c r="F85" s="96" t="s">
        <v>3966</v>
      </c>
      <c r="G85" s="96">
        <v>10000.0</v>
      </c>
      <c r="H85" s="96">
        <v>0.048</v>
      </c>
      <c r="I85" s="49" t="s">
        <v>7684</v>
      </c>
      <c r="J85" s="251" t="s">
        <v>7685</v>
      </c>
    </row>
    <row r="86" ht="14.0" customFormat="1" s="126">
      <c r="A86" s="245">
        <v>46050</v>
      </c>
      <c r="B86" s="97" t="s">
        <v>7686</v>
      </c>
      <c r="C86" s="97" t="s">
        <v>7687</v>
      </c>
      <c r="D86" s="96" t="s">
        <v>7657</v>
      </c>
      <c r="E86" s="96" t="s">
        <v>4446</v>
      </c>
      <c r="F86" s="96" t="s">
        <v>4445</v>
      </c>
      <c r="G86" s="96">
        <v>10000.0</v>
      </c>
      <c r="H86" s="96">
        <v>0.04</v>
      </c>
      <c r="I86" s="49" t="s">
        <v>7684</v>
      </c>
      <c r="J86" s="251" t="s">
        <v>7685</v>
      </c>
    </row>
    <row r="87" ht="14.0" customFormat="1" s="126">
      <c r="A87" s="241">
        <v>45987</v>
      </c>
      <c r="B87" s="97" t="s">
        <v>7688</v>
      </c>
      <c r="C87" s="97" t="s">
        <v>7652</v>
      </c>
      <c r="D87" s="96" t="s">
        <v>7689</v>
      </c>
      <c r="E87" s="96" t="s">
        <v>6190</v>
      </c>
      <c r="F87" s="97" t="s">
        <v>6189</v>
      </c>
      <c r="G87" s="96">
        <v>504.0</v>
      </c>
      <c r="H87" s="96">
        <v>3.0</v>
      </c>
      <c r="I87" s="231"/>
      <c r="J87" s="251" t="s">
        <v>7685</v>
      </c>
    </row>
    <row r="88" ht="14.0" customFormat="1" s="126">
      <c r="A88" s="241">
        <v>45987</v>
      </c>
      <c r="B88" s="97" t="s">
        <v>7688</v>
      </c>
      <c r="C88" s="97" t="s">
        <v>7652</v>
      </c>
      <c r="D88" s="96" t="s">
        <v>7689</v>
      </c>
      <c r="E88" s="96" t="s">
        <v>7690</v>
      </c>
      <c r="F88" s="97" t="s">
        <v>6167</v>
      </c>
      <c r="G88" s="96">
        <v>504.0</v>
      </c>
      <c r="H88" s="96">
        <v>3.0</v>
      </c>
      <c r="I88" s="231"/>
      <c r="J88" s="251" t="s">
        <v>7685</v>
      </c>
    </row>
    <row r="89" ht="14.0" customFormat="1" s="126">
      <c r="A89" s="252">
        <v>46029</v>
      </c>
      <c r="B89" s="97" t="s">
        <v>7691</v>
      </c>
      <c r="C89" s="97" t="s">
        <v>7652</v>
      </c>
      <c r="D89" s="96" t="s">
        <v>7692</v>
      </c>
      <c r="E89" s="96" t="s">
        <v>3351</v>
      </c>
      <c r="F89" s="96" t="s">
        <v>3350</v>
      </c>
      <c r="G89" s="96">
        <v>714.0</v>
      </c>
      <c r="H89" s="96">
        <v>0.95</v>
      </c>
      <c r="I89" s="49" t="s">
        <v>7693</v>
      </c>
      <c r="J89" s="251" t="s">
        <v>7685</v>
      </c>
    </row>
    <row r="90" ht="14.0" customFormat="1" s="126">
      <c r="A90" s="252">
        <v>46029</v>
      </c>
      <c r="B90" s="97" t="s">
        <v>7691</v>
      </c>
      <c r="C90" s="97" t="s">
        <v>7652</v>
      </c>
      <c r="D90" s="96" t="s">
        <v>7692</v>
      </c>
      <c r="E90" s="96" t="s">
        <v>3381</v>
      </c>
      <c r="F90" s="96" t="s">
        <v>3380</v>
      </c>
      <c r="G90" s="96">
        <v>1002.0</v>
      </c>
      <c r="H90" s="96">
        <v>0.95</v>
      </c>
      <c r="I90" s="49" t="s">
        <v>7693</v>
      </c>
      <c r="J90" s="251" t="s">
        <v>7685</v>
      </c>
    </row>
    <row r="91" ht="14.0" customFormat="1" s="126">
      <c r="A91" s="252">
        <v>46029</v>
      </c>
      <c r="B91" s="97" t="s">
        <v>7691</v>
      </c>
      <c r="C91" s="97" t="s">
        <v>7652</v>
      </c>
      <c r="D91" s="96" t="s">
        <v>7692</v>
      </c>
      <c r="E91" s="96" t="s">
        <v>3377</v>
      </c>
      <c r="F91" s="96" t="s">
        <v>3376</v>
      </c>
      <c r="G91" s="96">
        <v>501.0</v>
      </c>
      <c r="H91" s="96">
        <v>0.95</v>
      </c>
      <c r="I91" s="49" t="s">
        <v>7693</v>
      </c>
      <c r="J91" s="251" t="s">
        <v>7685</v>
      </c>
    </row>
    <row r="92" ht="14.0" customFormat="1" s="126">
      <c r="A92" s="252">
        <v>46029</v>
      </c>
      <c r="B92" s="97" t="s">
        <v>7691</v>
      </c>
      <c r="C92" s="97" t="s">
        <v>7652</v>
      </c>
      <c r="D92" s="96" t="s">
        <v>7692</v>
      </c>
      <c r="E92" s="96" t="s">
        <v>3353</v>
      </c>
      <c r="F92" s="96" t="s">
        <v>3352</v>
      </c>
      <c r="G92" s="96">
        <v>501.0</v>
      </c>
      <c r="H92" s="96">
        <v>0.95</v>
      </c>
      <c r="I92" s="49" t="s">
        <v>7693</v>
      </c>
      <c r="J92" s="251" t="s">
        <v>7685</v>
      </c>
    </row>
    <row r="93" ht="14.0" customFormat="1" s="126">
      <c r="A93" s="252">
        <v>46029</v>
      </c>
      <c r="B93" s="97" t="s">
        <v>7691</v>
      </c>
      <c r="C93" s="97" t="s">
        <v>7652</v>
      </c>
      <c r="D93" s="96" t="s">
        <v>7692</v>
      </c>
      <c r="E93" s="96" t="s">
        <v>6517</v>
      </c>
      <c r="F93" s="96" t="s">
        <v>6516</v>
      </c>
      <c r="G93" s="96">
        <v>501.0</v>
      </c>
      <c r="H93" s="96">
        <v>0.81</v>
      </c>
      <c r="I93" s="49" t="s">
        <v>7693</v>
      </c>
      <c r="J93" s="251" t="s">
        <v>7685</v>
      </c>
    </row>
    <row r="94" ht="14.0" customFormat="1" s="126">
      <c r="A94" s="252">
        <v>46029</v>
      </c>
      <c r="B94" s="97" t="s">
        <v>7691</v>
      </c>
      <c r="C94" s="97" t="s">
        <v>7652</v>
      </c>
      <c r="D94" s="96" t="s">
        <v>7692</v>
      </c>
      <c r="E94" s="96" t="s">
        <v>6495</v>
      </c>
      <c r="F94" s="96" t="s">
        <v>6494</v>
      </c>
      <c r="G94" s="96">
        <v>585.0</v>
      </c>
      <c r="H94" s="96">
        <v>0.81</v>
      </c>
      <c r="I94" s="49" t="s">
        <v>7693</v>
      </c>
      <c r="J94" s="251" t="s">
        <v>7685</v>
      </c>
      <c r="K94" s="138"/>
      <c r="L94" s="138"/>
      <c r="M94" s="138"/>
      <c r="N94" s="138"/>
      <c r="O94" s="138"/>
      <c r="P94" s="138"/>
    </row>
    <row r="95" ht="14.0" customFormat="1" s="126">
      <c r="A95" s="252">
        <v>46029</v>
      </c>
      <c r="B95" s="97" t="s">
        <v>7691</v>
      </c>
      <c r="C95" s="97" t="s">
        <v>7652</v>
      </c>
      <c r="D95" s="96" t="s">
        <v>7692</v>
      </c>
      <c r="E95" s="96" t="s">
        <v>6515</v>
      </c>
      <c r="F95" s="96" t="s">
        <v>6514</v>
      </c>
      <c r="G95" s="96">
        <v>501.0</v>
      </c>
      <c r="H95" s="96">
        <v>0.81</v>
      </c>
      <c r="I95" s="49" t="s">
        <v>7693</v>
      </c>
      <c r="J95" s="251" t="s">
        <v>7685</v>
      </c>
      <c r="K95" s="138"/>
      <c r="L95" s="138"/>
      <c r="M95" s="138"/>
      <c r="N95" s="138"/>
      <c r="O95" s="138"/>
      <c r="P95" s="138"/>
      <c r="Q95" s="243"/>
      <c r="R95" s="243"/>
    </row>
    <row r="96" ht="14.0" customFormat="1" s="126">
      <c r="A96" s="252">
        <v>46029</v>
      </c>
      <c r="B96" s="97" t="s">
        <v>7691</v>
      </c>
      <c r="C96" s="97" t="s">
        <v>7652</v>
      </c>
      <c r="D96" s="96" t="s">
        <v>7692</v>
      </c>
      <c r="E96" s="96" t="s">
        <v>6497</v>
      </c>
      <c r="F96" s="96" t="s">
        <v>6496</v>
      </c>
      <c r="G96" s="96">
        <v>501.0</v>
      </c>
      <c r="H96" s="96">
        <v>0.81</v>
      </c>
      <c r="I96" s="49" t="s">
        <v>7693</v>
      </c>
      <c r="J96" s="251" t="s">
        <v>7685</v>
      </c>
      <c r="K96" s="138"/>
      <c r="L96" s="138"/>
      <c r="M96" s="138"/>
      <c r="N96" s="138"/>
      <c r="O96" s="138"/>
      <c r="P96" s="138"/>
      <c r="Q96" s="243"/>
      <c r="R96" s="243"/>
    </row>
    <row r="97" customFormat="1" s="126">
      <c r="A97" s="232"/>
      <c r="B97" s="232"/>
      <c r="C97" s="232"/>
      <c r="I97" s="231"/>
      <c r="J97" s="253"/>
      <c r="K97" s="138"/>
      <c r="L97" s="138"/>
      <c r="M97" s="138"/>
      <c r="N97" s="138"/>
      <c r="O97" s="138"/>
      <c r="P97" s="138"/>
      <c r="Q97" s="243"/>
      <c r="R97" s="243"/>
    </row>
    <row r="98" customFormat="1" s="126">
      <c r="A98" s="232"/>
      <c r="B98" s="232"/>
      <c r="C98" s="232"/>
      <c r="I98" s="231"/>
      <c r="J98" s="253"/>
      <c r="K98" s="138"/>
      <c r="L98" s="138"/>
      <c r="M98" s="138"/>
      <c r="N98" s="138"/>
      <c r="O98" s="138"/>
      <c r="P98" s="138"/>
      <c r="Q98" s="243"/>
      <c r="R98" s="243"/>
    </row>
    <row r="99" customFormat="1" s="126">
      <c r="A99" s="232"/>
      <c r="B99" s="232"/>
      <c r="C99" s="232"/>
      <c r="I99" s="231"/>
      <c r="J99" s="253"/>
      <c r="K99" s="138"/>
      <c r="L99" s="138"/>
      <c r="M99" s="138"/>
      <c r="N99" s="138"/>
      <c r="O99" s="138"/>
      <c r="P99" s="138"/>
      <c r="Q99" s="243"/>
      <c r="R99" s="243"/>
    </row>
    <row r="100" customFormat="1" s="126">
      <c r="A100" s="232"/>
      <c r="B100" s="232"/>
      <c r="C100" s="232"/>
      <c r="I100" s="231"/>
      <c r="J100" s="253"/>
      <c r="K100" s="138"/>
      <c r="L100" s="138"/>
      <c r="M100" s="138"/>
      <c r="N100" s="138"/>
      <c r="O100" s="138"/>
      <c r="P100" s="138"/>
      <c r="Q100" s="243"/>
      <c r="R100" s="243"/>
    </row>
    <row r="101" customFormat="1" s="126">
      <c r="A101" s="232"/>
      <c r="B101" s="232"/>
      <c r="C101" s="232"/>
      <c r="I101" s="231"/>
      <c r="J101" s="253"/>
      <c r="K101" s="138"/>
      <c r="L101" s="138"/>
      <c r="M101" s="138"/>
      <c r="N101" s="138"/>
      <c r="O101" s="138"/>
      <c r="P101" s="138"/>
      <c r="Q101" s="243"/>
      <c r="R101" s="243"/>
    </row>
    <row r="102" customFormat="1" s="126">
      <c r="A102" s="232"/>
      <c r="B102" s="232"/>
      <c r="C102" s="232"/>
      <c r="I102" s="231"/>
      <c r="J102" s="253"/>
      <c r="K102" s="138"/>
      <c r="L102" s="138"/>
      <c r="M102" s="138"/>
      <c r="N102" s="138"/>
      <c r="O102" s="138"/>
      <c r="P102" s="138"/>
      <c r="Q102" s="243"/>
      <c r="R102" s="243"/>
    </row>
    <row r="103" customFormat="1" s="126">
      <c r="A103" s="232"/>
      <c r="B103" s="232"/>
      <c r="C103" s="232"/>
      <c r="I103" s="231"/>
      <c r="J103" s="253"/>
      <c r="K103" s="138"/>
      <c r="L103" s="138"/>
      <c r="M103" s="138"/>
      <c r="N103" s="138"/>
      <c r="O103" s="138"/>
      <c r="P103" s="138"/>
      <c r="Q103" s="243"/>
      <c r="R103" s="243"/>
    </row>
    <row r="104" customFormat="1" s="126">
      <c r="A104" s="232"/>
      <c r="B104" s="232"/>
      <c r="C104" s="232"/>
      <c r="I104" s="231"/>
      <c r="J104" s="253"/>
      <c r="K104" s="138"/>
      <c r="L104" s="138"/>
      <c r="M104" s="138"/>
      <c r="N104" s="138"/>
      <c r="O104" s="138"/>
      <c r="P104" s="138"/>
      <c r="Q104" s="243"/>
      <c r="R104" s="243"/>
    </row>
    <row r="105" customFormat="1" s="126">
      <c r="A105" s="232"/>
      <c r="B105" s="232"/>
      <c r="C105" s="232"/>
      <c r="I105" s="231"/>
      <c r="J105" s="253"/>
      <c r="K105" s="138"/>
      <c r="L105" s="138"/>
      <c r="M105" s="138"/>
      <c r="N105" s="138"/>
      <c r="O105" s="138"/>
      <c r="P105" s="138"/>
      <c r="Q105" s="138"/>
      <c r="R105" s="243"/>
    </row>
    <row r="106" customFormat="1" s="126">
      <c r="A106" s="232"/>
      <c r="B106" s="232"/>
      <c r="C106" s="232"/>
      <c r="I106" s="231"/>
      <c r="J106" s="253"/>
      <c r="K106" s="138"/>
      <c r="L106" s="138"/>
      <c r="M106" s="138"/>
      <c r="N106" s="138"/>
      <c r="O106" s="138"/>
      <c r="P106" s="138"/>
      <c r="Q106" s="138"/>
      <c r="R106" s="243"/>
    </row>
    <row r="107" customFormat="1" s="126">
      <c r="A107" s="232"/>
      <c r="B107" s="232"/>
      <c r="C107" s="232"/>
      <c r="I107" s="231"/>
      <c r="J107" s="253"/>
      <c r="K107" s="138"/>
      <c r="L107" s="138"/>
      <c r="M107" s="138"/>
      <c r="N107" s="138"/>
      <c r="O107" s="138"/>
      <c r="P107" s="138"/>
      <c r="Q107" s="138"/>
      <c r="R107" s="243"/>
    </row>
    <row r="108" customFormat="1" s="126">
      <c r="A108" s="232"/>
      <c r="B108" s="232"/>
      <c r="C108" s="232"/>
      <c r="I108" s="231"/>
      <c r="J108" s="253"/>
      <c r="K108" s="138"/>
      <c r="L108" s="138"/>
      <c r="M108" s="138"/>
      <c r="N108" s="138"/>
      <c r="O108" s="138"/>
      <c r="P108" s="138"/>
      <c r="Q108" s="138"/>
      <c r="R108" s="243"/>
    </row>
    <row r="109" customFormat="1" s="126">
      <c r="A109" s="232"/>
      <c r="B109" s="232"/>
      <c r="C109" s="232"/>
      <c r="I109" s="231"/>
      <c r="J109" s="253"/>
      <c r="K109" s="138"/>
      <c r="L109" s="138"/>
      <c r="M109" s="138"/>
      <c r="N109" s="138"/>
      <c r="O109" s="138"/>
      <c r="P109" s="138"/>
      <c r="Q109" s="138"/>
      <c r="R109" s="243"/>
    </row>
    <row r="110" customFormat="1" s="126">
      <c r="A110" s="232"/>
      <c r="B110" s="232"/>
      <c r="C110" s="232"/>
      <c r="I110" s="231"/>
      <c r="J110" s="253"/>
      <c r="K110" s="138"/>
      <c r="L110" s="138"/>
      <c r="M110" s="138"/>
      <c r="N110" s="138"/>
      <c r="O110" s="138"/>
      <c r="P110" s="138"/>
      <c r="Q110" s="138"/>
      <c r="R110" s="243"/>
    </row>
    <row r="111" customFormat="1" s="126">
      <c r="A111" s="232"/>
      <c r="B111" s="232"/>
      <c r="C111" s="232"/>
      <c r="I111" s="231"/>
      <c r="J111" s="253"/>
      <c r="K111" s="138"/>
      <c r="L111" s="138"/>
      <c r="M111" s="138"/>
      <c r="N111" s="138"/>
      <c r="O111" s="138"/>
      <c r="P111" s="138"/>
      <c r="Q111" s="138"/>
      <c r="R111" s="243"/>
    </row>
    <row r="112" customFormat="1" s="126">
      <c r="A112" s="232"/>
      <c r="B112" s="232"/>
      <c r="C112" s="232"/>
      <c r="I112" s="231"/>
      <c r="J112" s="253"/>
      <c r="K112" s="138"/>
      <c r="L112" s="138"/>
      <c r="M112" s="138"/>
      <c r="N112" s="138"/>
      <c r="O112" s="138"/>
      <c r="P112" s="138"/>
      <c r="Q112" s="138"/>
      <c r="R112" s="243"/>
    </row>
    <row r="113" customFormat="1" s="126">
      <c r="A113" s="232"/>
      <c r="B113" s="232"/>
      <c r="C113" s="232"/>
      <c r="I113" s="231"/>
      <c r="J113" s="253"/>
      <c r="K113" s="138"/>
      <c r="L113" s="138"/>
      <c r="M113" s="138"/>
      <c r="N113" s="138"/>
      <c r="O113" s="138"/>
      <c r="P113" s="138"/>
      <c r="Q113" s="138"/>
      <c r="R113" s="243"/>
    </row>
    <row r="114" customFormat="1" s="126">
      <c r="A114" s="232"/>
      <c r="B114" s="232"/>
      <c r="C114" s="232"/>
      <c r="I114" s="231"/>
      <c r="J114" s="253"/>
      <c r="K114" s="138"/>
      <c r="L114" s="138"/>
      <c r="M114" s="138"/>
      <c r="N114" s="138"/>
      <c r="O114" s="138"/>
      <c r="P114" s="138"/>
      <c r="Q114" s="138"/>
      <c r="R114" s="243"/>
    </row>
    <row r="115" customFormat="1" s="126">
      <c r="A115" s="232"/>
      <c r="B115" s="232"/>
      <c r="C115" s="232"/>
      <c r="I115" s="231"/>
      <c r="J115" s="253"/>
      <c r="K115" s="138"/>
      <c r="L115" s="138"/>
      <c r="M115" s="138"/>
      <c r="N115" s="138"/>
      <c r="O115" s="138"/>
      <c r="P115" s="138"/>
      <c r="Q115" s="138"/>
      <c r="R115" s="243"/>
    </row>
    <row r="116" customFormat="1" s="126">
      <c r="A116" s="232"/>
      <c r="B116" s="232"/>
      <c r="C116" s="232"/>
      <c r="I116" s="231"/>
      <c r="J116" s="253"/>
      <c r="K116" s="138"/>
      <c r="L116" s="138"/>
      <c r="M116" s="138"/>
      <c r="N116" s="138"/>
      <c r="O116" s="138"/>
      <c r="P116" s="138"/>
      <c r="Q116" s="138"/>
      <c r="R116" s="243"/>
    </row>
    <row r="117" customFormat="1" s="126">
      <c r="A117" s="232"/>
      <c r="B117" s="232"/>
      <c r="C117" s="232"/>
      <c r="I117" s="231"/>
      <c r="J117" s="253"/>
      <c r="K117" s="138"/>
      <c r="L117" s="138"/>
      <c r="M117" s="138"/>
      <c r="N117" s="138"/>
      <c r="O117" s="138"/>
      <c r="P117" s="138"/>
      <c r="Q117" s="138"/>
      <c r="R117" s="243"/>
    </row>
    <row r="118" customFormat="1" s="126">
      <c r="A118" s="232"/>
      <c r="B118" s="232"/>
      <c r="C118" s="232"/>
      <c r="I118" s="231"/>
      <c r="J118" s="253"/>
      <c r="K118" s="138"/>
      <c r="L118" s="138"/>
      <c r="M118" s="138"/>
      <c r="N118" s="138"/>
      <c r="O118" s="138"/>
      <c r="P118" s="138"/>
      <c r="Q118" s="138"/>
      <c r="R118" s="243"/>
    </row>
    <row r="119" customFormat="1" s="126">
      <c r="A119" s="232"/>
      <c r="B119" s="232"/>
      <c r="C119" s="232"/>
      <c r="I119" s="231"/>
      <c r="J119" s="253"/>
      <c r="K119" s="138"/>
      <c r="L119" s="138"/>
      <c r="M119" s="138"/>
      <c r="N119" s="138"/>
      <c r="O119" s="138"/>
      <c r="P119" s="138"/>
      <c r="Q119" s="138"/>
      <c r="R119" s="243"/>
    </row>
    <row r="120" customFormat="1" s="126">
      <c r="A120" s="232"/>
      <c r="B120" s="232"/>
      <c r="C120" s="232"/>
      <c r="I120" s="231"/>
      <c r="J120" s="253"/>
      <c r="K120" s="138"/>
      <c r="L120" s="138"/>
      <c r="M120" s="138"/>
      <c r="N120" s="138"/>
      <c r="O120" s="138"/>
      <c r="P120" s="138"/>
      <c r="Q120" s="138"/>
      <c r="R120" s="243"/>
    </row>
    <row r="121" customFormat="1" s="126">
      <c r="A121" s="232"/>
      <c r="B121" s="232"/>
      <c r="C121" s="232"/>
      <c r="I121" s="231"/>
      <c r="J121" s="253"/>
      <c r="K121" s="138"/>
      <c r="L121" s="138"/>
      <c r="M121" s="138"/>
      <c r="N121" s="138"/>
      <c r="O121" s="138"/>
      <c r="P121" s="138"/>
      <c r="Q121" s="138"/>
      <c r="R121" s="243"/>
    </row>
    <row r="122" customFormat="1" s="126">
      <c r="A122" s="232"/>
      <c r="B122" s="232"/>
      <c r="C122" s="232"/>
      <c r="I122" s="231"/>
      <c r="J122" s="253"/>
      <c r="K122" s="138"/>
      <c r="L122" s="138"/>
      <c r="M122" s="138"/>
      <c r="N122" s="138"/>
      <c r="O122" s="138"/>
      <c r="P122" s="138"/>
      <c r="Q122" s="138"/>
      <c r="R122" s="243"/>
    </row>
    <row r="123" customFormat="1" s="126">
      <c r="A123" s="232"/>
      <c r="B123" s="232"/>
      <c r="C123" s="232"/>
      <c r="I123" s="231"/>
      <c r="J123" s="253"/>
      <c r="K123" s="138"/>
      <c r="L123" s="138"/>
      <c r="M123" s="138"/>
      <c r="N123" s="138"/>
      <c r="O123" s="138"/>
      <c r="P123" s="138"/>
      <c r="Q123" s="138"/>
      <c r="R123" s="243"/>
    </row>
    <row r="124" customFormat="1" s="126">
      <c r="A124" s="232"/>
      <c r="B124" s="232"/>
      <c r="C124" s="232"/>
      <c r="I124" s="231"/>
      <c r="J124" s="253"/>
      <c r="K124" s="138"/>
      <c r="L124" s="138"/>
      <c r="M124" s="138"/>
      <c r="N124" s="138"/>
      <c r="O124" s="138"/>
      <c r="P124" s="138"/>
      <c r="Q124" s="138"/>
      <c r="R124" s="243"/>
    </row>
    <row r="125" customFormat="1" s="126">
      <c r="A125" s="232"/>
      <c r="B125" s="232"/>
      <c r="C125" s="232"/>
      <c r="I125" s="231"/>
      <c r="J125" s="253"/>
      <c r="K125" s="138"/>
      <c r="L125" s="138"/>
      <c r="M125" s="138"/>
      <c r="N125" s="138"/>
      <c r="O125" s="138"/>
      <c r="P125" s="138"/>
      <c r="Q125" s="138"/>
      <c r="R125" s="243"/>
    </row>
    <row r="126" customFormat="1" s="126">
      <c r="A126" s="232"/>
      <c r="B126" s="232"/>
      <c r="C126" s="232"/>
      <c r="I126" s="231"/>
      <c r="J126" s="253"/>
      <c r="K126" s="138"/>
      <c r="L126" s="138"/>
      <c r="M126" s="138"/>
      <c r="N126" s="138"/>
      <c r="O126" s="138"/>
      <c r="P126" s="138"/>
      <c r="Q126" s="138"/>
      <c r="R126" s="243"/>
    </row>
    <row r="127" customFormat="1" s="126">
      <c r="A127" s="232"/>
      <c r="B127" s="232"/>
      <c r="C127" s="232"/>
      <c r="I127" s="231"/>
      <c r="J127" s="253"/>
      <c r="K127" s="138"/>
      <c r="L127" s="138"/>
      <c r="M127" s="138"/>
      <c r="N127" s="138"/>
      <c r="O127" s="138"/>
      <c r="P127" s="138"/>
      <c r="Q127" s="138"/>
      <c r="R127" s="243"/>
    </row>
    <row r="128" customFormat="1" s="126">
      <c r="A128" s="232"/>
      <c r="B128" s="232"/>
      <c r="C128" s="232"/>
      <c r="I128" s="231"/>
      <c r="J128" s="253"/>
      <c r="K128" s="138"/>
      <c r="L128" s="138"/>
      <c r="M128" s="138"/>
      <c r="N128" s="138"/>
      <c r="O128" s="138"/>
      <c r="P128" s="138"/>
      <c r="Q128" s="138"/>
      <c r="R128" s="243"/>
    </row>
    <row r="129" customFormat="1" s="126">
      <c r="A129" s="232"/>
      <c r="B129" s="232"/>
      <c r="C129" s="232"/>
      <c r="I129" s="231"/>
      <c r="J129" s="253"/>
      <c r="K129" s="138"/>
      <c r="L129" s="138"/>
      <c r="M129" s="138"/>
      <c r="N129" s="138"/>
      <c r="O129" s="138"/>
      <c r="P129" s="138"/>
      <c r="Q129" s="138"/>
      <c r="R129" s="243"/>
    </row>
    <row r="130" customFormat="1" s="126">
      <c r="A130" s="232"/>
      <c r="B130" s="232"/>
      <c r="C130" s="232"/>
      <c r="I130" s="231"/>
      <c r="J130" s="253"/>
      <c r="K130" s="138"/>
      <c r="L130" s="138"/>
      <c r="M130" s="138"/>
      <c r="N130" s="138"/>
      <c r="O130" s="138"/>
      <c r="P130" s="138"/>
      <c r="Q130" s="138"/>
      <c r="R130" s="243"/>
    </row>
    <row r="131" customFormat="1" s="126">
      <c r="A131" s="232"/>
      <c r="B131" s="232"/>
      <c r="C131" s="232"/>
      <c r="I131" s="231"/>
      <c r="J131" s="253"/>
      <c r="K131" s="138"/>
      <c r="L131" s="138"/>
      <c r="M131" s="138"/>
      <c r="N131" s="138"/>
      <c r="O131" s="138"/>
      <c r="P131" s="138"/>
      <c r="Q131" s="138"/>
      <c r="R131" s="243"/>
    </row>
    <row r="132" customFormat="1" s="126">
      <c r="A132" s="232"/>
      <c r="B132" s="232"/>
      <c r="C132" s="232"/>
      <c r="I132" s="231"/>
      <c r="J132" s="253"/>
      <c r="K132" s="138"/>
      <c r="L132" s="138"/>
      <c r="M132" s="138"/>
      <c r="N132" s="138"/>
      <c r="O132" s="138"/>
      <c r="P132" s="138"/>
      <c r="Q132" s="138"/>
      <c r="R132" s="243"/>
    </row>
    <row r="133" customFormat="1" s="126">
      <c r="A133" s="232"/>
      <c r="B133" s="232"/>
      <c r="C133" s="232"/>
      <c r="I133" s="231"/>
      <c r="J133" s="253"/>
      <c r="K133" s="138"/>
      <c r="L133" s="138"/>
      <c r="M133" s="138"/>
      <c r="N133" s="138"/>
      <c r="O133" s="138"/>
      <c r="P133" s="138"/>
      <c r="Q133" s="138"/>
      <c r="R133" s="243"/>
    </row>
    <row r="134" customFormat="1" s="126">
      <c r="A134" s="232"/>
      <c r="B134" s="232"/>
      <c r="C134" s="232"/>
      <c r="I134" s="231"/>
      <c r="J134" s="253"/>
      <c r="K134" s="138"/>
      <c r="L134" s="138"/>
      <c r="M134" s="138"/>
      <c r="N134" s="138"/>
      <c r="O134" s="138"/>
      <c r="P134" s="138"/>
      <c r="Q134" s="138"/>
      <c r="R134" s="243"/>
    </row>
    <row r="135" customFormat="1" s="126">
      <c r="A135" s="232"/>
      <c r="B135" s="232"/>
      <c r="C135" s="232"/>
      <c r="I135" s="231"/>
      <c r="J135" s="253"/>
      <c r="K135" s="138"/>
      <c r="L135" s="138"/>
      <c r="M135" s="138"/>
      <c r="N135" s="138"/>
      <c r="O135" s="138"/>
      <c r="P135" s="138"/>
      <c r="Q135" s="138"/>
      <c r="R135" s="243"/>
    </row>
    <row r="136" customFormat="1" s="126">
      <c r="A136" s="232"/>
      <c r="B136" s="232"/>
      <c r="C136" s="232"/>
      <c r="I136" s="231"/>
      <c r="J136" s="253"/>
      <c r="K136" s="138"/>
      <c r="L136" s="138"/>
      <c r="M136" s="138"/>
      <c r="N136" s="138"/>
      <c r="O136" s="138"/>
      <c r="P136" s="138"/>
      <c r="Q136" s="138"/>
      <c r="R136" s="243"/>
    </row>
    <row r="137" customFormat="1" s="126">
      <c r="A137" s="232"/>
      <c r="B137" s="232"/>
      <c r="C137" s="232"/>
      <c r="I137" s="231"/>
      <c r="J137" s="253"/>
      <c r="K137" s="138"/>
      <c r="L137" s="138"/>
      <c r="M137" s="138"/>
      <c r="N137" s="138"/>
      <c r="O137" s="138"/>
      <c r="P137" s="138"/>
      <c r="Q137" s="138"/>
      <c r="R137" s="243"/>
    </row>
    <row r="138" customFormat="1" s="126">
      <c r="A138" s="232"/>
      <c r="B138" s="232"/>
      <c r="C138" s="232"/>
      <c r="I138" s="231"/>
      <c r="J138" s="253"/>
      <c r="K138" s="138"/>
      <c r="L138" s="138"/>
      <c r="M138" s="138"/>
      <c r="N138" s="138"/>
      <c r="O138" s="138"/>
      <c r="P138" s="138"/>
      <c r="Q138" s="138"/>
      <c r="R138" s="243"/>
    </row>
    <row r="139" customFormat="1" s="126">
      <c r="A139" s="232"/>
      <c r="B139" s="232"/>
      <c r="C139" s="232"/>
      <c r="I139" s="231"/>
      <c r="J139" s="253"/>
      <c r="K139" s="138"/>
      <c r="L139" s="138"/>
      <c r="M139" s="138"/>
      <c r="N139" s="138"/>
      <c r="O139" s="138"/>
      <c r="P139" s="138"/>
      <c r="Q139" s="138"/>
      <c r="R139" s="243"/>
    </row>
    <row r="140" customFormat="1" s="126">
      <c r="A140" s="232"/>
      <c r="B140" s="232"/>
      <c r="C140" s="232"/>
      <c r="I140" s="231"/>
      <c r="J140" s="253"/>
      <c r="K140" s="138"/>
      <c r="L140" s="138"/>
      <c r="M140" s="138"/>
      <c r="N140" s="138"/>
      <c r="O140" s="138"/>
      <c r="P140" s="138"/>
      <c r="Q140" s="138"/>
      <c r="R140" s="243"/>
    </row>
    <row r="141" customFormat="1" s="126">
      <c r="A141" s="232"/>
      <c r="B141" s="232"/>
      <c r="C141" s="232"/>
      <c r="I141" s="231"/>
      <c r="J141" s="253"/>
      <c r="K141" s="138"/>
      <c r="L141" s="138"/>
      <c r="M141" s="138"/>
      <c r="N141" s="138"/>
      <c r="O141" s="138"/>
      <c r="P141" s="138"/>
      <c r="Q141" s="138"/>
      <c r="R141" s="243"/>
    </row>
    <row r="142" customFormat="1" s="126">
      <c r="A142" s="232"/>
      <c r="B142" s="232"/>
      <c r="C142" s="232"/>
      <c r="I142" s="231"/>
      <c r="J142" s="253"/>
      <c r="K142" s="138"/>
      <c r="L142" s="138"/>
      <c r="M142" s="138"/>
      <c r="N142" s="138"/>
      <c r="O142" s="138"/>
      <c r="P142" s="138"/>
      <c r="Q142" s="138"/>
      <c r="R142" s="243"/>
    </row>
    <row r="143" customFormat="1" s="126">
      <c r="A143" s="232"/>
      <c r="B143" s="232"/>
      <c r="C143" s="232"/>
      <c r="I143" s="231"/>
      <c r="J143" s="253"/>
      <c r="K143" s="138"/>
      <c r="L143" s="138"/>
      <c r="M143" s="138"/>
      <c r="N143" s="138"/>
      <c r="O143" s="138"/>
      <c r="P143" s="138"/>
      <c r="Q143" s="138"/>
      <c r="R143" s="243"/>
    </row>
    <row r="144" customFormat="1" s="126">
      <c r="A144" s="232"/>
      <c r="B144" s="232"/>
      <c r="C144" s="232"/>
      <c r="I144" s="231"/>
      <c r="J144" s="253"/>
    </row>
    <row r="261910" customFormat="1" s="126"/>
    <row r="261911" customFormat="1" s="126"/>
    <row r="261912" customFormat="1" s="126"/>
    <row r="261913" customFormat="1" s="126"/>
    <row r="261914" customFormat="1" s="126"/>
    <row r="261915" customFormat="1" s="126"/>
    <row r="261916" customFormat="1" s="126"/>
    <row r="261917" customFormat="1" s="126"/>
    <row r="261918" customFormat="1" s="126"/>
    <row r="261919" customFormat="1" s="126"/>
    <row r="261920" customFormat="1" s="126"/>
    <row r="261921" customFormat="1" s="126"/>
    <row r="261922" customFormat="1" s="126"/>
    <row r="261923" customFormat="1" s="126"/>
    <row r="261924" customFormat="1" s="126"/>
    <row r="261925" customFormat="1" s="126"/>
    <row r="261926" customFormat="1" s="126"/>
    <row r="261927" customFormat="1" s="126"/>
    <row r="261928" customFormat="1" s="126"/>
    <row r="261929" customFormat="1" s="126"/>
    <row r="261930" customFormat="1" s="126"/>
    <row r="261931" customFormat="1" s="126"/>
    <row r="261932" customFormat="1" s="126"/>
    <row r="261933" customFormat="1" s="126"/>
    <row r="261934" customFormat="1" s="126"/>
    <row r="261935" customFormat="1" s="126"/>
    <row r="261936" customFormat="1" s="126"/>
    <row r="261937" customFormat="1" s="126"/>
    <row r="261938" customFormat="1" s="126"/>
    <row r="261939" customFormat="1" s="126"/>
    <row r="261940" customFormat="1" s="126"/>
    <row r="261941" customFormat="1" s="126"/>
    <row r="261942" customFormat="1" s="126"/>
    <row r="261943" customFormat="1" s="126"/>
    <row r="261944" customFormat="1" s="126"/>
    <row r="261945" customFormat="1" s="126"/>
    <row r="261946" customFormat="1" s="126"/>
    <row r="261947" customFormat="1" s="126"/>
    <row r="261948" customFormat="1" s="126"/>
    <row r="261949" customFormat="1" s="126"/>
    <row r="261950" customFormat="1" s="126"/>
    <row r="261951" customFormat="1" s="126"/>
    <row r="261952" customFormat="1" s="126"/>
    <row r="261953" customFormat="1" s="126"/>
    <row r="261954" customFormat="1" s="126"/>
    <row r="261955" customFormat="1" s="126"/>
    <row r="261956" customFormat="1" s="126"/>
    <row r="261957" customFormat="1" s="126"/>
    <row r="261958" customFormat="1" s="126"/>
    <row r="261959" customFormat="1" s="126"/>
    <row r="261960" customFormat="1" s="126"/>
    <row r="261961" customFormat="1" s="126"/>
    <row r="261962" customFormat="1" s="126"/>
    <row r="261963" customFormat="1" s="126"/>
    <row r="261964" customFormat="1" s="126"/>
    <row r="261965" customFormat="1" s="126"/>
    <row r="261966" customFormat="1" s="126"/>
    <row r="261967" customFormat="1" s="126"/>
    <row r="261968" customFormat="1" s="126"/>
    <row r="261969" customFormat="1" s="126"/>
    <row r="261970" customFormat="1" s="126"/>
    <row r="261971" customFormat="1" s="126"/>
    <row r="261972" customFormat="1" s="126"/>
    <row r="261973" customFormat="1" s="126"/>
    <row r="261974" customFormat="1" s="126"/>
    <row r="261975" customFormat="1" s="126"/>
    <row r="261976" customFormat="1" s="126"/>
    <row r="261977" customFormat="1" s="126"/>
    <row r="261978" customFormat="1" s="126"/>
    <row r="261979" customFormat="1" s="126"/>
    <row r="261980" customFormat="1" s="126"/>
    <row r="261981" customFormat="1" s="126"/>
    <row r="261982" customFormat="1" s="126"/>
    <row r="261983" customFormat="1" s="126"/>
    <row r="261984" customFormat="1" s="126"/>
    <row r="261985" customFormat="1" s="126"/>
    <row r="261986" customFormat="1" s="126"/>
    <row r="261987" customFormat="1" s="126"/>
    <row r="261988" customFormat="1" s="126"/>
    <row r="261989" customFormat="1" s="126"/>
    <row r="261990" customFormat="1" s="126"/>
    <row r="261991" customFormat="1" s="126"/>
    <row r="261992" customFormat="1" s="126"/>
    <row r="261993" customFormat="1" s="126"/>
    <row r="261994" customFormat="1" s="126"/>
    <row r="261995" customFormat="1" s="126"/>
    <row r="261996" customFormat="1" s="126"/>
    <row r="261997" customFormat="1" s="126"/>
    <row r="261998" customFormat="1" s="126"/>
    <row r="261999" customFormat="1" s="126"/>
    <row r="262000" customFormat="1" s="126"/>
    <row r="262001" customFormat="1" s="126"/>
    <row r="262002" customFormat="1" s="126"/>
    <row r="262003" customFormat="1" s="126"/>
    <row r="262004" customFormat="1" s="126"/>
    <row r="262005" customFormat="1" s="126"/>
    <row r="262006" customFormat="1" s="126"/>
    <row r="262007" customFormat="1" s="126"/>
    <row r="262008" customFormat="1" s="126"/>
    <row r="262009" customFormat="1" s="126"/>
    <row r="262010" customFormat="1" s="126"/>
    <row r="262011" customFormat="1" s="126"/>
    <row r="262012" customFormat="1" s="126"/>
    <row r="262013" customFormat="1" s="126"/>
    <row r="262014" customFormat="1" s="126"/>
    <row r="262015" customFormat="1" s="126"/>
    <row r="262016" customFormat="1" s="126"/>
    <row r="262017" customFormat="1" s="126"/>
    <row r="262018" customFormat="1" s="126"/>
  </sheetData>
  <extLst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340"/>
  <sheetViews>
    <sheetView workbookViewId="0">
      <pane ySplit="2" topLeftCell="A3" state="frozen"/>
    </sheetView>
  </sheetViews>
  <sheetFormatPr defaultRowHeight="14.0" customHeight="1"/>
  <cols>
    <col min="1" max="1" width="66.64"/>
    <col min="2" max="2" style="232" width="15.5"/>
    <col min="3" max="3" style="232" width="12.45"/>
    <col min="4" max="4" style="232" width="18.28"/>
    <col min="5" max="5" style="232" width="10.2"/>
    <col min="6" max="6" width="15.36"/>
    <col min="7" max="7" width="7.41"/>
    <col min="8" max="8" width="26.49"/>
    <col min="9" max="9" width="21.19"/>
    <col min="10" max="10" width="13.24"/>
    <col min="11" max="2038" width="13.24"/>
  </cols>
  <sheetData>
    <row r="1">
      <c r="A1" s="231" t="s">
        <v>7694</v>
      </c>
      <c r="B1" s="233"/>
      <c r="C1" s="233"/>
      <c r="D1" s="233"/>
      <c r="E1" s="233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</row>
    <row r="2">
      <c r="A2" s="231" t="s">
        <v>7569</v>
      </c>
      <c r="B2" s="233" t="s">
        <v>14</v>
      </c>
      <c r="C2" s="233" t="s">
        <v>7695</v>
      </c>
      <c r="D2" s="233" t="s">
        <v>7696</v>
      </c>
      <c r="E2" s="233" t="s">
        <v>7697</v>
      </c>
      <c r="F2" s="231" t="s">
        <v>7698</v>
      </c>
      <c r="G2" s="231" t="s">
        <v>7699</v>
      </c>
      <c r="H2" s="231" t="s">
        <v>7700</v>
      </c>
      <c r="I2" s="231" t="s">
        <v>7701</v>
      </c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</row>
    <row r="3">
      <c r="A3" t="s">
        <v>309</v>
      </c>
      <c r="B3" s="232">
        <v>91716.0</v>
      </c>
      <c r="C3" s="232">
        <v>0.0</v>
      </c>
      <c r="D3" s="232">
        <v>0.0</v>
      </c>
      <c r="F3" t="s">
        <v>7702</v>
      </c>
      <c r="G3" t="s">
        <v>310</v>
      </c>
      <c r="H3" t="s">
        <v>7703</v>
      </c>
      <c r="I3" t="s">
        <v>7704</v>
      </c>
    </row>
    <row r="4">
      <c r="A4" t="s">
        <v>312</v>
      </c>
      <c r="B4" s="232">
        <v>91751.0</v>
      </c>
      <c r="C4" s="232">
        <v>0.0</v>
      </c>
      <c r="D4" s="232">
        <v>0.0</v>
      </c>
      <c r="F4" t="s">
        <v>7702</v>
      </c>
      <c r="G4" t="s">
        <v>310</v>
      </c>
      <c r="H4" t="s">
        <v>7703</v>
      </c>
      <c r="I4" t="s">
        <v>7704</v>
      </c>
    </row>
    <row r="5">
      <c r="A5" t="s">
        <v>313</v>
      </c>
      <c r="B5" s="232">
        <v>91726.0</v>
      </c>
      <c r="C5" s="232">
        <v>0.0</v>
      </c>
      <c r="D5" s="232">
        <v>0.0</v>
      </c>
      <c r="F5" t="s">
        <v>7702</v>
      </c>
      <c r="G5" t="s">
        <v>310</v>
      </c>
      <c r="H5" t="s">
        <v>7703</v>
      </c>
      <c r="I5" t="s">
        <v>7704</v>
      </c>
    </row>
    <row r="6">
      <c r="A6" t="s">
        <v>314</v>
      </c>
      <c r="B6" s="232">
        <v>91736.0</v>
      </c>
      <c r="C6" s="232">
        <v>0.0</v>
      </c>
      <c r="D6" s="232">
        <v>0.0</v>
      </c>
      <c r="F6" t="s">
        <v>7702</v>
      </c>
      <c r="G6" t="s">
        <v>310</v>
      </c>
      <c r="H6" t="s">
        <v>7703</v>
      </c>
      <c r="I6" t="s">
        <v>7704</v>
      </c>
    </row>
    <row r="7">
      <c r="A7" t="s">
        <v>315</v>
      </c>
      <c r="B7" s="232">
        <v>91746.0</v>
      </c>
      <c r="C7" s="232">
        <v>0.0</v>
      </c>
      <c r="D7" s="232">
        <v>0.0</v>
      </c>
      <c r="F7" t="s">
        <v>7702</v>
      </c>
      <c r="G7" t="s">
        <v>310</v>
      </c>
      <c r="H7" t="s">
        <v>7703</v>
      </c>
      <c r="I7" t="s">
        <v>7704</v>
      </c>
    </row>
    <row r="8">
      <c r="A8" t="s">
        <v>316</v>
      </c>
      <c r="B8" s="232">
        <v>91741.0</v>
      </c>
      <c r="C8" s="232">
        <v>0.0</v>
      </c>
      <c r="D8" s="232">
        <v>0.0</v>
      </c>
      <c r="F8" t="s">
        <v>7702</v>
      </c>
      <c r="G8" t="s">
        <v>310</v>
      </c>
      <c r="H8" t="s">
        <v>7703</v>
      </c>
      <c r="I8" t="s">
        <v>7704</v>
      </c>
    </row>
    <row r="9">
      <c r="A9" t="s">
        <v>317</v>
      </c>
      <c r="B9" s="232">
        <v>91717.0</v>
      </c>
      <c r="C9" s="232">
        <v>0.0</v>
      </c>
      <c r="D9" s="232">
        <v>0.0</v>
      </c>
      <c r="F9" t="s">
        <v>7702</v>
      </c>
      <c r="G9" t="s">
        <v>310</v>
      </c>
      <c r="H9" t="s">
        <v>7703</v>
      </c>
      <c r="I9" t="s">
        <v>7704</v>
      </c>
    </row>
    <row r="10">
      <c r="A10" t="s">
        <v>318</v>
      </c>
      <c r="B10" s="232">
        <v>91727.0</v>
      </c>
      <c r="C10" s="232">
        <v>0.0</v>
      </c>
      <c r="D10" s="232">
        <v>0.0</v>
      </c>
      <c r="F10" t="s">
        <v>7702</v>
      </c>
      <c r="G10" t="s">
        <v>310</v>
      </c>
      <c r="H10" t="s">
        <v>7703</v>
      </c>
      <c r="I10" t="s">
        <v>7704</v>
      </c>
    </row>
    <row r="11">
      <c r="A11" t="s">
        <v>319</v>
      </c>
      <c r="B11" s="232">
        <v>91737.0</v>
      </c>
      <c r="C11" s="232">
        <v>0.0</v>
      </c>
      <c r="D11" s="232">
        <v>0.0</v>
      </c>
      <c r="F11" t="s">
        <v>7702</v>
      </c>
      <c r="G11" t="s">
        <v>310</v>
      </c>
      <c r="H11" t="s">
        <v>7703</v>
      </c>
      <c r="I11" t="s">
        <v>7704</v>
      </c>
    </row>
    <row r="12">
      <c r="A12" t="s">
        <v>320</v>
      </c>
      <c r="B12" s="232">
        <v>91747.0</v>
      </c>
      <c r="C12" s="232">
        <v>0.0</v>
      </c>
      <c r="D12" s="232">
        <v>0.0</v>
      </c>
      <c r="F12" t="s">
        <v>7702</v>
      </c>
      <c r="G12" t="s">
        <v>310</v>
      </c>
      <c r="H12" t="s">
        <v>7703</v>
      </c>
      <c r="I12" t="s">
        <v>7704</v>
      </c>
    </row>
    <row r="13">
      <c r="A13" t="s">
        <v>321</v>
      </c>
      <c r="B13" s="232">
        <v>91742.0</v>
      </c>
      <c r="C13" s="232">
        <v>0.0</v>
      </c>
      <c r="D13" s="232">
        <v>0.0</v>
      </c>
      <c r="F13" t="s">
        <v>7702</v>
      </c>
      <c r="G13" t="s">
        <v>310</v>
      </c>
      <c r="H13" t="s">
        <v>7703</v>
      </c>
      <c r="I13" t="s">
        <v>7704</v>
      </c>
    </row>
    <row r="14">
      <c r="A14" t="s">
        <v>323</v>
      </c>
      <c r="B14" s="232" t="s">
        <v>322</v>
      </c>
      <c r="C14" s="232">
        <v>0.0</v>
      </c>
      <c r="D14" s="232">
        <v>0.0</v>
      </c>
      <c r="F14" t="s">
        <v>7702</v>
      </c>
      <c r="G14" t="s">
        <v>310</v>
      </c>
      <c r="H14" t="s">
        <v>7703</v>
      </c>
      <c r="I14" t="s">
        <v>7705</v>
      </c>
    </row>
    <row r="15">
      <c r="A15" t="s">
        <v>325</v>
      </c>
      <c r="B15" s="232" t="s">
        <v>324</v>
      </c>
      <c r="C15" s="232">
        <v>0.0</v>
      </c>
      <c r="D15" s="232">
        <v>0.0</v>
      </c>
      <c r="F15" t="s">
        <v>7702</v>
      </c>
      <c r="G15" t="s">
        <v>310</v>
      </c>
      <c r="H15" t="s">
        <v>7703</v>
      </c>
      <c r="I15" t="s">
        <v>7705</v>
      </c>
    </row>
    <row r="16">
      <c r="A16" t="s">
        <v>327</v>
      </c>
      <c r="B16" s="232" t="s">
        <v>326</v>
      </c>
      <c r="C16" s="232">
        <v>0.0</v>
      </c>
      <c r="D16" s="232">
        <v>0.0</v>
      </c>
      <c r="F16" t="s">
        <v>7702</v>
      </c>
      <c r="G16" t="s">
        <v>310</v>
      </c>
      <c r="H16" t="s">
        <v>7703</v>
      </c>
      <c r="I16" t="s">
        <v>7705</v>
      </c>
    </row>
    <row r="17">
      <c r="A17" t="s">
        <v>329</v>
      </c>
      <c r="B17" s="232" t="s">
        <v>328</v>
      </c>
      <c r="C17" s="232">
        <v>194.0</v>
      </c>
      <c r="D17" s="232">
        <v>706.55</v>
      </c>
      <c r="E17" s="232">
        <v>3.642</v>
      </c>
      <c r="F17" t="s">
        <v>7702</v>
      </c>
      <c r="G17" t="s">
        <v>330</v>
      </c>
      <c r="H17" t="s">
        <v>45</v>
      </c>
      <c r="I17" t="s">
        <v>7706</v>
      </c>
    </row>
    <row r="18">
      <c r="A18" t="s">
        <v>332</v>
      </c>
      <c r="B18" s="232" t="s">
        <v>331</v>
      </c>
      <c r="C18" s="232">
        <v>380.0</v>
      </c>
      <c r="D18" s="232">
        <v>1386.33</v>
      </c>
      <c r="E18" s="232">
        <v>3.6482</v>
      </c>
      <c r="F18" t="s">
        <v>7702</v>
      </c>
      <c r="G18" t="s">
        <v>330</v>
      </c>
      <c r="H18" t="s">
        <v>45</v>
      </c>
      <c r="I18" t="s">
        <v>7706</v>
      </c>
    </row>
    <row r="19">
      <c r="A19" t="s">
        <v>334</v>
      </c>
      <c r="B19" s="232" t="s">
        <v>333</v>
      </c>
      <c r="C19" s="232">
        <v>354.0</v>
      </c>
      <c r="D19" s="232">
        <v>1290.6</v>
      </c>
      <c r="E19" s="232">
        <v>3.6458</v>
      </c>
      <c r="F19" t="s">
        <v>7702</v>
      </c>
      <c r="G19" t="s">
        <v>330</v>
      </c>
      <c r="H19" t="s">
        <v>45</v>
      </c>
      <c r="I19" t="s">
        <v>7706</v>
      </c>
    </row>
    <row r="20">
      <c r="A20" t="s">
        <v>336</v>
      </c>
      <c r="B20" s="232" t="s">
        <v>335</v>
      </c>
      <c r="C20" s="232">
        <v>394.0</v>
      </c>
      <c r="D20" s="232">
        <v>1436.66</v>
      </c>
      <c r="E20" s="232">
        <v>3.6463</v>
      </c>
      <c r="F20" t="s">
        <v>7702</v>
      </c>
      <c r="G20" t="s">
        <v>330</v>
      </c>
      <c r="H20" t="s">
        <v>45</v>
      </c>
      <c r="I20" t="s">
        <v>7706</v>
      </c>
    </row>
    <row r="21">
      <c r="A21" t="s">
        <v>338</v>
      </c>
      <c r="B21" s="232" t="s">
        <v>337</v>
      </c>
      <c r="C21" s="232">
        <v>203.0</v>
      </c>
      <c r="D21" s="232">
        <v>739.52</v>
      </c>
      <c r="E21" s="232">
        <v>3.643</v>
      </c>
      <c r="F21" t="s">
        <v>7702</v>
      </c>
      <c r="G21" t="s">
        <v>330</v>
      </c>
      <c r="H21" t="s">
        <v>45</v>
      </c>
      <c r="I21" t="s">
        <v>7706</v>
      </c>
    </row>
    <row r="22">
      <c r="A22" t="s">
        <v>340</v>
      </c>
      <c r="B22" s="232" t="s">
        <v>339</v>
      </c>
      <c r="C22" s="232">
        <v>255.0</v>
      </c>
      <c r="D22" s="232">
        <v>929.39</v>
      </c>
      <c r="E22" s="232">
        <v>3.6447</v>
      </c>
      <c r="F22" t="s">
        <v>7702</v>
      </c>
      <c r="G22" t="s">
        <v>330</v>
      </c>
      <c r="H22" t="s">
        <v>45</v>
      </c>
      <c r="I22" t="s">
        <v>7706</v>
      </c>
    </row>
    <row r="23">
      <c r="A23" t="s">
        <v>342</v>
      </c>
      <c r="B23" s="232" t="s">
        <v>341</v>
      </c>
      <c r="C23" s="232">
        <v>0.0</v>
      </c>
      <c r="D23" s="232">
        <v>0.0</v>
      </c>
      <c r="F23" t="s">
        <v>7702</v>
      </c>
      <c r="G23" t="s">
        <v>310</v>
      </c>
      <c r="H23" t="s">
        <v>45</v>
      </c>
      <c r="I23" t="s">
        <v>7707</v>
      </c>
    </row>
    <row r="24">
      <c r="A24" t="s">
        <v>344</v>
      </c>
      <c r="B24" s="232" t="s">
        <v>343</v>
      </c>
      <c r="C24" s="232">
        <v>1000.0</v>
      </c>
      <c r="D24" s="232">
        <v>2587.7</v>
      </c>
      <c r="E24" s="232">
        <v>2.5877</v>
      </c>
      <c r="F24" t="s">
        <v>7702</v>
      </c>
      <c r="G24" t="s">
        <v>330</v>
      </c>
      <c r="H24" t="s">
        <v>45</v>
      </c>
      <c r="I24" t="s">
        <v>7707</v>
      </c>
    </row>
    <row r="25">
      <c r="A25" t="s">
        <v>350</v>
      </c>
      <c r="B25" s="232" t="s">
        <v>349</v>
      </c>
      <c r="C25" s="232">
        <v>0.0</v>
      </c>
      <c r="D25" s="232">
        <v>0.0</v>
      </c>
      <c r="F25" t="s">
        <v>7702</v>
      </c>
      <c r="G25" t="s">
        <v>310</v>
      </c>
      <c r="H25" t="s">
        <v>7703</v>
      </c>
      <c r="I25" t="s">
        <v>151</v>
      </c>
    </row>
    <row r="26">
      <c r="A26" t="s">
        <v>352</v>
      </c>
      <c r="B26" s="232" t="s">
        <v>351</v>
      </c>
      <c r="C26" s="232">
        <v>0.0</v>
      </c>
      <c r="D26" s="232">
        <v>0.0</v>
      </c>
      <c r="F26" t="s">
        <v>7702</v>
      </c>
      <c r="G26" t="s">
        <v>310</v>
      </c>
      <c r="H26" t="s">
        <v>7703</v>
      </c>
      <c r="I26" t="s">
        <v>151</v>
      </c>
    </row>
    <row r="27">
      <c r="A27" t="s">
        <v>353</v>
      </c>
      <c r="B27" s="232">
        <v>91718.0</v>
      </c>
      <c r="C27" s="232">
        <v>0.0</v>
      </c>
      <c r="D27" s="232">
        <v>0.0</v>
      </c>
      <c r="F27" t="s">
        <v>7702</v>
      </c>
      <c r="G27" t="s">
        <v>310</v>
      </c>
      <c r="H27" t="s">
        <v>7703</v>
      </c>
      <c r="I27" t="s">
        <v>7704</v>
      </c>
    </row>
    <row r="28">
      <c r="A28" t="s">
        <v>355</v>
      </c>
      <c r="B28" s="232">
        <v>91728.0</v>
      </c>
      <c r="C28" s="232">
        <v>0.0</v>
      </c>
      <c r="D28" s="232">
        <v>0.0</v>
      </c>
      <c r="F28" t="s">
        <v>7702</v>
      </c>
      <c r="G28" t="s">
        <v>310</v>
      </c>
      <c r="H28" t="s">
        <v>7703</v>
      </c>
      <c r="I28" t="s">
        <v>7704</v>
      </c>
    </row>
    <row r="29">
      <c r="A29" t="s">
        <v>356</v>
      </c>
      <c r="B29" s="232">
        <v>91738.0</v>
      </c>
      <c r="C29" s="232">
        <v>0.0</v>
      </c>
      <c r="D29" s="232">
        <v>0.0</v>
      </c>
      <c r="F29" t="s">
        <v>7702</v>
      </c>
      <c r="G29" t="s">
        <v>310</v>
      </c>
      <c r="H29" t="s">
        <v>7703</v>
      </c>
      <c r="I29" t="s">
        <v>7704</v>
      </c>
    </row>
    <row r="30">
      <c r="A30" t="s">
        <v>357</v>
      </c>
      <c r="B30" s="232">
        <v>91748.0</v>
      </c>
      <c r="C30" s="232">
        <v>0.0</v>
      </c>
      <c r="D30" s="232">
        <v>0.0</v>
      </c>
      <c r="F30" t="s">
        <v>7702</v>
      </c>
      <c r="G30" t="s">
        <v>310</v>
      </c>
      <c r="H30" t="s">
        <v>7703</v>
      </c>
      <c r="I30" t="s">
        <v>7704</v>
      </c>
    </row>
    <row r="31">
      <c r="A31" t="s">
        <v>358</v>
      </c>
      <c r="B31" s="232">
        <v>91743.0</v>
      </c>
      <c r="C31" s="232">
        <v>0.0</v>
      </c>
      <c r="D31" s="232">
        <v>0.0</v>
      </c>
      <c r="F31" t="s">
        <v>7702</v>
      </c>
      <c r="G31" t="s">
        <v>310</v>
      </c>
      <c r="H31" t="s">
        <v>7703</v>
      </c>
      <c r="I31" t="s">
        <v>7704</v>
      </c>
    </row>
    <row r="32">
      <c r="A32" t="s">
        <v>360</v>
      </c>
      <c r="B32" s="232" t="s">
        <v>359</v>
      </c>
      <c r="C32" s="232">
        <v>0.0</v>
      </c>
      <c r="D32" s="232">
        <v>0.0</v>
      </c>
      <c r="F32" t="s">
        <v>7702</v>
      </c>
      <c r="G32" t="s">
        <v>310</v>
      </c>
      <c r="H32" t="s">
        <v>45</v>
      </c>
      <c r="I32" t="s">
        <v>7708</v>
      </c>
    </row>
    <row r="33">
      <c r="A33" t="s">
        <v>362</v>
      </c>
      <c r="B33" s="232" t="s">
        <v>361</v>
      </c>
      <c r="C33" s="232">
        <v>0.0</v>
      </c>
      <c r="D33" s="232">
        <v>0.0</v>
      </c>
      <c r="F33" t="s">
        <v>7702</v>
      </c>
      <c r="G33" t="s">
        <v>310</v>
      </c>
      <c r="H33" t="s">
        <v>7703</v>
      </c>
      <c r="I33" t="s">
        <v>151</v>
      </c>
    </row>
    <row r="34">
      <c r="A34" t="s">
        <v>364</v>
      </c>
      <c r="B34" s="232" t="s">
        <v>363</v>
      </c>
      <c r="C34" s="232">
        <v>0.0</v>
      </c>
      <c r="D34" s="232">
        <v>0.0</v>
      </c>
      <c r="F34" t="s">
        <v>7702</v>
      </c>
      <c r="G34" t="s">
        <v>310</v>
      </c>
      <c r="H34" t="s">
        <v>7703</v>
      </c>
      <c r="I34" t="s">
        <v>151</v>
      </c>
    </row>
    <row r="35">
      <c r="A35" t="s">
        <v>366</v>
      </c>
      <c r="B35" s="232" t="s">
        <v>365</v>
      </c>
      <c r="C35" s="232">
        <v>808.0</v>
      </c>
      <c r="D35" s="232">
        <v>429.02</v>
      </c>
      <c r="E35" s="232">
        <v>0.531</v>
      </c>
      <c r="F35" t="s">
        <v>7702</v>
      </c>
      <c r="G35" t="s">
        <v>330</v>
      </c>
      <c r="H35" t="s">
        <v>7709</v>
      </c>
      <c r="I35" t="s">
        <v>7710</v>
      </c>
    </row>
    <row r="36">
      <c r="A36" t="s">
        <v>368</v>
      </c>
      <c r="B36" s="232" t="s">
        <v>367</v>
      </c>
      <c r="C36" s="232">
        <v>886.0</v>
      </c>
      <c r="D36" s="232">
        <v>470.38</v>
      </c>
      <c r="E36" s="232">
        <v>0.5309</v>
      </c>
      <c r="F36" t="s">
        <v>7702</v>
      </c>
      <c r="G36" t="s">
        <v>330</v>
      </c>
      <c r="H36" t="s">
        <v>7709</v>
      </c>
      <c r="I36" t="s">
        <v>7710</v>
      </c>
    </row>
    <row r="37">
      <c r="A37" t="s">
        <v>369</v>
      </c>
      <c r="B37" s="232">
        <v>91719.0</v>
      </c>
      <c r="C37" s="232">
        <v>0.0</v>
      </c>
      <c r="D37" s="232">
        <v>0.0</v>
      </c>
      <c r="F37" t="s">
        <v>7702</v>
      </c>
      <c r="G37" t="s">
        <v>310</v>
      </c>
      <c r="H37" t="s">
        <v>7703</v>
      </c>
      <c r="I37" t="s">
        <v>7704</v>
      </c>
    </row>
    <row r="38">
      <c r="A38" t="s">
        <v>370</v>
      </c>
      <c r="B38" s="232">
        <v>91754.0</v>
      </c>
      <c r="C38" s="232">
        <v>0.0</v>
      </c>
      <c r="D38" s="232">
        <v>0.0</v>
      </c>
      <c r="F38" t="s">
        <v>7702</v>
      </c>
      <c r="G38" t="s">
        <v>310</v>
      </c>
      <c r="H38" t="s">
        <v>7703</v>
      </c>
      <c r="I38" t="s">
        <v>7704</v>
      </c>
    </row>
    <row r="39">
      <c r="A39" t="s">
        <v>371</v>
      </c>
      <c r="B39" s="232">
        <v>91729.0</v>
      </c>
      <c r="C39" s="232">
        <v>0.0</v>
      </c>
      <c r="D39" s="232">
        <v>0.0</v>
      </c>
      <c r="F39" t="s">
        <v>7702</v>
      </c>
      <c r="G39" t="s">
        <v>310</v>
      </c>
      <c r="H39" t="s">
        <v>7703</v>
      </c>
      <c r="I39" t="s">
        <v>7704</v>
      </c>
    </row>
    <row r="40">
      <c r="A40" t="s">
        <v>372</v>
      </c>
      <c r="B40" s="232">
        <v>91739.0</v>
      </c>
      <c r="C40" s="232">
        <v>0.0</v>
      </c>
      <c r="D40" s="232">
        <v>0.0</v>
      </c>
      <c r="F40" t="s">
        <v>7702</v>
      </c>
      <c r="G40" t="s">
        <v>310</v>
      </c>
      <c r="H40" t="s">
        <v>7703</v>
      </c>
      <c r="I40" t="s">
        <v>7704</v>
      </c>
    </row>
    <row r="41">
      <c r="A41" t="s">
        <v>373</v>
      </c>
      <c r="B41" s="232">
        <v>91749.0</v>
      </c>
      <c r="C41" s="232">
        <v>0.0</v>
      </c>
      <c r="D41" s="232">
        <v>0.0</v>
      </c>
      <c r="F41" t="s">
        <v>7702</v>
      </c>
      <c r="G41" t="s">
        <v>310</v>
      </c>
      <c r="H41" t="s">
        <v>7703</v>
      </c>
      <c r="I41" t="s">
        <v>7704</v>
      </c>
    </row>
    <row r="42">
      <c r="A42" t="s">
        <v>374</v>
      </c>
      <c r="B42" s="232">
        <v>91744.0</v>
      </c>
      <c r="C42" s="232">
        <v>0.0</v>
      </c>
      <c r="D42" s="232">
        <v>0.0</v>
      </c>
      <c r="F42" t="s">
        <v>7702</v>
      </c>
      <c r="G42" t="s">
        <v>310</v>
      </c>
      <c r="H42" t="s">
        <v>7703</v>
      </c>
      <c r="I42" t="s">
        <v>7704</v>
      </c>
    </row>
    <row r="43">
      <c r="A43" t="s">
        <v>418</v>
      </c>
      <c r="B43" s="232" t="s">
        <v>417</v>
      </c>
      <c r="C43" s="232">
        <v>0.0</v>
      </c>
      <c r="D43" s="232">
        <v>0.0</v>
      </c>
      <c r="F43" t="s">
        <v>7702</v>
      </c>
      <c r="G43" t="s">
        <v>310</v>
      </c>
      <c r="H43" t="s">
        <v>45</v>
      </c>
      <c r="I43" t="s">
        <v>98</v>
      </c>
    </row>
    <row r="44">
      <c r="A44" t="s">
        <v>420</v>
      </c>
      <c r="B44" s="232" t="s">
        <v>419</v>
      </c>
      <c r="C44" s="232">
        <v>0.0</v>
      </c>
      <c r="D44" s="232">
        <v>0.0</v>
      </c>
      <c r="F44" t="s">
        <v>7702</v>
      </c>
      <c r="G44" t="s">
        <v>310</v>
      </c>
      <c r="H44" t="s">
        <v>45</v>
      </c>
      <c r="I44" t="s">
        <v>98</v>
      </c>
    </row>
    <row r="45">
      <c r="A45" t="s">
        <v>422</v>
      </c>
      <c r="B45" s="232" t="s">
        <v>421</v>
      </c>
      <c r="C45" s="232">
        <v>0.0</v>
      </c>
      <c r="D45" s="232">
        <v>0.0</v>
      </c>
      <c r="F45" t="s">
        <v>7702</v>
      </c>
      <c r="G45" t="s">
        <v>310</v>
      </c>
      <c r="H45" t="s">
        <v>45</v>
      </c>
      <c r="I45" t="s">
        <v>98</v>
      </c>
    </row>
    <row r="46">
      <c r="A46" t="s">
        <v>424</v>
      </c>
      <c r="B46" s="232" t="s">
        <v>423</v>
      </c>
      <c r="C46" s="232">
        <v>0.0</v>
      </c>
      <c r="D46" s="232">
        <v>0.0</v>
      </c>
      <c r="F46" t="s">
        <v>7702</v>
      </c>
      <c r="G46" t="s">
        <v>310</v>
      </c>
      <c r="H46" t="s">
        <v>45</v>
      </c>
      <c r="I46" t="s">
        <v>98</v>
      </c>
    </row>
    <row r="47">
      <c r="A47" t="s">
        <v>426</v>
      </c>
      <c r="B47" s="232" t="s">
        <v>425</v>
      </c>
      <c r="C47" s="232">
        <v>0.0</v>
      </c>
      <c r="D47" s="232">
        <v>0.0</v>
      </c>
      <c r="F47" t="s">
        <v>7702</v>
      </c>
      <c r="G47" t="s">
        <v>310</v>
      </c>
      <c r="H47" t="s">
        <v>45</v>
      </c>
      <c r="I47" t="s">
        <v>98</v>
      </c>
    </row>
    <row r="48">
      <c r="A48" t="s">
        <v>428</v>
      </c>
      <c r="B48" s="232" t="s">
        <v>427</v>
      </c>
      <c r="C48" s="232">
        <v>0.0</v>
      </c>
      <c r="D48" s="232">
        <v>0.0</v>
      </c>
      <c r="F48" t="s">
        <v>7702</v>
      </c>
      <c r="G48" t="s">
        <v>310</v>
      </c>
      <c r="H48" t="s">
        <v>7703</v>
      </c>
      <c r="I48" t="s">
        <v>98</v>
      </c>
    </row>
    <row r="49">
      <c r="A49" t="s">
        <v>430</v>
      </c>
      <c r="B49" s="232" t="s">
        <v>429</v>
      </c>
      <c r="C49" s="232">
        <v>0.0</v>
      </c>
      <c r="D49" s="232">
        <v>0.0</v>
      </c>
      <c r="F49" t="s">
        <v>7702</v>
      </c>
      <c r="G49" t="s">
        <v>310</v>
      </c>
      <c r="H49" t="s">
        <v>45</v>
      </c>
      <c r="I49" t="s">
        <v>98</v>
      </c>
    </row>
    <row r="50">
      <c r="A50" t="s">
        <v>432</v>
      </c>
      <c r="B50" s="232" t="s">
        <v>431</v>
      </c>
      <c r="C50" s="232">
        <v>0.0</v>
      </c>
      <c r="D50" s="232">
        <v>0.0</v>
      </c>
      <c r="F50" t="s">
        <v>7702</v>
      </c>
      <c r="G50" t="s">
        <v>310</v>
      </c>
      <c r="H50" t="s">
        <v>45</v>
      </c>
      <c r="I50" t="s">
        <v>98</v>
      </c>
    </row>
    <row r="51">
      <c r="A51" t="s">
        <v>434</v>
      </c>
      <c r="B51" s="232" t="s">
        <v>433</v>
      </c>
      <c r="C51" s="232">
        <v>0.0</v>
      </c>
      <c r="D51" s="232">
        <v>0.0</v>
      </c>
      <c r="F51" t="s">
        <v>7702</v>
      </c>
      <c r="G51" t="s">
        <v>310</v>
      </c>
      <c r="H51" t="s">
        <v>45</v>
      </c>
      <c r="I51" t="s">
        <v>98</v>
      </c>
    </row>
    <row r="52">
      <c r="A52" t="s">
        <v>436</v>
      </c>
      <c r="B52" s="232" t="s">
        <v>435</v>
      </c>
      <c r="C52" s="232">
        <v>0.0</v>
      </c>
      <c r="D52" s="232">
        <v>0.0</v>
      </c>
      <c r="F52" t="s">
        <v>7702</v>
      </c>
      <c r="G52" t="s">
        <v>310</v>
      </c>
      <c r="H52" t="s">
        <v>45</v>
      </c>
      <c r="I52" t="s">
        <v>98</v>
      </c>
    </row>
    <row r="53">
      <c r="A53" t="s">
        <v>438</v>
      </c>
      <c r="B53" s="232" t="s">
        <v>437</v>
      </c>
      <c r="C53" s="232">
        <v>0.0</v>
      </c>
      <c r="D53" s="232">
        <v>0.0</v>
      </c>
      <c r="F53" t="s">
        <v>7702</v>
      </c>
      <c r="G53" t="s">
        <v>310</v>
      </c>
      <c r="H53" t="s">
        <v>45</v>
      </c>
      <c r="I53" t="s">
        <v>98</v>
      </c>
    </row>
    <row r="54">
      <c r="A54" t="s">
        <v>440</v>
      </c>
      <c r="B54" s="232" t="s">
        <v>439</v>
      </c>
      <c r="C54" s="232">
        <v>0.0</v>
      </c>
      <c r="D54" s="232">
        <v>0.0</v>
      </c>
      <c r="F54" t="s">
        <v>7702</v>
      </c>
      <c r="G54" t="s">
        <v>310</v>
      </c>
      <c r="H54" t="s">
        <v>45</v>
      </c>
      <c r="I54" t="s">
        <v>98</v>
      </c>
    </row>
    <row r="55">
      <c r="A55" t="s">
        <v>442</v>
      </c>
      <c r="B55" s="232" t="s">
        <v>441</v>
      </c>
      <c r="C55" s="232">
        <v>3.0</v>
      </c>
      <c r="D55" s="232">
        <v>145.16</v>
      </c>
      <c r="E55" s="232">
        <v>48.3867</v>
      </c>
      <c r="F55" t="s">
        <v>7711</v>
      </c>
      <c r="G55" t="s">
        <v>330</v>
      </c>
      <c r="H55" t="s">
        <v>150</v>
      </c>
      <c r="I55" t="s">
        <v>98</v>
      </c>
    </row>
    <row r="56">
      <c r="A56" t="s">
        <v>444</v>
      </c>
      <c r="B56" s="232" t="s">
        <v>443</v>
      </c>
      <c r="C56" s="232">
        <v>0.0</v>
      </c>
      <c r="D56" s="232">
        <v>0.0</v>
      </c>
      <c r="F56" t="s">
        <v>7711</v>
      </c>
      <c r="G56" t="s">
        <v>310</v>
      </c>
      <c r="H56" t="s">
        <v>45</v>
      </c>
      <c r="I56" t="s">
        <v>98</v>
      </c>
    </row>
    <row r="57">
      <c r="A57" t="s">
        <v>446</v>
      </c>
      <c r="B57" s="232" t="s">
        <v>445</v>
      </c>
      <c r="C57" s="232">
        <v>246.0</v>
      </c>
      <c r="D57" s="232">
        <v>86.05</v>
      </c>
      <c r="E57" s="232">
        <v>0.3498</v>
      </c>
      <c r="F57" t="s">
        <v>7702</v>
      </c>
      <c r="G57" t="s">
        <v>330</v>
      </c>
      <c r="H57" t="s">
        <v>150</v>
      </c>
      <c r="I57" t="s">
        <v>98</v>
      </c>
    </row>
    <row r="58">
      <c r="A58" t="s">
        <v>448</v>
      </c>
      <c r="B58" s="232" t="s">
        <v>447</v>
      </c>
      <c r="C58" s="232">
        <v>0.0</v>
      </c>
      <c r="D58" s="232">
        <v>0.0</v>
      </c>
      <c r="F58" t="s">
        <v>7702</v>
      </c>
      <c r="G58" t="s">
        <v>310</v>
      </c>
      <c r="H58" t="s">
        <v>7703</v>
      </c>
      <c r="I58" t="s">
        <v>98</v>
      </c>
    </row>
    <row r="59">
      <c r="A59" t="s">
        <v>450</v>
      </c>
      <c r="B59" s="232" t="s">
        <v>449</v>
      </c>
      <c r="C59" s="232">
        <v>0.0</v>
      </c>
      <c r="D59" s="232">
        <v>0.0</v>
      </c>
      <c r="F59" t="s">
        <v>7702</v>
      </c>
      <c r="G59" t="s">
        <v>310</v>
      </c>
      <c r="H59" t="s">
        <v>7703</v>
      </c>
      <c r="I59" t="s">
        <v>98</v>
      </c>
    </row>
    <row r="60">
      <c r="A60" t="s">
        <v>452</v>
      </c>
      <c r="B60" s="232" t="s">
        <v>451</v>
      </c>
      <c r="C60" s="232">
        <v>444.0</v>
      </c>
      <c r="D60" s="232">
        <v>159.44</v>
      </c>
      <c r="E60" s="232">
        <v>0.3591</v>
      </c>
      <c r="F60" t="s">
        <v>7702</v>
      </c>
      <c r="G60" t="s">
        <v>330</v>
      </c>
      <c r="H60" t="s">
        <v>150</v>
      </c>
      <c r="I60" t="s">
        <v>98</v>
      </c>
    </row>
    <row r="61">
      <c r="A61" t="s">
        <v>454</v>
      </c>
      <c r="B61" s="232" t="s">
        <v>453</v>
      </c>
      <c r="C61" s="232">
        <v>255.0</v>
      </c>
      <c r="D61" s="232">
        <v>89.2</v>
      </c>
      <c r="E61" s="232">
        <v>0.3498</v>
      </c>
      <c r="F61" t="s">
        <v>7702</v>
      </c>
      <c r="G61" t="s">
        <v>330</v>
      </c>
      <c r="H61" t="s">
        <v>150</v>
      </c>
      <c r="I61" t="s">
        <v>98</v>
      </c>
    </row>
    <row r="62">
      <c r="A62" t="s">
        <v>456</v>
      </c>
      <c r="B62" s="232" t="s">
        <v>455</v>
      </c>
      <c r="C62" s="232">
        <v>875.0</v>
      </c>
      <c r="D62" s="232">
        <v>292.71</v>
      </c>
      <c r="E62" s="232">
        <v>0.3345</v>
      </c>
      <c r="F62" t="s">
        <v>7702</v>
      </c>
      <c r="G62" t="s">
        <v>330</v>
      </c>
      <c r="H62" t="s">
        <v>150</v>
      </c>
      <c r="I62" t="s">
        <v>98</v>
      </c>
    </row>
    <row r="63">
      <c r="A63" t="s">
        <v>458</v>
      </c>
      <c r="B63" s="232" t="s">
        <v>457</v>
      </c>
      <c r="C63" s="232">
        <v>0.0</v>
      </c>
      <c r="D63" s="232">
        <v>0.0</v>
      </c>
      <c r="F63" t="s">
        <v>7702</v>
      </c>
      <c r="G63" t="s">
        <v>310</v>
      </c>
      <c r="H63" t="s">
        <v>7703</v>
      </c>
      <c r="I63" t="s">
        <v>98</v>
      </c>
    </row>
    <row r="64">
      <c r="A64" t="s">
        <v>460</v>
      </c>
      <c r="B64" s="232" t="s">
        <v>459</v>
      </c>
      <c r="C64" s="232">
        <v>582.0</v>
      </c>
      <c r="D64" s="232">
        <v>203.65</v>
      </c>
      <c r="E64" s="232">
        <v>0.3499</v>
      </c>
      <c r="F64" t="s">
        <v>7702</v>
      </c>
      <c r="G64" t="s">
        <v>330</v>
      </c>
      <c r="H64" t="s">
        <v>150</v>
      </c>
      <c r="I64" t="s">
        <v>98</v>
      </c>
    </row>
    <row r="65">
      <c r="A65" t="s">
        <v>462</v>
      </c>
      <c r="B65" s="232" t="s">
        <v>461</v>
      </c>
      <c r="C65" s="232">
        <v>597.0</v>
      </c>
      <c r="D65" s="232">
        <v>208.9</v>
      </c>
      <c r="E65" s="232">
        <v>0.3499</v>
      </c>
      <c r="F65" t="s">
        <v>7702</v>
      </c>
      <c r="G65" t="s">
        <v>330</v>
      </c>
      <c r="H65" t="s">
        <v>150</v>
      </c>
      <c r="I65" t="s">
        <v>98</v>
      </c>
    </row>
    <row r="66">
      <c r="A66" t="s">
        <v>464</v>
      </c>
      <c r="B66" s="232" t="s">
        <v>463</v>
      </c>
      <c r="C66" s="232">
        <v>264.0</v>
      </c>
      <c r="D66" s="232">
        <v>94.88</v>
      </c>
      <c r="E66" s="232">
        <v>0.3594</v>
      </c>
      <c r="F66" t="s">
        <v>7702</v>
      </c>
      <c r="G66" t="s">
        <v>330</v>
      </c>
      <c r="H66" t="s">
        <v>150</v>
      </c>
      <c r="I66" t="s">
        <v>98</v>
      </c>
    </row>
    <row r="67">
      <c r="A67" t="s">
        <v>466</v>
      </c>
      <c r="B67" s="232" t="s">
        <v>465</v>
      </c>
      <c r="C67" s="232">
        <v>0.0</v>
      </c>
      <c r="D67" s="232">
        <v>0.0</v>
      </c>
      <c r="F67" t="s">
        <v>7702</v>
      </c>
      <c r="G67" t="s">
        <v>310</v>
      </c>
      <c r="H67" t="s">
        <v>7703</v>
      </c>
      <c r="I67" t="s">
        <v>98</v>
      </c>
    </row>
    <row r="68">
      <c r="A68" t="s">
        <v>468</v>
      </c>
      <c r="B68" s="232" t="s">
        <v>467</v>
      </c>
      <c r="C68" s="232">
        <v>570.0</v>
      </c>
      <c r="D68" s="232">
        <v>198.51</v>
      </c>
      <c r="E68" s="232">
        <v>0.3483</v>
      </c>
      <c r="F68" t="s">
        <v>7702</v>
      </c>
      <c r="G68" t="s">
        <v>330</v>
      </c>
      <c r="H68" t="s">
        <v>150</v>
      </c>
      <c r="I68" t="s">
        <v>98</v>
      </c>
    </row>
    <row r="69">
      <c r="A69" t="s">
        <v>470</v>
      </c>
      <c r="B69" s="232" t="s">
        <v>469</v>
      </c>
      <c r="C69" s="232">
        <v>0.0</v>
      </c>
      <c r="D69" s="232">
        <v>0.0</v>
      </c>
      <c r="F69" t="s">
        <v>7702</v>
      </c>
      <c r="G69" t="s">
        <v>310</v>
      </c>
      <c r="H69" t="s">
        <v>7703</v>
      </c>
      <c r="I69" t="s">
        <v>98</v>
      </c>
    </row>
    <row r="70">
      <c r="A70" t="s">
        <v>472</v>
      </c>
      <c r="B70" s="232" t="s">
        <v>471</v>
      </c>
      <c r="C70" s="232">
        <v>462.0</v>
      </c>
      <c r="D70" s="232">
        <v>165.88</v>
      </c>
      <c r="E70" s="232">
        <v>0.359</v>
      </c>
      <c r="F70" t="s">
        <v>7702</v>
      </c>
      <c r="G70" t="s">
        <v>330</v>
      </c>
      <c r="H70" t="s">
        <v>150</v>
      </c>
      <c r="I70" t="s">
        <v>98</v>
      </c>
    </row>
    <row r="71">
      <c r="A71" t="s">
        <v>474</v>
      </c>
      <c r="B71" s="232" t="s">
        <v>473</v>
      </c>
      <c r="C71" s="232">
        <v>0.0</v>
      </c>
      <c r="D71" s="232">
        <v>0.0</v>
      </c>
      <c r="F71" t="s">
        <v>7702</v>
      </c>
      <c r="G71" t="s">
        <v>310</v>
      </c>
      <c r="H71" t="s">
        <v>7703</v>
      </c>
      <c r="I71" t="s">
        <v>98</v>
      </c>
    </row>
    <row r="72">
      <c r="A72" t="s">
        <v>476</v>
      </c>
      <c r="B72" s="232" t="s">
        <v>475</v>
      </c>
      <c r="C72" s="232">
        <v>773.0</v>
      </c>
      <c r="D72" s="232">
        <v>258.56</v>
      </c>
      <c r="E72" s="232">
        <v>0.3345</v>
      </c>
      <c r="F72" t="s">
        <v>7702</v>
      </c>
      <c r="G72" t="s">
        <v>330</v>
      </c>
      <c r="H72" t="s">
        <v>150</v>
      </c>
      <c r="I72" t="s">
        <v>98</v>
      </c>
    </row>
    <row r="73">
      <c r="A73" t="s">
        <v>478</v>
      </c>
      <c r="B73" s="232" t="s">
        <v>477</v>
      </c>
      <c r="C73" s="232">
        <v>660.0</v>
      </c>
      <c r="D73" s="232">
        <v>230.95</v>
      </c>
      <c r="E73" s="232">
        <v>0.3499</v>
      </c>
      <c r="F73" t="s">
        <v>7702</v>
      </c>
      <c r="G73" t="s">
        <v>330</v>
      </c>
      <c r="H73" t="s">
        <v>150</v>
      </c>
      <c r="I73" t="s">
        <v>98</v>
      </c>
    </row>
    <row r="74">
      <c r="A74" t="s">
        <v>480</v>
      </c>
      <c r="B74" s="232" t="s">
        <v>479</v>
      </c>
      <c r="C74" s="232">
        <v>996.0</v>
      </c>
      <c r="D74" s="232">
        <v>333.24</v>
      </c>
      <c r="E74" s="232">
        <v>0.3346</v>
      </c>
      <c r="F74" t="s">
        <v>7702</v>
      </c>
      <c r="G74" t="s">
        <v>330</v>
      </c>
      <c r="H74" t="s">
        <v>150</v>
      </c>
      <c r="I74" t="s">
        <v>98</v>
      </c>
    </row>
    <row r="75">
      <c r="A75" t="s">
        <v>482</v>
      </c>
      <c r="B75" s="232" t="s">
        <v>481</v>
      </c>
      <c r="C75" s="232">
        <v>0.0</v>
      </c>
      <c r="D75" s="232">
        <v>0.0</v>
      </c>
      <c r="F75" t="s">
        <v>7702</v>
      </c>
      <c r="G75" t="s">
        <v>310</v>
      </c>
      <c r="H75" t="s">
        <v>7703</v>
      </c>
      <c r="I75" t="s">
        <v>98</v>
      </c>
    </row>
    <row r="76">
      <c r="A76" t="s">
        <v>484</v>
      </c>
      <c r="B76" s="232" t="s">
        <v>483</v>
      </c>
      <c r="C76" s="232">
        <v>636.0</v>
      </c>
      <c r="D76" s="232">
        <v>212.74</v>
      </c>
      <c r="E76" s="232">
        <v>0.3345</v>
      </c>
      <c r="F76" t="s">
        <v>7702</v>
      </c>
      <c r="G76" t="s">
        <v>330</v>
      </c>
      <c r="H76" t="s">
        <v>150</v>
      </c>
      <c r="I76" t="s">
        <v>98</v>
      </c>
    </row>
    <row r="77">
      <c r="A77" t="s">
        <v>486</v>
      </c>
      <c r="B77" s="232" t="s">
        <v>485</v>
      </c>
      <c r="C77" s="232">
        <v>0.0</v>
      </c>
      <c r="D77" s="232">
        <v>0.0</v>
      </c>
      <c r="F77" t="s">
        <v>7702</v>
      </c>
      <c r="G77" t="s">
        <v>310</v>
      </c>
      <c r="H77" t="s">
        <v>7703</v>
      </c>
      <c r="I77" t="s">
        <v>98</v>
      </c>
    </row>
    <row r="78">
      <c r="A78" t="s">
        <v>488</v>
      </c>
      <c r="B78" s="232" t="s">
        <v>487</v>
      </c>
      <c r="C78" s="232">
        <v>0.0</v>
      </c>
      <c r="D78" s="232">
        <v>0.0</v>
      </c>
      <c r="F78" t="s">
        <v>7702</v>
      </c>
      <c r="G78" t="s">
        <v>330</v>
      </c>
      <c r="H78" t="s">
        <v>7703</v>
      </c>
      <c r="I78" t="s">
        <v>98</v>
      </c>
    </row>
    <row r="79">
      <c r="A79" t="s">
        <v>490</v>
      </c>
      <c r="B79" s="232" t="s">
        <v>489</v>
      </c>
      <c r="C79" s="232">
        <v>0.0</v>
      </c>
      <c r="D79" s="232">
        <v>0.0</v>
      </c>
      <c r="F79" t="s">
        <v>7702</v>
      </c>
      <c r="G79" t="s">
        <v>330</v>
      </c>
      <c r="H79" t="s">
        <v>150</v>
      </c>
      <c r="I79" t="s">
        <v>98</v>
      </c>
    </row>
    <row r="80">
      <c r="A80" t="s">
        <v>492</v>
      </c>
      <c r="B80" s="232" t="s">
        <v>491</v>
      </c>
      <c r="C80" s="232">
        <v>0.0</v>
      </c>
      <c r="D80" s="232">
        <v>0.0</v>
      </c>
      <c r="F80" t="s">
        <v>7702</v>
      </c>
      <c r="G80" t="s">
        <v>330</v>
      </c>
      <c r="H80" t="s">
        <v>150</v>
      </c>
      <c r="I80" t="s">
        <v>98</v>
      </c>
    </row>
    <row r="81">
      <c r="A81" t="s">
        <v>494</v>
      </c>
      <c r="B81" s="232" t="s">
        <v>493</v>
      </c>
      <c r="C81" s="232">
        <v>201.0</v>
      </c>
      <c r="D81" s="232">
        <v>72.35</v>
      </c>
      <c r="E81" s="232">
        <v>0.36</v>
      </c>
      <c r="F81" t="s">
        <v>7702</v>
      </c>
      <c r="G81" t="s">
        <v>330</v>
      </c>
      <c r="H81" t="s">
        <v>150</v>
      </c>
      <c r="I81" t="s">
        <v>98</v>
      </c>
    </row>
    <row r="82">
      <c r="A82" t="s">
        <v>496</v>
      </c>
      <c r="B82" s="232" t="s">
        <v>495</v>
      </c>
      <c r="C82" s="232">
        <v>70.0</v>
      </c>
      <c r="D82" s="232">
        <v>24.3</v>
      </c>
      <c r="E82" s="232">
        <v>0.3471</v>
      </c>
      <c r="F82" t="s">
        <v>7702</v>
      </c>
      <c r="G82" t="s">
        <v>330</v>
      </c>
      <c r="H82" t="s">
        <v>150</v>
      </c>
      <c r="I82" t="s">
        <v>98</v>
      </c>
    </row>
    <row r="83">
      <c r="A83" t="s">
        <v>498</v>
      </c>
      <c r="B83" s="232" t="s">
        <v>497</v>
      </c>
      <c r="C83" s="232">
        <v>0.0</v>
      </c>
      <c r="D83" s="232">
        <v>0.0</v>
      </c>
      <c r="F83" t="s">
        <v>7702</v>
      </c>
      <c r="G83" t="s">
        <v>310</v>
      </c>
      <c r="H83" t="s">
        <v>45</v>
      </c>
      <c r="I83" t="s">
        <v>98</v>
      </c>
    </row>
    <row r="84">
      <c r="A84" t="s">
        <v>500</v>
      </c>
      <c r="B84" s="232" t="s">
        <v>499</v>
      </c>
      <c r="C84" s="232">
        <v>821.0</v>
      </c>
      <c r="D84" s="232">
        <v>274.63</v>
      </c>
      <c r="E84" s="232">
        <v>0.3345</v>
      </c>
      <c r="F84" t="s">
        <v>7702</v>
      </c>
      <c r="G84" t="s">
        <v>330</v>
      </c>
      <c r="H84" t="s">
        <v>150</v>
      </c>
      <c r="I84" t="s">
        <v>98</v>
      </c>
    </row>
    <row r="85">
      <c r="A85" t="s">
        <v>502</v>
      </c>
      <c r="B85" s="232" t="s">
        <v>501</v>
      </c>
      <c r="C85" s="232">
        <v>12.0</v>
      </c>
      <c r="D85" s="232">
        <v>4.31</v>
      </c>
      <c r="E85" s="232">
        <v>0.3592</v>
      </c>
      <c r="F85" t="s">
        <v>7702</v>
      </c>
      <c r="G85" t="s">
        <v>330</v>
      </c>
      <c r="H85" t="s">
        <v>150</v>
      </c>
      <c r="I85" t="s">
        <v>98</v>
      </c>
    </row>
    <row r="86">
      <c r="A86" t="s">
        <v>504</v>
      </c>
      <c r="B86" s="232" t="s">
        <v>503</v>
      </c>
      <c r="C86" s="232">
        <v>666.0</v>
      </c>
      <c r="D86" s="232">
        <v>233.05</v>
      </c>
      <c r="E86" s="232">
        <v>0.3499</v>
      </c>
      <c r="F86" t="s">
        <v>7702</v>
      </c>
      <c r="G86" t="s">
        <v>330</v>
      </c>
      <c r="H86" t="s">
        <v>150</v>
      </c>
      <c r="I86" t="s">
        <v>98</v>
      </c>
    </row>
    <row r="87">
      <c r="A87" t="s">
        <v>506</v>
      </c>
      <c r="B87" s="232" t="s">
        <v>505</v>
      </c>
      <c r="C87" s="232">
        <v>809.0</v>
      </c>
      <c r="D87" s="232">
        <v>270.62</v>
      </c>
      <c r="E87" s="232">
        <v>0.3345</v>
      </c>
      <c r="F87" t="s">
        <v>7702</v>
      </c>
      <c r="G87" t="s">
        <v>330</v>
      </c>
      <c r="H87" t="s">
        <v>150</v>
      </c>
      <c r="I87" t="s">
        <v>98</v>
      </c>
    </row>
    <row r="88">
      <c r="A88" t="s">
        <v>508</v>
      </c>
      <c r="B88" s="232" t="s">
        <v>507</v>
      </c>
      <c r="C88" s="232">
        <v>648.0</v>
      </c>
      <c r="D88" s="232">
        <v>216.7</v>
      </c>
      <c r="E88" s="232">
        <v>0.3344</v>
      </c>
      <c r="F88" t="s">
        <v>7702</v>
      </c>
      <c r="G88" t="s">
        <v>330</v>
      </c>
      <c r="H88" t="s">
        <v>150</v>
      </c>
      <c r="I88" t="s">
        <v>98</v>
      </c>
    </row>
    <row r="89">
      <c r="A89" t="s">
        <v>510</v>
      </c>
      <c r="B89" s="232" t="s">
        <v>509</v>
      </c>
      <c r="C89" s="232">
        <v>0.0</v>
      </c>
      <c r="D89" s="232">
        <v>0.0</v>
      </c>
      <c r="F89" t="s">
        <v>7702</v>
      </c>
      <c r="G89" t="s">
        <v>310</v>
      </c>
      <c r="H89" t="s">
        <v>45</v>
      </c>
      <c r="I89" t="s">
        <v>98</v>
      </c>
    </row>
    <row r="90">
      <c r="A90" t="s">
        <v>512</v>
      </c>
      <c r="B90" s="232" t="s">
        <v>511</v>
      </c>
      <c r="C90" s="232">
        <v>0.0</v>
      </c>
      <c r="D90" s="232">
        <v>0.0</v>
      </c>
      <c r="F90" t="s">
        <v>7702</v>
      </c>
      <c r="G90" t="s">
        <v>310</v>
      </c>
      <c r="H90" t="s">
        <v>45</v>
      </c>
      <c r="I90" t="s">
        <v>98</v>
      </c>
    </row>
    <row r="91">
      <c r="A91" t="s">
        <v>514</v>
      </c>
      <c r="B91" s="232" t="s">
        <v>513</v>
      </c>
      <c r="C91" s="232">
        <v>0.0</v>
      </c>
      <c r="D91" s="232">
        <v>0.0</v>
      </c>
      <c r="F91" t="s">
        <v>7702</v>
      </c>
      <c r="G91" t="s">
        <v>330</v>
      </c>
      <c r="H91" t="s">
        <v>45</v>
      </c>
      <c r="I91" t="s">
        <v>98</v>
      </c>
    </row>
    <row r="92">
      <c r="A92" t="s">
        <v>516</v>
      </c>
      <c r="B92" s="232" t="s">
        <v>515</v>
      </c>
      <c r="C92" s="232">
        <v>461.0</v>
      </c>
      <c r="D92" s="232">
        <v>161.31</v>
      </c>
      <c r="E92" s="232">
        <v>0.3499</v>
      </c>
      <c r="F92" t="s">
        <v>7702</v>
      </c>
      <c r="G92" t="s">
        <v>330</v>
      </c>
      <c r="H92" t="s">
        <v>150</v>
      </c>
      <c r="I92" t="s">
        <v>98</v>
      </c>
    </row>
    <row r="93">
      <c r="A93" t="s">
        <v>518</v>
      </c>
      <c r="B93" s="232" t="s">
        <v>517</v>
      </c>
      <c r="C93" s="232">
        <v>186.0</v>
      </c>
      <c r="D93" s="232">
        <v>67.01</v>
      </c>
      <c r="E93" s="232">
        <v>0.3603</v>
      </c>
      <c r="F93" t="s">
        <v>7702</v>
      </c>
      <c r="G93" t="s">
        <v>330</v>
      </c>
      <c r="H93" t="s">
        <v>150</v>
      </c>
      <c r="I93" t="s">
        <v>98</v>
      </c>
    </row>
    <row r="94">
      <c r="A94" t="s">
        <v>520</v>
      </c>
      <c r="B94" s="232" t="s">
        <v>519</v>
      </c>
      <c r="C94" s="232">
        <v>90.0</v>
      </c>
      <c r="D94" s="232">
        <v>30.19</v>
      </c>
      <c r="E94" s="232">
        <v>0.3354</v>
      </c>
      <c r="F94" t="s">
        <v>7702</v>
      </c>
      <c r="G94" t="s">
        <v>330</v>
      </c>
      <c r="H94" t="s">
        <v>150</v>
      </c>
      <c r="I94" t="s">
        <v>98</v>
      </c>
    </row>
    <row r="95">
      <c r="A95" t="s">
        <v>522</v>
      </c>
      <c r="B95" s="232" t="s">
        <v>521</v>
      </c>
      <c r="C95" s="232">
        <v>120.0</v>
      </c>
      <c r="D95" s="232">
        <v>39.51</v>
      </c>
      <c r="E95" s="232">
        <v>0.3293</v>
      </c>
      <c r="F95" t="s">
        <v>7702</v>
      </c>
      <c r="G95" t="s">
        <v>330</v>
      </c>
      <c r="H95" t="s">
        <v>150</v>
      </c>
      <c r="I95" t="s">
        <v>98</v>
      </c>
    </row>
    <row r="96">
      <c r="A96" t="s">
        <v>524</v>
      </c>
      <c r="B96" s="232" t="s">
        <v>523</v>
      </c>
      <c r="C96" s="232">
        <v>0.0</v>
      </c>
      <c r="D96" s="232">
        <v>0.0</v>
      </c>
      <c r="F96" t="s">
        <v>7702</v>
      </c>
      <c r="G96" t="s">
        <v>310</v>
      </c>
      <c r="H96" t="s">
        <v>7703</v>
      </c>
      <c r="I96" t="s">
        <v>151</v>
      </c>
    </row>
    <row r="97">
      <c r="A97" t="s">
        <v>529</v>
      </c>
      <c r="B97" s="232" t="s">
        <v>528</v>
      </c>
      <c r="C97" s="232">
        <v>0.0</v>
      </c>
      <c r="D97" s="232">
        <v>0.0</v>
      </c>
      <c r="F97" t="s">
        <v>7702</v>
      </c>
      <c r="G97" t="s">
        <v>310</v>
      </c>
      <c r="H97" t="s">
        <v>7703</v>
      </c>
      <c r="I97" t="s">
        <v>7708</v>
      </c>
    </row>
    <row r="98">
      <c r="A98" t="s">
        <v>533</v>
      </c>
      <c r="B98" s="232" t="s">
        <v>532</v>
      </c>
      <c r="C98" s="232">
        <v>0.0</v>
      </c>
      <c r="D98" s="232">
        <v>0.0</v>
      </c>
      <c r="F98" t="s">
        <v>7702</v>
      </c>
      <c r="G98" t="s">
        <v>310</v>
      </c>
      <c r="H98" t="s">
        <v>7703</v>
      </c>
      <c r="I98" t="s">
        <v>7708</v>
      </c>
    </row>
    <row r="99">
      <c r="A99" t="s">
        <v>551</v>
      </c>
      <c r="B99" s="232" t="s">
        <v>550</v>
      </c>
      <c r="C99" s="232">
        <v>185.0</v>
      </c>
      <c r="D99" s="232">
        <v>917.04</v>
      </c>
      <c r="E99" s="232">
        <v>4.957</v>
      </c>
      <c r="F99" t="s">
        <v>7702</v>
      </c>
      <c r="G99" t="s">
        <v>330</v>
      </c>
      <c r="H99" t="s">
        <v>214</v>
      </c>
      <c r="I99" t="s">
        <v>7712</v>
      </c>
    </row>
    <row r="100">
      <c r="A100" t="s">
        <v>554</v>
      </c>
      <c r="B100" s="232" t="s">
        <v>553</v>
      </c>
      <c r="C100" s="232">
        <v>0.0</v>
      </c>
      <c r="D100" s="232">
        <v>0.0</v>
      </c>
      <c r="F100" t="s">
        <v>7702</v>
      </c>
      <c r="G100" t="s">
        <v>310</v>
      </c>
      <c r="H100" t="s">
        <v>7703</v>
      </c>
      <c r="I100" t="s">
        <v>7708</v>
      </c>
    </row>
    <row r="101">
      <c r="A101" t="s">
        <v>556</v>
      </c>
      <c r="B101" s="232" t="s">
        <v>555</v>
      </c>
      <c r="C101" s="232">
        <v>1.0</v>
      </c>
      <c r="D101" s="232">
        <v>32.21</v>
      </c>
      <c r="E101" s="232">
        <v>32.21</v>
      </c>
      <c r="F101" t="s">
        <v>7702</v>
      </c>
      <c r="G101" t="s">
        <v>330</v>
      </c>
      <c r="H101" t="s">
        <v>150</v>
      </c>
      <c r="I101" t="s">
        <v>7713</v>
      </c>
    </row>
    <row r="102">
      <c r="A102" t="s">
        <v>560</v>
      </c>
      <c r="B102" s="232" t="s">
        <v>559</v>
      </c>
      <c r="C102" s="232">
        <v>3.0</v>
      </c>
      <c r="D102" s="232">
        <v>365.29</v>
      </c>
      <c r="E102" s="232">
        <v>121.7633</v>
      </c>
      <c r="F102" t="s">
        <v>7702</v>
      </c>
      <c r="G102" t="s">
        <v>330</v>
      </c>
      <c r="H102" t="s">
        <v>150</v>
      </c>
      <c r="I102" t="s">
        <v>7713</v>
      </c>
    </row>
    <row r="103">
      <c r="A103" t="s">
        <v>562</v>
      </c>
      <c r="B103" s="232" t="s">
        <v>561</v>
      </c>
      <c r="C103" s="232">
        <v>1.0</v>
      </c>
      <c r="D103" s="232">
        <v>66.97</v>
      </c>
      <c r="E103" s="232">
        <v>66.97</v>
      </c>
      <c r="F103" t="s">
        <v>7702</v>
      </c>
      <c r="G103" t="s">
        <v>330</v>
      </c>
      <c r="H103" t="s">
        <v>150</v>
      </c>
      <c r="I103" t="s">
        <v>7713</v>
      </c>
    </row>
    <row r="104">
      <c r="A104" t="s">
        <v>564</v>
      </c>
      <c r="B104" s="232" t="s">
        <v>563</v>
      </c>
      <c r="C104" s="232">
        <v>5.0</v>
      </c>
      <c r="D104" s="232">
        <v>66.47</v>
      </c>
      <c r="E104" s="232">
        <v>13.294</v>
      </c>
      <c r="F104" t="s">
        <v>7702</v>
      </c>
      <c r="G104" t="s">
        <v>330</v>
      </c>
      <c r="I104" t="s">
        <v>7714</v>
      </c>
    </row>
    <row r="105">
      <c r="A105" t="s">
        <v>567</v>
      </c>
      <c r="B105" s="232" t="s">
        <v>566</v>
      </c>
      <c r="C105" s="232">
        <v>0.0</v>
      </c>
      <c r="D105" s="232">
        <v>0.0</v>
      </c>
      <c r="F105" t="s">
        <v>7702</v>
      </c>
      <c r="G105" t="s">
        <v>310</v>
      </c>
      <c r="H105" t="s">
        <v>7703</v>
      </c>
      <c r="I105" t="s">
        <v>7715</v>
      </c>
    </row>
    <row r="106">
      <c r="A106" t="s">
        <v>569</v>
      </c>
      <c r="B106" s="232" t="s">
        <v>568</v>
      </c>
      <c r="C106" s="232">
        <v>0.0</v>
      </c>
      <c r="D106" s="232">
        <v>0.0</v>
      </c>
      <c r="F106" t="s">
        <v>7702</v>
      </c>
      <c r="G106" t="s">
        <v>310</v>
      </c>
      <c r="H106" t="s">
        <v>7703</v>
      </c>
      <c r="I106" t="s">
        <v>7715</v>
      </c>
    </row>
    <row r="107">
      <c r="A107" t="s">
        <v>571</v>
      </c>
      <c r="B107" s="232" t="s">
        <v>570</v>
      </c>
      <c r="C107" s="232">
        <v>0.0</v>
      </c>
      <c r="D107" s="232">
        <v>0.0</v>
      </c>
      <c r="F107" t="s">
        <v>7702</v>
      </c>
      <c r="G107" t="s">
        <v>310</v>
      </c>
      <c r="H107" t="s">
        <v>7703</v>
      </c>
      <c r="I107" t="s">
        <v>7715</v>
      </c>
    </row>
    <row r="108">
      <c r="A108" t="s">
        <v>573</v>
      </c>
      <c r="B108" s="232" t="s">
        <v>572</v>
      </c>
      <c r="C108" s="232">
        <v>0.0</v>
      </c>
      <c r="D108" s="232">
        <v>0.0</v>
      </c>
      <c r="F108" t="s">
        <v>7702</v>
      </c>
      <c r="G108" t="s">
        <v>310</v>
      </c>
      <c r="H108" t="s">
        <v>7703</v>
      </c>
      <c r="I108" t="s">
        <v>7715</v>
      </c>
    </row>
    <row r="109">
      <c r="A109" t="s">
        <v>575</v>
      </c>
      <c r="B109" s="232" t="s">
        <v>574</v>
      </c>
      <c r="C109" s="232">
        <v>0.0</v>
      </c>
      <c r="D109" s="232">
        <v>0.0</v>
      </c>
      <c r="F109" t="s">
        <v>7702</v>
      </c>
      <c r="G109" t="s">
        <v>310</v>
      </c>
      <c r="H109" t="s">
        <v>7703</v>
      </c>
      <c r="I109" t="s">
        <v>7716</v>
      </c>
    </row>
    <row r="110">
      <c r="A110" t="s">
        <v>577</v>
      </c>
      <c r="B110" s="232" t="s">
        <v>576</v>
      </c>
      <c r="C110" s="232">
        <v>0.0</v>
      </c>
      <c r="D110" s="232">
        <v>0.0</v>
      </c>
      <c r="F110" t="s">
        <v>7702</v>
      </c>
      <c r="G110" t="s">
        <v>310</v>
      </c>
      <c r="H110" t="s">
        <v>7703</v>
      </c>
      <c r="I110" t="s">
        <v>7717</v>
      </c>
    </row>
    <row r="111">
      <c r="A111" t="s">
        <v>579</v>
      </c>
      <c r="B111" s="232" t="s">
        <v>578</v>
      </c>
      <c r="C111" s="232">
        <v>0.0</v>
      </c>
      <c r="D111" s="232">
        <v>0.0</v>
      </c>
      <c r="F111" t="s">
        <v>7702</v>
      </c>
      <c r="G111" t="s">
        <v>310</v>
      </c>
      <c r="H111" t="s">
        <v>7703</v>
      </c>
      <c r="I111" t="s">
        <v>7713</v>
      </c>
    </row>
    <row r="112">
      <c r="A112" t="s">
        <v>589</v>
      </c>
      <c r="B112" s="232" t="s">
        <v>588</v>
      </c>
      <c r="C112" s="232">
        <v>0.0</v>
      </c>
      <c r="D112" s="232">
        <v>0.0</v>
      </c>
      <c r="F112" t="s">
        <v>7702</v>
      </c>
      <c r="G112" t="s">
        <v>310</v>
      </c>
      <c r="H112" t="s">
        <v>7703</v>
      </c>
      <c r="I112" t="s">
        <v>7713</v>
      </c>
    </row>
    <row r="113">
      <c r="A113" t="s">
        <v>591</v>
      </c>
      <c r="B113" s="232" t="s">
        <v>590</v>
      </c>
      <c r="C113" s="232">
        <v>0.0</v>
      </c>
      <c r="D113" s="232">
        <v>0.0</v>
      </c>
      <c r="F113" t="s">
        <v>7702</v>
      </c>
      <c r="G113" t="s">
        <v>310</v>
      </c>
      <c r="H113" t="s">
        <v>7703</v>
      </c>
      <c r="I113" t="s">
        <v>7713</v>
      </c>
    </row>
    <row r="114">
      <c r="A114" t="s">
        <v>593</v>
      </c>
      <c r="B114" s="232" t="s">
        <v>592</v>
      </c>
      <c r="C114" s="232">
        <v>0.0</v>
      </c>
      <c r="D114" s="232">
        <v>0.0</v>
      </c>
      <c r="F114" t="s">
        <v>7702</v>
      </c>
      <c r="G114" t="s">
        <v>310</v>
      </c>
      <c r="H114" t="s">
        <v>7703</v>
      </c>
      <c r="I114" t="s">
        <v>7713</v>
      </c>
    </row>
    <row r="115">
      <c r="A115" t="s">
        <v>595</v>
      </c>
      <c r="B115" s="232" t="s">
        <v>594</v>
      </c>
      <c r="C115" s="232">
        <v>0.0</v>
      </c>
      <c r="D115" s="232">
        <v>0.0</v>
      </c>
      <c r="F115" t="s">
        <v>7702</v>
      </c>
      <c r="G115" t="s">
        <v>310</v>
      </c>
      <c r="H115" t="s">
        <v>7703</v>
      </c>
      <c r="I115" t="s">
        <v>7713</v>
      </c>
    </row>
    <row r="116">
      <c r="A116" t="s">
        <v>597</v>
      </c>
      <c r="B116" s="232" t="s">
        <v>596</v>
      </c>
      <c r="C116" s="232">
        <v>0.0</v>
      </c>
      <c r="D116" s="232">
        <v>0.0</v>
      </c>
      <c r="F116" t="s">
        <v>7702</v>
      </c>
      <c r="G116" t="s">
        <v>310</v>
      </c>
      <c r="H116" t="s">
        <v>7703</v>
      </c>
      <c r="I116" t="s">
        <v>7713</v>
      </c>
    </row>
    <row r="117">
      <c r="A117" t="s">
        <v>599</v>
      </c>
      <c r="B117" s="232" t="s">
        <v>598</v>
      </c>
      <c r="C117" s="232">
        <v>0.0</v>
      </c>
      <c r="D117" s="232">
        <v>0.0</v>
      </c>
      <c r="F117" t="s">
        <v>7702</v>
      </c>
      <c r="G117" t="s">
        <v>310</v>
      </c>
      <c r="H117" t="s">
        <v>7703</v>
      </c>
      <c r="I117" t="s">
        <v>7713</v>
      </c>
    </row>
    <row r="118">
      <c r="A118" t="s">
        <v>603</v>
      </c>
      <c r="B118" s="232" t="s">
        <v>602</v>
      </c>
      <c r="C118" s="232">
        <v>3.0</v>
      </c>
      <c r="D118" s="232">
        <v>185.76</v>
      </c>
      <c r="E118" s="232">
        <v>61.92</v>
      </c>
      <c r="F118" t="s">
        <v>7702</v>
      </c>
      <c r="G118" t="s">
        <v>330</v>
      </c>
      <c r="H118" t="s">
        <v>150</v>
      </c>
      <c r="I118" t="s">
        <v>7713</v>
      </c>
    </row>
    <row r="119">
      <c r="A119" t="s">
        <v>605</v>
      </c>
      <c r="B119" s="232" t="s">
        <v>604</v>
      </c>
      <c r="C119" s="232">
        <v>18.0</v>
      </c>
      <c r="D119" s="232">
        <v>123.94</v>
      </c>
      <c r="E119" s="232">
        <v>6.8856</v>
      </c>
      <c r="F119" t="s">
        <v>7702</v>
      </c>
      <c r="G119" t="s">
        <v>330</v>
      </c>
      <c r="I119" t="s">
        <v>7714</v>
      </c>
    </row>
    <row r="120">
      <c r="A120" t="s">
        <v>607</v>
      </c>
      <c r="B120" s="232" t="s">
        <v>606</v>
      </c>
      <c r="C120" s="232">
        <v>0.0</v>
      </c>
      <c r="D120" s="232">
        <v>0.0</v>
      </c>
      <c r="F120" t="s">
        <v>7702</v>
      </c>
      <c r="G120" t="s">
        <v>310</v>
      </c>
      <c r="H120" t="s">
        <v>7703</v>
      </c>
      <c r="I120" t="s">
        <v>7715</v>
      </c>
    </row>
    <row r="121">
      <c r="A121" t="s">
        <v>609</v>
      </c>
      <c r="B121" s="232" t="s">
        <v>608</v>
      </c>
      <c r="C121" s="232">
        <v>0.0</v>
      </c>
      <c r="D121" s="232">
        <v>0.0</v>
      </c>
      <c r="F121" t="s">
        <v>7702</v>
      </c>
      <c r="G121" t="s">
        <v>310</v>
      </c>
      <c r="H121" t="s">
        <v>7703</v>
      </c>
      <c r="I121" t="s">
        <v>7715</v>
      </c>
    </row>
    <row r="122">
      <c r="A122" t="s">
        <v>611</v>
      </c>
      <c r="B122" s="232" t="s">
        <v>610</v>
      </c>
      <c r="C122" s="232">
        <v>0.0</v>
      </c>
      <c r="D122" s="232">
        <v>0.0</v>
      </c>
      <c r="F122" t="s">
        <v>7702</v>
      </c>
      <c r="G122" t="s">
        <v>310</v>
      </c>
      <c r="H122" t="s">
        <v>7703</v>
      </c>
      <c r="I122" t="s">
        <v>7715</v>
      </c>
    </row>
    <row r="123">
      <c r="A123" t="s">
        <v>615</v>
      </c>
      <c r="B123" s="232" t="s">
        <v>614</v>
      </c>
      <c r="C123" s="232">
        <v>0.0</v>
      </c>
      <c r="D123" s="232">
        <v>0.0</v>
      </c>
      <c r="F123" t="s">
        <v>7702</v>
      </c>
      <c r="G123" t="s">
        <v>310</v>
      </c>
      <c r="H123" t="s">
        <v>7703</v>
      </c>
      <c r="I123" t="s">
        <v>7715</v>
      </c>
    </row>
    <row r="124">
      <c r="A124" t="s">
        <v>617</v>
      </c>
      <c r="B124" s="232" t="s">
        <v>616</v>
      </c>
      <c r="C124" s="232">
        <v>0.0</v>
      </c>
      <c r="D124" s="232">
        <v>0.0</v>
      </c>
      <c r="F124" t="s">
        <v>7702</v>
      </c>
      <c r="G124" t="s">
        <v>310</v>
      </c>
      <c r="H124" t="s">
        <v>7703</v>
      </c>
      <c r="I124" t="s">
        <v>7715</v>
      </c>
    </row>
    <row r="125">
      <c r="A125" t="s">
        <v>621</v>
      </c>
      <c r="B125" s="232" t="s">
        <v>620</v>
      </c>
      <c r="C125" s="232">
        <v>0.0</v>
      </c>
      <c r="D125" s="232">
        <v>0.0</v>
      </c>
      <c r="F125" t="s">
        <v>7702</v>
      </c>
      <c r="G125" t="s">
        <v>310</v>
      </c>
      <c r="H125" t="s">
        <v>7703</v>
      </c>
      <c r="I125" t="s">
        <v>7715</v>
      </c>
    </row>
    <row r="126">
      <c r="A126" t="s">
        <v>625</v>
      </c>
      <c r="B126" s="232" t="s">
        <v>624</v>
      </c>
      <c r="C126" s="232">
        <v>0.0</v>
      </c>
      <c r="D126" s="232">
        <v>0.0</v>
      </c>
      <c r="F126" t="s">
        <v>7702</v>
      </c>
      <c r="G126" t="s">
        <v>310</v>
      </c>
      <c r="H126" t="s">
        <v>7703</v>
      </c>
      <c r="I126" t="s">
        <v>7715</v>
      </c>
    </row>
    <row r="127">
      <c r="A127" t="s">
        <v>627</v>
      </c>
      <c r="B127" s="232" t="s">
        <v>626</v>
      </c>
      <c r="C127" s="232">
        <v>0.0</v>
      </c>
      <c r="D127" s="232">
        <v>0.0</v>
      </c>
      <c r="F127" t="s">
        <v>7702</v>
      </c>
      <c r="G127" t="s">
        <v>310</v>
      </c>
      <c r="H127" t="s">
        <v>7703</v>
      </c>
      <c r="I127" t="s">
        <v>7715</v>
      </c>
    </row>
    <row r="128">
      <c r="A128" t="s">
        <v>631</v>
      </c>
      <c r="B128" s="232" t="s">
        <v>630</v>
      </c>
      <c r="C128" s="232">
        <v>0.0</v>
      </c>
      <c r="D128" s="232">
        <v>0.0</v>
      </c>
      <c r="F128" t="s">
        <v>7702</v>
      </c>
      <c r="G128" t="s">
        <v>310</v>
      </c>
      <c r="H128" t="s">
        <v>7703</v>
      </c>
      <c r="I128" t="s">
        <v>7718</v>
      </c>
    </row>
    <row r="129">
      <c r="A129" t="s">
        <v>633</v>
      </c>
      <c r="B129" s="232" t="s">
        <v>632</v>
      </c>
      <c r="C129" s="232">
        <v>0.0</v>
      </c>
      <c r="D129" s="232">
        <v>0.0</v>
      </c>
      <c r="F129" t="s">
        <v>7702</v>
      </c>
      <c r="G129" t="s">
        <v>310</v>
      </c>
      <c r="H129" t="s">
        <v>7703</v>
      </c>
      <c r="I129" t="s">
        <v>7718</v>
      </c>
    </row>
    <row r="130">
      <c r="A130" t="s">
        <v>635</v>
      </c>
      <c r="B130" s="232" t="s">
        <v>634</v>
      </c>
      <c r="C130" s="232">
        <v>0.0</v>
      </c>
      <c r="D130" s="232">
        <v>0.0</v>
      </c>
      <c r="F130" t="s">
        <v>7702</v>
      </c>
      <c r="G130" t="s">
        <v>310</v>
      </c>
      <c r="H130" t="s">
        <v>7703</v>
      </c>
      <c r="I130" t="s">
        <v>7717</v>
      </c>
    </row>
    <row r="131">
      <c r="A131" t="s">
        <v>643</v>
      </c>
      <c r="B131" s="232" t="s">
        <v>642</v>
      </c>
      <c r="C131" s="232">
        <v>0.0</v>
      </c>
      <c r="D131" s="232">
        <v>0.0</v>
      </c>
      <c r="F131" t="s">
        <v>7702</v>
      </c>
      <c r="G131" t="s">
        <v>310</v>
      </c>
      <c r="H131" t="s">
        <v>7703</v>
      </c>
      <c r="I131" t="s">
        <v>7718</v>
      </c>
    </row>
    <row r="132">
      <c r="A132" t="s">
        <v>645</v>
      </c>
      <c r="B132" s="232" t="s">
        <v>644</v>
      </c>
      <c r="C132" s="232">
        <v>0.0</v>
      </c>
      <c r="D132" s="232">
        <v>0.0</v>
      </c>
      <c r="F132" t="s">
        <v>7702</v>
      </c>
      <c r="G132" t="s">
        <v>310</v>
      </c>
      <c r="H132" t="s">
        <v>7703</v>
      </c>
      <c r="I132" t="s">
        <v>7713</v>
      </c>
    </row>
    <row r="133">
      <c r="A133" t="s">
        <v>647</v>
      </c>
      <c r="B133" s="232" t="s">
        <v>646</v>
      </c>
      <c r="C133" s="232">
        <v>0.0</v>
      </c>
      <c r="D133" s="232">
        <v>0.0</v>
      </c>
      <c r="F133" t="s">
        <v>7702</v>
      </c>
      <c r="G133" t="s">
        <v>310</v>
      </c>
      <c r="H133" t="s">
        <v>7703</v>
      </c>
      <c r="I133" t="s">
        <v>7713</v>
      </c>
    </row>
    <row r="134">
      <c r="A134" t="s">
        <v>649</v>
      </c>
      <c r="B134" s="232" t="s">
        <v>648</v>
      </c>
      <c r="C134" s="232">
        <v>0.0</v>
      </c>
      <c r="D134" s="232">
        <v>0.0</v>
      </c>
      <c r="F134" t="s">
        <v>7702</v>
      </c>
      <c r="G134" t="s">
        <v>310</v>
      </c>
      <c r="H134" t="s">
        <v>7703</v>
      </c>
      <c r="I134" t="s">
        <v>7713</v>
      </c>
    </row>
    <row r="135">
      <c r="A135" t="s">
        <v>651</v>
      </c>
      <c r="B135" s="232" t="s">
        <v>650</v>
      </c>
      <c r="C135" s="232">
        <v>0.0</v>
      </c>
      <c r="D135" s="232">
        <v>0.0</v>
      </c>
      <c r="F135" t="s">
        <v>7702</v>
      </c>
      <c r="G135" t="s">
        <v>310</v>
      </c>
      <c r="H135" t="s">
        <v>7703</v>
      </c>
      <c r="I135" t="s">
        <v>7713</v>
      </c>
    </row>
    <row r="136">
      <c r="A136" t="s">
        <v>653</v>
      </c>
      <c r="B136" s="232" t="s">
        <v>652</v>
      </c>
      <c r="C136" s="232">
        <v>0.0</v>
      </c>
      <c r="D136" s="232">
        <v>0.0</v>
      </c>
      <c r="F136" t="s">
        <v>7702</v>
      </c>
      <c r="G136" t="s">
        <v>310</v>
      </c>
      <c r="H136" t="s">
        <v>7703</v>
      </c>
      <c r="I136" t="s">
        <v>7713</v>
      </c>
    </row>
    <row r="137">
      <c r="A137" t="s">
        <v>655</v>
      </c>
      <c r="B137" s="232" t="s">
        <v>654</v>
      </c>
      <c r="C137" s="232">
        <v>0.0</v>
      </c>
      <c r="D137" s="232">
        <v>0.0</v>
      </c>
      <c r="F137" t="s">
        <v>7702</v>
      </c>
      <c r="G137" t="s">
        <v>310</v>
      </c>
      <c r="H137" t="s">
        <v>7703</v>
      </c>
      <c r="I137" t="s">
        <v>7713</v>
      </c>
    </row>
    <row r="138">
      <c r="A138" t="s">
        <v>657</v>
      </c>
      <c r="B138" s="232" t="s">
        <v>656</v>
      </c>
      <c r="C138" s="232">
        <v>0.0</v>
      </c>
      <c r="D138" s="232">
        <v>0.0</v>
      </c>
      <c r="F138" t="s">
        <v>7702</v>
      </c>
      <c r="G138" t="s">
        <v>310</v>
      </c>
      <c r="H138" t="s">
        <v>7703</v>
      </c>
      <c r="I138" t="s">
        <v>7713</v>
      </c>
    </row>
    <row r="139">
      <c r="A139" t="s">
        <v>659</v>
      </c>
      <c r="B139" s="232" t="s">
        <v>658</v>
      </c>
      <c r="C139" s="232">
        <v>0.0</v>
      </c>
      <c r="D139" s="232">
        <v>0.0</v>
      </c>
      <c r="F139" t="s">
        <v>7702</v>
      </c>
      <c r="G139" t="s">
        <v>310</v>
      </c>
      <c r="H139" t="s">
        <v>7703</v>
      </c>
      <c r="I139" t="s">
        <v>7713</v>
      </c>
    </row>
    <row r="140">
      <c r="A140" t="s">
        <v>661</v>
      </c>
      <c r="B140" s="232" t="s">
        <v>660</v>
      </c>
      <c r="C140" s="232">
        <v>0.0</v>
      </c>
      <c r="D140" s="232">
        <v>0.0</v>
      </c>
      <c r="F140" t="s">
        <v>7702</v>
      </c>
      <c r="G140" t="s">
        <v>310</v>
      </c>
      <c r="H140" t="s">
        <v>7703</v>
      </c>
      <c r="I140" t="s">
        <v>7713</v>
      </c>
    </row>
    <row r="141">
      <c r="A141" t="s">
        <v>663</v>
      </c>
      <c r="B141" s="232" t="s">
        <v>662</v>
      </c>
      <c r="C141" s="232">
        <v>0.0</v>
      </c>
      <c r="D141" s="232">
        <v>0.0</v>
      </c>
      <c r="F141" t="s">
        <v>7702</v>
      </c>
      <c r="G141" t="s">
        <v>310</v>
      </c>
      <c r="H141" t="s">
        <v>7703</v>
      </c>
      <c r="I141" t="s">
        <v>7713</v>
      </c>
    </row>
    <row r="142">
      <c r="A142" t="s">
        <v>665</v>
      </c>
      <c r="B142" s="232" t="s">
        <v>664</v>
      </c>
      <c r="C142" s="232">
        <v>0.0</v>
      </c>
      <c r="D142" s="232">
        <v>0.0</v>
      </c>
      <c r="F142" t="s">
        <v>7702</v>
      </c>
      <c r="G142" t="s">
        <v>310</v>
      </c>
      <c r="H142" t="s">
        <v>7703</v>
      </c>
      <c r="I142" t="s">
        <v>7713</v>
      </c>
    </row>
    <row r="143">
      <c r="A143" t="s">
        <v>667</v>
      </c>
      <c r="B143" s="232" t="s">
        <v>666</v>
      </c>
      <c r="C143" s="232">
        <v>0.0</v>
      </c>
      <c r="D143" s="232">
        <v>0.0</v>
      </c>
      <c r="F143" t="s">
        <v>7702</v>
      </c>
      <c r="G143" t="s">
        <v>310</v>
      </c>
      <c r="H143" t="s">
        <v>7703</v>
      </c>
      <c r="I143" t="s">
        <v>7713</v>
      </c>
    </row>
    <row r="144">
      <c r="A144" t="s">
        <v>669</v>
      </c>
      <c r="B144" s="232" t="s">
        <v>668</v>
      </c>
      <c r="C144" s="232">
        <v>0.0</v>
      </c>
      <c r="D144" s="232">
        <v>0.0</v>
      </c>
      <c r="F144" t="s">
        <v>7702</v>
      </c>
      <c r="G144" t="s">
        <v>310</v>
      </c>
      <c r="H144" t="s">
        <v>7703</v>
      </c>
      <c r="I144" t="s">
        <v>7713</v>
      </c>
    </row>
    <row r="145">
      <c r="A145" t="s">
        <v>671</v>
      </c>
      <c r="B145" s="232" t="s">
        <v>670</v>
      </c>
      <c r="C145" s="232">
        <v>0.0</v>
      </c>
      <c r="D145" s="232">
        <v>0.0</v>
      </c>
      <c r="F145" t="s">
        <v>7702</v>
      </c>
      <c r="G145" t="s">
        <v>310</v>
      </c>
      <c r="H145" t="s">
        <v>7703</v>
      </c>
      <c r="I145" t="s">
        <v>7713</v>
      </c>
    </row>
    <row r="146">
      <c r="A146" t="s">
        <v>673</v>
      </c>
      <c r="B146" s="232" t="s">
        <v>672</v>
      </c>
      <c r="C146" s="232">
        <v>2.0</v>
      </c>
      <c r="D146" s="232">
        <v>71.88</v>
      </c>
      <c r="E146" s="232">
        <v>35.94</v>
      </c>
      <c r="F146" t="s">
        <v>7702</v>
      </c>
      <c r="G146" t="s">
        <v>330</v>
      </c>
      <c r="H146" t="s">
        <v>7709</v>
      </c>
      <c r="I146" t="s">
        <v>7713</v>
      </c>
    </row>
    <row r="147">
      <c r="A147" t="s">
        <v>675</v>
      </c>
      <c r="B147" s="232" t="s">
        <v>674</v>
      </c>
      <c r="C147" s="232">
        <v>0.0</v>
      </c>
      <c r="D147" s="232">
        <v>0.0</v>
      </c>
      <c r="F147" t="s">
        <v>7702</v>
      </c>
      <c r="G147" t="s">
        <v>310</v>
      </c>
      <c r="H147" t="s">
        <v>7703</v>
      </c>
      <c r="I147" t="s">
        <v>7718</v>
      </c>
    </row>
    <row r="148">
      <c r="A148" t="s">
        <v>677</v>
      </c>
      <c r="B148" s="232" t="s">
        <v>676</v>
      </c>
      <c r="C148" s="232">
        <v>0.0</v>
      </c>
      <c r="D148" s="232">
        <v>0.0</v>
      </c>
      <c r="F148" t="s">
        <v>7702</v>
      </c>
      <c r="G148" t="s">
        <v>310</v>
      </c>
      <c r="H148" t="s">
        <v>7703</v>
      </c>
      <c r="I148" t="s">
        <v>7718</v>
      </c>
    </row>
    <row r="149">
      <c r="A149" t="s">
        <v>679</v>
      </c>
      <c r="B149" s="232" t="s">
        <v>678</v>
      </c>
      <c r="C149" s="232">
        <v>0.0</v>
      </c>
      <c r="D149" s="232">
        <v>0.0</v>
      </c>
      <c r="F149" t="s">
        <v>7702</v>
      </c>
      <c r="G149" t="s">
        <v>310</v>
      </c>
      <c r="H149" t="s">
        <v>45</v>
      </c>
      <c r="I149" t="s">
        <v>7714</v>
      </c>
    </row>
    <row r="150">
      <c r="A150" t="s">
        <v>681</v>
      </c>
      <c r="B150" s="232" t="s">
        <v>680</v>
      </c>
      <c r="C150" s="232">
        <v>0.0</v>
      </c>
      <c r="D150" s="232">
        <v>0.0</v>
      </c>
      <c r="F150" t="s">
        <v>7702</v>
      </c>
      <c r="G150" t="s">
        <v>310</v>
      </c>
      <c r="H150" t="s">
        <v>7703</v>
      </c>
      <c r="I150" t="s">
        <v>7717</v>
      </c>
    </row>
    <row r="151">
      <c r="A151" t="s">
        <v>683</v>
      </c>
      <c r="B151" s="232" t="s">
        <v>682</v>
      </c>
      <c r="C151" s="232">
        <v>0.0</v>
      </c>
      <c r="D151" s="232">
        <v>0.0</v>
      </c>
      <c r="F151" t="s">
        <v>7702</v>
      </c>
      <c r="G151" t="s">
        <v>310</v>
      </c>
      <c r="H151" t="s">
        <v>45</v>
      </c>
      <c r="I151" t="s">
        <v>7719</v>
      </c>
    </row>
    <row r="152">
      <c r="A152" t="s">
        <v>687</v>
      </c>
      <c r="B152" s="232" t="s">
        <v>686</v>
      </c>
      <c r="C152" s="232">
        <v>0.0</v>
      </c>
      <c r="D152" s="232">
        <v>0.0</v>
      </c>
      <c r="F152" t="s">
        <v>7702</v>
      </c>
      <c r="G152" t="s">
        <v>310</v>
      </c>
      <c r="H152" t="s">
        <v>7703</v>
      </c>
      <c r="I152" t="s">
        <v>98</v>
      </c>
    </row>
    <row r="153">
      <c r="A153" t="s">
        <v>689</v>
      </c>
      <c r="B153" s="232" t="s">
        <v>688</v>
      </c>
      <c r="C153" s="232">
        <v>0.0</v>
      </c>
      <c r="D153" s="232">
        <v>0.0</v>
      </c>
      <c r="F153" t="s">
        <v>7702</v>
      </c>
      <c r="G153" t="s">
        <v>310</v>
      </c>
      <c r="H153" t="s">
        <v>7703</v>
      </c>
      <c r="I153" t="s">
        <v>98</v>
      </c>
    </row>
    <row r="154">
      <c r="A154" t="s">
        <v>691</v>
      </c>
      <c r="B154" s="232" t="s">
        <v>690</v>
      </c>
      <c r="C154" s="232">
        <v>0.0</v>
      </c>
      <c r="D154" s="232">
        <v>0.0</v>
      </c>
      <c r="F154" t="s">
        <v>7702</v>
      </c>
      <c r="G154" t="s">
        <v>310</v>
      </c>
      <c r="H154" t="s">
        <v>7703</v>
      </c>
      <c r="I154" t="s">
        <v>98</v>
      </c>
    </row>
    <row r="155">
      <c r="A155" t="s">
        <v>693</v>
      </c>
      <c r="B155" s="232" t="s">
        <v>692</v>
      </c>
      <c r="C155" s="232">
        <v>0.0</v>
      </c>
      <c r="D155" s="232">
        <v>0.0</v>
      </c>
      <c r="F155" t="s">
        <v>7702</v>
      </c>
      <c r="G155" t="s">
        <v>310</v>
      </c>
      <c r="H155" t="s">
        <v>7703</v>
      </c>
      <c r="I155" t="s">
        <v>98</v>
      </c>
    </row>
    <row r="156">
      <c r="A156" t="s">
        <v>695</v>
      </c>
      <c r="B156" s="232" t="s">
        <v>694</v>
      </c>
      <c r="C156" s="232">
        <v>0.0</v>
      </c>
      <c r="D156" s="232">
        <v>0.0</v>
      </c>
      <c r="F156" t="s">
        <v>7702</v>
      </c>
      <c r="G156" t="s">
        <v>310</v>
      </c>
      <c r="H156" t="s">
        <v>7703</v>
      </c>
      <c r="I156" t="s">
        <v>98</v>
      </c>
    </row>
    <row r="157">
      <c r="A157" t="s">
        <v>697</v>
      </c>
      <c r="B157" s="232" t="s">
        <v>696</v>
      </c>
      <c r="C157" s="232">
        <v>0.0</v>
      </c>
      <c r="D157" s="232">
        <v>0.0</v>
      </c>
      <c r="F157" t="s">
        <v>7702</v>
      </c>
      <c r="G157" t="s">
        <v>310</v>
      </c>
      <c r="H157" t="s">
        <v>7703</v>
      </c>
      <c r="I157" t="s">
        <v>98</v>
      </c>
    </row>
    <row r="158">
      <c r="A158" t="s">
        <v>701</v>
      </c>
      <c r="B158" s="232" t="s">
        <v>700</v>
      </c>
      <c r="C158" s="232">
        <v>0.0</v>
      </c>
      <c r="D158" s="232">
        <v>0.0</v>
      </c>
      <c r="F158" t="s">
        <v>7702</v>
      </c>
      <c r="G158" t="s">
        <v>310</v>
      </c>
      <c r="H158" t="s">
        <v>7703</v>
      </c>
      <c r="I158" t="s">
        <v>98</v>
      </c>
    </row>
    <row r="159">
      <c r="A159" t="s">
        <v>703</v>
      </c>
      <c r="B159" s="232" t="s">
        <v>702</v>
      </c>
      <c r="C159" s="232">
        <v>0.0</v>
      </c>
      <c r="D159" s="232">
        <v>0.0</v>
      </c>
      <c r="F159" t="s">
        <v>7702</v>
      </c>
      <c r="G159" t="s">
        <v>310</v>
      </c>
      <c r="H159" t="s">
        <v>7703</v>
      </c>
      <c r="I159" t="s">
        <v>98</v>
      </c>
    </row>
    <row r="160">
      <c r="A160" t="s">
        <v>707</v>
      </c>
      <c r="B160" s="232" t="s">
        <v>706</v>
      </c>
      <c r="C160" s="232">
        <v>0.0</v>
      </c>
      <c r="D160" s="232">
        <v>0.0</v>
      </c>
      <c r="F160" t="s">
        <v>7702</v>
      </c>
      <c r="G160" t="s">
        <v>310</v>
      </c>
      <c r="H160" t="s">
        <v>7703</v>
      </c>
      <c r="I160" t="s">
        <v>98</v>
      </c>
    </row>
    <row r="161">
      <c r="A161" t="s">
        <v>709</v>
      </c>
      <c r="B161" s="232" t="s">
        <v>708</v>
      </c>
      <c r="C161" s="232">
        <v>0.0</v>
      </c>
      <c r="D161" s="232">
        <v>0.0</v>
      </c>
      <c r="F161" t="s">
        <v>7702</v>
      </c>
      <c r="G161" t="s">
        <v>310</v>
      </c>
      <c r="H161" t="s">
        <v>7703</v>
      </c>
      <c r="I161" t="s">
        <v>98</v>
      </c>
    </row>
    <row r="162">
      <c r="A162" t="s">
        <v>711</v>
      </c>
      <c r="B162" s="232" t="s">
        <v>710</v>
      </c>
      <c r="C162" s="232">
        <v>0.0</v>
      </c>
      <c r="D162" s="232">
        <v>0.0</v>
      </c>
      <c r="F162" t="s">
        <v>7702</v>
      </c>
      <c r="G162" t="s">
        <v>310</v>
      </c>
      <c r="H162" t="s">
        <v>7703</v>
      </c>
      <c r="I162" t="s">
        <v>98</v>
      </c>
    </row>
    <row r="163">
      <c r="A163" t="s">
        <v>713</v>
      </c>
      <c r="B163" s="232" t="s">
        <v>712</v>
      </c>
      <c r="C163" s="232">
        <v>0.0</v>
      </c>
      <c r="D163" s="232">
        <v>0.0</v>
      </c>
      <c r="F163" t="s">
        <v>7702</v>
      </c>
      <c r="G163" t="s">
        <v>310</v>
      </c>
      <c r="H163" t="s">
        <v>7703</v>
      </c>
      <c r="I163" t="s">
        <v>98</v>
      </c>
    </row>
    <row r="164">
      <c r="A164" t="s">
        <v>715</v>
      </c>
      <c r="B164" s="232" t="s">
        <v>714</v>
      </c>
      <c r="C164" s="232">
        <v>0.0</v>
      </c>
      <c r="D164" s="232">
        <v>0.0</v>
      </c>
      <c r="F164" t="s">
        <v>7702</v>
      </c>
      <c r="G164" t="s">
        <v>310</v>
      </c>
      <c r="H164" t="s">
        <v>7703</v>
      </c>
      <c r="I164" t="s">
        <v>98</v>
      </c>
    </row>
    <row r="165">
      <c r="A165" t="s">
        <v>717</v>
      </c>
      <c r="B165" s="232" t="s">
        <v>716</v>
      </c>
      <c r="C165" s="232">
        <v>0.0</v>
      </c>
      <c r="D165" s="232">
        <v>0.0</v>
      </c>
      <c r="F165" t="s">
        <v>7702</v>
      </c>
      <c r="G165" t="s">
        <v>310</v>
      </c>
      <c r="H165" t="s">
        <v>7703</v>
      </c>
      <c r="I165" t="s">
        <v>98</v>
      </c>
    </row>
    <row r="166">
      <c r="A166" t="s">
        <v>719</v>
      </c>
      <c r="B166" s="232" t="s">
        <v>718</v>
      </c>
      <c r="C166" s="232">
        <v>0.0</v>
      </c>
      <c r="D166" s="232">
        <v>0.0</v>
      </c>
      <c r="F166" t="s">
        <v>7702</v>
      </c>
      <c r="G166" t="s">
        <v>310</v>
      </c>
      <c r="H166" t="s">
        <v>7703</v>
      </c>
      <c r="I166" t="s">
        <v>7720</v>
      </c>
    </row>
    <row r="167">
      <c r="A167" t="s">
        <v>721</v>
      </c>
      <c r="B167" s="232" t="s">
        <v>720</v>
      </c>
      <c r="C167" s="232">
        <v>0.0</v>
      </c>
      <c r="D167" s="232">
        <v>0.0</v>
      </c>
      <c r="F167" t="s">
        <v>7702</v>
      </c>
      <c r="G167" t="s">
        <v>310</v>
      </c>
      <c r="H167" t="s">
        <v>7703</v>
      </c>
      <c r="I167" t="s">
        <v>7720</v>
      </c>
    </row>
    <row r="168">
      <c r="A168" t="s">
        <v>723</v>
      </c>
      <c r="B168" s="232" t="s">
        <v>722</v>
      </c>
      <c r="C168" s="232">
        <v>0.0</v>
      </c>
      <c r="D168" s="232">
        <v>0.0</v>
      </c>
      <c r="F168" t="s">
        <v>7702</v>
      </c>
      <c r="G168" t="s">
        <v>310</v>
      </c>
      <c r="H168" t="s">
        <v>7703</v>
      </c>
      <c r="I168" t="s">
        <v>7720</v>
      </c>
    </row>
    <row r="169">
      <c r="A169" t="s">
        <v>725</v>
      </c>
      <c r="B169" s="232" t="s">
        <v>724</v>
      </c>
      <c r="C169" s="232">
        <v>0.0</v>
      </c>
      <c r="D169" s="232">
        <v>0.0</v>
      </c>
      <c r="F169" t="s">
        <v>7702</v>
      </c>
      <c r="G169" t="s">
        <v>310</v>
      </c>
      <c r="H169" t="s">
        <v>7703</v>
      </c>
      <c r="I169" t="s">
        <v>7720</v>
      </c>
    </row>
    <row r="170">
      <c r="A170" t="s">
        <v>727</v>
      </c>
      <c r="B170" s="232" t="s">
        <v>726</v>
      </c>
      <c r="C170" s="232">
        <v>0.0</v>
      </c>
      <c r="D170" s="232">
        <v>0.0</v>
      </c>
      <c r="F170" t="s">
        <v>7702</v>
      </c>
      <c r="G170" t="s">
        <v>310</v>
      </c>
      <c r="H170" t="s">
        <v>7703</v>
      </c>
      <c r="I170" t="s">
        <v>7720</v>
      </c>
    </row>
    <row r="171">
      <c r="A171" t="s">
        <v>729</v>
      </c>
      <c r="B171" s="232" t="s">
        <v>728</v>
      </c>
      <c r="C171" s="232">
        <v>0.0</v>
      </c>
      <c r="D171" s="232">
        <v>0.0</v>
      </c>
      <c r="F171" t="s">
        <v>7702</v>
      </c>
      <c r="G171" t="s">
        <v>310</v>
      </c>
      <c r="H171" t="s">
        <v>7703</v>
      </c>
      <c r="I171" t="s">
        <v>7720</v>
      </c>
    </row>
    <row r="172">
      <c r="A172" t="s">
        <v>731</v>
      </c>
      <c r="B172" s="232" t="s">
        <v>730</v>
      </c>
      <c r="C172" s="232">
        <v>0.0</v>
      </c>
      <c r="D172" s="232">
        <v>0.0</v>
      </c>
      <c r="F172" t="s">
        <v>7702</v>
      </c>
      <c r="G172" t="s">
        <v>310</v>
      </c>
      <c r="H172" t="s">
        <v>7703</v>
      </c>
      <c r="I172" t="s">
        <v>7720</v>
      </c>
    </row>
    <row r="173">
      <c r="A173" t="s">
        <v>733</v>
      </c>
      <c r="B173" s="232" t="s">
        <v>732</v>
      </c>
      <c r="C173" s="232">
        <v>0.0</v>
      </c>
      <c r="D173" s="232">
        <v>0.0</v>
      </c>
      <c r="F173" t="s">
        <v>7702</v>
      </c>
      <c r="G173" t="s">
        <v>310</v>
      </c>
      <c r="H173" t="s">
        <v>7703</v>
      </c>
      <c r="I173" t="s">
        <v>7720</v>
      </c>
    </row>
    <row r="174">
      <c r="A174" t="s">
        <v>735</v>
      </c>
      <c r="B174" s="232" t="s">
        <v>734</v>
      </c>
      <c r="C174" s="232">
        <v>0.0</v>
      </c>
      <c r="D174" s="232">
        <v>0.0</v>
      </c>
      <c r="F174" t="s">
        <v>7702</v>
      </c>
      <c r="G174" t="s">
        <v>310</v>
      </c>
      <c r="H174" t="s">
        <v>7703</v>
      </c>
      <c r="I174" t="s">
        <v>7720</v>
      </c>
    </row>
    <row r="175">
      <c r="A175" t="s">
        <v>737</v>
      </c>
      <c r="B175" s="232" t="s">
        <v>736</v>
      </c>
      <c r="C175" s="232">
        <v>0.0</v>
      </c>
      <c r="D175" s="232">
        <v>0.0</v>
      </c>
      <c r="F175" t="s">
        <v>7702</v>
      </c>
      <c r="G175" t="s">
        <v>310</v>
      </c>
      <c r="H175" t="s">
        <v>7703</v>
      </c>
      <c r="I175" t="s">
        <v>7720</v>
      </c>
    </row>
    <row r="176">
      <c r="A176" t="s">
        <v>739</v>
      </c>
      <c r="B176" s="232" t="s">
        <v>738</v>
      </c>
      <c r="C176" s="232">
        <v>0.0</v>
      </c>
      <c r="D176" s="232">
        <v>0.0</v>
      </c>
      <c r="F176" t="s">
        <v>7702</v>
      </c>
      <c r="G176" t="s">
        <v>310</v>
      </c>
      <c r="H176" t="s">
        <v>7703</v>
      </c>
      <c r="I176" t="s">
        <v>7720</v>
      </c>
    </row>
    <row r="177">
      <c r="A177" t="s">
        <v>741</v>
      </c>
      <c r="B177" s="232" t="s">
        <v>740</v>
      </c>
      <c r="C177" s="232">
        <v>0.0</v>
      </c>
      <c r="D177" s="232">
        <v>0.0</v>
      </c>
      <c r="F177" t="s">
        <v>7702</v>
      </c>
      <c r="G177" t="s">
        <v>310</v>
      </c>
      <c r="H177" t="s">
        <v>7703</v>
      </c>
      <c r="I177" t="s">
        <v>7720</v>
      </c>
    </row>
    <row r="178">
      <c r="A178" t="s">
        <v>743</v>
      </c>
      <c r="B178" s="232" t="s">
        <v>742</v>
      </c>
      <c r="C178" s="232">
        <v>0.0</v>
      </c>
      <c r="D178" s="232">
        <v>0.0</v>
      </c>
      <c r="F178" t="s">
        <v>7702</v>
      </c>
      <c r="G178" t="s">
        <v>310</v>
      </c>
      <c r="H178" t="s">
        <v>7703</v>
      </c>
      <c r="I178" t="s">
        <v>7720</v>
      </c>
    </row>
    <row r="179">
      <c r="A179" t="s">
        <v>745</v>
      </c>
      <c r="B179" s="232" t="s">
        <v>744</v>
      </c>
      <c r="C179" s="232">
        <v>0.0</v>
      </c>
      <c r="D179" s="232">
        <v>0.0</v>
      </c>
      <c r="F179" t="s">
        <v>7702</v>
      </c>
      <c r="G179" t="s">
        <v>310</v>
      </c>
      <c r="H179" t="s">
        <v>7703</v>
      </c>
      <c r="I179" t="s">
        <v>7720</v>
      </c>
    </row>
    <row r="180">
      <c r="A180" t="s">
        <v>747</v>
      </c>
      <c r="B180" s="232" t="s">
        <v>746</v>
      </c>
      <c r="C180" s="232">
        <v>0.0</v>
      </c>
      <c r="D180" s="232">
        <v>0.0</v>
      </c>
      <c r="F180" t="s">
        <v>7702</v>
      </c>
      <c r="G180" t="s">
        <v>310</v>
      </c>
      <c r="H180" t="s">
        <v>7703</v>
      </c>
      <c r="I180" t="s">
        <v>7720</v>
      </c>
    </row>
    <row r="181">
      <c r="A181" t="s">
        <v>749</v>
      </c>
      <c r="B181" s="232" t="s">
        <v>748</v>
      </c>
      <c r="C181" s="232">
        <v>0.0</v>
      </c>
      <c r="D181" s="232">
        <v>0.0</v>
      </c>
      <c r="F181" t="s">
        <v>7702</v>
      </c>
      <c r="G181" t="s">
        <v>310</v>
      </c>
      <c r="H181" t="s">
        <v>7703</v>
      </c>
      <c r="I181" t="s">
        <v>7720</v>
      </c>
    </row>
    <row r="182">
      <c r="A182" t="s">
        <v>751</v>
      </c>
      <c r="B182" s="232" t="s">
        <v>750</v>
      </c>
      <c r="C182" s="232">
        <v>0.0</v>
      </c>
      <c r="D182" s="232">
        <v>0.0</v>
      </c>
      <c r="F182" t="s">
        <v>7702</v>
      </c>
      <c r="G182" t="s">
        <v>310</v>
      </c>
      <c r="H182" t="s">
        <v>7703</v>
      </c>
      <c r="I182" t="s">
        <v>7721</v>
      </c>
    </row>
    <row r="183">
      <c r="A183" t="s">
        <v>753</v>
      </c>
      <c r="B183" s="232" t="s">
        <v>752</v>
      </c>
      <c r="C183" s="232">
        <v>0.0</v>
      </c>
      <c r="D183" s="232">
        <v>0.0</v>
      </c>
      <c r="F183" t="s">
        <v>7702</v>
      </c>
      <c r="G183" t="s">
        <v>310</v>
      </c>
      <c r="H183" t="s">
        <v>7703</v>
      </c>
      <c r="I183" t="s">
        <v>7721</v>
      </c>
    </row>
    <row r="184">
      <c r="A184" t="s">
        <v>755</v>
      </c>
      <c r="B184" s="232" t="s">
        <v>754</v>
      </c>
      <c r="C184" s="232">
        <v>0.0</v>
      </c>
      <c r="D184" s="232">
        <v>0.0</v>
      </c>
      <c r="F184" t="s">
        <v>7702</v>
      </c>
      <c r="G184" t="s">
        <v>310</v>
      </c>
      <c r="H184" t="s">
        <v>7703</v>
      </c>
      <c r="I184" t="s">
        <v>7721</v>
      </c>
    </row>
    <row r="185">
      <c r="A185" t="s">
        <v>757</v>
      </c>
      <c r="B185" s="232" t="s">
        <v>756</v>
      </c>
      <c r="C185" s="232">
        <v>0.0</v>
      </c>
      <c r="D185" s="232">
        <v>0.0</v>
      </c>
      <c r="F185" t="s">
        <v>7702</v>
      </c>
      <c r="G185" t="s">
        <v>310</v>
      </c>
      <c r="H185" t="s">
        <v>7703</v>
      </c>
      <c r="I185" t="s">
        <v>7721</v>
      </c>
    </row>
    <row r="186">
      <c r="A186" t="s">
        <v>759</v>
      </c>
      <c r="B186" s="232" t="s">
        <v>758</v>
      </c>
      <c r="C186" s="232">
        <v>0.0</v>
      </c>
      <c r="D186" s="232">
        <v>0.0</v>
      </c>
      <c r="F186" t="s">
        <v>7702</v>
      </c>
      <c r="G186" t="s">
        <v>310</v>
      </c>
      <c r="H186" t="s">
        <v>7703</v>
      </c>
      <c r="I186" t="s">
        <v>7721</v>
      </c>
    </row>
    <row r="187">
      <c r="A187" t="s">
        <v>761</v>
      </c>
      <c r="B187" s="232" t="s">
        <v>760</v>
      </c>
      <c r="C187" s="232">
        <v>0.0</v>
      </c>
      <c r="D187" s="232">
        <v>0.0</v>
      </c>
      <c r="F187" t="s">
        <v>7702</v>
      </c>
      <c r="G187" t="s">
        <v>310</v>
      </c>
      <c r="H187" t="s">
        <v>7703</v>
      </c>
      <c r="I187" t="s">
        <v>7721</v>
      </c>
    </row>
    <row r="188">
      <c r="A188" t="s">
        <v>763</v>
      </c>
      <c r="B188" s="232" t="s">
        <v>762</v>
      </c>
      <c r="C188" s="232">
        <v>0.0</v>
      </c>
      <c r="D188" s="232">
        <v>0.0</v>
      </c>
      <c r="F188" t="s">
        <v>7702</v>
      </c>
      <c r="G188" t="s">
        <v>310</v>
      </c>
      <c r="H188" t="s">
        <v>7703</v>
      </c>
      <c r="I188" t="s">
        <v>7721</v>
      </c>
    </row>
    <row r="189">
      <c r="A189" t="s">
        <v>765</v>
      </c>
      <c r="B189" s="232" t="s">
        <v>764</v>
      </c>
      <c r="C189" s="232">
        <v>0.0</v>
      </c>
      <c r="D189" s="232">
        <v>0.0</v>
      </c>
      <c r="F189" t="s">
        <v>7702</v>
      </c>
      <c r="G189" t="s">
        <v>310</v>
      </c>
      <c r="H189" t="s">
        <v>7703</v>
      </c>
      <c r="I189" t="s">
        <v>7721</v>
      </c>
    </row>
    <row r="190">
      <c r="A190" t="s">
        <v>767</v>
      </c>
      <c r="B190" s="232" t="s">
        <v>766</v>
      </c>
      <c r="C190" s="232">
        <v>0.0</v>
      </c>
      <c r="D190" s="232">
        <v>0.0</v>
      </c>
      <c r="F190" t="s">
        <v>7702</v>
      </c>
      <c r="G190" t="s">
        <v>310</v>
      </c>
      <c r="H190" t="s">
        <v>7703</v>
      </c>
      <c r="I190" t="s">
        <v>7721</v>
      </c>
    </row>
    <row r="191">
      <c r="A191" t="s">
        <v>769</v>
      </c>
      <c r="B191" s="232" t="s">
        <v>768</v>
      </c>
      <c r="C191" s="232">
        <v>0.0</v>
      </c>
      <c r="D191" s="232">
        <v>0.0</v>
      </c>
      <c r="F191" t="s">
        <v>7702</v>
      </c>
      <c r="G191" t="s">
        <v>310</v>
      </c>
      <c r="H191" t="s">
        <v>7703</v>
      </c>
      <c r="I191" t="s">
        <v>7721</v>
      </c>
    </row>
    <row r="192">
      <c r="A192" t="s">
        <v>771</v>
      </c>
      <c r="B192" s="232" t="s">
        <v>770</v>
      </c>
      <c r="C192" s="232">
        <v>0.0</v>
      </c>
      <c r="D192" s="232">
        <v>0.0</v>
      </c>
      <c r="F192" t="s">
        <v>7702</v>
      </c>
      <c r="G192" t="s">
        <v>310</v>
      </c>
      <c r="H192" t="s">
        <v>7703</v>
      </c>
      <c r="I192" t="s">
        <v>7721</v>
      </c>
    </row>
    <row r="193">
      <c r="A193" t="s">
        <v>773</v>
      </c>
      <c r="B193" s="232" t="s">
        <v>772</v>
      </c>
      <c r="C193" s="232">
        <v>0.0</v>
      </c>
      <c r="D193" s="232">
        <v>0.0</v>
      </c>
      <c r="F193" t="s">
        <v>7702</v>
      </c>
      <c r="G193" t="s">
        <v>310</v>
      </c>
      <c r="H193" t="s">
        <v>7703</v>
      </c>
      <c r="I193" t="s">
        <v>7721</v>
      </c>
    </row>
    <row r="194">
      <c r="A194" t="s">
        <v>775</v>
      </c>
      <c r="B194" s="232" t="s">
        <v>774</v>
      </c>
      <c r="C194" s="232">
        <v>0.0</v>
      </c>
      <c r="D194" s="232">
        <v>0.0</v>
      </c>
      <c r="F194" t="s">
        <v>7702</v>
      </c>
      <c r="G194" t="s">
        <v>310</v>
      </c>
      <c r="H194" t="s">
        <v>7703</v>
      </c>
      <c r="I194" t="s">
        <v>7721</v>
      </c>
    </row>
    <row r="195">
      <c r="A195" t="s">
        <v>777</v>
      </c>
      <c r="B195" s="232" t="s">
        <v>776</v>
      </c>
      <c r="C195" s="232">
        <v>0.0</v>
      </c>
      <c r="D195" s="232">
        <v>0.0</v>
      </c>
      <c r="F195" t="s">
        <v>7702</v>
      </c>
      <c r="G195" t="s">
        <v>310</v>
      </c>
      <c r="H195" t="s">
        <v>7703</v>
      </c>
      <c r="I195" t="s">
        <v>7721</v>
      </c>
    </row>
    <row r="196">
      <c r="A196" t="s">
        <v>779</v>
      </c>
      <c r="B196" s="232" t="s">
        <v>778</v>
      </c>
      <c r="C196" s="232">
        <v>0.0</v>
      </c>
      <c r="D196" s="232">
        <v>0.0</v>
      </c>
      <c r="F196" t="s">
        <v>7702</v>
      </c>
      <c r="G196" t="s">
        <v>310</v>
      </c>
      <c r="H196" t="s">
        <v>7703</v>
      </c>
      <c r="I196" t="s">
        <v>7721</v>
      </c>
    </row>
    <row r="197">
      <c r="A197" t="s">
        <v>781</v>
      </c>
      <c r="B197" s="232" t="s">
        <v>780</v>
      </c>
      <c r="C197" s="232">
        <v>0.0</v>
      </c>
      <c r="D197" s="232">
        <v>0.0</v>
      </c>
      <c r="F197" t="s">
        <v>7702</v>
      </c>
      <c r="G197" t="s">
        <v>310</v>
      </c>
      <c r="H197" t="s">
        <v>7703</v>
      </c>
      <c r="I197" t="s">
        <v>7721</v>
      </c>
    </row>
    <row r="198">
      <c r="A198" t="s">
        <v>783</v>
      </c>
      <c r="B198" s="232" t="s">
        <v>782</v>
      </c>
      <c r="C198" s="232">
        <v>0.0</v>
      </c>
      <c r="D198" s="232">
        <v>0.0</v>
      </c>
      <c r="F198" t="s">
        <v>7702</v>
      </c>
      <c r="G198" t="s">
        <v>310</v>
      </c>
      <c r="H198" t="s">
        <v>7703</v>
      </c>
      <c r="I198" t="s">
        <v>7720</v>
      </c>
    </row>
    <row r="199">
      <c r="A199" t="s">
        <v>785</v>
      </c>
      <c r="B199" s="232" t="s">
        <v>784</v>
      </c>
      <c r="C199" s="232">
        <v>0.0</v>
      </c>
      <c r="D199" s="232">
        <v>0.0</v>
      </c>
      <c r="F199" t="s">
        <v>7702</v>
      </c>
      <c r="G199" t="s">
        <v>310</v>
      </c>
      <c r="H199" t="s">
        <v>7703</v>
      </c>
      <c r="I199" t="s">
        <v>7720</v>
      </c>
    </row>
    <row r="200">
      <c r="A200" t="s">
        <v>787</v>
      </c>
      <c r="B200" s="232" t="s">
        <v>786</v>
      </c>
      <c r="C200" s="232">
        <v>0.0</v>
      </c>
      <c r="D200" s="232">
        <v>0.0</v>
      </c>
      <c r="F200" t="s">
        <v>7702</v>
      </c>
      <c r="G200" t="s">
        <v>310</v>
      </c>
      <c r="H200" t="s">
        <v>7703</v>
      </c>
      <c r="I200" t="s">
        <v>170</v>
      </c>
    </row>
    <row r="201">
      <c r="A201" t="s">
        <v>789</v>
      </c>
      <c r="B201" s="232" t="s">
        <v>788</v>
      </c>
      <c r="C201" s="232">
        <v>0.0</v>
      </c>
      <c r="D201" s="232">
        <v>0.0</v>
      </c>
      <c r="F201" t="s">
        <v>7702</v>
      </c>
      <c r="G201" t="s">
        <v>310</v>
      </c>
      <c r="H201" t="s">
        <v>45</v>
      </c>
      <c r="I201" t="s">
        <v>7719</v>
      </c>
    </row>
    <row r="202">
      <c r="A202" t="s">
        <v>791</v>
      </c>
      <c r="B202" s="232" t="s">
        <v>790</v>
      </c>
      <c r="C202" s="232">
        <v>8.0</v>
      </c>
      <c r="D202" s="232">
        <v>138.72</v>
      </c>
      <c r="E202" s="232">
        <v>17.34</v>
      </c>
      <c r="F202" t="s">
        <v>7702</v>
      </c>
      <c r="G202" t="s">
        <v>330</v>
      </c>
      <c r="I202" t="s">
        <v>7714</v>
      </c>
    </row>
    <row r="203">
      <c r="A203" t="s">
        <v>793</v>
      </c>
      <c r="B203" s="232" t="s">
        <v>792</v>
      </c>
      <c r="C203" s="232">
        <v>5.0</v>
      </c>
      <c r="D203" s="232">
        <v>67.45</v>
      </c>
      <c r="E203" s="232">
        <v>13.49</v>
      </c>
      <c r="F203" t="s">
        <v>7702</v>
      </c>
      <c r="G203" t="s">
        <v>330</v>
      </c>
      <c r="I203" t="s">
        <v>7714</v>
      </c>
    </row>
    <row r="204">
      <c r="A204" t="s">
        <v>795</v>
      </c>
      <c r="B204" s="232" t="s">
        <v>794</v>
      </c>
      <c r="C204" s="232">
        <v>0.0</v>
      </c>
      <c r="D204" s="232">
        <v>0.0</v>
      </c>
      <c r="F204" t="s">
        <v>7702</v>
      </c>
      <c r="G204" t="s">
        <v>310</v>
      </c>
      <c r="H204" t="s">
        <v>45</v>
      </c>
      <c r="I204" t="s">
        <v>7714</v>
      </c>
    </row>
    <row r="205">
      <c r="A205" t="s">
        <v>797</v>
      </c>
      <c r="B205" s="232" t="s">
        <v>796</v>
      </c>
      <c r="C205" s="232">
        <v>0.0</v>
      </c>
      <c r="D205" s="232">
        <v>0.0</v>
      </c>
      <c r="F205" t="s">
        <v>7702</v>
      </c>
      <c r="G205" t="s">
        <v>310</v>
      </c>
      <c r="H205" t="s">
        <v>45</v>
      </c>
      <c r="I205" t="s">
        <v>7714</v>
      </c>
    </row>
    <row r="206">
      <c r="A206" t="s">
        <v>801</v>
      </c>
      <c r="B206" s="232" t="s">
        <v>800</v>
      </c>
      <c r="C206" s="232">
        <v>0.0</v>
      </c>
      <c r="D206" s="232">
        <v>0.0</v>
      </c>
      <c r="F206" t="s">
        <v>7711</v>
      </c>
      <c r="G206" t="s">
        <v>310</v>
      </c>
      <c r="H206" t="s">
        <v>7703</v>
      </c>
      <c r="I206" t="s">
        <v>7722</v>
      </c>
    </row>
    <row r="207">
      <c r="A207" t="s">
        <v>802</v>
      </c>
      <c r="B207" s="232">
        <v>37301.0</v>
      </c>
      <c r="C207" s="232">
        <v>0.0</v>
      </c>
      <c r="D207" s="232">
        <v>0.0</v>
      </c>
      <c r="F207" t="s">
        <v>7702</v>
      </c>
      <c r="G207" t="s">
        <v>310</v>
      </c>
      <c r="H207" t="s">
        <v>45</v>
      </c>
      <c r="I207" t="s">
        <v>7722</v>
      </c>
    </row>
    <row r="208">
      <c r="A208" t="s">
        <v>803</v>
      </c>
      <c r="B208" s="232">
        <v>37327.0</v>
      </c>
      <c r="C208" s="232">
        <v>38.0</v>
      </c>
      <c r="D208" s="232">
        <v>247.9</v>
      </c>
      <c r="E208" s="232">
        <v>6.5237</v>
      </c>
      <c r="F208" t="s">
        <v>7702</v>
      </c>
      <c r="G208" t="s">
        <v>330</v>
      </c>
      <c r="H208" t="s">
        <v>45</v>
      </c>
      <c r="I208" t="s">
        <v>7722</v>
      </c>
    </row>
    <row r="209">
      <c r="A209" t="s">
        <v>804</v>
      </c>
      <c r="B209" s="232">
        <v>37302.0</v>
      </c>
      <c r="C209" s="232">
        <v>19.0</v>
      </c>
      <c r="D209" s="232">
        <v>138.15</v>
      </c>
      <c r="E209" s="232">
        <v>7.2711</v>
      </c>
      <c r="F209" t="s">
        <v>7702</v>
      </c>
      <c r="G209" t="s">
        <v>330</v>
      </c>
      <c r="H209" t="s">
        <v>45</v>
      </c>
      <c r="I209" t="s">
        <v>7722</v>
      </c>
    </row>
    <row r="210">
      <c r="A210" t="s">
        <v>805</v>
      </c>
      <c r="B210" s="232">
        <v>37303.0</v>
      </c>
      <c r="C210" s="232">
        <v>0.0</v>
      </c>
      <c r="D210" s="232">
        <v>0.0</v>
      </c>
      <c r="F210" t="s">
        <v>7702</v>
      </c>
      <c r="G210" t="s">
        <v>310</v>
      </c>
      <c r="H210" t="s">
        <v>45</v>
      </c>
      <c r="I210" t="s">
        <v>7722</v>
      </c>
    </row>
    <row r="211">
      <c r="A211" t="s">
        <v>806</v>
      </c>
      <c r="B211" s="232">
        <v>37304.0</v>
      </c>
      <c r="C211" s="232">
        <v>0.0</v>
      </c>
      <c r="D211" s="232">
        <v>0.0</v>
      </c>
      <c r="F211" t="s">
        <v>7702</v>
      </c>
      <c r="G211" t="s">
        <v>310</v>
      </c>
      <c r="H211" t="s">
        <v>45</v>
      </c>
      <c r="I211" t="s">
        <v>7722</v>
      </c>
    </row>
    <row r="212">
      <c r="A212" t="s">
        <v>807</v>
      </c>
      <c r="B212" s="232">
        <v>37305.0</v>
      </c>
      <c r="C212" s="232">
        <v>0.0</v>
      </c>
      <c r="D212" s="232">
        <v>0.0</v>
      </c>
      <c r="F212" t="s">
        <v>7702</v>
      </c>
      <c r="G212" t="s">
        <v>310</v>
      </c>
      <c r="H212" t="s">
        <v>45</v>
      </c>
      <c r="I212" t="s">
        <v>7722</v>
      </c>
    </row>
    <row r="213">
      <c r="A213" t="s">
        <v>808</v>
      </c>
      <c r="B213" s="232">
        <v>37306.0</v>
      </c>
      <c r="C213" s="232">
        <v>0.0</v>
      </c>
      <c r="D213" s="232">
        <v>0.0</v>
      </c>
      <c r="F213" t="s">
        <v>7702</v>
      </c>
      <c r="G213" t="s">
        <v>310</v>
      </c>
      <c r="H213" t="s">
        <v>45</v>
      </c>
      <c r="I213" t="s">
        <v>7722</v>
      </c>
    </row>
    <row r="214">
      <c r="A214" t="s">
        <v>809</v>
      </c>
      <c r="B214" s="232">
        <v>37307.0</v>
      </c>
      <c r="C214" s="232">
        <v>23.0</v>
      </c>
      <c r="D214" s="232">
        <v>167.24</v>
      </c>
      <c r="E214" s="232">
        <v>7.2713</v>
      </c>
      <c r="F214" t="s">
        <v>7702</v>
      </c>
      <c r="G214" t="s">
        <v>330</v>
      </c>
      <c r="H214" t="s">
        <v>45</v>
      </c>
      <c r="I214" t="s">
        <v>7722</v>
      </c>
    </row>
    <row r="215">
      <c r="A215" t="s">
        <v>810</v>
      </c>
      <c r="B215" s="232">
        <v>37308.0</v>
      </c>
      <c r="C215" s="232">
        <v>0.0</v>
      </c>
      <c r="D215" s="232">
        <v>0.0</v>
      </c>
      <c r="F215" t="s">
        <v>7702</v>
      </c>
      <c r="G215" t="s">
        <v>310</v>
      </c>
      <c r="H215" t="s">
        <v>45</v>
      </c>
      <c r="I215" t="s">
        <v>7722</v>
      </c>
    </row>
    <row r="216">
      <c r="A216" t="s">
        <v>811</v>
      </c>
      <c r="B216" s="232">
        <v>37309.0</v>
      </c>
      <c r="C216" s="232">
        <v>0.0</v>
      </c>
      <c r="D216" s="232">
        <v>0.0</v>
      </c>
      <c r="F216" t="s">
        <v>7702</v>
      </c>
      <c r="G216" t="s">
        <v>310</v>
      </c>
      <c r="H216" t="s">
        <v>45</v>
      </c>
      <c r="I216" t="s">
        <v>7722</v>
      </c>
    </row>
    <row r="217">
      <c r="A217" t="s">
        <v>812</v>
      </c>
      <c r="B217" s="232">
        <v>37310.0</v>
      </c>
      <c r="C217" s="232">
        <v>9.0</v>
      </c>
      <c r="D217" s="232">
        <v>65.45</v>
      </c>
      <c r="E217" s="232">
        <v>7.2722</v>
      </c>
      <c r="F217" t="s">
        <v>7702</v>
      </c>
      <c r="G217" t="s">
        <v>330</v>
      </c>
      <c r="H217" t="s">
        <v>45</v>
      </c>
      <c r="I217" t="s">
        <v>7722</v>
      </c>
    </row>
    <row r="218">
      <c r="A218" t="s">
        <v>813</v>
      </c>
      <c r="B218" s="232">
        <v>37311.0</v>
      </c>
      <c r="C218" s="232">
        <v>0.0</v>
      </c>
      <c r="D218" s="232">
        <v>0.0</v>
      </c>
      <c r="F218" t="s">
        <v>7702</v>
      </c>
      <c r="G218" t="s">
        <v>310</v>
      </c>
      <c r="H218" t="s">
        <v>45</v>
      </c>
      <c r="I218" t="s">
        <v>7722</v>
      </c>
    </row>
    <row r="219">
      <c r="A219" t="s">
        <v>814</v>
      </c>
      <c r="B219" s="232">
        <v>37312.0</v>
      </c>
      <c r="C219" s="232">
        <v>4.0</v>
      </c>
      <c r="D219" s="232">
        <v>29.08</v>
      </c>
      <c r="E219" s="232">
        <v>7.27</v>
      </c>
      <c r="F219" t="s">
        <v>7702</v>
      </c>
      <c r="G219" t="s">
        <v>330</v>
      </c>
      <c r="H219" t="s">
        <v>45</v>
      </c>
      <c r="I219" t="s">
        <v>7722</v>
      </c>
    </row>
    <row r="220">
      <c r="A220" t="s">
        <v>815</v>
      </c>
      <c r="B220" s="232">
        <v>37313.0</v>
      </c>
      <c r="C220" s="232">
        <v>0.0</v>
      </c>
      <c r="D220" s="232">
        <v>0.0</v>
      </c>
      <c r="F220" t="s">
        <v>7702</v>
      </c>
      <c r="G220" t="s">
        <v>310</v>
      </c>
      <c r="H220" t="s">
        <v>45</v>
      </c>
      <c r="I220" t="s">
        <v>7722</v>
      </c>
    </row>
    <row r="221">
      <c r="A221" t="s">
        <v>816</v>
      </c>
      <c r="B221" s="232">
        <v>37314.0</v>
      </c>
      <c r="C221" s="232">
        <v>14.0</v>
      </c>
      <c r="D221" s="232">
        <v>101.81</v>
      </c>
      <c r="E221" s="232">
        <v>7.2721</v>
      </c>
      <c r="F221" t="s">
        <v>7702</v>
      </c>
      <c r="G221" t="s">
        <v>330</v>
      </c>
      <c r="H221" t="s">
        <v>45</v>
      </c>
      <c r="I221" t="s">
        <v>7722</v>
      </c>
    </row>
    <row r="222">
      <c r="A222" t="s">
        <v>817</v>
      </c>
      <c r="B222" s="232">
        <v>37315.0</v>
      </c>
      <c r="C222" s="232">
        <v>0.0</v>
      </c>
      <c r="D222" s="232">
        <v>0.0</v>
      </c>
      <c r="F222" t="s">
        <v>7702</v>
      </c>
      <c r="G222" t="s">
        <v>310</v>
      </c>
      <c r="H222" t="s">
        <v>45</v>
      </c>
      <c r="I222" t="s">
        <v>7722</v>
      </c>
    </row>
    <row r="223">
      <c r="A223" t="s">
        <v>818</v>
      </c>
      <c r="B223" s="232">
        <v>37316.0</v>
      </c>
      <c r="C223" s="232">
        <v>0.0</v>
      </c>
      <c r="D223" s="232">
        <v>0.0</v>
      </c>
      <c r="F223" t="s">
        <v>7702</v>
      </c>
      <c r="G223" t="s">
        <v>310</v>
      </c>
      <c r="I223" t="s">
        <v>7722</v>
      </c>
    </row>
    <row r="224">
      <c r="A224" t="s">
        <v>819</v>
      </c>
      <c r="B224" s="232">
        <v>37317.0</v>
      </c>
      <c r="C224" s="232">
        <v>3.0</v>
      </c>
      <c r="D224" s="232">
        <v>25.11</v>
      </c>
      <c r="E224" s="232">
        <v>8.37</v>
      </c>
      <c r="F224" t="s">
        <v>7702</v>
      </c>
      <c r="G224" t="s">
        <v>330</v>
      </c>
      <c r="H224" t="s">
        <v>45</v>
      </c>
      <c r="I224" t="s">
        <v>7722</v>
      </c>
    </row>
    <row r="225">
      <c r="A225" t="s">
        <v>820</v>
      </c>
      <c r="B225" s="232">
        <v>37318.0</v>
      </c>
      <c r="C225" s="232">
        <v>13.0</v>
      </c>
      <c r="D225" s="232">
        <v>94.55</v>
      </c>
      <c r="E225" s="232">
        <v>7.2731</v>
      </c>
      <c r="F225" t="s">
        <v>7702</v>
      </c>
      <c r="G225" t="s">
        <v>330</v>
      </c>
      <c r="H225" t="s">
        <v>45</v>
      </c>
      <c r="I225" t="s">
        <v>7722</v>
      </c>
    </row>
    <row r="226">
      <c r="A226" t="s">
        <v>821</v>
      </c>
      <c r="B226" s="232">
        <v>37319.0</v>
      </c>
      <c r="C226" s="232">
        <v>0.0</v>
      </c>
      <c r="D226" s="232">
        <v>0.0</v>
      </c>
      <c r="F226" t="s">
        <v>7702</v>
      </c>
      <c r="G226" t="s">
        <v>310</v>
      </c>
      <c r="H226" t="s">
        <v>45</v>
      </c>
      <c r="I226" t="s">
        <v>7722</v>
      </c>
    </row>
    <row r="227">
      <c r="A227" t="s">
        <v>822</v>
      </c>
      <c r="B227" s="232">
        <v>37320.0</v>
      </c>
      <c r="C227" s="232">
        <v>0.0</v>
      </c>
      <c r="D227" s="232">
        <v>0.0</v>
      </c>
      <c r="F227" t="s">
        <v>7702</v>
      </c>
      <c r="G227" t="s">
        <v>310</v>
      </c>
      <c r="I227" t="s">
        <v>7722</v>
      </c>
    </row>
    <row r="228">
      <c r="A228" t="s">
        <v>823</v>
      </c>
      <c r="B228" s="232">
        <v>37321.0</v>
      </c>
      <c r="C228" s="232">
        <v>43.0</v>
      </c>
      <c r="D228" s="232">
        <v>359.48</v>
      </c>
      <c r="E228" s="232">
        <v>8.36</v>
      </c>
      <c r="F228" t="s">
        <v>7702</v>
      </c>
      <c r="G228" t="s">
        <v>330</v>
      </c>
      <c r="H228" t="s">
        <v>45</v>
      </c>
      <c r="I228" t="s">
        <v>7722</v>
      </c>
    </row>
    <row r="229">
      <c r="A229" t="s">
        <v>824</v>
      </c>
      <c r="B229" s="232">
        <v>37322.0</v>
      </c>
      <c r="C229" s="232">
        <v>0.0</v>
      </c>
      <c r="D229" s="232">
        <v>0.0</v>
      </c>
      <c r="F229" t="s">
        <v>7702</v>
      </c>
      <c r="G229" t="s">
        <v>310</v>
      </c>
      <c r="I229" t="s">
        <v>7722</v>
      </c>
    </row>
    <row r="230">
      <c r="A230" t="s">
        <v>825</v>
      </c>
      <c r="B230" s="232">
        <v>37323.0</v>
      </c>
      <c r="C230" s="232">
        <v>0.0</v>
      </c>
      <c r="D230" s="232">
        <v>0.0</v>
      </c>
      <c r="F230" t="s">
        <v>7702</v>
      </c>
      <c r="G230" t="s">
        <v>310</v>
      </c>
      <c r="I230" t="s">
        <v>7722</v>
      </c>
    </row>
    <row r="231">
      <c r="A231" t="s">
        <v>826</v>
      </c>
      <c r="B231" s="232">
        <v>37324.0</v>
      </c>
      <c r="C231" s="232">
        <v>0.0</v>
      </c>
      <c r="D231" s="232">
        <v>0.0</v>
      </c>
      <c r="F231" t="s">
        <v>7702</v>
      </c>
      <c r="G231" t="s">
        <v>310</v>
      </c>
      <c r="I231" t="s">
        <v>7722</v>
      </c>
    </row>
    <row r="232">
      <c r="A232" t="s">
        <v>827</v>
      </c>
      <c r="B232" s="232">
        <v>37325.0</v>
      </c>
      <c r="C232" s="232">
        <v>0.0</v>
      </c>
      <c r="D232" s="232">
        <v>0.0</v>
      </c>
      <c r="F232" t="s">
        <v>7702</v>
      </c>
      <c r="G232" t="s">
        <v>310</v>
      </c>
      <c r="I232" t="s">
        <v>7722</v>
      </c>
    </row>
    <row r="233">
      <c r="A233" t="s">
        <v>828</v>
      </c>
      <c r="B233" s="232">
        <v>37326.0</v>
      </c>
      <c r="C233" s="232">
        <v>0.0</v>
      </c>
      <c r="D233" s="232">
        <v>0.0</v>
      </c>
      <c r="F233" t="s">
        <v>7702</v>
      </c>
      <c r="G233" t="s">
        <v>310</v>
      </c>
      <c r="I233" t="s">
        <v>7722</v>
      </c>
    </row>
    <row r="234">
      <c r="A234" t="s">
        <v>30</v>
      </c>
      <c r="B234" s="232" t="s">
        <v>31</v>
      </c>
      <c r="C234" s="232">
        <v>0.0</v>
      </c>
      <c r="D234" s="232">
        <v>0.0</v>
      </c>
      <c r="F234" t="s">
        <v>7702</v>
      </c>
      <c r="G234" t="s">
        <v>310</v>
      </c>
      <c r="H234" t="s">
        <v>45</v>
      </c>
      <c r="I234" t="s">
        <v>29</v>
      </c>
    </row>
    <row r="235">
      <c r="A235" t="s">
        <v>33</v>
      </c>
      <c r="B235" s="232" t="s">
        <v>34</v>
      </c>
      <c r="C235" s="232">
        <v>54.0</v>
      </c>
      <c r="D235" s="232">
        <v>316.67</v>
      </c>
      <c r="E235" s="232">
        <v>5.8643</v>
      </c>
      <c r="F235" t="s">
        <v>7702</v>
      </c>
      <c r="G235" t="s">
        <v>330</v>
      </c>
      <c r="H235" t="s">
        <v>45</v>
      </c>
      <c r="I235" t="s">
        <v>29</v>
      </c>
    </row>
    <row r="236">
      <c r="A236" t="s">
        <v>830</v>
      </c>
      <c r="B236" s="232" t="s">
        <v>829</v>
      </c>
      <c r="C236" s="232">
        <v>332.0</v>
      </c>
      <c r="D236" s="232">
        <v>2653.77</v>
      </c>
      <c r="E236" s="232">
        <v>7.9933</v>
      </c>
      <c r="F236" t="s">
        <v>7702</v>
      </c>
      <c r="G236" t="s">
        <v>330</v>
      </c>
      <c r="H236" t="s">
        <v>45</v>
      </c>
      <c r="I236" t="s">
        <v>7723</v>
      </c>
    </row>
    <row r="237">
      <c r="A237" t="s">
        <v>832</v>
      </c>
      <c r="B237" s="232" t="s">
        <v>831</v>
      </c>
      <c r="C237" s="232">
        <v>0.0</v>
      </c>
      <c r="D237" s="232">
        <v>0.0</v>
      </c>
      <c r="F237" t="s">
        <v>7702</v>
      </c>
      <c r="G237" t="s">
        <v>310</v>
      </c>
      <c r="H237" t="s">
        <v>45</v>
      </c>
      <c r="I237" t="s">
        <v>7723</v>
      </c>
    </row>
    <row r="238">
      <c r="A238" t="s">
        <v>80</v>
      </c>
      <c r="B238" s="232" t="s">
        <v>81</v>
      </c>
      <c r="C238" s="232">
        <v>6158.0</v>
      </c>
      <c r="D238" s="232">
        <v>13911.06</v>
      </c>
      <c r="E238" s="232">
        <v>2.259</v>
      </c>
      <c r="F238" t="s">
        <v>7702</v>
      </c>
      <c r="G238" t="s">
        <v>330</v>
      </c>
      <c r="H238" t="s">
        <v>28</v>
      </c>
      <c r="I238" t="s">
        <v>29</v>
      </c>
    </row>
    <row r="239">
      <c r="A239" t="s">
        <v>88</v>
      </c>
      <c r="B239" s="232" t="s">
        <v>89</v>
      </c>
      <c r="C239" s="232">
        <v>3786.0</v>
      </c>
      <c r="D239" s="232">
        <v>8649.13</v>
      </c>
      <c r="E239" s="232">
        <v>2.2845</v>
      </c>
      <c r="F239" t="s">
        <v>7702</v>
      </c>
      <c r="G239" t="s">
        <v>330</v>
      </c>
      <c r="H239" t="s">
        <v>28</v>
      </c>
      <c r="I239" t="s">
        <v>29</v>
      </c>
    </row>
    <row r="240">
      <c r="A240" t="s">
        <v>84</v>
      </c>
      <c r="B240" s="232" t="s">
        <v>85</v>
      </c>
      <c r="C240" s="232">
        <v>2068.0</v>
      </c>
      <c r="D240" s="232">
        <v>4535.41</v>
      </c>
      <c r="E240" s="232">
        <v>2.1931</v>
      </c>
      <c r="F240" t="s">
        <v>7702</v>
      </c>
      <c r="G240" t="s">
        <v>330</v>
      </c>
      <c r="H240" t="s">
        <v>28</v>
      </c>
      <c r="I240" t="s">
        <v>29</v>
      </c>
    </row>
    <row r="241">
      <c r="A241" t="s">
        <v>86</v>
      </c>
      <c r="B241" s="232" t="s">
        <v>87</v>
      </c>
      <c r="C241" s="232">
        <v>5360.0</v>
      </c>
      <c r="D241" s="232">
        <v>12148.36</v>
      </c>
      <c r="E241" s="232">
        <v>2.2665</v>
      </c>
      <c r="F241" t="s">
        <v>7702</v>
      </c>
      <c r="G241" t="s">
        <v>330</v>
      </c>
      <c r="H241" t="s">
        <v>28</v>
      </c>
      <c r="I241" t="s">
        <v>29</v>
      </c>
    </row>
    <row r="242">
      <c r="A242" t="s">
        <v>834</v>
      </c>
      <c r="B242" s="232" t="s">
        <v>833</v>
      </c>
      <c r="C242" s="232">
        <v>1.0</v>
      </c>
      <c r="D242" s="232">
        <v>2.3</v>
      </c>
      <c r="E242" s="232">
        <v>2.3</v>
      </c>
      <c r="F242" t="s">
        <v>7702</v>
      </c>
      <c r="G242" t="s">
        <v>310</v>
      </c>
      <c r="H242" t="s">
        <v>7703</v>
      </c>
      <c r="I242" t="s">
        <v>29</v>
      </c>
    </row>
    <row r="243">
      <c r="A243" t="s">
        <v>82</v>
      </c>
      <c r="B243" s="232" t="s">
        <v>83</v>
      </c>
      <c r="C243" s="232">
        <v>5661.0</v>
      </c>
      <c r="D243" s="232">
        <v>12814.44</v>
      </c>
      <c r="E243" s="232">
        <v>2.2636</v>
      </c>
      <c r="F243" t="s">
        <v>7702</v>
      </c>
      <c r="G243" t="s">
        <v>330</v>
      </c>
      <c r="H243" t="s">
        <v>28</v>
      </c>
      <c r="I243" t="s">
        <v>29</v>
      </c>
    </row>
    <row r="244">
      <c r="A244" t="s">
        <v>90</v>
      </c>
      <c r="B244" s="232" t="s">
        <v>91</v>
      </c>
      <c r="C244" s="232">
        <v>5.0</v>
      </c>
      <c r="D244" s="232">
        <v>511.03</v>
      </c>
      <c r="E244" s="232">
        <v>102.206</v>
      </c>
      <c r="F244" t="s">
        <v>7702</v>
      </c>
      <c r="G244" t="s">
        <v>330</v>
      </c>
      <c r="H244" t="s">
        <v>28</v>
      </c>
      <c r="I244" t="s">
        <v>29</v>
      </c>
    </row>
    <row r="245">
      <c r="A245" t="s">
        <v>838</v>
      </c>
      <c r="B245" s="232" t="s">
        <v>837</v>
      </c>
      <c r="C245" s="232">
        <v>0.0</v>
      </c>
      <c r="D245" s="232">
        <v>0.0</v>
      </c>
      <c r="F245" t="s">
        <v>7702</v>
      </c>
      <c r="G245" t="s">
        <v>310</v>
      </c>
      <c r="H245" t="s">
        <v>7703</v>
      </c>
      <c r="I245" t="s">
        <v>7724</v>
      </c>
    </row>
    <row r="246">
      <c r="A246" t="s">
        <v>46</v>
      </c>
      <c r="B246" s="232" t="s">
        <v>47</v>
      </c>
      <c r="C246" s="232">
        <v>0.0</v>
      </c>
      <c r="D246" s="232">
        <v>0.0</v>
      </c>
      <c r="F246" t="s">
        <v>7702</v>
      </c>
      <c r="G246" t="s">
        <v>330</v>
      </c>
      <c r="H246" t="s">
        <v>45</v>
      </c>
      <c r="I246" t="s">
        <v>29</v>
      </c>
    </row>
    <row r="247">
      <c r="A247" t="s">
        <v>840</v>
      </c>
      <c r="B247" s="232" t="s">
        <v>839</v>
      </c>
      <c r="C247" s="232">
        <v>0.0</v>
      </c>
      <c r="D247" s="232">
        <v>0.0</v>
      </c>
      <c r="F247" t="s">
        <v>7702</v>
      </c>
      <c r="G247" t="s">
        <v>330</v>
      </c>
      <c r="H247" t="s">
        <v>45</v>
      </c>
      <c r="I247" t="s">
        <v>29</v>
      </c>
    </row>
    <row r="248">
      <c r="A248" t="s">
        <v>842</v>
      </c>
      <c r="B248" s="232" t="s">
        <v>841</v>
      </c>
      <c r="C248" s="232">
        <v>0.0</v>
      </c>
      <c r="D248" s="232">
        <v>0.0</v>
      </c>
      <c r="F248" t="s">
        <v>7702</v>
      </c>
      <c r="G248" t="s">
        <v>310</v>
      </c>
      <c r="H248" t="s">
        <v>7703</v>
      </c>
      <c r="I248" t="s">
        <v>29</v>
      </c>
    </row>
    <row r="249">
      <c r="A249" t="s">
        <v>35</v>
      </c>
      <c r="B249" s="232" t="s">
        <v>36</v>
      </c>
      <c r="C249" s="232">
        <v>879.0</v>
      </c>
      <c r="D249" s="232">
        <v>4673.89</v>
      </c>
      <c r="E249" s="232">
        <v>5.3173</v>
      </c>
      <c r="F249" t="s">
        <v>7702</v>
      </c>
      <c r="G249" t="s">
        <v>330</v>
      </c>
      <c r="H249" t="s">
        <v>28</v>
      </c>
      <c r="I249" t="s">
        <v>29</v>
      </c>
    </row>
    <row r="250">
      <c r="A250" t="s">
        <v>37</v>
      </c>
      <c r="B250" s="232" t="s">
        <v>38</v>
      </c>
      <c r="C250" s="232">
        <v>666.0</v>
      </c>
      <c r="D250" s="232">
        <v>3445.3</v>
      </c>
      <c r="E250" s="232">
        <v>5.1731</v>
      </c>
      <c r="F250" t="s">
        <v>7702</v>
      </c>
      <c r="G250" t="s">
        <v>330</v>
      </c>
      <c r="H250" t="s">
        <v>28</v>
      </c>
      <c r="I250" t="s">
        <v>29</v>
      </c>
    </row>
    <row r="251">
      <c r="A251" t="s">
        <v>844</v>
      </c>
      <c r="B251" s="232" t="s">
        <v>843</v>
      </c>
      <c r="C251" s="232">
        <v>0.0</v>
      </c>
      <c r="D251" s="232">
        <v>0.0</v>
      </c>
      <c r="F251" t="s">
        <v>7702</v>
      </c>
      <c r="G251" t="s">
        <v>310</v>
      </c>
      <c r="H251" t="s">
        <v>7703</v>
      </c>
      <c r="I251" t="s">
        <v>29</v>
      </c>
    </row>
    <row r="252">
      <c r="A252" t="s">
        <v>39</v>
      </c>
      <c r="B252" s="232" t="s">
        <v>40</v>
      </c>
      <c r="C252" s="232">
        <v>769.0</v>
      </c>
      <c r="D252" s="232">
        <v>3914.86</v>
      </c>
      <c r="E252" s="232">
        <v>5.0908</v>
      </c>
      <c r="F252" t="s">
        <v>7702</v>
      </c>
      <c r="G252" t="s">
        <v>330</v>
      </c>
      <c r="H252" t="s">
        <v>28</v>
      </c>
      <c r="I252" t="s">
        <v>29</v>
      </c>
    </row>
    <row r="253">
      <c r="A253" t="s">
        <v>41</v>
      </c>
      <c r="B253" s="232" t="s">
        <v>42</v>
      </c>
      <c r="C253" s="232">
        <v>1250.0</v>
      </c>
      <c r="D253" s="232">
        <v>6452.93</v>
      </c>
      <c r="E253" s="232">
        <v>5.1623</v>
      </c>
      <c r="F253" t="s">
        <v>7702</v>
      </c>
      <c r="G253" t="s">
        <v>330</v>
      </c>
      <c r="H253" t="s">
        <v>28</v>
      </c>
      <c r="I253" t="s">
        <v>29</v>
      </c>
    </row>
    <row r="254">
      <c r="A254" t="s">
        <v>846</v>
      </c>
      <c r="B254" s="232" t="s">
        <v>845</v>
      </c>
      <c r="C254" s="232">
        <v>0.0</v>
      </c>
      <c r="D254" s="232">
        <v>0.0</v>
      </c>
      <c r="F254" t="s">
        <v>7702</v>
      </c>
      <c r="G254" t="s">
        <v>310</v>
      </c>
      <c r="H254" t="s">
        <v>7703</v>
      </c>
      <c r="I254" t="s">
        <v>29</v>
      </c>
    </row>
    <row r="255">
      <c r="A255" t="s">
        <v>848</v>
      </c>
      <c r="B255" s="232" t="s">
        <v>847</v>
      </c>
      <c r="C255" s="232">
        <v>2.0</v>
      </c>
      <c r="D255" s="232">
        <v>14.25</v>
      </c>
      <c r="E255" s="232">
        <v>7.125</v>
      </c>
      <c r="F255" t="s">
        <v>7702</v>
      </c>
      <c r="G255" t="s">
        <v>330</v>
      </c>
      <c r="H255" t="s">
        <v>45</v>
      </c>
      <c r="I255" t="s">
        <v>29</v>
      </c>
    </row>
    <row r="256">
      <c r="A256" t="s">
        <v>850</v>
      </c>
      <c r="B256" s="232" t="s">
        <v>849</v>
      </c>
      <c r="C256" s="232">
        <v>0.0</v>
      </c>
      <c r="D256" s="232">
        <v>0.0</v>
      </c>
      <c r="F256" t="s">
        <v>7702</v>
      </c>
      <c r="G256" t="s">
        <v>310</v>
      </c>
      <c r="H256" t="s">
        <v>7703</v>
      </c>
      <c r="I256" t="s">
        <v>29</v>
      </c>
    </row>
    <row r="257">
      <c r="A257" t="s">
        <v>43</v>
      </c>
      <c r="B257" s="232" t="s">
        <v>44</v>
      </c>
      <c r="C257" s="232">
        <v>294.0</v>
      </c>
      <c r="D257" s="232">
        <v>1520.85</v>
      </c>
      <c r="E257" s="232">
        <v>5.173</v>
      </c>
      <c r="F257" t="s">
        <v>7702</v>
      </c>
      <c r="G257" t="s">
        <v>330</v>
      </c>
      <c r="H257" t="s">
        <v>28</v>
      </c>
      <c r="I257" t="s">
        <v>29</v>
      </c>
    </row>
    <row r="258">
      <c r="A258" t="s">
        <v>48</v>
      </c>
      <c r="B258" s="232" t="s">
        <v>49</v>
      </c>
      <c r="C258" s="232">
        <v>1.0</v>
      </c>
      <c r="D258" s="232">
        <v>177.17</v>
      </c>
      <c r="E258" s="232">
        <v>177.17</v>
      </c>
      <c r="F258" t="s">
        <v>7702</v>
      </c>
      <c r="G258" t="s">
        <v>330</v>
      </c>
      <c r="H258" t="s">
        <v>28</v>
      </c>
      <c r="I258" t="s">
        <v>29</v>
      </c>
    </row>
    <row r="259">
      <c r="A259" t="s">
        <v>852</v>
      </c>
      <c r="B259" s="232" t="s">
        <v>851</v>
      </c>
      <c r="C259" s="232">
        <v>0.0</v>
      </c>
      <c r="D259" s="232">
        <v>0.0</v>
      </c>
      <c r="F259" t="s">
        <v>7711</v>
      </c>
      <c r="G259" t="s">
        <v>330</v>
      </c>
      <c r="H259" t="s">
        <v>7725</v>
      </c>
      <c r="I259" t="s">
        <v>98</v>
      </c>
    </row>
    <row r="260">
      <c r="A260" t="s">
        <v>854</v>
      </c>
      <c r="B260" s="232" t="s">
        <v>853</v>
      </c>
      <c r="C260" s="232">
        <v>2.0</v>
      </c>
      <c r="D260" s="232">
        <v>144.0</v>
      </c>
      <c r="E260" s="232">
        <v>72.0</v>
      </c>
      <c r="F260" t="s">
        <v>7711</v>
      </c>
      <c r="G260" t="s">
        <v>330</v>
      </c>
      <c r="H260" t="s">
        <v>7725</v>
      </c>
      <c r="I260" t="s">
        <v>7726</v>
      </c>
    </row>
    <row r="261">
      <c r="A261" t="s">
        <v>856</v>
      </c>
      <c r="B261" s="232" t="s">
        <v>855</v>
      </c>
      <c r="C261" s="232">
        <v>1.0</v>
      </c>
      <c r="D261" s="232">
        <v>111.38</v>
      </c>
      <c r="E261" s="232">
        <v>111.38</v>
      </c>
      <c r="F261" t="s">
        <v>7711</v>
      </c>
      <c r="G261" t="s">
        <v>330</v>
      </c>
      <c r="H261" t="s">
        <v>7725</v>
      </c>
      <c r="I261" t="s">
        <v>7727</v>
      </c>
    </row>
    <row r="262">
      <c r="A262" t="s">
        <v>858</v>
      </c>
      <c r="B262" s="232" t="s">
        <v>857</v>
      </c>
      <c r="C262" s="232">
        <v>300.0</v>
      </c>
      <c r="D262" s="232">
        <v>1632.73</v>
      </c>
      <c r="E262" s="232">
        <v>5.4424</v>
      </c>
      <c r="F262" t="s">
        <v>7702</v>
      </c>
      <c r="G262" t="s">
        <v>330</v>
      </c>
      <c r="H262" t="s">
        <v>7709</v>
      </c>
      <c r="I262" t="s">
        <v>7728</v>
      </c>
    </row>
    <row r="263">
      <c r="A263" t="s">
        <v>860</v>
      </c>
      <c r="B263" s="232" t="s">
        <v>859</v>
      </c>
      <c r="C263" s="232">
        <v>0.0</v>
      </c>
      <c r="D263" s="232">
        <v>0.0</v>
      </c>
      <c r="F263" t="s">
        <v>7702</v>
      </c>
      <c r="G263" t="s">
        <v>310</v>
      </c>
      <c r="H263" t="s">
        <v>7703</v>
      </c>
      <c r="I263" t="s">
        <v>7729</v>
      </c>
    </row>
    <row r="264">
      <c r="A264" t="s">
        <v>862</v>
      </c>
      <c r="B264" s="232" t="s">
        <v>861</v>
      </c>
      <c r="C264" s="232">
        <v>0.0</v>
      </c>
      <c r="D264" s="232">
        <v>0.0</v>
      </c>
      <c r="F264" t="s">
        <v>7702</v>
      </c>
      <c r="G264" t="s">
        <v>310</v>
      </c>
      <c r="H264" t="s">
        <v>7703</v>
      </c>
      <c r="I264" t="s">
        <v>7730</v>
      </c>
    </row>
    <row r="265">
      <c r="A265" t="s">
        <v>864</v>
      </c>
      <c r="B265" s="232" t="s">
        <v>863</v>
      </c>
      <c r="C265" s="232">
        <v>0.0</v>
      </c>
      <c r="D265" s="232">
        <v>0.0</v>
      </c>
      <c r="F265" t="s">
        <v>7702</v>
      </c>
      <c r="G265" t="s">
        <v>310</v>
      </c>
      <c r="H265" t="s">
        <v>7703</v>
      </c>
      <c r="I265" t="s">
        <v>7731</v>
      </c>
    </row>
    <row r="266">
      <c r="A266" t="s">
        <v>866</v>
      </c>
      <c r="B266" s="232" t="s">
        <v>865</v>
      </c>
      <c r="C266" s="232">
        <v>400.0</v>
      </c>
      <c r="D266" s="232">
        <v>2176.98</v>
      </c>
      <c r="E266" s="232">
        <v>5.4425</v>
      </c>
      <c r="F266" t="s">
        <v>7702</v>
      </c>
      <c r="G266" t="s">
        <v>330</v>
      </c>
      <c r="H266" t="s">
        <v>7709</v>
      </c>
      <c r="I266" t="s">
        <v>7728</v>
      </c>
    </row>
    <row r="267">
      <c r="A267" t="s">
        <v>870</v>
      </c>
      <c r="B267" s="232" t="s">
        <v>869</v>
      </c>
      <c r="C267" s="232">
        <v>0.0</v>
      </c>
      <c r="D267" s="232">
        <v>0.0</v>
      </c>
      <c r="F267" t="s">
        <v>7702</v>
      </c>
      <c r="G267" t="s">
        <v>310</v>
      </c>
      <c r="H267" t="s">
        <v>7703</v>
      </c>
      <c r="I267" t="s">
        <v>7731</v>
      </c>
    </row>
    <row r="268">
      <c r="A268" t="s">
        <v>872</v>
      </c>
      <c r="B268" s="232" t="s">
        <v>871</v>
      </c>
      <c r="C268" s="232">
        <v>0.0</v>
      </c>
      <c r="D268" s="232">
        <v>0.0</v>
      </c>
      <c r="F268" t="s">
        <v>7702</v>
      </c>
      <c r="G268" t="s">
        <v>310</v>
      </c>
      <c r="H268" t="s">
        <v>7703</v>
      </c>
      <c r="I268" t="s">
        <v>7731</v>
      </c>
    </row>
    <row r="269">
      <c r="A269" t="s">
        <v>874</v>
      </c>
      <c r="B269" s="232" t="s">
        <v>873</v>
      </c>
      <c r="C269" s="232">
        <v>0.0</v>
      </c>
      <c r="D269" s="232">
        <v>0.0</v>
      </c>
      <c r="F269" t="s">
        <v>7702</v>
      </c>
      <c r="G269" t="s">
        <v>310</v>
      </c>
      <c r="H269" t="s">
        <v>7703</v>
      </c>
      <c r="I269" t="s">
        <v>7731</v>
      </c>
    </row>
    <row r="270">
      <c r="A270" t="s">
        <v>878</v>
      </c>
      <c r="B270" s="232" t="s">
        <v>877</v>
      </c>
      <c r="C270" s="232">
        <v>0.0</v>
      </c>
      <c r="D270" s="232">
        <v>0.0</v>
      </c>
      <c r="F270" t="s">
        <v>7702</v>
      </c>
      <c r="G270" t="s">
        <v>310</v>
      </c>
      <c r="H270" t="s">
        <v>7703</v>
      </c>
      <c r="I270" t="s">
        <v>7730</v>
      </c>
    </row>
    <row r="271">
      <c r="A271" t="s">
        <v>880</v>
      </c>
      <c r="B271" s="232" t="s">
        <v>879</v>
      </c>
      <c r="C271" s="232">
        <v>452.0</v>
      </c>
      <c r="D271" s="232">
        <v>2459.99</v>
      </c>
      <c r="E271" s="232">
        <v>5.4425</v>
      </c>
      <c r="F271" t="s">
        <v>7702</v>
      </c>
      <c r="G271" t="s">
        <v>330</v>
      </c>
      <c r="H271" t="s">
        <v>7709</v>
      </c>
      <c r="I271" t="s">
        <v>7728</v>
      </c>
    </row>
    <row r="272">
      <c r="A272" t="s">
        <v>882</v>
      </c>
      <c r="B272" s="232" t="s">
        <v>881</v>
      </c>
      <c r="C272" s="232">
        <v>0.0</v>
      </c>
      <c r="D272" s="232">
        <v>0.0</v>
      </c>
      <c r="F272" t="s">
        <v>7702</v>
      </c>
      <c r="G272" t="s">
        <v>310</v>
      </c>
      <c r="H272" t="s">
        <v>7703</v>
      </c>
      <c r="I272" t="s">
        <v>7731</v>
      </c>
    </row>
    <row r="273">
      <c r="A273" t="s">
        <v>884</v>
      </c>
      <c r="B273" s="232" t="s">
        <v>883</v>
      </c>
      <c r="C273" s="232">
        <v>0.0</v>
      </c>
      <c r="D273" s="232">
        <v>0.0</v>
      </c>
      <c r="F273" t="s">
        <v>7702</v>
      </c>
      <c r="G273" t="s">
        <v>310</v>
      </c>
      <c r="H273" t="s">
        <v>7703</v>
      </c>
      <c r="I273" t="s">
        <v>7716</v>
      </c>
    </row>
    <row r="274">
      <c r="A274" t="s">
        <v>888</v>
      </c>
      <c r="B274" s="232" t="s">
        <v>887</v>
      </c>
      <c r="C274" s="232">
        <v>389.0</v>
      </c>
      <c r="D274" s="232">
        <v>2117.12</v>
      </c>
      <c r="E274" s="232">
        <v>5.4425</v>
      </c>
      <c r="F274" t="s">
        <v>7702</v>
      </c>
      <c r="G274" t="s">
        <v>330</v>
      </c>
      <c r="H274" t="s">
        <v>7709</v>
      </c>
      <c r="I274" t="s">
        <v>7728</v>
      </c>
    </row>
    <row r="275">
      <c r="A275" t="s">
        <v>890</v>
      </c>
      <c r="B275" s="232" t="s">
        <v>889</v>
      </c>
      <c r="C275" s="232">
        <v>405.0</v>
      </c>
      <c r="D275" s="232">
        <v>2204.21</v>
      </c>
      <c r="E275" s="232">
        <v>5.4425</v>
      </c>
      <c r="F275" t="s">
        <v>7702</v>
      </c>
      <c r="G275" t="s">
        <v>330</v>
      </c>
      <c r="H275" t="s">
        <v>7709</v>
      </c>
      <c r="I275" t="s">
        <v>7728</v>
      </c>
    </row>
    <row r="276">
      <c r="A276" t="s">
        <v>892</v>
      </c>
      <c r="B276" s="232" t="s">
        <v>891</v>
      </c>
      <c r="C276" s="232">
        <v>392.0</v>
      </c>
      <c r="D276" s="232">
        <v>2133.44</v>
      </c>
      <c r="E276" s="232">
        <v>5.4424</v>
      </c>
      <c r="F276" t="s">
        <v>7702</v>
      </c>
      <c r="G276" t="s">
        <v>330</v>
      </c>
      <c r="H276" t="s">
        <v>7709</v>
      </c>
      <c r="I276" t="s">
        <v>7728</v>
      </c>
    </row>
    <row r="277">
      <c r="A277" t="s">
        <v>894</v>
      </c>
      <c r="B277" s="232" t="s">
        <v>893</v>
      </c>
      <c r="C277" s="232">
        <v>36.0</v>
      </c>
      <c r="D277" s="232">
        <v>14.82</v>
      </c>
      <c r="E277" s="232">
        <v>0.4117</v>
      </c>
      <c r="F277" t="s">
        <v>7702</v>
      </c>
      <c r="G277" t="s">
        <v>330</v>
      </c>
      <c r="H277" t="s">
        <v>45</v>
      </c>
      <c r="I277" t="s">
        <v>98</v>
      </c>
    </row>
    <row r="278">
      <c r="A278" t="s">
        <v>896</v>
      </c>
      <c r="B278" s="232" t="s">
        <v>895</v>
      </c>
      <c r="C278" s="232">
        <v>723.0</v>
      </c>
      <c r="D278" s="232">
        <v>307.47</v>
      </c>
      <c r="E278" s="232">
        <v>0.4253</v>
      </c>
      <c r="F278" t="s">
        <v>7702</v>
      </c>
      <c r="G278" t="s">
        <v>330</v>
      </c>
      <c r="H278" t="s">
        <v>45</v>
      </c>
      <c r="I278" t="s">
        <v>98</v>
      </c>
    </row>
    <row r="279">
      <c r="A279" t="s">
        <v>898</v>
      </c>
      <c r="B279" s="232" t="s">
        <v>897</v>
      </c>
      <c r="C279" s="232">
        <v>3.0</v>
      </c>
      <c r="D279" s="232">
        <v>0.98</v>
      </c>
      <c r="E279" s="232">
        <v>0.3267</v>
      </c>
      <c r="F279" t="s">
        <v>7702</v>
      </c>
      <c r="G279" t="s">
        <v>330</v>
      </c>
      <c r="H279" t="s">
        <v>45</v>
      </c>
      <c r="I279" t="s">
        <v>98</v>
      </c>
    </row>
    <row r="280">
      <c r="A280" t="s">
        <v>900</v>
      </c>
      <c r="B280" s="232" t="s">
        <v>899</v>
      </c>
      <c r="C280" s="232">
        <v>0.0</v>
      </c>
      <c r="D280" s="232">
        <v>0.0</v>
      </c>
      <c r="F280" t="s">
        <v>7702</v>
      </c>
      <c r="G280" t="s">
        <v>330</v>
      </c>
      <c r="H280" t="s">
        <v>45</v>
      </c>
      <c r="I280" t="s">
        <v>98</v>
      </c>
    </row>
    <row r="281">
      <c r="A281" t="s">
        <v>902</v>
      </c>
      <c r="B281" s="232" t="s">
        <v>901</v>
      </c>
      <c r="C281" s="232">
        <v>351.0</v>
      </c>
      <c r="D281" s="232">
        <v>149.11</v>
      </c>
      <c r="E281" s="232">
        <v>0.4248</v>
      </c>
      <c r="F281" t="s">
        <v>7702</v>
      </c>
      <c r="G281" t="s">
        <v>330</v>
      </c>
      <c r="H281" t="s">
        <v>45</v>
      </c>
      <c r="I281" t="s">
        <v>98</v>
      </c>
    </row>
    <row r="282">
      <c r="A282" t="s">
        <v>904</v>
      </c>
      <c r="B282" s="232" t="s">
        <v>903</v>
      </c>
      <c r="C282" s="232">
        <v>674.0</v>
      </c>
      <c r="D282" s="232">
        <v>286.6</v>
      </c>
      <c r="E282" s="232">
        <v>0.4252</v>
      </c>
      <c r="F282" t="s">
        <v>7702</v>
      </c>
      <c r="G282" t="s">
        <v>330</v>
      </c>
      <c r="H282" t="s">
        <v>45</v>
      </c>
      <c r="I282" t="s">
        <v>98</v>
      </c>
    </row>
    <row r="283">
      <c r="A283" t="s">
        <v>906</v>
      </c>
      <c r="B283" s="232" t="s">
        <v>905</v>
      </c>
      <c r="C283" s="232">
        <v>144.0</v>
      </c>
      <c r="D283" s="232">
        <v>5670.88</v>
      </c>
      <c r="E283" s="232">
        <v>39.3811</v>
      </c>
      <c r="F283" t="s">
        <v>7702</v>
      </c>
      <c r="G283" t="s">
        <v>330</v>
      </c>
      <c r="H283" t="s">
        <v>45</v>
      </c>
      <c r="I283" t="s">
        <v>7714</v>
      </c>
    </row>
    <row r="284">
      <c r="A284" t="s">
        <v>908</v>
      </c>
      <c r="B284" s="232" t="s">
        <v>907</v>
      </c>
      <c r="C284" s="232">
        <v>1033.0</v>
      </c>
      <c r="D284" s="232">
        <v>2266.67</v>
      </c>
      <c r="E284" s="232">
        <v>2.1943</v>
      </c>
      <c r="F284" t="s">
        <v>7732</v>
      </c>
      <c r="G284" t="s">
        <v>330</v>
      </c>
      <c r="H284" t="s">
        <v>7733</v>
      </c>
    </row>
    <row r="285">
      <c r="A285" t="s">
        <v>910</v>
      </c>
      <c r="B285" s="232" t="s">
        <v>909</v>
      </c>
      <c r="C285" s="232">
        <v>0.0</v>
      </c>
      <c r="D285" s="232">
        <v>0.0</v>
      </c>
      <c r="F285" t="s">
        <v>7732</v>
      </c>
      <c r="G285" t="s">
        <v>330</v>
      </c>
      <c r="H285" t="s">
        <v>7734</v>
      </c>
    </row>
    <row r="286">
      <c r="A286" t="s">
        <v>912</v>
      </c>
      <c r="B286" s="232" t="s">
        <v>911</v>
      </c>
      <c r="C286" s="232">
        <v>67.0</v>
      </c>
      <c r="D286" s="232">
        <v>2345.16</v>
      </c>
      <c r="E286" s="232">
        <v>35.0024</v>
      </c>
      <c r="F286" t="s">
        <v>7732</v>
      </c>
      <c r="G286" t="s">
        <v>330</v>
      </c>
      <c r="H286" t="s">
        <v>7734</v>
      </c>
    </row>
    <row r="287">
      <c r="A287" t="s">
        <v>916</v>
      </c>
      <c r="B287" s="232" t="s">
        <v>915</v>
      </c>
      <c r="C287" s="232">
        <v>0.0</v>
      </c>
      <c r="D287" s="232">
        <v>0.0</v>
      </c>
      <c r="F287" t="s">
        <v>7711</v>
      </c>
      <c r="G287" t="s">
        <v>310</v>
      </c>
      <c r="H287" t="s">
        <v>7703</v>
      </c>
      <c r="I287" t="s">
        <v>98</v>
      </c>
    </row>
    <row r="288">
      <c r="A288" t="s">
        <v>918</v>
      </c>
      <c r="B288" s="232" t="s">
        <v>917</v>
      </c>
      <c r="C288" s="232">
        <v>0.0</v>
      </c>
      <c r="D288" s="232">
        <v>0.0</v>
      </c>
      <c r="F288" t="s">
        <v>7711</v>
      </c>
      <c r="G288" t="s">
        <v>310</v>
      </c>
      <c r="H288" t="s">
        <v>7703</v>
      </c>
      <c r="I288" t="s">
        <v>7721</v>
      </c>
    </row>
    <row r="289">
      <c r="A289" t="s">
        <v>920</v>
      </c>
      <c r="B289" s="232" t="s">
        <v>919</v>
      </c>
      <c r="C289" s="232">
        <v>0.0</v>
      </c>
      <c r="D289" s="232">
        <v>0.0</v>
      </c>
      <c r="F289" t="s">
        <v>7711</v>
      </c>
      <c r="G289" t="s">
        <v>310</v>
      </c>
      <c r="H289" t="s">
        <v>7703</v>
      </c>
      <c r="I289" t="s">
        <v>7720</v>
      </c>
    </row>
    <row r="290">
      <c r="A290" t="s">
        <v>924</v>
      </c>
      <c r="B290" s="232" t="s">
        <v>923</v>
      </c>
      <c r="C290" s="232">
        <v>60.0</v>
      </c>
      <c r="D290" s="232">
        <v>47.25</v>
      </c>
      <c r="E290" s="232">
        <v>0.7875</v>
      </c>
      <c r="F290" t="s">
        <v>7702</v>
      </c>
      <c r="G290" t="s">
        <v>330</v>
      </c>
      <c r="H290" t="s">
        <v>7725</v>
      </c>
      <c r="I290" t="s">
        <v>98</v>
      </c>
    </row>
    <row r="291">
      <c r="A291" t="s">
        <v>926</v>
      </c>
      <c r="B291" s="232" t="s">
        <v>925</v>
      </c>
      <c r="C291" s="232">
        <v>475.0</v>
      </c>
      <c r="D291" s="232">
        <v>361.0</v>
      </c>
      <c r="E291" s="232">
        <v>0.76</v>
      </c>
      <c r="F291" t="s">
        <v>7702</v>
      </c>
      <c r="G291" t="s">
        <v>330</v>
      </c>
      <c r="H291" t="s">
        <v>7725</v>
      </c>
      <c r="I291" t="s">
        <v>98</v>
      </c>
    </row>
    <row r="292">
      <c r="A292" t="s">
        <v>928</v>
      </c>
      <c r="B292" s="232" t="s">
        <v>927</v>
      </c>
      <c r="C292" s="232">
        <v>200.0</v>
      </c>
      <c r="D292" s="232">
        <v>156.16</v>
      </c>
      <c r="E292" s="232">
        <v>0.7808</v>
      </c>
      <c r="F292" t="s">
        <v>7702</v>
      </c>
      <c r="G292" t="s">
        <v>330</v>
      </c>
      <c r="H292" t="s">
        <v>7725</v>
      </c>
      <c r="I292" t="s">
        <v>98</v>
      </c>
    </row>
    <row r="293">
      <c r="A293" t="s">
        <v>930</v>
      </c>
      <c r="B293" s="232" t="s">
        <v>929</v>
      </c>
      <c r="C293" s="232">
        <v>461.0</v>
      </c>
      <c r="D293" s="232">
        <v>350.36</v>
      </c>
      <c r="E293" s="232">
        <v>0.76</v>
      </c>
      <c r="F293" t="s">
        <v>7702</v>
      </c>
      <c r="G293" t="s">
        <v>330</v>
      </c>
      <c r="H293" t="s">
        <v>7725</v>
      </c>
      <c r="I293" t="s">
        <v>98</v>
      </c>
    </row>
    <row r="294">
      <c r="A294" t="s">
        <v>948</v>
      </c>
      <c r="B294" s="232" t="s">
        <v>947</v>
      </c>
      <c r="C294" s="232">
        <v>462.0</v>
      </c>
      <c r="D294" s="232">
        <v>356.47</v>
      </c>
      <c r="E294" s="232">
        <v>0.7716</v>
      </c>
      <c r="F294" t="s">
        <v>7702</v>
      </c>
      <c r="G294" t="s">
        <v>330</v>
      </c>
      <c r="H294" t="s">
        <v>7725</v>
      </c>
      <c r="I294" t="s">
        <v>98</v>
      </c>
    </row>
    <row r="295">
      <c r="A295" t="s">
        <v>950</v>
      </c>
      <c r="B295" s="232" t="s">
        <v>949</v>
      </c>
      <c r="C295" s="232">
        <v>336.0</v>
      </c>
      <c r="D295" s="232">
        <v>262.48</v>
      </c>
      <c r="E295" s="232">
        <v>0.7812</v>
      </c>
      <c r="F295" t="s">
        <v>7702</v>
      </c>
      <c r="G295" t="s">
        <v>330</v>
      </c>
      <c r="H295" t="s">
        <v>7725</v>
      </c>
      <c r="I295" t="s">
        <v>98</v>
      </c>
    </row>
    <row r="296">
      <c r="A296" t="s">
        <v>952</v>
      </c>
      <c r="B296" s="232" t="s">
        <v>951</v>
      </c>
      <c r="C296" s="232">
        <v>204.0</v>
      </c>
      <c r="D296" s="232">
        <v>159.36</v>
      </c>
      <c r="E296" s="232">
        <v>0.7812</v>
      </c>
      <c r="F296" t="s">
        <v>7702</v>
      </c>
      <c r="G296" t="s">
        <v>330</v>
      </c>
      <c r="H296" t="s">
        <v>7725</v>
      </c>
      <c r="I296" t="s">
        <v>98</v>
      </c>
    </row>
    <row r="297">
      <c r="A297" t="s">
        <v>954</v>
      </c>
      <c r="B297" s="232" t="s">
        <v>953</v>
      </c>
      <c r="C297" s="232">
        <v>500.0</v>
      </c>
      <c r="D297" s="232">
        <v>380.0</v>
      </c>
      <c r="E297" s="232">
        <v>0.76</v>
      </c>
      <c r="F297" t="s">
        <v>7702</v>
      </c>
      <c r="G297" t="s">
        <v>330</v>
      </c>
      <c r="H297" t="s">
        <v>7725</v>
      </c>
      <c r="I297" t="s">
        <v>98</v>
      </c>
    </row>
    <row r="298">
      <c r="A298" t="s">
        <v>956</v>
      </c>
      <c r="B298" s="232" t="s">
        <v>955</v>
      </c>
      <c r="C298" s="232">
        <v>60.0</v>
      </c>
      <c r="D298" s="232">
        <v>47.25</v>
      </c>
      <c r="E298" s="232">
        <v>0.7875</v>
      </c>
      <c r="F298" t="s">
        <v>7702</v>
      </c>
      <c r="G298" t="s">
        <v>330</v>
      </c>
      <c r="H298" t="s">
        <v>7725</v>
      </c>
      <c r="I298" t="s">
        <v>98</v>
      </c>
    </row>
    <row r="299">
      <c r="A299" t="s">
        <v>958</v>
      </c>
      <c r="B299" s="232" t="s">
        <v>957</v>
      </c>
      <c r="C299" s="232">
        <v>316.0</v>
      </c>
      <c r="D299" s="232">
        <v>243.15</v>
      </c>
      <c r="E299" s="232">
        <v>0.7695</v>
      </c>
      <c r="F299" t="s">
        <v>7702</v>
      </c>
      <c r="G299" t="s">
        <v>330</v>
      </c>
      <c r="H299" t="s">
        <v>7725</v>
      </c>
      <c r="I299" t="s">
        <v>98</v>
      </c>
    </row>
    <row r="300">
      <c r="A300" t="s">
        <v>960</v>
      </c>
      <c r="B300" s="232" t="s">
        <v>959</v>
      </c>
      <c r="C300" s="232">
        <v>60.0</v>
      </c>
      <c r="D300" s="232">
        <v>47.25</v>
      </c>
      <c r="E300" s="232">
        <v>0.7875</v>
      </c>
      <c r="F300" t="s">
        <v>7702</v>
      </c>
      <c r="G300" t="s">
        <v>330</v>
      </c>
      <c r="H300" t="s">
        <v>7725</v>
      </c>
      <c r="I300" t="s">
        <v>98</v>
      </c>
    </row>
    <row r="301">
      <c r="A301" t="s">
        <v>962</v>
      </c>
      <c r="B301" s="232" t="s">
        <v>961</v>
      </c>
      <c r="C301" s="232">
        <v>209.0</v>
      </c>
      <c r="D301" s="232">
        <v>162.22</v>
      </c>
      <c r="E301" s="232">
        <v>0.7762</v>
      </c>
      <c r="F301" t="s">
        <v>7702</v>
      </c>
      <c r="G301" t="s">
        <v>330</v>
      </c>
      <c r="H301" t="s">
        <v>7725</v>
      </c>
      <c r="I301" t="s">
        <v>98</v>
      </c>
    </row>
    <row r="302">
      <c r="A302" t="s">
        <v>964</v>
      </c>
      <c r="B302" s="232" t="s">
        <v>963</v>
      </c>
      <c r="C302" s="232">
        <v>316.0</v>
      </c>
      <c r="D302" s="232">
        <v>240.16</v>
      </c>
      <c r="E302" s="232">
        <v>0.76</v>
      </c>
      <c r="F302" t="s">
        <v>7702</v>
      </c>
      <c r="G302" t="s">
        <v>330</v>
      </c>
      <c r="H302" t="s">
        <v>7725</v>
      </c>
      <c r="I302" t="s">
        <v>98</v>
      </c>
    </row>
    <row r="303">
      <c r="A303" t="s">
        <v>966</v>
      </c>
      <c r="B303" s="232" t="s">
        <v>965</v>
      </c>
      <c r="C303" s="232">
        <v>664.0</v>
      </c>
      <c r="D303" s="232">
        <v>504.64</v>
      </c>
      <c r="E303" s="232">
        <v>0.76</v>
      </c>
      <c r="F303" t="s">
        <v>7702</v>
      </c>
      <c r="G303" t="s">
        <v>330</v>
      </c>
      <c r="H303" t="s">
        <v>7725</v>
      </c>
      <c r="I303" t="s">
        <v>98</v>
      </c>
    </row>
    <row r="304">
      <c r="A304" t="s">
        <v>968</v>
      </c>
      <c r="B304" s="232" t="s">
        <v>967</v>
      </c>
      <c r="C304" s="232">
        <v>64.0</v>
      </c>
      <c r="D304" s="232">
        <v>50.09</v>
      </c>
      <c r="E304" s="232">
        <v>0.7827</v>
      </c>
      <c r="F304" t="s">
        <v>7702</v>
      </c>
      <c r="G304" t="s">
        <v>330</v>
      </c>
      <c r="H304" t="s">
        <v>7725</v>
      </c>
      <c r="I304" t="s">
        <v>98</v>
      </c>
    </row>
    <row r="305">
      <c r="A305" t="s">
        <v>970</v>
      </c>
      <c r="B305" s="232" t="s">
        <v>969</v>
      </c>
      <c r="C305" s="232">
        <v>480.0</v>
      </c>
      <c r="D305" s="232">
        <v>364.8</v>
      </c>
      <c r="E305" s="232">
        <v>0.76</v>
      </c>
      <c r="F305" t="s">
        <v>7702</v>
      </c>
      <c r="G305" t="s">
        <v>330</v>
      </c>
      <c r="H305" t="s">
        <v>7725</v>
      </c>
      <c r="I305" t="s">
        <v>98</v>
      </c>
    </row>
    <row r="306">
      <c r="A306" t="s">
        <v>972</v>
      </c>
      <c r="B306" s="232" t="s">
        <v>971</v>
      </c>
      <c r="C306" s="232">
        <v>1366.0</v>
      </c>
      <c r="D306" s="232">
        <v>1038.16</v>
      </c>
      <c r="E306" s="232">
        <v>0.76</v>
      </c>
      <c r="F306" t="s">
        <v>7702</v>
      </c>
      <c r="G306" t="s">
        <v>330</v>
      </c>
      <c r="H306" t="s">
        <v>7725</v>
      </c>
      <c r="I306" t="s">
        <v>98</v>
      </c>
    </row>
    <row r="307">
      <c r="A307" t="s">
        <v>974</v>
      </c>
      <c r="B307" s="232" t="s">
        <v>973</v>
      </c>
      <c r="C307" s="232">
        <v>102.0</v>
      </c>
      <c r="D307" s="232">
        <v>79.65</v>
      </c>
      <c r="E307" s="232">
        <v>0.7809</v>
      </c>
      <c r="F307" t="s">
        <v>7702</v>
      </c>
      <c r="G307" t="s">
        <v>330</v>
      </c>
      <c r="H307" t="s">
        <v>7725</v>
      </c>
      <c r="I307" t="s">
        <v>98</v>
      </c>
    </row>
    <row r="308">
      <c r="A308" t="s">
        <v>976</v>
      </c>
      <c r="B308" s="232" t="s">
        <v>975</v>
      </c>
      <c r="C308" s="232">
        <v>451.0</v>
      </c>
      <c r="D308" s="232">
        <v>351.24</v>
      </c>
      <c r="E308" s="232">
        <v>0.7788</v>
      </c>
      <c r="F308" t="s">
        <v>7702</v>
      </c>
      <c r="G308" t="s">
        <v>330</v>
      </c>
      <c r="H308" t="s">
        <v>7725</v>
      </c>
      <c r="I308" t="s">
        <v>98</v>
      </c>
    </row>
    <row r="309">
      <c r="A309" t="s">
        <v>978</v>
      </c>
      <c r="B309" s="232" t="s">
        <v>977</v>
      </c>
      <c r="C309" s="232">
        <v>558.0</v>
      </c>
      <c r="D309" s="232">
        <v>424.08</v>
      </c>
      <c r="E309" s="232">
        <v>0.76</v>
      </c>
      <c r="F309" t="s">
        <v>7702</v>
      </c>
      <c r="G309" t="s">
        <v>330</v>
      </c>
      <c r="H309" t="s">
        <v>7725</v>
      </c>
      <c r="I309" t="s">
        <v>98</v>
      </c>
    </row>
    <row r="310">
      <c r="A310" t="s">
        <v>980</v>
      </c>
      <c r="B310" s="232" t="s">
        <v>979</v>
      </c>
      <c r="C310" s="232">
        <v>120.0</v>
      </c>
      <c r="D310" s="232">
        <v>93.86</v>
      </c>
      <c r="E310" s="232">
        <v>0.7822</v>
      </c>
      <c r="F310" t="s">
        <v>7702</v>
      </c>
      <c r="G310" t="s">
        <v>330</v>
      </c>
      <c r="H310" t="s">
        <v>7725</v>
      </c>
      <c r="I310" t="s">
        <v>98</v>
      </c>
    </row>
    <row r="311">
      <c r="A311" t="s">
        <v>982</v>
      </c>
      <c r="B311" s="232" t="s">
        <v>981</v>
      </c>
      <c r="C311" s="232">
        <v>174.0</v>
      </c>
      <c r="D311" s="232">
        <v>132.24</v>
      </c>
      <c r="E311" s="232">
        <v>0.76</v>
      </c>
      <c r="F311" t="s">
        <v>7702</v>
      </c>
      <c r="G311" t="s">
        <v>330</v>
      </c>
      <c r="H311" t="s">
        <v>7725</v>
      </c>
      <c r="I311" t="s">
        <v>98</v>
      </c>
    </row>
    <row r="312">
      <c r="A312" t="s">
        <v>984</v>
      </c>
      <c r="B312" s="232" t="s">
        <v>983</v>
      </c>
      <c r="C312" s="232">
        <v>713.0</v>
      </c>
      <c r="D312" s="232">
        <v>541.88</v>
      </c>
      <c r="E312" s="232">
        <v>0.76</v>
      </c>
      <c r="F312" t="s">
        <v>7702</v>
      </c>
      <c r="G312" t="s">
        <v>330</v>
      </c>
      <c r="H312" t="s">
        <v>7725</v>
      </c>
      <c r="I312" t="s">
        <v>98</v>
      </c>
    </row>
    <row r="313">
      <c r="A313" t="s">
        <v>986</v>
      </c>
      <c r="B313" s="232" t="s">
        <v>985</v>
      </c>
      <c r="C313" s="232">
        <v>467.0</v>
      </c>
      <c r="D313" s="232">
        <v>364.57</v>
      </c>
      <c r="E313" s="232">
        <v>0.7807</v>
      </c>
      <c r="F313" t="s">
        <v>7702</v>
      </c>
      <c r="G313" t="s">
        <v>330</v>
      </c>
      <c r="H313" t="s">
        <v>7725</v>
      </c>
      <c r="I313" t="s">
        <v>98</v>
      </c>
    </row>
    <row r="314">
      <c r="A314" t="s">
        <v>988</v>
      </c>
      <c r="B314" s="232" t="s">
        <v>987</v>
      </c>
      <c r="C314" s="232">
        <v>60.0</v>
      </c>
      <c r="D314" s="232">
        <v>47.25</v>
      </c>
      <c r="E314" s="232">
        <v>0.7875</v>
      </c>
      <c r="F314" t="s">
        <v>7702</v>
      </c>
      <c r="G314" t="s">
        <v>330</v>
      </c>
      <c r="H314" t="s">
        <v>7725</v>
      </c>
      <c r="I314" t="s">
        <v>98</v>
      </c>
    </row>
    <row r="315">
      <c r="A315" t="s">
        <v>990</v>
      </c>
      <c r="B315" s="232" t="s">
        <v>989</v>
      </c>
      <c r="C315" s="232">
        <v>350.0</v>
      </c>
      <c r="D315" s="232">
        <v>273.27</v>
      </c>
      <c r="E315" s="232">
        <v>0.7808</v>
      </c>
      <c r="F315" t="s">
        <v>7702</v>
      </c>
      <c r="G315" t="s">
        <v>330</v>
      </c>
      <c r="H315" t="s">
        <v>7725</v>
      </c>
      <c r="I315" t="s">
        <v>98</v>
      </c>
    </row>
    <row r="316">
      <c r="A316" t="s">
        <v>992</v>
      </c>
      <c r="B316" s="232" t="s">
        <v>991</v>
      </c>
      <c r="C316" s="232">
        <v>529.0</v>
      </c>
      <c r="D316" s="232">
        <v>411.38</v>
      </c>
      <c r="E316" s="232">
        <v>0.7777</v>
      </c>
      <c r="F316" t="s">
        <v>7702</v>
      </c>
      <c r="G316" t="s">
        <v>330</v>
      </c>
      <c r="H316" t="s">
        <v>7725</v>
      </c>
      <c r="I316" t="s">
        <v>98</v>
      </c>
    </row>
    <row r="317">
      <c r="A317" t="s">
        <v>994</v>
      </c>
      <c r="B317" s="232" t="s">
        <v>993</v>
      </c>
      <c r="C317" s="232">
        <v>129.0</v>
      </c>
      <c r="D317" s="232">
        <v>100.72</v>
      </c>
      <c r="E317" s="232">
        <v>0.7808</v>
      </c>
      <c r="F317" t="s">
        <v>7702</v>
      </c>
      <c r="G317" t="s">
        <v>330</v>
      </c>
      <c r="H317" t="s">
        <v>7725</v>
      </c>
      <c r="I317" t="s">
        <v>98</v>
      </c>
    </row>
    <row r="318">
      <c r="A318" t="s">
        <v>996</v>
      </c>
      <c r="B318" s="232" t="s">
        <v>995</v>
      </c>
      <c r="C318" s="232">
        <v>159.0</v>
      </c>
      <c r="D318" s="232">
        <v>124.28</v>
      </c>
      <c r="E318" s="232">
        <v>0.7816</v>
      </c>
      <c r="F318" t="s">
        <v>7702</v>
      </c>
      <c r="G318" t="s">
        <v>330</v>
      </c>
      <c r="H318" t="s">
        <v>7725</v>
      </c>
      <c r="I318" t="s">
        <v>98</v>
      </c>
    </row>
    <row r="319">
      <c r="A319" t="s">
        <v>998</v>
      </c>
      <c r="B319" s="232" t="s">
        <v>997</v>
      </c>
      <c r="C319" s="232">
        <v>480.0</v>
      </c>
      <c r="D319" s="232">
        <v>367.54</v>
      </c>
      <c r="E319" s="232">
        <v>0.7657</v>
      </c>
      <c r="F319" t="s">
        <v>7702</v>
      </c>
      <c r="G319" t="s">
        <v>330</v>
      </c>
      <c r="H319" t="s">
        <v>7725</v>
      </c>
      <c r="I319" t="s">
        <v>98</v>
      </c>
    </row>
    <row r="320">
      <c r="A320" t="s">
        <v>1000</v>
      </c>
      <c r="B320" s="232" t="s">
        <v>999</v>
      </c>
      <c r="C320" s="232">
        <v>302.0</v>
      </c>
      <c r="D320" s="232">
        <v>235.81</v>
      </c>
      <c r="E320" s="232">
        <v>0.7808</v>
      </c>
      <c r="F320" t="s">
        <v>7702</v>
      </c>
      <c r="G320" t="s">
        <v>330</v>
      </c>
      <c r="H320" t="s">
        <v>7725</v>
      </c>
      <c r="I320" t="s">
        <v>98</v>
      </c>
    </row>
    <row r="321">
      <c r="A321" t="s">
        <v>1002</v>
      </c>
      <c r="B321" s="232" t="s">
        <v>1001</v>
      </c>
      <c r="C321" s="232">
        <v>330.0</v>
      </c>
      <c r="D321" s="232">
        <v>255.39</v>
      </c>
      <c r="E321" s="232">
        <v>0.7739</v>
      </c>
      <c r="F321" t="s">
        <v>7702</v>
      </c>
      <c r="G321" t="s">
        <v>330</v>
      </c>
      <c r="H321" t="s">
        <v>7725</v>
      </c>
      <c r="I321" t="s">
        <v>98</v>
      </c>
    </row>
    <row r="322">
      <c r="A322" t="s">
        <v>1004</v>
      </c>
      <c r="B322" s="232" t="s">
        <v>1003</v>
      </c>
      <c r="C322" s="232">
        <v>58.0</v>
      </c>
      <c r="D322" s="232">
        <v>45.33</v>
      </c>
      <c r="E322" s="232">
        <v>0.7816</v>
      </c>
      <c r="F322" t="s">
        <v>7702</v>
      </c>
      <c r="G322" t="s">
        <v>330</v>
      </c>
      <c r="H322" t="s">
        <v>7725</v>
      </c>
      <c r="I322" t="s">
        <v>98</v>
      </c>
    </row>
    <row r="323">
      <c r="A323" t="s">
        <v>1006</v>
      </c>
      <c r="B323" s="232" t="s">
        <v>1005</v>
      </c>
      <c r="C323" s="232">
        <v>161.0</v>
      </c>
      <c r="D323" s="232">
        <v>125.8</v>
      </c>
      <c r="E323" s="232">
        <v>0.7814</v>
      </c>
      <c r="F323" t="s">
        <v>7702</v>
      </c>
      <c r="G323" t="s">
        <v>330</v>
      </c>
      <c r="H323" t="s">
        <v>7725</v>
      </c>
      <c r="I323" t="s">
        <v>98</v>
      </c>
    </row>
    <row r="324">
      <c r="A324" t="s">
        <v>1008</v>
      </c>
      <c r="B324" s="232" t="s">
        <v>1007</v>
      </c>
      <c r="C324" s="232">
        <v>544.0</v>
      </c>
      <c r="D324" s="232">
        <v>413.44</v>
      </c>
      <c r="E324" s="232">
        <v>0.76</v>
      </c>
      <c r="F324" t="s">
        <v>7702</v>
      </c>
      <c r="G324" t="s">
        <v>330</v>
      </c>
      <c r="H324" t="s">
        <v>7725</v>
      </c>
      <c r="I324" t="s">
        <v>98</v>
      </c>
    </row>
    <row r="325">
      <c r="A325" t="s">
        <v>1010</v>
      </c>
      <c r="B325" s="232" t="s">
        <v>1009</v>
      </c>
      <c r="C325" s="232">
        <v>187.0</v>
      </c>
      <c r="D325" s="232">
        <v>146.12</v>
      </c>
      <c r="E325" s="232">
        <v>0.7814</v>
      </c>
      <c r="F325" t="s">
        <v>7702</v>
      </c>
      <c r="G325" t="s">
        <v>330</v>
      </c>
      <c r="H325" t="s">
        <v>7725</v>
      </c>
      <c r="I325" t="s">
        <v>98</v>
      </c>
    </row>
    <row r="326">
      <c r="A326" t="s">
        <v>1012</v>
      </c>
      <c r="B326" s="232" t="s">
        <v>1011</v>
      </c>
      <c r="C326" s="232">
        <v>482.0</v>
      </c>
      <c r="D326" s="232">
        <v>370.56</v>
      </c>
      <c r="E326" s="232">
        <v>0.7688</v>
      </c>
      <c r="F326" t="s">
        <v>7702</v>
      </c>
      <c r="G326" t="s">
        <v>330</v>
      </c>
      <c r="H326" t="s">
        <v>7725</v>
      </c>
      <c r="I326" t="s">
        <v>98</v>
      </c>
    </row>
    <row r="327">
      <c r="A327" t="s">
        <v>1014</v>
      </c>
      <c r="B327" s="232" t="s">
        <v>1013</v>
      </c>
      <c r="C327" s="232">
        <v>459.0</v>
      </c>
      <c r="D327" s="232">
        <v>351.83</v>
      </c>
      <c r="E327" s="232">
        <v>0.7665</v>
      </c>
      <c r="F327" t="s">
        <v>7702</v>
      </c>
      <c r="G327" t="s">
        <v>330</v>
      </c>
      <c r="H327" t="s">
        <v>7725</v>
      </c>
      <c r="I327" t="s">
        <v>98</v>
      </c>
    </row>
    <row r="328">
      <c r="A328" t="s">
        <v>1016</v>
      </c>
      <c r="B328" s="232" t="s">
        <v>1015</v>
      </c>
      <c r="C328" s="232">
        <v>309.0</v>
      </c>
      <c r="D328" s="232">
        <v>239.0</v>
      </c>
      <c r="E328" s="232">
        <v>0.7735</v>
      </c>
      <c r="F328" t="s">
        <v>7702</v>
      </c>
      <c r="G328" t="s">
        <v>330</v>
      </c>
      <c r="H328" t="s">
        <v>7725</v>
      </c>
      <c r="I328" t="s">
        <v>98</v>
      </c>
    </row>
    <row r="329">
      <c r="A329" t="s">
        <v>1018</v>
      </c>
      <c r="B329" s="232" t="s">
        <v>1017</v>
      </c>
      <c r="C329" s="232">
        <v>625.0</v>
      </c>
      <c r="D329" s="232">
        <v>479.36</v>
      </c>
      <c r="E329" s="232">
        <v>0.767</v>
      </c>
      <c r="F329" t="s">
        <v>7702</v>
      </c>
      <c r="G329" t="s">
        <v>330</v>
      </c>
      <c r="H329" t="s">
        <v>7725</v>
      </c>
      <c r="I329" t="s">
        <v>98</v>
      </c>
    </row>
    <row r="330">
      <c r="A330" t="s">
        <v>1020</v>
      </c>
      <c r="B330" s="232" t="s">
        <v>1019</v>
      </c>
      <c r="C330" s="232">
        <v>300.0</v>
      </c>
      <c r="D330" s="232">
        <v>228.0</v>
      </c>
      <c r="E330" s="232">
        <v>0.76</v>
      </c>
      <c r="F330" t="s">
        <v>7702</v>
      </c>
      <c r="G330" t="s">
        <v>330</v>
      </c>
      <c r="H330" t="s">
        <v>7725</v>
      </c>
      <c r="I330" t="s">
        <v>98</v>
      </c>
    </row>
    <row r="331">
      <c r="A331" t="s">
        <v>1022</v>
      </c>
      <c r="B331" s="232" t="s">
        <v>1021</v>
      </c>
      <c r="C331" s="232">
        <v>488.0</v>
      </c>
      <c r="D331" s="232">
        <v>373.37</v>
      </c>
      <c r="E331" s="232">
        <v>0.7651</v>
      </c>
      <c r="F331" t="s">
        <v>7702</v>
      </c>
      <c r="G331" t="s">
        <v>330</v>
      </c>
      <c r="H331" t="s">
        <v>7725</v>
      </c>
      <c r="I331" t="s">
        <v>98</v>
      </c>
    </row>
    <row r="332">
      <c r="A332" t="s">
        <v>1024</v>
      </c>
      <c r="B332" s="232" t="s">
        <v>1023</v>
      </c>
      <c r="C332" s="232">
        <v>162.0</v>
      </c>
      <c r="D332" s="232">
        <v>123.12</v>
      </c>
      <c r="E332" s="232">
        <v>0.76</v>
      </c>
      <c r="F332" t="s">
        <v>7702</v>
      </c>
      <c r="G332" t="s">
        <v>330</v>
      </c>
      <c r="H332" t="s">
        <v>7725</v>
      </c>
      <c r="I332" t="s">
        <v>98</v>
      </c>
    </row>
    <row r="333">
      <c r="A333" t="s">
        <v>1026</v>
      </c>
      <c r="B333" s="232" t="s">
        <v>1025</v>
      </c>
      <c r="C333" s="232">
        <v>541.0</v>
      </c>
      <c r="D333" s="232">
        <v>411.16</v>
      </c>
      <c r="E333" s="232">
        <v>0.76</v>
      </c>
      <c r="F333" t="s">
        <v>7702</v>
      </c>
      <c r="G333" t="s">
        <v>330</v>
      </c>
      <c r="H333" t="s">
        <v>7725</v>
      </c>
      <c r="I333" t="s">
        <v>98</v>
      </c>
    </row>
    <row r="334">
      <c r="A334" t="s">
        <v>1028</v>
      </c>
      <c r="B334" s="232" t="s">
        <v>1027</v>
      </c>
      <c r="C334" s="232">
        <v>399.0</v>
      </c>
      <c r="D334" s="232">
        <v>311.53</v>
      </c>
      <c r="E334" s="232">
        <v>0.7808</v>
      </c>
      <c r="F334" t="s">
        <v>7702</v>
      </c>
      <c r="G334" t="s">
        <v>330</v>
      </c>
      <c r="H334" t="s">
        <v>7725</v>
      </c>
      <c r="I334" t="s">
        <v>98</v>
      </c>
    </row>
    <row r="335">
      <c r="A335" t="s">
        <v>1030</v>
      </c>
      <c r="B335" s="232" t="s">
        <v>1029</v>
      </c>
      <c r="C335" s="232">
        <v>390.0</v>
      </c>
      <c r="D335" s="232">
        <v>296.4</v>
      </c>
      <c r="E335" s="232">
        <v>0.76</v>
      </c>
      <c r="F335" t="s">
        <v>7702</v>
      </c>
      <c r="G335" t="s">
        <v>330</v>
      </c>
      <c r="H335" t="s">
        <v>7725</v>
      </c>
      <c r="I335" t="s">
        <v>98</v>
      </c>
    </row>
    <row r="336">
      <c r="A336" t="s">
        <v>1032</v>
      </c>
      <c r="B336" s="232" t="s">
        <v>1031</v>
      </c>
      <c r="C336" s="232">
        <v>529.0</v>
      </c>
      <c r="D336" s="232">
        <v>402.04</v>
      </c>
      <c r="E336" s="232">
        <v>0.76</v>
      </c>
      <c r="F336" t="s">
        <v>7702</v>
      </c>
      <c r="G336" t="s">
        <v>330</v>
      </c>
      <c r="H336" t="s">
        <v>7725</v>
      </c>
      <c r="I336" t="s">
        <v>98</v>
      </c>
    </row>
    <row r="337">
      <c r="A337" t="s">
        <v>1034</v>
      </c>
      <c r="B337" s="232" t="s">
        <v>1033</v>
      </c>
      <c r="C337" s="232">
        <v>240.0</v>
      </c>
      <c r="D337" s="232">
        <v>187.49</v>
      </c>
      <c r="E337" s="232">
        <v>0.7812</v>
      </c>
      <c r="F337" t="s">
        <v>7702</v>
      </c>
      <c r="G337" t="s">
        <v>330</v>
      </c>
      <c r="H337" t="s">
        <v>7725</v>
      </c>
      <c r="I337" t="s">
        <v>98</v>
      </c>
    </row>
    <row r="338">
      <c r="A338" t="s">
        <v>1038</v>
      </c>
      <c r="B338" s="232" t="s">
        <v>1037</v>
      </c>
      <c r="C338" s="232">
        <v>3.0</v>
      </c>
      <c r="D338" s="232">
        <v>3.0</v>
      </c>
      <c r="E338" s="232">
        <v>1.0</v>
      </c>
      <c r="F338" t="s">
        <v>7702</v>
      </c>
      <c r="G338" t="s">
        <v>310</v>
      </c>
      <c r="H338" t="s">
        <v>7725</v>
      </c>
      <c r="I338" t="s">
        <v>7721</v>
      </c>
    </row>
    <row r="339">
      <c r="A339" t="s">
        <v>1048</v>
      </c>
      <c r="B339" s="232" t="s">
        <v>1047</v>
      </c>
      <c r="C339" s="232">
        <v>0.0</v>
      </c>
      <c r="D339" s="232">
        <v>0.0</v>
      </c>
      <c r="F339" t="s">
        <v>7702</v>
      </c>
      <c r="G339" t="s">
        <v>310</v>
      </c>
      <c r="H339" t="s">
        <v>7725</v>
      </c>
      <c r="I339" t="s">
        <v>7721</v>
      </c>
    </row>
    <row r="340">
      <c r="A340" t="s">
        <v>1062</v>
      </c>
      <c r="B340" s="232" t="s">
        <v>1061</v>
      </c>
      <c r="C340" s="232">
        <v>0.0</v>
      </c>
      <c r="D340" s="232">
        <v>0.0</v>
      </c>
      <c r="F340" t="s">
        <v>7702</v>
      </c>
      <c r="G340" t="s">
        <v>330</v>
      </c>
      <c r="H340" t="s">
        <v>7725</v>
      </c>
      <c r="I340" t="s">
        <v>7735</v>
      </c>
    </row>
    <row r="341">
      <c r="A341" t="s">
        <v>1064</v>
      </c>
      <c r="B341" s="232" t="s">
        <v>1063</v>
      </c>
      <c r="C341" s="232">
        <v>66.0</v>
      </c>
      <c r="D341" s="232">
        <v>53.89</v>
      </c>
      <c r="E341" s="232">
        <v>0.8165</v>
      </c>
      <c r="F341" t="s">
        <v>7702</v>
      </c>
      <c r="G341" t="s">
        <v>330</v>
      </c>
      <c r="H341" t="s">
        <v>7725</v>
      </c>
      <c r="I341" t="s">
        <v>7736</v>
      </c>
    </row>
    <row r="342">
      <c r="A342" t="s">
        <v>1066</v>
      </c>
      <c r="B342" s="232" t="s">
        <v>1065</v>
      </c>
      <c r="C342" s="232">
        <v>54.0</v>
      </c>
      <c r="D342" s="232">
        <v>44.08</v>
      </c>
      <c r="E342" s="232">
        <v>0.8163</v>
      </c>
      <c r="F342" t="s">
        <v>7702</v>
      </c>
      <c r="G342" t="s">
        <v>330</v>
      </c>
      <c r="H342" t="s">
        <v>7725</v>
      </c>
      <c r="I342" t="s">
        <v>7736</v>
      </c>
    </row>
    <row r="343">
      <c r="A343" t="s">
        <v>1068</v>
      </c>
      <c r="B343" s="232" t="s">
        <v>1067</v>
      </c>
      <c r="C343" s="232">
        <v>132.0</v>
      </c>
      <c r="D343" s="232">
        <v>107.91</v>
      </c>
      <c r="E343" s="232">
        <v>0.8175</v>
      </c>
      <c r="F343" t="s">
        <v>7702</v>
      </c>
      <c r="G343" t="s">
        <v>330</v>
      </c>
      <c r="H343" t="s">
        <v>7725</v>
      </c>
      <c r="I343" t="s">
        <v>7736</v>
      </c>
    </row>
    <row r="344">
      <c r="A344" t="s">
        <v>1070</v>
      </c>
      <c r="B344" s="232" t="s">
        <v>1069</v>
      </c>
      <c r="C344" s="232">
        <v>135.0</v>
      </c>
      <c r="D344" s="232">
        <v>110.45</v>
      </c>
      <c r="E344" s="232">
        <v>0.8181</v>
      </c>
      <c r="F344" t="s">
        <v>7702</v>
      </c>
      <c r="G344" t="s">
        <v>330</v>
      </c>
      <c r="H344" t="s">
        <v>7725</v>
      </c>
      <c r="I344" t="s">
        <v>7736</v>
      </c>
    </row>
    <row r="345">
      <c r="A345" t="s">
        <v>1072</v>
      </c>
      <c r="B345" s="232" t="s">
        <v>1071</v>
      </c>
      <c r="C345" s="232">
        <v>180.0</v>
      </c>
      <c r="D345" s="232">
        <v>147.09</v>
      </c>
      <c r="E345" s="232">
        <v>0.8172</v>
      </c>
      <c r="F345" t="s">
        <v>7702</v>
      </c>
      <c r="G345" t="s">
        <v>330</v>
      </c>
      <c r="H345" t="s">
        <v>7725</v>
      </c>
      <c r="I345" t="s">
        <v>7736</v>
      </c>
    </row>
    <row r="346">
      <c r="A346" t="s">
        <v>1074</v>
      </c>
      <c r="B346" s="232" t="s">
        <v>1073</v>
      </c>
      <c r="C346" s="232">
        <v>35.0</v>
      </c>
      <c r="D346" s="232">
        <v>28.58</v>
      </c>
      <c r="E346" s="232">
        <v>0.8166</v>
      </c>
      <c r="F346" t="s">
        <v>7702</v>
      </c>
      <c r="G346" t="s">
        <v>330</v>
      </c>
      <c r="H346" t="s">
        <v>7725</v>
      </c>
      <c r="I346" t="s">
        <v>7736</v>
      </c>
    </row>
    <row r="347">
      <c r="A347" t="s">
        <v>1076</v>
      </c>
      <c r="B347" s="232" t="s">
        <v>1075</v>
      </c>
      <c r="C347" s="232">
        <v>120.0</v>
      </c>
      <c r="D347" s="232">
        <v>98.15</v>
      </c>
      <c r="E347" s="232">
        <v>0.8179</v>
      </c>
      <c r="F347" t="s">
        <v>7702</v>
      </c>
      <c r="G347" t="s">
        <v>330</v>
      </c>
      <c r="H347" t="s">
        <v>7725</v>
      </c>
      <c r="I347" t="s">
        <v>7735</v>
      </c>
    </row>
    <row r="348">
      <c r="A348" t="s">
        <v>1078</v>
      </c>
      <c r="B348" s="232" t="s">
        <v>1077</v>
      </c>
      <c r="C348" s="232">
        <v>78.0</v>
      </c>
      <c r="D348" s="232">
        <v>63.72</v>
      </c>
      <c r="E348" s="232">
        <v>0.8169</v>
      </c>
      <c r="F348" t="s">
        <v>7702</v>
      </c>
      <c r="G348" t="s">
        <v>330</v>
      </c>
      <c r="H348" t="s">
        <v>7725</v>
      </c>
      <c r="I348" t="s">
        <v>7735</v>
      </c>
    </row>
    <row r="349">
      <c r="A349" t="s">
        <v>1080</v>
      </c>
      <c r="B349" s="232" t="s">
        <v>1079</v>
      </c>
      <c r="C349" s="232">
        <v>18.0</v>
      </c>
      <c r="D349" s="232">
        <v>14.63</v>
      </c>
      <c r="E349" s="232">
        <v>0.8128</v>
      </c>
      <c r="F349" t="s">
        <v>7702</v>
      </c>
      <c r="G349" t="s">
        <v>330</v>
      </c>
      <c r="H349" t="s">
        <v>7725</v>
      </c>
      <c r="I349" t="s">
        <v>7735</v>
      </c>
    </row>
    <row r="350">
      <c r="A350" t="s">
        <v>1082</v>
      </c>
      <c r="B350" s="232" t="s">
        <v>1081</v>
      </c>
      <c r="C350" s="232">
        <v>120.0</v>
      </c>
      <c r="D350" s="232">
        <v>98.19</v>
      </c>
      <c r="E350" s="232">
        <v>0.8183</v>
      </c>
      <c r="F350" t="s">
        <v>7702</v>
      </c>
      <c r="G350" t="s">
        <v>330</v>
      </c>
      <c r="H350" t="s">
        <v>7725</v>
      </c>
      <c r="I350" t="s">
        <v>7737</v>
      </c>
    </row>
    <row r="351">
      <c r="A351" t="s">
        <v>1084</v>
      </c>
      <c r="B351" s="232" t="s">
        <v>1083</v>
      </c>
      <c r="C351" s="232">
        <v>54.0</v>
      </c>
      <c r="D351" s="232">
        <v>44.18</v>
      </c>
      <c r="E351" s="232">
        <v>0.8181</v>
      </c>
      <c r="F351" t="s">
        <v>7702</v>
      </c>
      <c r="G351" t="s">
        <v>330</v>
      </c>
      <c r="H351" t="s">
        <v>7725</v>
      </c>
      <c r="I351" t="s">
        <v>7737</v>
      </c>
    </row>
    <row r="352">
      <c r="A352" t="s">
        <v>1086</v>
      </c>
      <c r="B352" s="232" t="s">
        <v>1085</v>
      </c>
      <c r="C352" s="232">
        <v>214.0</v>
      </c>
      <c r="D352" s="232">
        <v>175.01</v>
      </c>
      <c r="E352" s="232">
        <v>0.8178</v>
      </c>
      <c r="F352" t="s">
        <v>7702</v>
      </c>
      <c r="G352" t="s">
        <v>330</v>
      </c>
      <c r="H352" t="s">
        <v>7725</v>
      </c>
      <c r="I352" t="s">
        <v>7737</v>
      </c>
    </row>
    <row r="353">
      <c r="A353" t="s">
        <v>1088</v>
      </c>
      <c r="B353" s="232" t="s">
        <v>1087</v>
      </c>
      <c r="C353" s="232">
        <v>228.0</v>
      </c>
      <c r="D353" s="232">
        <v>186.35</v>
      </c>
      <c r="E353" s="232">
        <v>0.8173</v>
      </c>
      <c r="F353" t="s">
        <v>7702</v>
      </c>
      <c r="G353" t="s">
        <v>330</v>
      </c>
      <c r="H353" t="s">
        <v>7725</v>
      </c>
      <c r="I353" t="s">
        <v>7737</v>
      </c>
    </row>
    <row r="354">
      <c r="A354" t="s">
        <v>1090</v>
      </c>
      <c r="B354" s="232" t="s">
        <v>1089</v>
      </c>
      <c r="C354" s="232">
        <v>264.0</v>
      </c>
      <c r="D354" s="232">
        <v>215.9</v>
      </c>
      <c r="E354" s="232">
        <v>0.8178</v>
      </c>
      <c r="F354" t="s">
        <v>7702</v>
      </c>
      <c r="G354" t="s">
        <v>330</v>
      </c>
      <c r="H354" t="s">
        <v>7725</v>
      </c>
      <c r="I354" t="s">
        <v>7737</v>
      </c>
    </row>
    <row r="355">
      <c r="A355" t="s">
        <v>1092</v>
      </c>
      <c r="B355" s="232" t="s">
        <v>1091</v>
      </c>
      <c r="C355" s="232">
        <v>117.0</v>
      </c>
      <c r="D355" s="232">
        <v>95.72</v>
      </c>
      <c r="E355" s="232">
        <v>0.8181</v>
      </c>
      <c r="F355" t="s">
        <v>7702</v>
      </c>
      <c r="G355" t="s">
        <v>330</v>
      </c>
      <c r="H355" t="s">
        <v>7725</v>
      </c>
      <c r="I355" t="s">
        <v>7737</v>
      </c>
    </row>
    <row r="356">
      <c r="A356" t="s">
        <v>1094</v>
      </c>
      <c r="B356" s="232" t="s">
        <v>1093</v>
      </c>
      <c r="C356" s="232">
        <v>149.0</v>
      </c>
      <c r="D356" s="232">
        <v>121.91</v>
      </c>
      <c r="E356" s="232">
        <v>0.8182</v>
      </c>
      <c r="F356" t="s">
        <v>7702</v>
      </c>
      <c r="G356" t="s">
        <v>330</v>
      </c>
      <c r="H356" t="s">
        <v>7725</v>
      </c>
      <c r="I356" t="s">
        <v>7735</v>
      </c>
    </row>
    <row r="357">
      <c r="A357" t="s">
        <v>1102</v>
      </c>
      <c r="B357" s="232" t="s">
        <v>1101</v>
      </c>
      <c r="C357" s="232">
        <v>159.0</v>
      </c>
      <c r="D357" s="232">
        <v>129.97</v>
      </c>
      <c r="E357" s="232">
        <v>0.8174</v>
      </c>
      <c r="F357" t="s">
        <v>7702</v>
      </c>
      <c r="G357" t="s">
        <v>330</v>
      </c>
      <c r="H357" t="s">
        <v>7725</v>
      </c>
      <c r="I357" t="s">
        <v>7738</v>
      </c>
    </row>
    <row r="358">
      <c r="A358" t="s">
        <v>1104</v>
      </c>
      <c r="B358" s="232" t="s">
        <v>1103</v>
      </c>
      <c r="C358" s="232">
        <v>57.0</v>
      </c>
      <c r="D358" s="232">
        <v>46.56</v>
      </c>
      <c r="E358" s="232">
        <v>0.8168</v>
      </c>
      <c r="F358" t="s">
        <v>7702</v>
      </c>
      <c r="G358" t="s">
        <v>330</v>
      </c>
      <c r="H358" t="s">
        <v>7725</v>
      </c>
      <c r="I358" t="s">
        <v>7738</v>
      </c>
    </row>
    <row r="359">
      <c r="A359" t="s">
        <v>1108</v>
      </c>
      <c r="B359" s="232" t="s">
        <v>1107</v>
      </c>
      <c r="C359" s="232">
        <v>144.0</v>
      </c>
      <c r="D359" s="232">
        <v>117.74</v>
      </c>
      <c r="E359" s="232">
        <v>0.8176</v>
      </c>
      <c r="F359" t="s">
        <v>7702</v>
      </c>
      <c r="G359" t="s">
        <v>330</v>
      </c>
      <c r="H359" t="s">
        <v>7725</v>
      </c>
      <c r="I359" t="s">
        <v>7738</v>
      </c>
    </row>
    <row r="360">
      <c r="A360" t="s">
        <v>1120</v>
      </c>
      <c r="B360" s="232" t="s">
        <v>1119</v>
      </c>
      <c r="C360" s="232">
        <v>173.0</v>
      </c>
      <c r="D360" s="232">
        <v>141.47</v>
      </c>
      <c r="E360" s="232">
        <v>0.8177</v>
      </c>
      <c r="F360" t="s">
        <v>7702</v>
      </c>
      <c r="G360" t="s">
        <v>330</v>
      </c>
      <c r="H360" t="s">
        <v>7725</v>
      </c>
      <c r="I360" t="s">
        <v>7738</v>
      </c>
    </row>
    <row r="361">
      <c r="A361" t="s">
        <v>1122</v>
      </c>
      <c r="B361" s="232" t="s">
        <v>1121</v>
      </c>
      <c r="C361" s="232">
        <v>66.0</v>
      </c>
      <c r="D361" s="232">
        <v>53.96</v>
      </c>
      <c r="E361" s="232">
        <v>0.8176</v>
      </c>
      <c r="F361" t="s">
        <v>7702</v>
      </c>
      <c r="G361" t="s">
        <v>330</v>
      </c>
      <c r="H361" t="s">
        <v>7725</v>
      </c>
      <c r="I361" t="s">
        <v>7738</v>
      </c>
    </row>
    <row r="362">
      <c r="A362" t="s">
        <v>1124</v>
      </c>
      <c r="B362" s="232" t="s">
        <v>1123</v>
      </c>
      <c r="C362" s="232">
        <v>9.0</v>
      </c>
      <c r="D362" s="232">
        <v>7.29</v>
      </c>
      <c r="E362" s="232">
        <v>0.81</v>
      </c>
      <c r="F362" t="s">
        <v>7702</v>
      </c>
      <c r="G362" t="s">
        <v>330</v>
      </c>
      <c r="H362" t="s">
        <v>7725</v>
      </c>
      <c r="I362" t="s">
        <v>7738</v>
      </c>
    </row>
    <row r="363">
      <c r="A363" t="s">
        <v>1130</v>
      </c>
      <c r="B363" s="232" t="s">
        <v>1129</v>
      </c>
      <c r="C363" s="232">
        <v>97.0</v>
      </c>
      <c r="D363" s="232">
        <v>79.34</v>
      </c>
      <c r="E363" s="232">
        <v>0.8179</v>
      </c>
      <c r="F363" t="s">
        <v>7702</v>
      </c>
      <c r="G363" t="s">
        <v>330</v>
      </c>
      <c r="H363" t="s">
        <v>7725</v>
      </c>
      <c r="I363" t="s">
        <v>7735</v>
      </c>
    </row>
    <row r="364">
      <c r="A364" t="s">
        <v>1132</v>
      </c>
      <c r="B364" s="232" t="s">
        <v>1131</v>
      </c>
      <c r="C364" s="232">
        <v>1.0</v>
      </c>
      <c r="D364" s="232">
        <v>152.48</v>
      </c>
      <c r="E364" s="232">
        <v>152.48</v>
      </c>
      <c r="F364" t="s">
        <v>7711</v>
      </c>
      <c r="G364" t="s">
        <v>330</v>
      </c>
      <c r="H364" t="s">
        <v>7725</v>
      </c>
      <c r="I364" t="s">
        <v>7720</v>
      </c>
    </row>
    <row r="365">
      <c r="A365" t="s">
        <v>1134</v>
      </c>
      <c r="B365" s="232" t="s">
        <v>1133</v>
      </c>
      <c r="C365" s="232">
        <v>57.0</v>
      </c>
      <c r="D365" s="232">
        <v>64.41</v>
      </c>
      <c r="E365" s="232">
        <v>1.13</v>
      </c>
      <c r="F365" t="s">
        <v>7702</v>
      </c>
      <c r="G365" t="s">
        <v>330</v>
      </c>
      <c r="I365" t="s">
        <v>7714</v>
      </c>
    </row>
    <row r="366">
      <c r="A366" t="s">
        <v>1136</v>
      </c>
      <c r="B366" s="232" t="s">
        <v>1135</v>
      </c>
      <c r="C366" s="232">
        <v>6.0</v>
      </c>
      <c r="D366" s="232">
        <v>4.2</v>
      </c>
      <c r="E366" s="232">
        <v>0.7</v>
      </c>
      <c r="F366" t="s">
        <v>7702</v>
      </c>
      <c r="G366" t="s">
        <v>330</v>
      </c>
      <c r="H366" t="s">
        <v>7725</v>
      </c>
      <c r="I366" t="s">
        <v>7739</v>
      </c>
    </row>
    <row r="367">
      <c r="A367" t="s">
        <v>1140</v>
      </c>
      <c r="B367" s="232" t="s">
        <v>1139</v>
      </c>
      <c r="C367" s="232">
        <v>4.0</v>
      </c>
      <c r="D367" s="232">
        <v>2.36</v>
      </c>
      <c r="E367" s="232">
        <v>0.59</v>
      </c>
      <c r="F367" t="s">
        <v>7702</v>
      </c>
      <c r="G367" t="s">
        <v>330</v>
      </c>
      <c r="H367" t="s">
        <v>7725</v>
      </c>
      <c r="I367" t="s">
        <v>7739</v>
      </c>
    </row>
    <row r="368">
      <c r="A368" t="s">
        <v>1142</v>
      </c>
      <c r="B368" s="232" t="s">
        <v>1141</v>
      </c>
      <c r="C368" s="232">
        <v>180.0</v>
      </c>
      <c r="D368" s="232">
        <v>106.2</v>
      </c>
      <c r="E368" s="232">
        <v>0.59</v>
      </c>
      <c r="F368" t="s">
        <v>7702</v>
      </c>
      <c r="G368" t="s">
        <v>330</v>
      </c>
      <c r="H368" t="s">
        <v>7725</v>
      </c>
      <c r="I368" t="s">
        <v>7739</v>
      </c>
    </row>
    <row r="369">
      <c r="A369" t="s">
        <v>1144</v>
      </c>
      <c r="B369" s="232" t="s">
        <v>1143</v>
      </c>
      <c r="C369" s="232">
        <v>78.0</v>
      </c>
      <c r="D369" s="232">
        <v>31.2</v>
      </c>
      <c r="E369" s="232">
        <v>0.4</v>
      </c>
      <c r="F369" t="s">
        <v>7702</v>
      </c>
      <c r="G369" t="s">
        <v>330</v>
      </c>
      <c r="H369" t="s">
        <v>7725</v>
      </c>
      <c r="I369" t="s">
        <v>7739</v>
      </c>
    </row>
    <row r="370">
      <c r="A370" t="s">
        <v>1146</v>
      </c>
      <c r="B370" s="232" t="s">
        <v>1145</v>
      </c>
      <c r="C370" s="232">
        <v>5.0</v>
      </c>
      <c r="D370" s="232">
        <v>3.2</v>
      </c>
      <c r="E370" s="232">
        <v>0.64</v>
      </c>
      <c r="F370" t="s">
        <v>7702</v>
      </c>
      <c r="G370" t="s">
        <v>330</v>
      </c>
      <c r="H370" t="s">
        <v>7725</v>
      </c>
      <c r="I370" t="s">
        <v>7739</v>
      </c>
    </row>
    <row r="371">
      <c r="A371" t="s">
        <v>1148</v>
      </c>
      <c r="B371" s="232" t="s">
        <v>1147</v>
      </c>
      <c r="C371" s="232">
        <v>192.0</v>
      </c>
      <c r="D371" s="232">
        <v>113.28</v>
      </c>
      <c r="E371" s="232">
        <v>0.59</v>
      </c>
      <c r="F371" t="s">
        <v>7702</v>
      </c>
      <c r="G371" t="s">
        <v>330</v>
      </c>
      <c r="H371" t="s">
        <v>7725</v>
      </c>
      <c r="I371" t="s">
        <v>7739</v>
      </c>
    </row>
    <row r="372">
      <c r="A372" t="s">
        <v>1150</v>
      </c>
      <c r="B372" s="232" t="s">
        <v>1149</v>
      </c>
      <c r="C372" s="232">
        <v>6.0</v>
      </c>
      <c r="D372" s="232">
        <v>4.02</v>
      </c>
      <c r="E372" s="232">
        <v>0.67</v>
      </c>
      <c r="F372" t="s">
        <v>7702</v>
      </c>
      <c r="G372" t="s">
        <v>330</v>
      </c>
      <c r="H372" t="s">
        <v>7725</v>
      </c>
      <c r="I372" t="s">
        <v>7739</v>
      </c>
    </row>
    <row r="373">
      <c r="A373" t="s">
        <v>1154</v>
      </c>
      <c r="B373" s="232" t="s">
        <v>1153</v>
      </c>
      <c r="C373" s="232">
        <v>30.0</v>
      </c>
      <c r="D373" s="232">
        <v>21.0</v>
      </c>
      <c r="E373" s="232">
        <v>0.7</v>
      </c>
      <c r="F373" t="s">
        <v>7702</v>
      </c>
      <c r="G373" t="s">
        <v>330</v>
      </c>
      <c r="H373" t="s">
        <v>7725</v>
      </c>
      <c r="I373" t="s">
        <v>7739</v>
      </c>
    </row>
    <row r="374">
      <c r="A374" t="s">
        <v>1156</v>
      </c>
      <c r="B374" s="232" t="s">
        <v>1155</v>
      </c>
      <c r="C374" s="232">
        <v>78.0</v>
      </c>
      <c r="D374" s="232">
        <v>52.26</v>
      </c>
      <c r="E374" s="232">
        <v>0.67</v>
      </c>
      <c r="F374" t="s">
        <v>7702</v>
      </c>
      <c r="G374" t="s">
        <v>330</v>
      </c>
      <c r="H374" t="s">
        <v>7725</v>
      </c>
      <c r="I374" t="s">
        <v>7739</v>
      </c>
    </row>
    <row r="375">
      <c r="A375" t="s">
        <v>1164</v>
      </c>
      <c r="B375" s="232" t="s">
        <v>1163</v>
      </c>
      <c r="C375" s="232">
        <v>36.0</v>
      </c>
      <c r="D375" s="232">
        <v>19.44</v>
      </c>
      <c r="E375" s="232">
        <v>0.54</v>
      </c>
      <c r="F375" t="s">
        <v>7702</v>
      </c>
      <c r="G375" t="s">
        <v>330</v>
      </c>
      <c r="H375" t="s">
        <v>7725</v>
      </c>
      <c r="I375" t="s">
        <v>7739</v>
      </c>
    </row>
    <row r="376">
      <c r="A376" t="s">
        <v>1166</v>
      </c>
      <c r="B376" s="232" t="s">
        <v>1165</v>
      </c>
      <c r="C376" s="232">
        <v>22.0</v>
      </c>
      <c r="D376" s="232">
        <v>17.38</v>
      </c>
      <c r="E376" s="232">
        <v>0.79</v>
      </c>
      <c r="F376" t="s">
        <v>7702</v>
      </c>
      <c r="G376" t="s">
        <v>330</v>
      </c>
      <c r="H376" t="s">
        <v>7725</v>
      </c>
      <c r="I376" t="s">
        <v>7739</v>
      </c>
    </row>
    <row r="377">
      <c r="A377" t="s">
        <v>1168</v>
      </c>
      <c r="B377" s="232" t="s">
        <v>1167</v>
      </c>
      <c r="C377" s="232">
        <v>12.0</v>
      </c>
      <c r="D377" s="232">
        <v>7.08</v>
      </c>
      <c r="E377" s="232">
        <v>0.59</v>
      </c>
      <c r="F377" t="s">
        <v>7702</v>
      </c>
      <c r="G377" t="s">
        <v>330</v>
      </c>
      <c r="H377" t="s">
        <v>7725</v>
      </c>
      <c r="I377" t="s">
        <v>7739</v>
      </c>
    </row>
    <row r="378">
      <c r="A378" t="s">
        <v>1170</v>
      </c>
      <c r="B378" s="232" t="s">
        <v>1169</v>
      </c>
      <c r="C378" s="232">
        <v>216.0</v>
      </c>
      <c r="D378" s="232">
        <v>110.16</v>
      </c>
      <c r="E378" s="232">
        <v>0.51</v>
      </c>
      <c r="F378" t="s">
        <v>7702</v>
      </c>
      <c r="G378" t="s">
        <v>330</v>
      </c>
      <c r="H378" t="s">
        <v>7725</v>
      </c>
      <c r="I378" t="s">
        <v>7739</v>
      </c>
    </row>
    <row r="379">
      <c r="A379" t="s">
        <v>1172</v>
      </c>
      <c r="B379" s="232" t="s">
        <v>1171</v>
      </c>
      <c r="C379" s="232">
        <v>144.0</v>
      </c>
      <c r="D379" s="232">
        <v>96.48</v>
      </c>
      <c r="E379" s="232">
        <v>0.67</v>
      </c>
      <c r="F379" t="s">
        <v>7702</v>
      </c>
      <c r="G379" t="s">
        <v>330</v>
      </c>
      <c r="H379" t="s">
        <v>7725</v>
      </c>
      <c r="I379" t="s">
        <v>7739</v>
      </c>
    </row>
    <row r="380">
      <c r="A380" t="s">
        <v>1174</v>
      </c>
      <c r="B380" s="232" t="s">
        <v>1173</v>
      </c>
      <c r="C380" s="232">
        <v>312.0</v>
      </c>
      <c r="D380" s="232">
        <v>118.56</v>
      </c>
      <c r="E380" s="232">
        <v>0.38</v>
      </c>
      <c r="F380" t="s">
        <v>7702</v>
      </c>
      <c r="G380" t="s">
        <v>330</v>
      </c>
      <c r="H380" t="s">
        <v>7725</v>
      </c>
      <c r="I380" t="s">
        <v>7739</v>
      </c>
    </row>
    <row r="381">
      <c r="A381" t="s">
        <v>1176</v>
      </c>
      <c r="B381" s="232" t="s">
        <v>1175</v>
      </c>
      <c r="C381" s="232">
        <v>222.0</v>
      </c>
      <c r="D381" s="232">
        <v>130.98</v>
      </c>
      <c r="E381" s="232">
        <v>0.59</v>
      </c>
      <c r="F381" t="s">
        <v>7702</v>
      </c>
      <c r="G381" t="s">
        <v>330</v>
      </c>
      <c r="H381" t="s">
        <v>7725</v>
      </c>
      <c r="I381" t="s">
        <v>7739</v>
      </c>
    </row>
    <row r="382">
      <c r="A382" t="s">
        <v>1178</v>
      </c>
      <c r="B382" s="232" t="s">
        <v>1177</v>
      </c>
      <c r="C382" s="232">
        <v>96.0</v>
      </c>
      <c r="D382" s="232">
        <v>56.64</v>
      </c>
      <c r="E382" s="232">
        <v>0.59</v>
      </c>
      <c r="F382" t="s">
        <v>7702</v>
      </c>
      <c r="G382" t="s">
        <v>330</v>
      </c>
      <c r="H382" t="s">
        <v>7725</v>
      </c>
      <c r="I382" t="s">
        <v>7739</v>
      </c>
    </row>
    <row r="383">
      <c r="A383" t="s">
        <v>1180</v>
      </c>
      <c r="B383" s="232" t="s">
        <v>1179</v>
      </c>
      <c r="C383" s="232">
        <v>22.0</v>
      </c>
      <c r="D383" s="232">
        <v>17.38</v>
      </c>
      <c r="E383" s="232">
        <v>0.79</v>
      </c>
      <c r="F383" t="s">
        <v>7702</v>
      </c>
      <c r="G383" t="s">
        <v>330</v>
      </c>
      <c r="H383" t="s">
        <v>7725</v>
      </c>
      <c r="I383" t="s">
        <v>7739</v>
      </c>
    </row>
    <row r="384">
      <c r="A384" t="s">
        <v>1182</v>
      </c>
      <c r="B384" s="232" t="s">
        <v>1181</v>
      </c>
      <c r="C384" s="232">
        <v>192.0</v>
      </c>
      <c r="D384" s="232">
        <v>151.68</v>
      </c>
      <c r="E384" s="232">
        <v>0.79</v>
      </c>
      <c r="F384" t="s">
        <v>7702</v>
      </c>
      <c r="G384" t="s">
        <v>330</v>
      </c>
      <c r="H384" t="s">
        <v>7725</v>
      </c>
      <c r="I384" t="s">
        <v>7739</v>
      </c>
    </row>
    <row r="385">
      <c r="A385" t="s">
        <v>1184</v>
      </c>
      <c r="B385" s="232" t="s">
        <v>1183</v>
      </c>
      <c r="C385" s="232">
        <v>168.0</v>
      </c>
      <c r="D385" s="232">
        <v>132.72</v>
      </c>
      <c r="E385" s="232">
        <v>0.79</v>
      </c>
      <c r="F385" t="s">
        <v>7702</v>
      </c>
      <c r="G385" t="s">
        <v>330</v>
      </c>
      <c r="H385" t="s">
        <v>7725</v>
      </c>
      <c r="I385" t="s">
        <v>7739</v>
      </c>
    </row>
    <row r="386">
      <c r="A386" t="s">
        <v>1186</v>
      </c>
      <c r="B386" s="232" t="s">
        <v>1185</v>
      </c>
      <c r="C386" s="232">
        <v>156.0</v>
      </c>
      <c r="D386" s="232">
        <v>92.04</v>
      </c>
      <c r="E386" s="232">
        <v>0.59</v>
      </c>
      <c r="F386" t="s">
        <v>7702</v>
      </c>
      <c r="G386" t="s">
        <v>330</v>
      </c>
      <c r="H386" t="s">
        <v>7725</v>
      </c>
      <c r="I386" t="s">
        <v>7739</v>
      </c>
    </row>
    <row r="387">
      <c r="A387" t="s">
        <v>1188</v>
      </c>
      <c r="B387" s="232" t="s">
        <v>1187</v>
      </c>
      <c r="C387" s="232">
        <v>83.0</v>
      </c>
      <c r="D387" s="232">
        <v>65.57</v>
      </c>
      <c r="E387" s="232">
        <v>0.79</v>
      </c>
      <c r="F387" t="s">
        <v>7702</v>
      </c>
      <c r="G387" t="s">
        <v>330</v>
      </c>
      <c r="H387" t="s">
        <v>7725</v>
      </c>
      <c r="I387" t="s">
        <v>7739</v>
      </c>
    </row>
    <row r="388">
      <c r="A388" t="s">
        <v>1190</v>
      </c>
      <c r="B388" s="232" t="s">
        <v>1189</v>
      </c>
      <c r="C388" s="232">
        <v>72.0</v>
      </c>
      <c r="D388" s="232">
        <v>42.48</v>
      </c>
      <c r="E388" s="232">
        <v>0.59</v>
      </c>
      <c r="F388" t="s">
        <v>7702</v>
      </c>
      <c r="G388" t="s">
        <v>330</v>
      </c>
      <c r="H388" t="s">
        <v>7725</v>
      </c>
      <c r="I388" t="s">
        <v>7739</v>
      </c>
    </row>
    <row r="389">
      <c r="A389" t="s">
        <v>1192</v>
      </c>
      <c r="B389" s="232" t="s">
        <v>1191</v>
      </c>
      <c r="C389" s="232">
        <v>270.0</v>
      </c>
      <c r="D389" s="232">
        <v>159.3</v>
      </c>
      <c r="E389" s="232">
        <v>0.59</v>
      </c>
      <c r="F389" t="s">
        <v>7702</v>
      </c>
      <c r="G389" t="s">
        <v>330</v>
      </c>
      <c r="H389" t="s">
        <v>7725</v>
      </c>
      <c r="I389" t="s">
        <v>7739</v>
      </c>
    </row>
    <row r="390">
      <c r="A390" t="s">
        <v>1194</v>
      </c>
      <c r="B390" s="232" t="s">
        <v>1193</v>
      </c>
      <c r="C390" s="232">
        <v>120.0</v>
      </c>
      <c r="D390" s="232">
        <v>70.8</v>
      </c>
      <c r="E390" s="232">
        <v>0.59</v>
      </c>
      <c r="F390" t="s">
        <v>7702</v>
      </c>
      <c r="G390" t="s">
        <v>330</v>
      </c>
      <c r="H390" t="s">
        <v>7725</v>
      </c>
      <c r="I390" t="s">
        <v>7739</v>
      </c>
    </row>
    <row r="391">
      <c r="A391" t="s">
        <v>1196</v>
      </c>
      <c r="B391" s="232" t="s">
        <v>1195</v>
      </c>
      <c r="C391" s="232">
        <v>24.0</v>
      </c>
      <c r="D391" s="232">
        <v>16.8</v>
      </c>
      <c r="E391" s="232">
        <v>0.7</v>
      </c>
      <c r="F391" t="s">
        <v>7702</v>
      </c>
      <c r="G391" t="s">
        <v>330</v>
      </c>
      <c r="H391" t="s">
        <v>7725</v>
      </c>
      <c r="I391" t="s">
        <v>7739</v>
      </c>
    </row>
    <row r="392">
      <c r="A392" t="s">
        <v>1198</v>
      </c>
      <c r="B392" s="232" t="s">
        <v>1197</v>
      </c>
      <c r="C392" s="232">
        <v>240.0</v>
      </c>
      <c r="D392" s="232">
        <v>115.2</v>
      </c>
      <c r="E392" s="232">
        <v>0.48</v>
      </c>
      <c r="F392" t="s">
        <v>7702</v>
      </c>
      <c r="G392" t="s">
        <v>330</v>
      </c>
      <c r="H392" t="s">
        <v>7725</v>
      </c>
      <c r="I392" t="s">
        <v>7739</v>
      </c>
    </row>
    <row r="393">
      <c r="A393" t="s">
        <v>1200</v>
      </c>
      <c r="B393" s="232" t="s">
        <v>1199</v>
      </c>
      <c r="C393" s="232">
        <v>276.0</v>
      </c>
      <c r="D393" s="232">
        <v>184.92</v>
      </c>
      <c r="E393" s="232">
        <v>0.67</v>
      </c>
      <c r="F393" t="s">
        <v>7702</v>
      </c>
      <c r="G393" t="s">
        <v>330</v>
      </c>
      <c r="H393" t="s">
        <v>7725</v>
      </c>
      <c r="I393" t="s">
        <v>7739</v>
      </c>
    </row>
    <row r="394">
      <c r="A394" t="s">
        <v>1202</v>
      </c>
      <c r="B394" s="232" t="s">
        <v>1201</v>
      </c>
      <c r="C394" s="232">
        <v>107.0</v>
      </c>
      <c r="D394" s="232">
        <v>54.57</v>
      </c>
      <c r="E394" s="232">
        <v>0.51</v>
      </c>
      <c r="F394" t="s">
        <v>7702</v>
      </c>
      <c r="G394" t="s">
        <v>330</v>
      </c>
      <c r="H394" t="s">
        <v>7725</v>
      </c>
      <c r="I394" t="s">
        <v>7739</v>
      </c>
    </row>
    <row r="395">
      <c r="A395" t="s">
        <v>1204</v>
      </c>
      <c r="B395" s="232" t="s">
        <v>1203</v>
      </c>
      <c r="C395" s="232">
        <v>0.0</v>
      </c>
      <c r="D395" s="232">
        <v>0.0</v>
      </c>
      <c r="F395" t="s">
        <v>7702</v>
      </c>
      <c r="G395" t="s">
        <v>330</v>
      </c>
      <c r="H395" t="s">
        <v>7725</v>
      </c>
      <c r="I395" t="s">
        <v>7739</v>
      </c>
    </row>
    <row r="396">
      <c r="A396" t="s">
        <v>1210</v>
      </c>
      <c r="B396" s="232" t="s">
        <v>1209</v>
      </c>
      <c r="C396" s="232">
        <v>2.0</v>
      </c>
      <c r="D396" s="232">
        <v>279.09</v>
      </c>
      <c r="E396" s="232">
        <v>139.545</v>
      </c>
      <c r="F396" t="s">
        <v>7711</v>
      </c>
      <c r="G396" t="s">
        <v>330</v>
      </c>
      <c r="H396" t="s">
        <v>150</v>
      </c>
      <c r="I396" t="s">
        <v>7704</v>
      </c>
    </row>
    <row r="397">
      <c r="A397" t="s">
        <v>1212</v>
      </c>
      <c r="B397" s="232" t="s">
        <v>1211</v>
      </c>
      <c r="C397" s="232">
        <v>2.0</v>
      </c>
      <c r="D397" s="232">
        <v>433.45</v>
      </c>
      <c r="E397" s="232">
        <v>216.725</v>
      </c>
      <c r="F397" t="s">
        <v>7711</v>
      </c>
      <c r="G397" t="s">
        <v>330</v>
      </c>
      <c r="H397" t="s">
        <v>150</v>
      </c>
      <c r="I397" t="s">
        <v>7704</v>
      </c>
    </row>
    <row r="398">
      <c r="A398" t="s">
        <v>1214</v>
      </c>
      <c r="B398" s="232" t="s">
        <v>1213</v>
      </c>
      <c r="C398" s="232">
        <v>126.0</v>
      </c>
      <c r="D398" s="232">
        <v>364.85</v>
      </c>
      <c r="E398" s="232">
        <v>2.8956</v>
      </c>
      <c r="F398" t="s">
        <v>7702</v>
      </c>
      <c r="G398" t="s">
        <v>330</v>
      </c>
      <c r="H398" t="s">
        <v>150</v>
      </c>
      <c r="I398" t="s">
        <v>7704</v>
      </c>
    </row>
    <row r="399">
      <c r="A399" t="s">
        <v>1216</v>
      </c>
      <c r="B399" s="232" t="s">
        <v>1215</v>
      </c>
      <c r="C399" s="232">
        <v>89.0</v>
      </c>
      <c r="D399" s="232">
        <v>257.59</v>
      </c>
      <c r="E399" s="232">
        <v>2.8943</v>
      </c>
      <c r="F399" t="s">
        <v>7702</v>
      </c>
      <c r="G399" t="s">
        <v>330</v>
      </c>
      <c r="H399" t="s">
        <v>150</v>
      </c>
      <c r="I399" t="s">
        <v>7704</v>
      </c>
    </row>
    <row r="400">
      <c r="A400" t="s">
        <v>1218</v>
      </c>
      <c r="B400" s="232" t="s">
        <v>1217</v>
      </c>
      <c r="C400" s="232">
        <v>186.0</v>
      </c>
      <c r="D400" s="232">
        <v>594.2</v>
      </c>
      <c r="E400" s="232">
        <v>3.1946</v>
      </c>
      <c r="F400" t="s">
        <v>7702</v>
      </c>
      <c r="G400" t="s">
        <v>330</v>
      </c>
      <c r="H400" t="s">
        <v>150</v>
      </c>
      <c r="I400" t="s">
        <v>7704</v>
      </c>
    </row>
    <row r="401">
      <c r="A401" t="s">
        <v>1220</v>
      </c>
      <c r="B401" s="232" t="s">
        <v>1219</v>
      </c>
      <c r="C401" s="232">
        <v>1111.0</v>
      </c>
      <c r="D401" s="232">
        <v>3472.01</v>
      </c>
      <c r="E401" s="232">
        <v>3.1251</v>
      </c>
      <c r="F401" t="s">
        <v>7702</v>
      </c>
      <c r="G401" t="s">
        <v>330</v>
      </c>
      <c r="H401" t="s">
        <v>150</v>
      </c>
      <c r="I401" t="s">
        <v>7704</v>
      </c>
    </row>
    <row r="402">
      <c r="A402" t="s">
        <v>1222</v>
      </c>
      <c r="B402" s="232" t="s">
        <v>1221</v>
      </c>
      <c r="C402" s="232">
        <v>245.0</v>
      </c>
      <c r="D402" s="232">
        <v>782.51</v>
      </c>
      <c r="E402" s="232">
        <v>3.1939</v>
      </c>
      <c r="F402" t="s">
        <v>7702</v>
      </c>
      <c r="G402" t="s">
        <v>330</v>
      </c>
      <c r="H402" t="s">
        <v>150</v>
      </c>
      <c r="I402" t="s">
        <v>7704</v>
      </c>
    </row>
    <row r="403">
      <c r="A403" t="s">
        <v>1224</v>
      </c>
      <c r="B403" s="232" t="s">
        <v>1223</v>
      </c>
      <c r="C403" s="232">
        <v>62.0</v>
      </c>
      <c r="D403" s="232">
        <v>180.57</v>
      </c>
      <c r="E403" s="232">
        <v>2.9124</v>
      </c>
      <c r="F403" t="s">
        <v>7702</v>
      </c>
      <c r="G403" t="s">
        <v>330</v>
      </c>
      <c r="H403" t="s">
        <v>150</v>
      </c>
      <c r="I403" t="s">
        <v>7704</v>
      </c>
    </row>
    <row r="404">
      <c r="A404" t="s">
        <v>1226</v>
      </c>
      <c r="B404" s="232" t="s">
        <v>1225</v>
      </c>
      <c r="C404" s="232">
        <v>114.0</v>
      </c>
      <c r="D404" s="232">
        <v>376.99</v>
      </c>
      <c r="E404" s="232">
        <v>3.3069</v>
      </c>
      <c r="F404" t="s">
        <v>7702</v>
      </c>
      <c r="G404" t="s">
        <v>330</v>
      </c>
      <c r="H404" t="s">
        <v>150</v>
      </c>
      <c r="I404" t="s">
        <v>7704</v>
      </c>
    </row>
    <row r="405">
      <c r="A405" t="s">
        <v>1228</v>
      </c>
      <c r="B405" s="232" t="s">
        <v>1227</v>
      </c>
      <c r="C405" s="232">
        <v>144.0</v>
      </c>
      <c r="D405" s="232">
        <v>473.43</v>
      </c>
      <c r="E405" s="232">
        <v>3.2877</v>
      </c>
      <c r="F405" t="s">
        <v>7702</v>
      </c>
      <c r="G405" t="s">
        <v>330</v>
      </c>
      <c r="H405" t="s">
        <v>150</v>
      </c>
      <c r="I405" t="s">
        <v>7704</v>
      </c>
    </row>
    <row r="406">
      <c r="A406" t="s">
        <v>1230</v>
      </c>
      <c r="B406" s="232" t="s">
        <v>1229</v>
      </c>
      <c r="C406" s="232">
        <v>201.0</v>
      </c>
      <c r="D406" s="232">
        <v>728.34</v>
      </c>
      <c r="E406" s="232">
        <v>3.6236</v>
      </c>
      <c r="F406" t="s">
        <v>7702</v>
      </c>
      <c r="G406" t="s">
        <v>330</v>
      </c>
      <c r="H406" t="s">
        <v>150</v>
      </c>
      <c r="I406" t="s">
        <v>7704</v>
      </c>
    </row>
    <row r="407">
      <c r="A407" t="s">
        <v>1232</v>
      </c>
      <c r="B407" s="232" t="s">
        <v>1231</v>
      </c>
      <c r="C407" s="232">
        <v>292.0</v>
      </c>
      <c r="D407" s="232">
        <v>1058.01</v>
      </c>
      <c r="E407" s="232">
        <v>3.6233</v>
      </c>
      <c r="F407" t="s">
        <v>7702</v>
      </c>
      <c r="G407" t="s">
        <v>330</v>
      </c>
      <c r="H407" t="s">
        <v>150</v>
      </c>
      <c r="I407" t="s">
        <v>7704</v>
      </c>
    </row>
    <row r="408">
      <c r="A408" t="s">
        <v>1234</v>
      </c>
      <c r="B408" s="232" t="s">
        <v>1233</v>
      </c>
      <c r="C408" s="232">
        <v>221.0</v>
      </c>
      <c r="D408" s="232">
        <v>800.72</v>
      </c>
      <c r="E408" s="232">
        <v>3.6232</v>
      </c>
      <c r="F408" t="s">
        <v>7702</v>
      </c>
      <c r="G408" t="s">
        <v>330</v>
      </c>
      <c r="H408" t="s">
        <v>150</v>
      </c>
      <c r="I408" t="s">
        <v>7704</v>
      </c>
    </row>
    <row r="409">
      <c r="A409" t="s">
        <v>1236</v>
      </c>
      <c r="B409" s="232" t="s">
        <v>1235</v>
      </c>
      <c r="C409" s="232">
        <v>121.0</v>
      </c>
      <c r="D409" s="232">
        <v>397.5</v>
      </c>
      <c r="E409" s="232">
        <v>3.2851</v>
      </c>
      <c r="F409" t="s">
        <v>7702</v>
      </c>
      <c r="G409" t="s">
        <v>330</v>
      </c>
      <c r="H409" t="s">
        <v>150</v>
      </c>
      <c r="I409" t="s">
        <v>7704</v>
      </c>
    </row>
    <row r="410">
      <c r="A410" t="s">
        <v>1238</v>
      </c>
      <c r="B410" s="232" t="s">
        <v>1237</v>
      </c>
      <c r="C410" s="232">
        <v>150.0</v>
      </c>
      <c r="D410" s="232">
        <v>578.92</v>
      </c>
      <c r="E410" s="232">
        <v>3.8595</v>
      </c>
      <c r="F410" t="s">
        <v>7702</v>
      </c>
      <c r="G410" t="s">
        <v>330</v>
      </c>
      <c r="H410" t="s">
        <v>150</v>
      </c>
      <c r="I410" t="s">
        <v>7704</v>
      </c>
    </row>
    <row r="411">
      <c r="A411" t="s">
        <v>1240</v>
      </c>
      <c r="B411" s="232" t="s">
        <v>1239</v>
      </c>
      <c r="C411" s="232">
        <v>92.0</v>
      </c>
      <c r="D411" s="232">
        <v>354.99</v>
      </c>
      <c r="E411" s="232">
        <v>3.8586</v>
      </c>
      <c r="F411" t="s">
        <v>7702</v>
      </c>
      <c r="G411" t="s">
        <v>330</v>
      </c>
      <c r="H411" t="s">
        <v>150</v>
      </c>
      <c r="I411" t="s">
        <v>7704</v>
      </c>
    </row>
    <row r="412">
      <c r="A412" t="s">
        <v>1242</v>
      </c>
      <c r="B412" s="232" t="s">
        <v>1241</v>
      </c>
      <c r="C412" s="232">
        <v>182.0</v>
      </c>
      <c r="D412" s="232">
        <v>741.43</v>
      </c>
      <c r="E412" s="232">
        <v>4.0738</v>
      </c>
      <c r="F412" t="s">
        <v>7702</v>
      </c>
      <c r="G412" t="s">
        <v>330</v>
      </c>
      <c r="H412" t="s">
        <v>150</v>
      </c>
      <c r="I412" t="s">
        <v>7704</v>
      </c>
    </row>
    <row r="413">
      <c r="A413" t="s">
        <v>1244</v>
      </c>
      <c r="B413" s="232" t="s">
        <v>1243</v>
      </c>
      <c r="C413" s="232">
        <v>114.0</v>
      </c>
      <c r="D413" s="232">
        <v>469.81</v>
      </c>
      <c r="E413" s="232">
        <v>4.1211</v>
      </c>
      <c r="F413" t="s">
        <v>7702</v>
      </c>
      <c r="G413" t="s">
        <v>330</v>
      </c>
      <c r="H413" t="s">
        <v>150</v>
      </c>
      <c r="I413" t="s">
        <v>7704</v>
      </c>
    </row>
    <row r="414">
      <c r="A414" t="s">
        <v>1246</v>
      </c>
      <c r="B414" s="232" t="s">
        <v>1245</v>
      </c>
      <c r="C414" s="232">
        <v>158.0</v>
      </c>
      <c r="D414" s="232">
        <v>649.52</v>
      </c>
      <c r="E414" s="232">
        <v>4.1109</v>
      </c>
      <c r="F414" t="s">
        <v>7702</v>
      </c>
      <c r="G414" t="s">
        <v>330</v>
      </c>
      <c r="H414" t="s">
        <v>150</v>
      </c>
      <c r="I414" t="s">
        <v>7704</v>
      </c>
    </row>
    <row r="415">
      <c r="A415" t="s">
        <v>1248</v>
      </c>
      <c r="B415" s="232" t="s">
        <v>1247</v>
      </c>
      <c r="C415" s="232">
        <v>158.0</v>
      </c>
      <c r="D415" s="232">
        <v>649.66</v>
      </c>
      <c r="E415" s="232">
        <v>4.1118</v>
      </c>
      <c r="F415" t="s">
        <v>7702</v>
      </c>
      <c r="G415" t="s">
        <v>330</v>
      </c>
      <c r="H415" t="s">
        <v>150</v>
      </c>
      <c r="I415" t="s">
        <v>7704</v>
      </c>
    </row>
    <row r="416">
      <c r="A416" t="s">
        <v>1250</v>
      </c>
      <c r="B416" s="232" t="s">
        <v>1249</v>
      </c>
      <c r="C416" s="232">
        <v>99.0</v>
      </c>
      <c r="D416" s="232">
        <v>424.72</v>
      </c>
      <c r="E416" s="232">
        <v>4.2901</v>
      </c>
      <c r="F416" t="s">
        <v>7702</v>
      </c>
      <c r="G416" t="s">
        <v>330</v>
      </c>
      <c r="H416" t="s">
        <v>150</v>
      </c>
      <c r="I416" t="s">
        <v>7704</v>
      </c>
    </row>
    <row r="417">
      <c r="A417" t="s">
        <v>1252</v>
      </c>
      <c r="B417" s="232" t="s">
        <v>1251</v>
      </c>
      <c r="C417" s="232">
        <v>214.0</v>
      </c>
      <c r="D417" s="232">
        <v>956.12</v>
      </c>
      <c r="E417" s="232">
        <v>4.4679</v>
      </c>
      <c r="F417" t="s">
        <v>7702</v>
      </c>
      <c r="G417" t="s">
        <v>330</v>
      </c>
      <c r="H417" t="s">
        <v>150</v>
      </c>
      <c r="I417" t="s">
        <v>7704</v>
      </c>
    </row>
    <row r="418">
      <c r="A418" t="s">
        <v>1254</v>
      </c>
      <c r="B418" s="232" t="s">
        <v>1253</v>
      </c>
      <c r="C418" s="232">
        <v>120.0</v>
      </c>
      <c r="D418" s="232">
        <v>546.35</v>
      </c>
      <c r="E418" s="232">
        <v>4.5529</v>
      </c>
      <c r="F418" t="s">
        <v>7702</v>
      </c>
      <c r="G418" t="s">
        <v>330</v>
      </c>
      <c r="H418" t="s">
        <v>150</v>
      </c>
      <c r="I418" t="s">
        <v>7704</v>
      </c>
    </row>
    <row r="419">
      <c r="A419" t="s">
        <v>1256</v>
      </c>
      <c r="B419" s="232" t="s">
        <v>1255</v>
      </c>
      <c r="C419" s="232">
        <v>1103.0</v>
      </c>
      <c r="D419" s="232">
        <v>5078.29</v>
      </c>
      <c r="E419" s="232">
        <v>4.6041</v>
      </c>
      <c r="F419" t="s">
        <v>7702</v>
      </c>
      <c r="G419" t="s">
        <v>330</v>
      </c>
      <c r="H419" t="s">
        <v>150</v>
      </c>
      <c r="I419" t="s">
        <v>7704</v>
      </c>
    </row>
    <row r="420">
      <c r="A420" t="s">
        <v>1258</v>
      </c>
      <c r="B420" s="232" t="s">
        <v>1257</v>
      </c>
      <c r="C420" s="232">
        <v>101.0</v>
      </c>
      <c r="D420" s="232">
        <v>459.86</v>
      </c>
      <c r="E420" s="232">
        <v>4.5531</v>
      </c>
      <c r="F420" t="s">
        <v>7702</v>
      </c>
      <c r="G420" t="s">
        <v>330</v>
      </c>
      <c r="H420" t="s">
        <v>150</v>
      </c>
      <c r="I420" t="s">
        <v>7704</v>
      </c>
    </row>
    <row r="421">
      <c r="A421" t="s">
        <v>1260</v>
      </c>
      <c r="B421" s="232" t="s">
        <v>1259</v>
      </c>
      <c r="C421" s="232">
        <v>218.0</v>
      </c>
      <c r="D421" s="232">
        <v>973.43</v>
      </c>
      <c r="E421" s="232">
        <v>4.4653</v>
      </c>
      <c r="F421" t="s">
        <v>7702</v>
      </c>
      <c r="G421" t="s">
        <v>330</v>
      </c>
      <c r="H421" t="s">
        <v>150</v>
      </c>
      <c r="I421" t="s">
        <v>7704</v>
      </c>
    </row>
    <row r="422">
      <c r="A422" t="s">
        <v>1262</v>
      </c>
      <c r="B422" s="232" t="s">
        <v>1261</v>
      </c>
      <c r="C422" s="232">
        <v>19.0</v>
      </c>
      <c r="D422" s="232">
        <v>1549.32</v>
      </c>
      <c r="E422" s="232">
        <v>81.5432</v>
      </c>
      <c r="F422" t="s">
        <v>7702</v>
      </c>
      <c r="G422" t="s">
        <v>330</v>
      </c>
      <c r="H422" t="s">
        <v>150</v>
      </c>
      <c r="I422" t="s">
        <v>7714</v>
      </c>
    </row>
    <row r="423">
      <c r="A423" t="s">
        <v>1264</v>
      </c>
      <c r="B423" s="232" t="s">
        <v>1263</v>
      </c>
      <c r="C423" s="232">
        <v>193.0</v>
      </c>
      <c r="D423" s="232">
        <v>792.17</v>
      </c>
      <c r="E423" s="232">
        <v>4.1045</v>
      </c>
      <c r="F423" t="s">
        <v>7702</v>
      </c>
      <c r="G423" t="s">
        <v>330</v>
      </c>
      <c r="H423" t="s">
        <v>150</v>
      </c>
      <c r="I423" t="s">
        <v>7704</v>
      </c>
    </row>
    <row r="424">
      <c r="A424" t="s">
        <v>1266</v>
      </c>
      <c r="B424" s="232" t="s">
        <v>1265</v>
      </c>
      <c r="C424" s="232">
        <v>157.0</v>
      </c>
      <c r="D424" s="232">
        <v>644.48</v>
      </c>
      <c r="E424" s="232">
        <v>4.105</v>
      </c>
      <c r="F424" t="s">
        <v>7702</v>
      </c>
      <c r="G424" t="s">
        <v>330</v>
      </c>
      <c r="H424" t="s">
        <v>150</v>
      </c>
      <c r="I424" t="s">
        <v>7704</v>
      </c>
    </row>
    <row r="425">
      <c r="A425" t="s">
        <v>1267</v>
      </c>
      <c r="B425" s="232" t="s">
        <v>1207</v>
      </c>
      <c r="C425" s="232">
        <v>97.0</v>
      </c>
      <c r="D425" s="232">
        <v>398.23</v>
      </c>
      <c r="E425" s="232">
        <v>4.1055</v>
      </c>
      <c r="F425" t="s">
        <v>7702</v>
      </c>
      <c r="G425" t="s">
        <v>330</v>
      </c>
      <c r="H425" t="s">
        <v>150</v>
      </c>
      <c r="I425" t="s">
        <v>7704</v>
      </c>
    </row>
    <row r="426">
      <c r="A426" t="s">
        <v>1269</v>
      </c>
      <c r="B426" s="232" t="s">
        <v>1268</v>
      </c>
      <c r="C426" s="232">
        <v>238.0</v>
      </c>
      <c r="D426" s="232">
        <v>945.18</v>
      </c>
      <c r="E426" s="232">
        <v>3.9713</v>
      </c>
      <c r="F426" t="s">
        <v>7702</v>
      </c>
      <c r="G426" t="s">
        <v>330</v>
      </c>
      <c r="H426" t="s">
        <v>150</v>
      </c>
      <c r="I426" t="s">
        <v>7704</v>
      </c>
    </row>
    <row r="427">
      <c r="A427" t="s">
        <v>1271</v>
      </c>
      <c r="B427" s="232" t="s">
        <v>1270</v>
      </c>
      <c r="C427" s="232">
        <v>266.0</v>
      </c>
      <c r="D427" s="232">
        <v>1071.95</v>
      </c>
      <c r="E427" s="232">
        <v>4.0299</v>
      </c>
      <c r="F427" t="s">
        <v>7702</v>
      </c>
      <c r="G427" t="s">
        <v>330</v>
      </c>
      <c r="H427" t="s">
        <v>150</v>
      </c>
      <c r="I427" t="s">
        <v>7704</v>
      </c>
    </row>
    <row r="428">
      <c r="A428" t="s">
        <v>1273</v>
      </c>
      <c r="B428" s="232" t="s">
        <v>1272</v>
      </c>
      <c r="C428" s="232">
        <v>1074.0</v>
      </c>
      <c r="D428" s="232">
        <v>4312.88</v>
      </c>
      <c r="E428" s="232">
        <v>4.0157</v>
      </c>
      <c r="F428" t="s">
        <v>7702</v>
      </c>
      <c r="G428" t="s">
        <v>330</v>
      </c>
      <c r="H428" t="s">
        <v>150</v>
      </c>
      <c r="I428" t="s">
        <v>7704</v>
      </c>
    </row>
    <row r="429">
      <c r="A429" t="s">
        <v>1275</v>
      </c>
      <c r="B429" s="232" t="s">
        <v>1274</v>
      </c>
      <c r="C429" s="232">
        <v>292.0</v>
      </c>
      <c r="D429" s="232">
        <v>1245.63</v>
      </c>
      <c r="E429" s="232">
        <v>4.2659</v>
      </c>
      <c r="F429" t="s">
        <v>7702</v>
      </c>
      <c r="G429" t="s">
        <v>330</v>
      </c>
      <c r="H429" t="s">
        <v>150</v>
      </c>
      <c r="I429" t="s">
        <v>7704</v>
      </c>
    </row>
    <row r="430">
      <c r="A430" t="s">
        <v>1277</v>
      </c>
      <c r="B430" s="232" t="s">
        <v>1276</v>
      </c>
      <c r="C430" s="232">
        <v>180.0</v>
      </c>
      <c r="D430" s="232">
        <v>782.04</v>
      </c>
      <c r="E430" s="232">
        <v>4.3447</v>
      </c>
      <c r="F430" t="s">
        <v>7702</v>
      </c>
      <c r="G430" t="s">
        <v>330</v>
      </c>
      <c r="H430" t="s">
        <v>150</v>
      </c>
      <c r="I430" t="s">
        <v>7704</v>
      </c>
    </row>
    <row r="431">
      <c r="A431" t="s">
        <v>1279</v>
      </c>
      <c r="B431" s="232" t="s">
        <v>1278</v>
      </c>
      <c r="C431" s="232">
        <v>203.0</v>
      </c>
      <c r="D431" s="232">
        <v>890.49</v>
      </c>
      <c r="E431" s="232">
        <v>4.3867</v>
      </c>
      <c r="F431" t="s">
        <v>7702</v>
      </c>
      <c r="G431" t="s">
        <v>330</v>
      </c>
      <c r="H431" t="s">
        <v>150</v>
      </c>
      <c r="I431" t="s">
        <v>7704</v>
      </c>
    </row>
    <row r="432">
      <c r="A432" t="s">
        <v>1281</v>
      </c>
      <c r="B432" s="232" t="s">
        <v>1280</v>
      </c>
      <c r="C432" s="232">
        <v>177.0</v>
      </c>
      <c r="D432" s="232">
        <v>802.5</v>
      </c>
      <c r="E432" s="232">
        <v>4.5339</v>
      </c>
      <c r="F432" t="s">
        <v>7702</v>
      </c>
      <c r="G432" t="s">
        <v>330</v>
      </c>
      <c r="H432" t="s">
        <v>150</v>
      </c>
      <c r="I432" t="s">
        <v>7704</v>
      </c>
    </row>
    <row r="433">
      <c r="A433" t="s">
        <v>1283</v>
      </c>
      <c r="B433" s="232" t="s">
        <v>1282</v>
      </c>
      <c r="C433" s="232">
        <v>168.0</v>
      </c>
      <c r="D433" s="232">
        <v>761.67</v>
      </c>
      <c r="E433" s="232">
        <v>4.5338</v>
      </c>
      <c r="F433" t="s">
        <v>7702</v>
      </c>
      <c r="G433" t="s">
        <v>330</v>
      </c>
      <c r="H433" t="s">
        <v>150</v>
      </c>
      <c r="I433" t="s">
        <v>7704</v>
      </c>
    </row>
    <row r="434">
      <c r="A434" t="s">
        <v>1285</v>
      </c>
      <c r="B434" s="232" t="s">
        <v>1284</v>
      </c>
      <c r="C434" s="232">
        <v>207.0</v>
      </c>
      <c r="D434" s="232">
        <v>908.02</v>
      </c>
      <c r="E434" s="232">
        <v>4.3866</v>
      </c>
      <c r="F434" t="s">
        <v>7702</v>
      </c>
      <c r="G434" t="s">
        <v>330</v>
      </c>
      <c r="H434" t="s">
        <v>150</v>
      </c>
      <c r="I434" t="s">
        <v>7704</v>
      </c>
    </row>
    <row r="435">
      <c r="A435" t="s">
        <v>1287</v>
      </c>
      <c r="B435" s="232" t="s">
        <v>1286</v>
      </c>
      <c r="C435" s="232">
        <v>49.0</v>
      </c>
      <c r="D435" s="232">
        <v>768.49</v>
      </c>
      <c r="E435" s="232">
        <v>15.6835</v>
      </c>
      <c r="F435" t="s">
        <v>7702</v>
      </c>
      <c r="G435" t="s">
        <v>330</v>
      </c>
      <c r="H435" t="s">
        <v>150</v>
      </c>
      <c r="I435" t="s">
        <v>7704</v>
      </c>
    </row>
    <row r="436">
      <c r="A436" t="s">
        <v>1289</v>
      </c>
      <c r="B436" s="232" t="s">
        <v>1288</v>
      </c>
      <c r="C436" s="232">
        <v>1.0</v>
      </c>
      <c r="D436" s="232">
        <v>25.09</v>
      </c>
      <c r="E436" s="232">
        <v>25.09</v>
      </c>
      <c r="F436" t="s">
        <v>7702</v>
      </c>
      <c r="G436" t="s">
        <v>330</v>
      </c>
      <c r="H436" t="s">
        <v>214</v>
      </c>
      <c r="I436" t="s">
        <v>7712</v>
      </c>
    </row>
    <row r="437">
      <c r="A437" t="s">
        <v>1291</v>
      </c>
      <c r="B437" s="232" t="s">
        <v>1290</v>
      </c>
      <c r="C437" s="232">
        <v>1.0</v>
      </c>
      <c r="D437" s="232">
        <v>23.32</v>
      </c>
      <c r="E437" s="232">
        <v>23.32</v>
      </c>
      <c r="F437" t="s">
        <v>7702</v>
      </c>
      <c r="G437" t="s">
        <v>330</v>
      </c>
      <c r="H437" t="s">
        <v>214</v>
      </c>
      <c r="I437" t="s">
        <v>7712</v>
      </c>
    </row>
    <row r="438">
      <c r="A438" t="s">
        <v>1293</v>
      </c>
      <c r="B438" s="232" t="s">
        <v>1292</v>
      </c>
      <c r="C438" s="232">
        <v>0.0</v>
      </c>
      <c r="D438" s="232">
        <v>0.0</v>
      </c>
      <c r="F438" t="s">
        <v>7702</v>
      </c>
      <c r="G438" t="s">
        <v>310</v>
      </c>
      <c r="H438" t="s">
        <v>45</v>
      </c>
      <c r="I438" t="s">
        <v>7740</v>
      </c>
    </row>
    <row r="439">
      <c r="A439" t="s">
        <v>1295</v>
      </c>
      <c r="B439" s="232" t="s">
        <v>1294</v>
      </c>
      <c r="C439" s="232">
        <v>0.0</v>
      </c>
      <c r="D439" s="232">
        <v>0.0</v>
      </c>
      <c r="F439" t="s">
        <v>7702</v>
      </c>
      <c r="G439" t="s">
        <v>310</v>
      </c>
      <c r="H439" t="s">
        <v>45</v>
      </c>
      <c r="I439" t="s">
        <v>7740</v>
      </c>
    </row>
    <row r="440">
      <c r="A440" t="s">
        <v>1297</v>
      </c>
      <c r="B440" s="232" t="s">
        <v>1296</v>
      </c>
      <c r="C440" s="232">
        <v>147.0</v>
      </c>
      <c r="D440" s="232">
        <v>177.13</v>
      </c>
      <c r="E440" s="232">
        <v>1.205</v>
      </c>
      <c r="F440" t="s">
        <v>7702</v>
      </c>
      <c r="G440" t="s">
        <v>330</v>
      </c>
      <c r="H440" t="s">
        <v>45</v>
      </c>
      <c r="I440" t="s">
        <v>7740</v>
      </c>
    </row>
    <row r="441">
      <c r="A441" t="s">
        <v>1299</v>
      </c>
      <c r="B441" s="232" t="s">
        <v>1298</v>
      </c>
      <c r="C441" s="232">
        <v>306.0</v>
      </c>
      <c r="D441" s="232">
        <v>367.24</v>
      </c>
      <c r="E441" s="232">
        <v>1.2001</v>
      </c>
      <c r="F441" t="s">
        <v>7702</v>
      </c>
      <c r="G441" t="s">
        <v>330</v>
      </c>
      <c r="H441" t="s">
        <v>45</v>
      </c>
      <c r="I441" t="s">
        <v>7740</v>
      </c>
    </row>
    <row r="442">
      <c r="A442" t="s">
        <v>1301</v>
      </c>
      <c r="B442" s="232" t="s">
        <v>1300</v>
      </c>
      <c r="C442" s="232">
        <v>322.0</v>
      </c>
      <c r="D442" s="232">
        <v>386.36</v>
      </c>
      <c r="E442" s="232">
        <v>1.1999</v>
      </c>
      <c r="F442" t="s">
        <v>7702</v>
      </c>
      <c r="G442" t="s">
        <v>330</v>
      </c>
      <c r="H442" t="s">
        <v>45</v>
      </c>
      <c r="I442" t="s">
        <v>7740</v>
      </c>
    </row>
    <row r="443">
      <c r="A443" t="s">
        <v>1303</v>
      </c>
      <c r="B443" s="232" t="s">
        <v>1302</v>
      </c>
      <c r="C443" s="232">
        <v>0.0</v>
      </c>
      <c r="D443" s="232">
        <v>0.0</v>
      </c>
      <c r="F443" t="s">
        <v>7702</v>
      </c>
      <c r="G443" t="s">
        <v>310</v>
      </c>
      <c r="H443" t="s">
        <v>45</v>
      </c>
      <c r="I443" t="s">
        <v>7740</v>
      </c>
    </row>
    <row r="444">
      <c r="A444" t="s">
        <v>1305</v>
      </c>
      <c r="B444" s="232" t="s">
        <v>1304</v>
      </c>
      <c r="C444" s="232">
        <v>12.0</v>
      </c>
      <c r="D444" s="232">
        <v>15.06</v>
      </c>
      <c r="E444" s="232">
        <v>1.255</v>
      </c>
      <c r="F444" t="s">
        <v>7702</v>
      </c>
      <c r="G444" t="s">
        <v>330</v>
      </c>
      <c r="H444" t="s">
        <v>45</v>
      </c>
      <c r="I444" t="s">
        <v>7740</v>
      </c>
    </row>
    <row r="445">
      <c r="A445" t="s">
        <v>1307</v>
      </c>
      <c r="B445" s="232" t="s">
        <v>1306</v>
      </c>
      <c r="C445" s="232">
        <v>0.0</v>
      </c>
      <c r="D445" s="232">
        <v>0.0</v>
      </c>
      <c r="F445" t="s">
        <v>7702</v>
      </c>
      <c r="G445" t="s">
        <v>310</v>
      </c>
      <c r="H445" t="s">
        <v>45</v>
      </c>
      <c r="I445" t="s">
        <v>7740</v>
      </c>
    </row>
    <row r="446">
      <c r="A446" t="s">
        <v>1309</v>
      </c>
      <c r="B446" s="232" t="s">
        <v>1308</v>
      </c>
      <c r="C446" s="232">
        <v>0.0</v>
      </c>
      <c r="D446" s="232">
        <v>0.0</v>
      </c>
      <c r="F446" t="s">
        <v>7702</v>
      </c>
      <c r="G446" t="s">
        <v>310</v>
      </c>
      <c r="H446" t="s">
        <v>45</v>
      </c>
      <c r="I446" t="s">
        <v>7740</v>
      </c>
    </row>
    <row r="447">
      <c r="A447" t="s">
        <v>1313</v>
      </c>
      <c r="B447" s="232" t="s">
        <v>1312</v>
      </c>
      <c r="C447" s="232">
        <v>66.0</v>
      </c>
      <c r="D447" s="232">
        <v>2083.6</v>
      </c>
      <c r="E447" s="232">
        <v>31.5697</v>
      </c>
      <c r="F447" t="s">
        <v>7702</v>
      </c>
      <c r="G447" t="s">
        <v>330</v>
      </c>
      <c r="H447" t="s">
        <v>45</v>
      </c>
      <c r="I447" t="s">
        <v>7714</v>
      </c>
    </row>
    <row r="448">
      <c r="A448" t="s">
        <v>1315</v>
      </c>
      <c r="B448" s="232" t="s">
        <v>1314</v>
      </c>
      <c r="C448" s="232">
        <v>200.0</v>
      </c>
      <c r="D448" s="232">
        <v>1055.97</v>
      </c>
      <c r="E448" s="232">
        <v>5.2799</v>
      </c>
      <c r="F448" t="s">
        <v>7702</v>
      </c>
      <c r="G448" t="s">
        <v>330</v>
      </c>
      <c r="H448" t="s">
        <v>45</v>
      </c>
      <c r="I448" t="s">
        <v>7740</v>
      </c>
    </row>
    <row r="449">
      <c r="A449" t="s">
        <v>1317</v>
      </c>
      <c r="B449" s="232" t="s">
        <v>1316</v>
      </c>
      <c r="C449" s="232">
        <v>0.0</v>
      </c>
      <c r="D449" s="232">
        <v>0.0</v>
      </c>
      <c r="F449" t="s">
        <v>7702</v>
      </c>
      <c r="G449" t="s">
        <v>310</v>
      </c>
      <c r="H449" t="s">
        <v>45</v>
      </c>
      <c r="I449" t="s">
        <v>7740</v>
      </c>
    </row>
    <row r="450">
      <c r="A450" t="s">
        <v>1319</v>
      </c>
      <c r="B450" s="232" t="s">
        <v>1318</v>
      </c>
      <c r="C450" s="232">
        <v>0.0</v>
      </c>
      <c r="D450" s="232">
        <v>0.0</v>
      </c>
      <c r="F450" t="s">
        <v>7702</v>
      </c>
      <c r="G450" t="s">
        <v>330</v>
      </c>
      <c r="H450" t="s">
        <v>45</v>
      </c>
    </row>
    <row r="451">
      <c r="A451" t="s">
        <v>1321</v>
      </c>
      <c r="B451" s="232" t="s">
        <v>1320</v>
      </c>
      <c r="C451" s="232">
        <v>369.0</v>
      </c>
      <c r="D451" s="232">
        <v>1362.12</v>
      </c>
      <c r="E451" s="232">
        <v>3.6914</v>
      </c>
      <c r="F451" t="s">
        <v>7702</v>
      </c>
      <c r="G451" t="s">
        <v>330</v>
      </c>
      <c r="H451" t="s">
        <v>45</v>
      </c>
      <c r="I451" t="s">
        <v>7741</v>
      </c>
    </row>
    <row r="452">
      <c r="A452" t="s">
        <v>1323</v>
      </c>
      <c r="B452" s="232" t="s">
        <v>1322</v>
      </c>
      <c r="C452" s="232">
        <v>746.0</v>
      </c>
      <c r="D452" s="232">
        <v>2746.4</v>
      </c>
      <c r="E452" s="232">
        <v>3.6815</v>
      </c>
      <c r="F452" t="s">
        <v>7702</v>
      </c>
      <c r="G452" t="s">
        <v>330</v>
      </c>
      <c r="H452" t="s">
        <v>45</v>
      </c>
      <c r="I452" t="s">
        <v>7741</v>
      </c>
    </row>
    <row r="453">
      <c r="A453" t="s">
        <v>1325</v>
      </c>
      <c r="B453" s="232" t="s">
        <v>1324</v>
      </c>
      <c r="C453" s="232">
        <v>749.0</v>
      </c>
      <c r="D453" s="232">
        <v>2756.3</v>
      </c>
      <c r="E453" s="232">
        <v>3.68</v>
      </c>
      <c r="F453" t="s">
        <v>7702</v>
      </c>
      <c r="G453" t="s">
        <v>330</v>
      </c>
      <c r="H453" t="s">
        <v>45</v>
      </c>
      <c r="I453" t="s">
        <v>7741</v>
      </c>
    </row>
    <row r="454">
      <c r="A454" t="s">
        <v>1327</v>
      </c>
      <c r="B454" s="232" t="s">
        <v>1326</v>
      </c>
      <c r="C454" s="232">
        <v>688.0</v>
      </c>
      <c r="D454" s="232">
        <v>2533.63</v>
      </c>
      <c r="E454" s="232">
        <v>3.6826</v>
      </c>
      <c r="F454" t="s">
        <v>7702</v>
      </c>
      <c r="G454" t="s">
        <v>330</v>
      </c>
      <c r="H454" t="s">
        <v>45</v>
      </c>
      <c r="I454" t="s">
        <v>7741</v>
      </c>
    </row>
    <row r="455">
      <c r="A455" t="s">
        <v>1329</v>
      </c>
      <c r="B455" s="232" t="s">
        <v>1328</v>
      </c>
      <c r="C455" s="232">
        <v>406.0</v>
      </c>
      <c r="D455" s="232">
        <v>1497.84</v>
      </c>
      <c r="E455" s="232">
        <v>3.6893</v>
      </c>
      <c r="F455" t="s">
        <v>7702</v>
      </c>
      <c r="G455" t="s">
        <v>330</v>
      </c>
      <c r="H455" t="s">
        <v>45</v>
      </c>
      <c r="I455" t="s">
        <v>7741</v>
      </c>
    </row>
    <row r="456">
      <c r="A456" t="s">
        <v>1331</v>
      </c>
      <c r="B456" s="232" t="s">
        <v>1330</v>
      </c>
      <c r="C456" s="232">
        <v>541.0</v>
      </c>
      <c r="D456" s="232">
        <v>1993.81</v>
      </c>
      <c r="E456" s="232">
        <v>3.6854</v>
      </c>
      <c r="F456" t="s">
        <v>7702</v>
      </c>
      <c r="G456" t="s">
        <v>330</v>
      </c>
      <c r="H456" t="s">
        <v>45</v>
      </c>
      <c r="I456" t="s">
        <v>7741</v>
      </c>
    </row>
    <row r="457">
      <c r="A457" t="s">
        <v>1333</v>
      </c>
      <c r="B457" s="232" t="s">
        <v>1332</v>
      </c>
      <c r="C457" s="232">
        <v>6.0</v>
      </c>
      <c r="D457" s="232">
        <v>10.27</v>
      </c>
      <c r="E457" s="232">
        <v>1.7117</v>
      </c>
      <c r="F457" t="s">
        <v>7702</v>
      </c>
      <c r="G457" t="s">
        <v>310</v>
      </c>
      <c r="H457" t="s">
        <v>45</v>
      </c>
      <c r="I457" t="s">
        <v>7742</v>
      </c>
    </row>
    <row r="458">
      <c r="A458" t="s">
        <v>1335</v>
      </c>
      <c r="B458" s="232" t="s">
        <v>1334</v>
      </c>
      <c r="C458" s="232">
        <v>102.0</v>
      </c>
      <c r="D458" s="232">
        <v>138.77</v>
      </c>
      <c r="E458" s="232">
        <v>1.3605</v>
      </c>
      <c r="F458" t="s">
        <v>7702</v>
      </c>
      <c r="G458" t="s">
        <v>330</v>
      </c>
      <c r="H458" t="s">
        <v>45</v>
      </c>
      <c r="I458" t="s">
        <v>7742</v>
      </c>
    </row>
    <row r="459">
      <c r="A459" t="s">
        <v>1337</v>
      </c>
      <c r="B459" s="232" t="s">
        <v>1336</v>
      </c>
      <c r="C459" s="232">
        <v>0.0</v>
      </c>
      <c r="D459" s="232">
        <v>0.0</v>
      </c>
      <c r="F459" t="s">
        <v>7702</v>
      </c>
      <c r="G459" t="s">
        <v>330</v>
      </c>
      <c r="H459" t="s">
        <v>45</v>
      </c>
      <c r="I459" t="s">
        <v>7742</v>
      </c>
    </row>
    <row r="460">
      <c r="A460" t="s">
        <v>1339</v>
      </c>
      <c r="B460" s="232" t="s">
        <v>1338</v>
      </c>
      <c r="C460" s="232">
        <v>71.0</v>
      </c>
      <c r="D460" s="232">
        <v>121.29</v>
      </c>
      <c r="E460" s="232">
        <v>1.7083</v>
      </c>
      <c r="F460" t="s">
        <v>7702</v>
      </c>
      <c r="G460" t="s">
        <v>330</v>
      </c>
      <c r="H460" t="s">
        <v>45</v>
      </c>
      <c r="I460" t="s">
        <v>7742</v>
      </c>
    </row>
    <row r="461">
      <c r="A461" t="s">
        <v>1341</v>
      </c>
      <c r="B461" s="232" t="s">
        <v>1340</v>
      </c>
      <c r="C461" s="232">
        <v>0.0</v>
      </c>
      <c r="D461" s="232">
        <v>0.0</v>
      </c>
      <c r="F461" t="s">
        <v>7702</v>
      </c>
      <c r="G461" t="s">
        <v>310</v>
      </c>
      <c r="H461" t="s">
        <v>45</v>
      </c>
      <c r="I461" t="s">
        <v>7742</v>
      </c>
    </row>
    <row r="462">
      <c r="A462" t="s">
        <v>1343</v>
      </c>
      <c r="B462" s="232" t="s">
        <v>1342</v>
      </c>
      <c r="C462" s="232">
        <v>6.0</v>
      </c>
      <c r="D462" s="232">
        <v>10.26</v>
      </c>
      <c r="E462" s="232">
        <v>1.71</v>
      </c>
      <c r="F462" t="s">
        <v>7702</v>
      </c>
      <c r="G462" t="s">
        <v>310</v>
      </c>
      <c r="H462" t="s">
        <v>45</v>
      </c>
      <c r="I462" t="s">
        <v>7742</v>
      </c>
    </row>
    <row r="463">
      <c r="A463" t="s">
        <v>1345</v>
      </c>
      <c r="B463" s="232" t="s">
        <v>1344</v>
      </c>
      <c r="C463" s="232">
        <v>0.0</v>
      </c>
      <c r="D463" s="232">
        <v>0.0</v>
      </c>
      <c r="F463" t="s">
        <v>7702</v>
      </c>
      <c r="G463" t="s">
        <v>310</v>
      </c>
      <c r="H463" t="s">
        <v>45</v>
      </c>
      <c r="I463" t="s">
        <v>7742</v>
      </c>
    </row>
    <row r="464">
      <c r="A464" t="s">
        <v>1347</v>
      </c>
      <c r="B464" s="232" t="s">
        <v>1346</v>
      </c>
      <c r="C464" s="232">
        <v>6.0</v>
      </c>
      <c r="D464" s="232">
        <v>10.27</v>
      </c>
      <c r="E464" s="232">
        <v>1.7117</v>
      </c>
      <c r="F464" t="s">
        <v>7702</v>
      </c>
      <c r="G464" t="s">
        <v>310</v>
      </c>
      <c r="H464" t="s">
        <v>45</v>
      </c>
      <c r="I464" t="s">
        <v>7742</v>
      </c>
    </row>
    <row r="465">
      <c r="A465" t="s">
        <v>1349</v>
      </c>
      <c r="B465" s="232" t="s">
        <v>1348</v>
      </c>
      <c r="C465" s="232">
        <v>3.0</v>
      </c>
      <c r="D465" s="232">
        <v>85.95</v>
      </c>
      <c r="E465" s="232">
        <v>28.65</v>
      </c>
      <c r="F465" t="s">
        <v>7702</v>
      </c>
      <c r="G465" t="s">
        <v>330</v>
      </c>
      <c r="H465" t="s">
        <v>45</v>
      </c>
      <c r="I465" t="s">
        <v>7714</v>
      </c>
    </row>
    <row r="466">
      <c r="A466" t="s">
        <v>1351</v>
      </c>
      <c r="B466" s="232" t="s">
        <v>1350</v>
      </c>
      <c r="C466" s="232">
        <v>0.0</v>
      </c>
      <c r="D466" s="232">
        <v>0.0</v>
      </c>
      <c r="F466" t="s">
        <v>7702</v>
      </c>
      <c r="G466" t="s">
        <v>310</v>
      </c>
      <c r="H466" t="s">
        <v>45</v>
      </c>
      <c r="I466" t="s">
        <v>7742</v>
      </c>
    </row>
    <row r="467">
      <c r="A467" t="s">
        <v>1353</v>
      </c>
      <c r="B467" s="232" t="s">
        <v>1352</v>
      </c>
      <c r="C467" s="232">
        <v>0.0</v>
      </c>
      <c r="D467" s="232">
        <v>0.0</v>
      </c>
      <c r="F467" t="s">
        <v>7702</v>
      </c>
      <c r="G467" t="s">
        <v>310</v>
      </c>
      <c r="H467" t="s">
        <v>7703</v>
      </c>
      <c r="I467" t="s">
        <v>151</v>
      </c>
    </row>
    <row r="468">
      <c r="A468" t="s">
        <v>1355</v>
      </c>
      <c r="B468" s="232" t="s">
        <v>1354</v>
      </c>
      <c r="C468" s="232">
        <v>6.0</v>
      </c>
      <c r="D468" s="232">
        <v>6.86</v>
      </c>
      <c r="E468" s="232">
        <v>1.1433</v>
      </c>
      <c r="F468" t="s">
        <v>7702</v>
      </c>
      <c r="G468" t="s">
        <v>330</v>
      </c>
      <c r="H468" t="s">
        <v>7709</v>
      </c>
      <c r="I468" t="s">
        <v>7743</v>
      </c>
    </row>
    <row r="469">
      <c r="A469" t="s">
        <v>1357</v>
      </c>
      <c r="B469" s="232" t="s">
        <v>1356</v>
      </c>
      <c r="C469" s="232">
        <v>0.0</v>
      </c>
      <c r="D469" s="232">
        <v>0.0</v>
      </c>
      <c r="F469" t="s">
        <v>7702</v>
      </c>
      <c r="G469" t="s">
        <v>310</v>
      </c>
      <c r="H469" t="s">
        <v>45</v>
      </c>
      <c r="I469" t="s">
        <v>7743</v>
      </c>
    </row>
    <row r="470">
      <c r="A470" t="s">
        <v>1359</v>
      </c>
      <c r="B470" s="232" t="s">
        <v>1358</v>
      </c>
      <c r="C470" s="232">
        <v>452.0</v>
      </c>
      <c r="D470" s="232">
        <v>516.39</v>
      </c>
      <c r="E470" s="232">
        <v>1.1425</v>
      </c>
      <c r="F470" t="s">
        <v>7702</v>
      </c>
      <c r="G470" t="s">
        <v>330</v>
      </c>
      <c r="H470" t="s">
        <v>150</v>
      </c>
      <c r="I470" t="s">
        <v>7743</v>
      </c>
    </row>
    <row r="471">
      <c r="A471" t="s">
        <v>1361</v>
      </c>
      <c r="B471" s="232" t="s">
        <v>1360</v>
      </c>
      <c r="C471" s="232">
        <v>439.0</v>
      </c>
      <c r="D471" s="232">
        <v>501.58</v>
      </c>
      <c r="E471" s="232">
        <v>1.1426</v>
      </c>
      <c r="F471" t="s">
        <v>7702</v>
      </c>
      <c r="G471" t="s">
        <v>330</v>
      </c>
      <c r="H471" t="s">
        <v>7709</v>
      </c>
      <c r="I471" t="s">
        <v>7743</v>
      </c>
    </row>
    <row r="472">
      <c r="A472" t="s">
        <v>1363</v>
      </c>
      <c r="B472" s="232" t="s">
        <v>1362</v>
      </c>
      <c r="C472" s="232">
        <v>475.0</v>
      </c>
      <c r="D472" s="232">
        <v>554.88</v>
      </c>
      <c r="E472" s="232">
        <v>1.1682</v>
      </c>
      <c r="F472" t="s">
        <v>7702</v>
      </c>
      <c r="G472" t="s">
        <v>330</v>
      </c>
      <c r="H472" t="s">
        <v>45</v>
      </c>
      <c r="I472" t="s">
        <v>7743</v>
      </c>
    </row>
    <row r="473">
      <c r="A473" t="s">
        <v>1365</v>
      </c>
      <c r="B473" s="232" t="s">
        <v>1364</v>
      </c>
      <c r="C473" s="232">
        <v>0.0</v>
      </c>
      <c r="D473" s="232">
        <v>0.0</v>
      </c>
      <c r="F473" t="s">
        <v>7702</v>
      </c>
      <c r="G473" t="s">
        <v>330</v>
      </c>
      <c r="H473" t="s">
        <v>45</v>
      </c>
      <c r="I473" t="s">
        <v>7743</v>
      </c>
    </row>
    <row r="474">
      <c r="A474" t="s">
        <v>1367</v>
      </c>
      <c r="B474" s="232" t="s">
        <v>1366</v>
      </c>
      <c r="C474" s="232">
        <v>42.0</v>
      </c>
      <c r="D474" s="232">
        <v>49.0</v>
      </c>
      <c r="E474" s="232">
        <v>1.1667</v>
      </c>
      <c r="F474" t="s">
        <v>7702</v>
      </c>
      <c r="G474" t="s">
        <v>330</v>
      </c>
      <c r="H474" t="s">
        <v>45</v>
      </c>
      <c r="I474" t="s">
        <v>7743</v>
      </c>
    </row>
    <row r="475">
      <c r="A475" t="s">
        <v>1369</v>
      </c>
      <c r="B475" s="232" t="s">
        <v>1368</v>
      </c>
      <c r="C475" s="232">
        <v>521.0</v>
      </c>
      <c r="D475" s="232">
        <v>619.6</v>
      </c>
      <c r="E475" s="232">
        <v>1.1893</v>
      </c>
      <c r="F475" t="s">
        <v>7702</v>
      </c>
      <c r="G475" t="s">
        <v>330</v>
      </c>
      <c r="H475" t="s">
        <v>150</v>
      </c>
      <c r="I475" t="s">
        <v>7743</v>
      </c>
    </row>
    <row r="476">
      <c r="A476" t="s">
        <v>1371</v>
      </c>
      <c r="B476" s="232" t="s">
        <v>1370</v>
      </c>
      <c r="C476" s="232">
        <v>0.0</v>
      </c>
      <c r="D476" s="232">
        <v>0.0</v>
      </c>
      <c r="F476" t="s">
        <v>7702</v>
      </c>
      <c r="G476" t="s">
        <v>310</v>
      </c>
      <c r="H476" t="s">
        <v>45</v>
      </c>
      <c r="I476" t="s">
        <v>7743</v>
      </c>
    </row>
    <row r="477">
      <c r="A477" t="s">
        <v>1373</v>
      </c>
      <c r="B477" s="232" t="s">
        <v>1372</v>
      </c>
      <c r="C477" s="232">
        <v>0.0</v>
      </c>
      <c r="D477" s="232">
        <v>0.0</v>
      </c>
      <c r="F477" t="s">
        <v>7702</v>
      </c>
      <c r="G477" t="s">
        <v>330</v>
      </c>
      <c r="H477" t="s">
        <v>150</v>
      </c>
      <c r="I477" t="s">
        <v>7743</v>
      </c>
    </row>
    <row r="478">
      <c r="A478" t="s">
        <v>1375</v>
      </c>
      <c r="B478" s="232" t="s">
        <v>1374</v>
      </c>
      <c r="C478" s="232">
        <v>157.0</v>
      </c>
      <c r="D478" s="232">
        <v>176.98</v>
      </c>
      <c r="E478" s="232">
        <v>1.1273</v>
      </c>
      <c r="F478" t="s">
        <v>7702</v>
      </c>
      <c r="G478" t="s">
        <v>330</v>
      </c>
      <c r="H478" t="s">
        <v>45</v>
      </c>
      <c r="I478" t="s">
        <v>7743</v>
      </c>
    </row>
    <row r="479">
      <c r="A479" t="s">
        <v>1377</v>
      </c>
      <c r="B479" s="232" t="s">
        <v>1376</v>
      </c>
      <c r="C479" s="232">
        <v>220.0</v>
      </c>
      <c r="D479" s="232">
        <v>250.58</v>
      </c>
      <c r="E479" s="232">
        <v>1.139</v>
      </c>
      <c r="F479" t="s">
        <v>7702</v>
      </c>
      <c r="G479" t="s">
        <v>330</v>
      </c>
      <c r="H479" t="s">
        <v>7709</v>
      </c>
      <c r="I479" t="s">
        <v>7743</v>
      </c>
    </row>
    <row r="480">
      <c r="A480" t="s">
        <v>1379</v>
      </c>
      <c r="B480" s="232" t="s">
        <v>1378</v>
      </c>
      <c r="C480" s="232">
        <v>455.0</v>
      </c>
      <c r="D480" s="232">
        <v>541.07</v>
      </c>
      <c r="E480" s="232">
        <v>1.1892</v>
      </c>
      <c r="F480" t="s">
        <v>7702</v>
      </c>
      <c r="G480" t="s">
        <v>330</v>
      </c>
      <c r="H480" t="s">
        <v>45</v>
      </c>
      <c r="I480" t="s">
        <v>7743</v>
      </c>
    </row>
    <row r="481">
      <c r="A481" t="s">
        <v>1381</v>
      </c>
      <c r="B481" s="232" t="s">
        <v>1380</v>
      </c>
      <c r="C481" s="232">
        <v>0.0</v>
      </c>
      <c r="D481" s="232">
        <v>0.0</v>
      </c>
      <c r="F481" t="s">
        <v>7702</v>
      </c>
      <c r="G481" t="s">
        <v>330</v>
      </c>
      <c r="H481" t="s">
        <v>45</v>
      </c>
      <c r="I481" t="s">
        <v>7743</v>
      </c>
    </row>
    <row r="482">
      <c r="A482" t="s">
        <v>1383</v>
      </c>
      <c r="B482" s="232" t="s">
        <v>1382</v>
      </c>
      <c r="C482" s="232">
        <v>0.0</v>
      </c>
      <c r="D482" s="232">
        <v>0.0</v>
      </c>
      <c r="F482" t="s">
        <v>7702</v>
      </c>
      <c r="G482" t="s">
        <v>310</v>
      </c>
      <c r="H482" t="s">
        <v>7703</v>
      </c>
      <c r="I482" t="s">
        <v>7743</v>
      </c>
    </row>
    <row r="483">
      <c r="A483" t="s">
        <v>1385</v>
      </c>
      <c r="B483" s="232" t="s">
        <v>1384</v>
      </c>
      <c r="C483" s="232">
        <v>0.0</v>
      </c>
      <c r="D483" s="232">
        <v>0.0</v>
      </c>
      <c r="F483" t="s">
        <v>7702</v>
      </c>
      <c r="G483" t="s">
        <v>310</v>
      </c>
      <c r="H483" t="s">
        <v>7703</v>
      </c>
      <c r="I483" t="s">
        <v>7743</v>
      </c>
    </row>
    <row r="484">
      <c r="A484" t="s">
        <v>1388</v>
      </c>
      <c r="B484" s="232" t="s">
        <v>1387</v>
      </c>
      <c r="C484" s="232">
        <v>0.0</v>
      </c>
      <c r="D484" s="232">
        <v>0.0</v>
      </c>
      <c r="F484" t="s">
        <v>7702</v>
      </c>
      <c r="G484" t="s">
        <v>310</v>
      </c>
      <c r="H484" t="s">
        <v>7703</v>
      </c>
      <c r="I484" t="s">
        <v>7743</v>
      </c>
    </row>
    <row r="485">
      <c r="A485" t="s">
        <v>1390</v>
      </c>
      <c r="B485" s="232" t="s">
        <v>1389</v>
      </c>
      <c r="C485" s="232">
        <v>0.0</v>
      </c>
      <c r="D485" s="232">
        <v>0.0</v>
      </c>
      <c r="F485" t="s">
        <v>7702</v>
      </c>
      <c r="G485" t="s">
        <v>330</v>
      </c>
      <c r="H485" t="s">
        <v>150</v>
      </c>
      <c r="I485" t="s">
        <v>7743</v>
      </c>
    </row>
    <row r="486">
      <c r="A486" t="s">
        <v>1392</v>
      </c>
      <c r="B486" s="232" t="s">
        <v>1391</v>
      </c>
      <c r="C486" s="232">
        <v>3.0</v>
      </c>
      <c r="D486" s="232">
        <v>132.53</v>
      </c>
      <c r="E486" s="232">
        <v>44.1767</v>
      </c>
      <c r="F486" t="s">
        <v>7702</v>
      </c>
      <c r="G486" t="s">
        <v>330</v>
      </c>
      <c r="H486" t="s">
        <v>150</v>
      </c>
      <c r="I486" t="s">
        <v>7743</v>
      </c>
    </row>
    <row r="487">
      <c r="A487" t="s">
        <v>1394</v>
      </c>
      <c r="B487" s="232" t="s">
        <v>1393</v>
      </c>
      <c r="C487" s="232">
        <v>0.0</v>
      </c>
      <c r="D487" s="232">
        <v>0.0</v>
      </c>
      <c r="F487" t="s">
        <v>7702</v>
      </c>
      <c r="G487" t="s">
        <v>330</v>
      </c>
      <c r="H487" t="s">
        <v>150</v>
      </c>
      <c r="I487" t="s">
        <v>7743</v>
      </c>
    </row>
    <row r="488">
      <c r="A488" t="s">
        <v>1396</v>
      </c>
      <c r="B488" s="232" t="s">
        <v>1395</v>
      </c>
      <c r="C488" s="232">
        <v>32.0</v>
      </c>
      <c r="D488" s="232">
        <v>131.59</v>
      </c>
      <c r="E488" s="232">
        <v>4.1122</v>
      </c>
      <c r="F488" t="s">
        <v>7702</v>
      </c>
      <c r="G488" t="s">
        <v>330</v>
      </c>
      <c r="H488" t="s">
        <v>150</v>
      </c>
      <c r="I488" t="s">
        <v>7714</v>
      </c>
    </row>
    <row r="489">
      <c r="A489" t="s">
        <v>1398</v>
      </c>
      <c r="B489" s="232" t="s">
        <v>1397</v>
      </c>
      <c r="C489" s="232">
        <v>2.0</v>
      </c>
      <c r="D489" s="232">
        <v>4.19</v>
      </c>
      <c r="E489" s="232">
        <v>2.095</v>
      </c>
      <c r="F489" t="s">
        <v>7702</v>
      </c>
      <c r="G489" t="s">
        <v>330</v>
      </c>
      <c r="I489" t="s">
        <v>7714</v>
      </c>
    </row>
    <row r="490">
      <c r="A490" t="s">
        <v>1400</v>
      </c>
      <c r="B490" s="232" t="s">
        <v>1399</v>
      </c>
      <c r="C490" s="232">
        <v>0.0</v>
      </c>
      <c r="D490" s="232">
        <v>0.0</v>
      </c>
      <c r="F490" t="s">
        <v>7702</v>
      </c>
      <c r="G490" t="s">
        <v>310</v>
      </c>
      <c r="H490" t="s">
        <v>45</v>
      </c>
      <c r="I490" t="s">
        <v>7744</v>
      </c>
    </row>
    <row r="491">
      <c r="A491" t="s">
        <v>1402</v>
      </c>
      <c r="B491" s="232" t="s">
        <v>1401</v>
      </c>
      <c r="C491" s="232">
        <v>564.0</v>
      </c>
      <c r="D491" s="232">
        <v>310.2</v>
      </c>
      <c r="E491" s="232">
        <v>0.55</v>
      </c>
      <c r="F491" t="s">
        <v>7702</v>
      </c>
      <c r="G491" t="s">
        <v>330</v>
      </c>
      <c r="H491" t="s">
        <v>7725</v>
      </c>
      <c r="I491" t="s">
        <v>7727</v>
      </c>
    </row>
    <row r="492">
      <c r="A492" t="s">
        <v>1404</v>
      </c>
      <c r="B492" s="232" t="s">
        <v>1403</v>
      </c>
      <c r="C492" s="232">
        <v>252.0</v>
      </c>
      <c r="D492" s="232">
        <v>126.0</v>
      </c>
      <c r="E492" s="232">
        <v>0.5</v>
      </c>
      <c r="F492" t="s">
        <v>7702</v>
      </c>
      <c r="G492" t="s">
        <v>330</v>
      </c>
      <c r="H492" t="s">
        <v>7725</v>
      </c>
      <c r="I492" t="s">
        <v>7745</v>
      </c>
    </row>
    <row r="493">
      <c r="A493" t="s">
        <v>1406</v>
      </c>
      <c r="B493" s="232" t="s">
        <v>1405</v>
      </c>
      <c r="C493" s="232">
        <v>0.0</v>
      </c>
      <c r="D493" s="232">
        <v>0.0</v>
      </c>
      <c r="F493" t="s">
        <v>7702</v>
      </c>
      <c r="G493" t="s">
        <v>310</v>
      </c>
      <c r="H493" t="s">
        <v>7703</v>
      </c>
      <c r="I493" t="s">
        <v>7746</v>
      </c>
    </row>
    <row r="494">
      <c r="A494" t="s">
        <v>1408</v>
      </c>
      <c r="B494" s="232" t="s">
        <v>1407</v>
      </c>
      <c r="C494" s="232">
        <v>0.0</v>
      </c>
      <c r="D494" s="232">
        <v>0.0</v>
      </c>
      <c r="F494" t="s">
        <v>7702</v>
      </c>
      <c r="G494" t="s">
        <v>310</v>
      </c>
      <c r="H494" t="s">
        <v>7703</v>
      </c>
      <c r="I494" t="s">
        <v>7746</v>
      </c>
    </row>
    <row r="495">
      <c r="A495" t="s">
        <v>1410</v>
      </c>
      <c r="B495" s="232" t="s">
        <v>1409</v>
      </c>
      <c r="C495" s="232">
        <v>854.0</v>
      </c>
      <c r="D495" s="232">
        <v>357.55</v>
      </c>
      <c r="E495" s="232">
        <v>0.4187</v>
      </c>
      <c r="F495" t="s">
        <v>7732</v>
      </c>
      <c r="G495" t="s">
        <v>330</v>
      </c>
      <c r="H495" t="s">
        <v>7747</v>
      </c>
    </row>
    <row r="496">
      <c r="A496" t="s">
        <v>1412</v>
      </c>
      <c r="B496" s="232" t="s">
        <v>1411</v>
      </c>
      <c r="C496" s="232">
        <v>800.0</v>
      </c>
      <c r="D496" s="232">
        <v>2382.07</v>
      </c>
      <c r="E496" s="232">
        <v>2.9776</v>
      </c>
      <c r="F496" t="s">
        <v>7732</v>
      </c>
      <c r="G496" t="s">
        <v>330</v>
      </c>
      <c r="H496" t="s">
        <v>7747</v>
      </c>
    </row>
    <row r="497">
      <c r="A497" t="s">
        <v>1414</v>
      </c>
      <c r="B497" s="232" t="s">
        <v>1413</v>
      </c>
      <c r="C497" s="232">
        <v>22.232</v>
      </c>
      <c r="D497" s="232">
        <v>132.39</v>
      </c>
      <c r="E497" s="232">
        <v>5.9549</v>
      </c>
      <c r="F497" t="s">
        <v>7732</v>
      </c>
      <c r="G497" t="s">
        <v>330</v>
      </c>
      <c r="H497" t="s">
        <v>7747</v>
      </c>
    </row>
    <row r="498">
      <c r="A498" t="s">
        <v>1416</v>
      </c>
      <c r="B498" s="232" t="s">
        <v>1415</v>
      </c>
      <c r="C498" s="232">
        <v>0.0</v>
      </c>
      <c r="D498" s="232">
        <v>0.0</v>
      </c>
      <c r="F498" t="s">
        <v>7732</v>
      </c>
      <c r="G498" t="s">
        <v>330</v>
      </c>
      <c r="H498" t="s">
        <v>7747</v>
      </c>
    </row>
    <row r="499">
      <c r="A499" t="s">
        <v>1418</v>
      </c>
      <c r="B499" s="232" t="s">
        <v>1417</v>
      </c>
      <c r="C499" s="232">
        <v>300.0</v>
      </c>
      <c r="D499" s="232">
        <v>1062.69</v>
      </c>
      <c r="E499" s="232">
        <v>3.5423</v>
      </c>
      <c r="F499" t="s">
        <v>7732</v>
      </c>
      <c r="G499" t="s">
        <v>330</v>
      </c>
      <c r="H499" t="s">
        <v>7747</v>
      </c>
    </row>
    <row r="500">
      <c r="A500" t="s">
        <v>1420</v>
      </c>
      <c r="B500" s="232" t="s">
        <v>1419</v>
      </c>
      <c r="C500" s="232">
        <v>728.97</v>
      </c>
      <c r="D500" s="232">
        <v>5018.41</v>
      </c>
      <c r="E500" s="232">
        <v>6.8842</v>
      </c>
      <c r="F500" t="s">
        <v>7732</v>
      </c>
      <c r="G500" t="s">
        <v>330</v>
      </c>
      <c r="H500" t="s">
        <v>7747</v>
      </c>
    </row>
    <row r="501">
      <c r="A501" t="s">
        <v>1422</v>
      </c>
      <c r="B501" s="232" t="s">
        <v>1421</v>
      </c>
      <c r="C501" s="232">
        <v>277.97</v>
      </c>
      <c r="D501" s="232">
        <v>2942.2</v>
      </c>
      <c r="E501" s="232">
        <v>10.5846</v>
      </c>
      <c r="F501" t="s">
        <v>7732</v>
      </c>
      <c r="G501" t="s">
        <v>330</v>
      </c>
      <c r="H501" t="s">
        <v>7747</v>
      </c>
    </row>
    <row r="502">
      <c r="A502" t="s">
        <v>1424</v>
      </c>
      <c r="B502" s="232" t="s">
        <v>1423</v>
      </c>
      <c r="C502" s="232">
        <v>0.0</v>
      </c>
      <c r="D502" s="232">
        <v>0.0</v>
      </c>
      <c r="F502" t="s">
        <v>7732</v>
      </c>
      <c r="G502" t="s">
        <v>330</v>
      </c>
      <c r="H502" t="s">
        <v>7747</v>
      </c>
    </row>
    <row r="503">
      <c r="A503" t="s">
        <v>1426</v>
      </c>
      <c r="B503" s="232" t="s">
        <v>1425</v>
      </c>
      <c r="C503" s="232">
        <v>401.233</v>
      </c>
      <c r="D503" s="232">
        <v>3704.55</v>
      </c>
      <c r="E503" s="232">
        <v>9.2329</v>
      </c>
      <c r="F503" t="s">
        <v>7732</v>
      </c>
      <c r="G503" t="s">
        <v>330</v>
      </c>
      <c r="H503" t="s">
        <v>7747</v>
      </c>
    </row>
    <row r="504">
      <c r="A504" t="s">
        <v>1428</v>
      </c>
      <c r="B504" s="232" t="s">
        <v>1427</v>
      </c>
      <c r="C504" s="232">
        <v>292.728</v>
      </c>
      <c r="D504" s="232">
        <v>4976.01</v>
      </c>
      <c r="E504" s="232">
        <v>16.9987</v>
      </c>
      <c r="F504" t="s">
        <v>7732</v>
      </c>
      <c r="G504" t="s">
        <v>330</v>
      </c>
      <c r="H504" t="s">
        <v>7747</v>
      </c>
    </row>
    <row r="505">
      <c r="A505" t="s">
        <v>1434</v>
      </c>
      <c r="B505" s="232" t="s">
        <v>1433</v>
      </c>
      <c r="C505" s="232">
        <v>400.0</v>
      </c>
      <c r="D505" s="232">
        <v>1149.97</v>
      </c>
      <c r="E505" s="232">
        <v>2.8749</v>
      </c>
      <c r="F505" t="s">
        <v>7732</v>
      </c>
      <c r="G505" t="s">
        <v>330</v>
      </c>
      <c r="H505" t="s">
        <v>7747</v>
      </c>
    </row>
    <row r="506">
      <c r="A506" t="s">
        <v>1436</v>
      </c>
      <c r="B506" s="232" t="s">
        <v>1435</v>
      </c>
      <c r="C506" s="232">
        <v>275.0</v>
      </c>
      <c r="D506" s="232">
        <v>350.28</v>
      </c>
      <c r="E506" s="232">
        <v>1.2737</v>
      </c>
      <c r="F506" t="s">
        <v>7702</v>
      </c>
      <c r="G506" t="s">
        <v>330</v>
      </c>
      <c r="H506" t="s">
        <v>150</v>
      </c>
      <c r="I506" t="s">
        <v>7748</v>
      </c>
    </row>
    <row r="507">
      <c r="A507" t="s">
        <v>1438</v>
      </c>
      <c r="B507" s="232" t="s">
        <v>1437</v>
      </c>
      <c r="C507" s="232">
        <v>200.0</v>
      </c>
      <c r="D507" s="232">
        <v>359.97</v>
      </c>
      <c r="E507" s="232">
        <v>1.7999</v>
      </c>
      <c r="F507" t="s">
        <v>7702</v>
      </c>
      <c r="G507" t="s">
        <v>330</v>
      </c>
      <c r="H507" t="s">
        <v>150</v>
      </c>
      <c r="I507" t="s">
        <v>7748</v>
      </c>
    </row>
    <row r="508">
      <c r="A508" t="s">
        <v>1446</v>
      </c>
      <c r="B508" s="232" t="s">
        <v>1445</v>
      </c>
      <c r="C508" s="232">
        <v>799.0</v>
      </c>
      <c r="D508" s="232">
        <v>1536.87</v>
      </c>
      <c r="E508" s="232">
        <v>1.9235</v>
      </c>
      <c r="F508" t="s">
        <v>7702</v>
      </c>
      <c r="G508" t="s">
        <v>330</v>
      </c>
      <c r="H508" t="s">
        <v>7709</v>
      </c>
      <c r="I508" t="s">
        <v>7748</v>
      </c>
    </row>
    <row r="509">
      <c r="A509" t="s">
        <v>1448</v>
      </c>
      <c r="B509" s="232" t="s">
        <v>1447</v>
      </c>
      <c r="C509" s="232">
        <v>646.0</v>
      </c>
      <c r="D509" s="232">
        <v>1286.84</v>
      </c>
      <c r="E509" s="232">
        <v>1.992</v>
      </c>
      <c r="F509" t="s">
        <v>7702</v>
      </c>
      <c r="G509" t="s">
        <v>330</v>
      </c>
      <c r="H509" t="s">
        <v>150</v>
      </c>
      <c r="I509" t="s">
        <v>7748</v>
      </c>
    </row>
    <row r="510">
      <c r="A510" t="s">
        <v>1450</v>
      </c>
      <c r="B510" s="232" t="s">
        <v>1449</v>
      </c>
      <c r="C510" s="232">
        <v>912.0</v>
      </c>
      <c r="D510" s="232">
        <v>1754.38</v>
      </c>
      <c r="E510" s="232">
        <v>1.9237</v>
      </c>
      <c r="F510" t="s">
        <v>7702</v>
      </c>
      <c r="G510" t="s">
        <v>330</v>
      </c>
      <c r="H510" t="s">
        <v>7709</v>
      </c>
      <c r="I510" t="s">
        <v>7748</v>
      </c>
    </row>
    <row r="511">
      <c r="A511" t="s">
        <v>1452</v>
      </c>
      <c r="B511" s="232" t="s">
        <v>1451</v>
      </c>
      <c r="C511" s="232">
        <v>567.0</v>
      </c>
      <c r="D511" s="232">
        <v>1129.43</v>
      </c>
      <c r="E511" s="232">
        <v>1.9919</v>
      </c>
      <c r="F511" t="s">
        <v>7702</v>
      </c>
      <c r="G511" t="s">
        <v>330</v>
      </c>
      <c r="H511" t="s">
        <v>150</v>
      </c>
      <c r="I511" t="s">
        <v>7748</v>
      </c>
    </row>
    <row r="512">
      <c r="A512" t="s">
        <v>1454</v>
      </c>
      <c r="B512" s="232" t="s">
        <v>1453</v>
      </c>
      <c r="C512" s="232">
        <v>449.0</v>
      </c>
      <c r="D512" s="232">
        <v>894.32</v>
      </c>
      <c r="E512" s="232">
        <v>1.9918</v>
      </c>
      <c r="F512" t="s">
        <v>7702</v>
      </c>
      <c r="G512" t="s">
        <v>330</v>
      </c>
      <c r="H512" t="s">
        <v>150</v>
      </c>
      <c r="I512" t="s">
        <v>7748</v>
      </c>
    </row>
    <row r="513">
      <c r="A513" t="s">
        <v>1456</v>
      </c>
      <c r="B513" s="232" t="s">
        <v>1455</v>
      </c>
      <c r="C513" s="232">
        <v>964.0</v>
      </c>
      <c r="D513" s="232">
        <v>1854.46</v>
      </c>
      <c r="E513" s="232">
        <v>1.9237</v>
      </c>
      <c r="F513" t="s">
        <v>7702</v>
      </c>
      <c r="G513" t="s">
        <v>330</v>
      </c>
      <c r="H513" t="s">
        <v>7709</v>
      </c>
      <c r="I513" t="s">
        <v>7748</v>
      </c>
    </row>
    <row r="514">
      <c r="A514" t="s">
        <v>1458</v>
      </c>
      <c r="B514" s="232" t="s">
        <v>1457</v>
      </c>
      <c r="C514" s="232">
        <v>574.0</v>
      </c>
      <c r="D514" s="232">
        <v>1143.38</v>
      </c>
      <c r="E514" s="232">
        <v>1.992</v>
      </c>
      <c r="F514" t="s">
        <v>7702</v>
      </c>
      <c r="G514" t="s">
        <v>330</v>
      </c>
      <c r="H514" t="s">
        <v>45</v>
      </c>
      <c r="I514" t="s">
        <v>7748</v>
      </c>
    </row>
    <row r="515">
      <c r="A515" t="s">
        <v>1462</v>
      </c>
      <c r="B515" s="232" t="s">
        <v>1461</v>
      </c>
      <c r="C515" s="232">
        <v>381.0</v>
      </c>
      <c r="D515" s="232">
        <v>2380.19</v>
      </c>
      <c r="E515" s="232">
        <v>6.2472</v>
      </c>
      <c r="F515" t="s">
        <v>7702</v>
      </c>
      <c r="G515" t="s">
        <v>330</v>
      </c>
      <c r="H515" t="s">
        <v>7709</v>
      </c>
      <c r="I515" t="s">
        <v>7744</v>
      </c>
    </row>
    <row r="516">
      <c r="A516" t="s">
        <v>1464</v>
      </c>
      <c r="B516" s="232" t="s">
        <v>1463</v>
      </c>
      <c r="C516" s="232">
        <v>0.0</v>
      </c>
      <c r="D516" s="232">
        <v>0.0</v>
      </c>
      <c r="F516" t="s">
        <v>7702</v>
      </c>
      <c r="G516" t="s">
        <v>310</v>
      </c>
      <c r="H516" t="s">
        <v>45</v>
      </c>
      <c r="I516" t="s">
        <v>7744</v>
      </c>
    </row>
    <row r="517">
      <c r="A517" t="s">
        <v>1466</v>
      </c>
      <c r="B517" s="232" t="s">
        <v>1465</v>
      </c>
      <c r="C517" s="232">
        <v>361.0</v>
      </c>
      <c r="D517" s="232">
        <v>2255.25</v>
      </c>
      <c r="E517" s="232">
        <v>6.2472</v>
      </c>
      <c r="F517" t="s">
        <v>7702</v>
      </c>
      <c r="G517" t="s">
        <v>330</v>
      </c>
      <c r="H517" t="s">
        <v>7709</v>
      </c>
      <c r="I517" t="s">
        <v>7744</v>
      </c>
    </row>
    <row r="518">
      <c r="A518" t="s">
        <v>1468</v>
      </c>
      <c r="B518" s="232" t="s">
        <v>1467</v>
      </c>
      <c r="C518" s="232">
        <v>94.0</v>
      </c>
      <c r="D518" s="232">
        <v>555.17</v>
      </c>
      <c r="E518" s="232">
        <v>5.9061</v>
      </c>
      <c r="F518" t="s">
        <v>7702</v>
      </c>
      <c r="G518" t="s">
        <v>330</v>
      </c>
      <c r="H518" t="s">
        <v>7709</v>
      </c>
      <c r="I518" t="s">
        <v>7744</v>
      </c>
    </row>
    <row r="519">
      <c r="A519" t="s">
        <v>1470</v>
      </c>
      <c r="B519" s="232" t="s">
        <v>1469</v>
      </c>
      <c r="C519" s="232">
        <v>2.0</v>
      </c>
      <c r="D519" s="232">
        <v>61.79</v>
      </c>
      <c r="E519" s="232">
        <v>30.895</v>
      </c>
      <c r="F519" t="s">
        <v>7702</v>
      </c>
      <c r="G519" t="s">
        <v>330</v>
      </c>
      <c r="H519" t="s">
        <v>7709</v>
      </c>
      <c r="I519" t="s">
        <v>7744</v>
      </c>
    </row>
    <row r="520">
      <c r="A520" t="s">
        <v>1472</v>
      </c>
      <c r="B520" s="232" t="s">
        <v>1471</v>
      </c>
      <c r="C520" s="232">
        <v>263.0</v>
      </c>
      <c r="D520" s="232">
        <v>1643.18</v>
      </c>
      <c r="E520" s="232">
        <v>6.2478</v>
      </c>
      <c r="F520" t="s">
        <v>7702</v>
      </c>
      <c r="G520" t="s">
        <v>330</v>
      </c>
      <c r="H520" t="s">
        <v>7709</v>
      </c>
      <c r="I520" t="s">
        <v>7744</v>
      </c>
    </row>
    <row r="521">
      <c r="A521" t="s">
        <v>1474</v>
      </c>
      <c r="B521" s="232" t="s">
        <v>1473</v>
      </c>
      <c r="C521" s="232">
        <v>0.0</v>
      </c>
      <c r="D521" s="232">
        <v>0.0</v>
      </c>
      <c r="F521" t="s">
        <v>7702</v>
      </c>
      <c r="G521" t="s">
        <v>310</v>
      </c>
      <c r="H521" t="s">
        <v>45</v>
      </c>
      <c r="I521" t="s">
        <v>7744</v>
      </c>
    </row>
    <row r="522">
      <c r="A522" t="s">
        <v>1476</v>
      </c>
      <c r="B522" s="232" t="s">
        <v>1475</v>
      </c>
      <c r="C522" s="232">
        <v>311.0</v>
      </c>
      <c r="D522" s="232">
        <v>1942.95</v>
      </c>
      <c r="E522" s="232">
        <v>6.2474</v>
      </c>
      <c r="F522" t="s">
        <v>7702</v>
      </c>
      <c r="G522" t="s">
        <v>330</v>
      </c>
      <c r="H522" t="s">
        <v>45</v>
      </c>
      <c r="I522" t="s">
        <v>7744</v>
      </c>
    </row>
    <row r="523">
      <c r="A523" t="s">
        <v>1478</v>
      </c>
      <c r="B523" s="232" t="s">
        <v>1477</v>
      </c>
      <c r="C523" s="232">
        <v>1.0</v>
      </c>
      <c r="D523" s="232">
        <v>0.0</v>
      </c>
      <c r="E523" s="232">
        <v>0.0</v>
      </c>
      <c r="F523" t="s">
        <v>7702</v>
      </c>
      <c r="G523" t="s">
        <v>330</v>
      </c>
      <c r="H523" t="s">
        <v>7725</v>
      </c>
    </row>
    <row r="524">
      <c r="A524" t="s">
        <v>1482</v>
      </c>
      <c r="B524" s="232" t="s">
        <v>1481</v>
      </c>
      <c r="C524" s="232">
        <v>0.0</v>
      </c>
      <c r="D524" s="232">
        <v>0.0</v>
      </c>
      <c r="F524" t="s">
        <v>7702</v>
      </c>
      <c r="G524" t="s">
        <v>310</v>
      </c>
      <c r="H524" t="s">
        <v>7703</v>
      </c>
      <c r="I524" t="s">
        <v>7749</v>
      </c>
    </row>
    <row r="525">
      <c r="A525" t="s">
        <v>1484</v>
      </c>
      <c r="B525" s="232" t="s">
        <v>1483</v>
      </c>
      <c r="C525" s="232">
        <v>0.0</v>
      </c>
      <c r="D525" s="232">
        <v>0.0</v>
      </c>
      <c r="F525" t="s">
        <v>7702</v>
      </c>
      <c r="G525" t="s">
        <v>310</v>
      </c>
      <c r="H525" t="s">
        <v>7703</v>
      </c>
      <c r="I525" t="s">
        <v>7749</v>
      </c>
    </row>
    <row r="526">
      <c r="A526" t="s">
        <v>1486</v>
      </c>
      <c r="B526" s="232" t="s">
        <v>1485</v>
      </c>
      <c r="C526" s="232">
        <v>0.0</v>
      </c>
      <c r="D526" s="232">
        <v>0.0</v>
      </c>
      <c r="F526" t="s">
        <v>7702</v>
      </c>
      <c r="G526" t="s">
        <v>310</v>
      </c>
      <c r="H526" t="s">
        <v>7703</v>
      </c>
      <c r="I526" t="s">
        <v>7749</v>
      </c>
    </row>
    <row r="527">
      <c r="A527" t="s">
        <v>1488</v>
      </c>
      <c r="B527" s="232" t="s">
        <v>1487</v>
      </c>
      <c r="C527" s="232">
        <v>0.0</v>
      </c>
      <c r="D527" s="232">
        <v>0.0</v>
      </c>
      <c r="F527" t="s">
        <v>7702</v>
      </c>
      <c r="G527" t="s">
        <v>310</v>
      </c>
      <c r="H527" t="s">
        <v>7703</v>
      </c>
      <c r="I527" t="s">
        <v>7749</v>
      </c>
    </row>
    <row r="528">
      <c r="A528" t="s">
        <v>1490</v>
      </c>
      <c r="B528" s="232" t="s">
        <v>1489</v>
      </c>
      <c r="C528" s="232">
        <v>0.0</v>
      </c>
      <c r="D528" s="232">
        <v>0.0</v>
      </c>
      <c r="F528" t="s">
        <v>7702</v>
      </c>
      <c r="G528" t="s">
        <v>310</v>
      </c>
      <c r="H528" t="s">
        <v>7703</v>
      </c>
      <c r="I528" t="s">
        <v>7749</v>
      </c>
    </row>
    <row r="529">
      <c r="A529" t="s">
        <v>1492</v>
      </c>
      <c r="B529" s="232" t="s">
        <v>1491</v>
      </c>
      <c r="C529" s="232">
        <v>0.0</v>
      </c>
      <c r="D529" s="232">
        <v>0.0</v>
      </c>
      <c r="F529" t="s">
        <v>7702</v>
      </c>
      <c r="G529" t="s">
        <v>310</v>
      </c>
      <c r="H529" t="s">
        <v>7703</v>
      </c>
      <c r="I529" t="s">
        <v>7749</v>
      </c>
    </row>
    <row r="530">
      <c r="A530" t="s">
        <v>1494</v>
      </c>
      <c r="B530" s="232" t="s">
        <v>1493</v>
      </c>
      <c r="C530" s="232">
        <v>0.0</v>
      </c>
      <c r="D530" s="232">
        <v>0.0</v>
      </c>
      <c r="F530" t="s">
        <v>7702</v>
      </c>
      <c r="G530" t="s">
        <v>310</v>
      </c>
      <c r="H530" t="s">
        <v>7703</v>
      </c>
      <c r="I530" t="s">
        <v>7749</v>
      </c>
    </row>
    <row r="531">
      <c r="A531" t="s">
        <v>1496</v>
      </c>
      <c r="B531" s="232" t="s">
        <v>1495</v>
      </c>
      <c r="C531" s="232">
        <v>0.0</v>
      </c>
      <c r="D531" s="232">
        <v>0.0</v>
      </c>
      <c r="F531" t="s">
        <v>7702</v>
      </c>
      <c r="G531" t="s">
        <v>310</v>
      </c>
      <c r="H531" t="s">
        <v>7703</v>
      </c>
      <c r="I531" t="s">
        <v>7749</v>
      </c>
    </row>
    <row r="532">
      <c r="A532" t="s">
        <v>1498</v>
      </c>
      <c r="B532" s="232" t="s">
        <v>1497</v>
      </c>
      <c r="C532" s="232">
        <v>0.0</v>
      </c>
      <c r="D532" s="232">
        <v>0.0</v>
      </c>
      <c r="F532" t="s">
        <v>7732</v>
      </c>
      <c r="G532" t="s">
        <v>330</v>
      </c>
      <c r="H532" t="s">
        <v>7733</v>
      </c>
    </row>
    <row r="533">
      <c r="A533" t="s">
        <v>1500</v>
      </c>
      <c r="B533" s="232" t="s">
        <v>1499</v>
      </c>
      <c r="C533" s="232">
        <v>0.0</v>
      </c>
      <c r="D533" s="232">
        <v>0.0</v>
      </c>
      <c r="F533" t="s">
        <v>7702</v>
      </c>
      <c r="G533" t="s">
        <v>310</v>
      </c>
      <c r="H533" t="s">
        <v>7703</v>
      </c>
      <c r="I533" t="s">
        <v>166</v>
      </c>
    </row>
    <row r="534">
      <c r="A534" t="s">
        <v>1502</v>
      </c>
      <c r="B534" s="232" t="s">
        <v>1501</v>
      </c>
      <c r="C534" s="232">
        <v>12.0</v>
      </c>
      <c r="D534" s="232">
        <v>6.48</v>
      </c>
      <c r="E534" s="232">
        <v>0.54</v>
      </c>
      <c r="F534" t="s">
        <v>7702</v>
      </c>
      <c r="G534" t="s">
        <v>330</v>
      </c>
      <c r="H534" t="s">
        <v>7725</v>
      </c>
      <c r="I534" t="s">
        <v>7739</v>
      </c>
    </row>
    <row r="535">
      <c r="A535" t="s">
        <v>1504</v>
      </c>
      <c r="B535" s="232" t="s">
        <v>1503</v>
      </c>
      <c r="C535" s="232">
        <v>108.0</v>
      </c>
      <c r="D535" s="232">
        <v>58.32</v>
      </c>
      <c r="E535" s="232">
        <v>0.54</v>
      </c>
      <c r="F535" t="s">
        <v>7702</v>
      </c>
      <c r="G535" t="s">
        <v>330</v>
      </c>
      <c r="H535" t="s">
        <v>7725</v>
      </c>
      <c r="I535" t="s">
        <v>7739</v>
      </c>
    </row>
    <row r="536">
      <c r="A536" t="s">
        <v>1506</v>
      </c>
      <c r="B536" s="232" t="s">
        <v>1505</v>
      </c>
      <c r="C536" s="232">
        <v>930.0</v>
      </c>
      <c r="D536" s="232">
        <v>391.4</v>
      </c>
      <c r="E536" s="232">
        <v>0.4209</v>
      </c>
      <c r="F536" t="s">
        <v>7732</v>
      </c>
      <c r="G536" t="s">
        <v>330</v>
      </c>
      <c r="H536" t="s">
        <v>7747</v>
      </c>
    </row>
    <row r="537">
      <c r="A537" t="s">
        <v>1508</v>
      </c>
      <c r="B537" s="232" t="s">
        <v>1507</v>
      </c>
      <c r="C537" s="232">
        <v>0.0</v>
      </c>
      <c r="D537" s="232">
        <v>0.0</v>
      </c>
      <c r="F537" t="s">
        <v>7702</v>
      </c>
      <c r="G537" t="s">
        <v>310</v>
      </c>
      <c r="H537" t="s">
        <v>7703</v>
      </c>
      <c r="I537" t="s">
        <v>7749</v>
      </c>
    </row>
    <row r="538">
      <c r="A538" t="s">
        <v>1510</v>
      </c>
      <c r="B538" s="232" t="s">
        <v>1509</v>
      </c>
      <c r="C538" s="232">
        <v>0.0</v>
      </c>
      <c r="D538" s="232">
        <v>0.0</v>
      </c>
      <c r="F538" t="s">
        <v>7702</v>
      </c>
      <c r="G538" t="s">
        <v>310</v>
      </c>
      <c r="H538" t="s">
        <v>7703</v>
      </c>
      <c r="I538" t="s">
        <v>7749</v>
      </c>
    </row>
    <row r="539">
      <c r="A539" t="s">
        <v>1512</v>
      </c>
      <c r="B539" s="232" t="s">
        <v>1511</v>
      </c>
      <c r="C539" s="232">
        <v>0.0</v>
      </c>
      <c r="D539" s="232">
        <v>0.0</v>
      </c>
      <c r="F539" t="s">
        <v>7702</v>
      </c>
      <c r="G539" t="s">
        <v>310</v>
      </c>
      <c r="H539" t="s">
        <v>7703</v>
      </c>
      <c r="I539" t="s">
        <v>7749</v>
      </c>
    </row>
    <row r="540">
      <c r="A540" t="s">
        <v>1514</v>
      </c>
      <c r="B540" s="232" t="s">
        <v>1513</v>
      </c>
      <c r="C540" s="232">
        <v>0.0</v>
      </c>
      <c r="D540" s="232">
        <v>0.0</v>
      </c>
      <c r="F540" t="s">
        <v>7702</v>
      </c>
      <c r="G540" t="s">
        <v>310</v>
      </c>
      <c r="H540" t="s">
        <v>7703</v>
      </c>
      <c r="I540" t="s">
        <v>151</v>
      </c>
    </row>
    <row r="541">
      <c r="A541" t="s">
        <v>1516</v>
      </c>
      <c r="B541" s="232" t="s">
        <v>1515</v>
      </c>
      <c r="C541" s="232">
        <v>0.0</v>
      </c>
      <c r="D541" s="232">
        <v>0.0</v>
      </c>
      <c r="F541" t="s">
        <v>7702</v>
      </c>
      <c r="G541" t="s">
        <v>310</v>
      </c>
      <c r="H541" t="s">
        <v>7703</v>
      </c>
      <c r="I541" t="s">
        <v>7750</v>
      </c>
    </row>
    <row r="542">
      <c r="A542" t="s">
        <v>1518</v>
      </c>
      <c r="B542" s="232" t="s">
        <v>1517</v>
      </c>
      <c r="C542" s="232">
        <v>0.0</v>
      </c>
      <c r="D542" s="232">
        <v>0.0</v>
      </c>
      <c r="F542" t="s">
        <v>7702</v>
      </c>
      <c r="G542" t="s">
        <v>310</v>
      </c>
      <c r="H542" t="s">
        <v>7703</v>
      </c>
      <c r="I542" t="s">
        <v>7750</v>
      </c>
    </row>
    <row r="543">
      <c r="A543" t="s">
        <v>1520</v>
      </c>
      <c r="B543" s="232" t="s">
        <v>1519</v>
      </c>
      <c r="C543" s="232">
        <v>0.0</v>
      </c>
      <c r="D543" s="232">
        <v>0.0</v>
      </c>
      <c r="F543" t="s">
        <v>7702</v>
      </c>
      <c r="G543" t="s">
        <v>310</v>
      </c>
      <c r="H543" t="s">
        <v>7703</v>
      </c>
      <c r="I543" t="s">
        <v>7750</v>
      </c>
    </row>
    <row r="544">
      <c r="A544" t="s">
        <v>1522</v>
      </c>
      <c r="B544" s="232" t="s">
        <v>1521</v>
      </c>
      <c r="C544" s="232">
        <v>0.0</v>
      </c>
      <c r="D544" s="232">
        <v>0.0</v>
      </c>
      <c r="F544" t="s">
        <v>7702</v>
      </c>
      <c r="G544" t="s">
        <v>310</v>
      </c>
      <c r="H544" t="s">
        <v>7703</v>
      </c>
      <c r="I544" t="s">
        <v>7750</v>
      </c>
    </row>
    <row r="545">
      <c r="A545" t="s">
        <v>1524</v>
      </c>
      <c r="B545" s="232" t="s">
        <v>1523</v>
      </c>
      <c r="C545" s="232">
        <v>0.0</v>
      </c>
      <c r="D545" s="232">
        <v>0.0</v>
      </c>
      <c r="F545" t="s">
        <v>7702</v>
      </c>
      <c r="G545" t="s">
        <v>310</v>
      </c>
      <c r="H545" t="s">
        <v>7703</v>
      </c>
      <c r="I545" t="s">
        <v>7750</v>
      </c>
    </row>
    <row r="546">
      <c r="A546" t="s">
        <v>1526</v>
      </c>
      <c r="B546" s="232" t="s">
        <v>1525</v>
      </c>
      <c r="C546" s="232">
        <v>0.0</v>
      </c>
      <c r="D546" s="232">
        <v>0.0</v>
      </c>
      <c r="F546" t="s">
        <v>7702</v>
      </c>
      <c r="G546" t="s">
        <v>310</v>
      </c>
      <c r="H546" t="s">
        <v>7703</v>
      </c>
      <c r="I546" t="s">
        <v>7750</v>
      </c>
    </row>
    <row r="547">
      <c r="A547" t="s">
        <v>1528</v>
      </c>
      <c r="B547" s="232" t="s">
        <v>1527</v>
      </c>
      <c r="C547" s="232">
        <v>0.0</v>
      </c>
      <c r="D547" s="232">
        <v>0.0</v>
      </c>
      <c r="F547" t="s">
        <v>7702</v>
      </c>
      <c r="G547" t="s">
        <v>310</v>
      </c>
      <c r="H547" t="s">
        <v>7703</v>
      </c>
      <c r="I547" t="s">
        <v>7750</v>
      </c>
    </row>
    <row r="548">
      <c r="A548" t="s">
        <v>1530</v>
      </c>
      <c r="B548" s="232" t="s">
        <v>1529</v>
      </c>
      <c r="C548" s="232">
        <v>0.0</v>
      </c>
      <c r="D548" s="232">
        <v>0.0</v>
      </c>
      <c r="F548" t="s">
        <v>7702</v>
      </c>
      <c r="G548" t="s">
        <v>310</v>
      </c>
      <c r="H548" t="s">
        <v>7703</v>
      </c>
      <c r="I548" t="s">
        <v>7750</v>
      </c>
    </row>
    <row r="549">
      <c r="A549" t="s">
        <v>1532</v>
      </c>
      <c r="B549" s="232" t="s">
        <v>1531</v>
      </c>
      <c r="C549" s="232">
        <v>0.0</v>
      </c>
      <c r="D549" s="232">
        <v>0.0</v>
      </c>
      <c r="F549" t="s">
        <v>7702</v>
      </c>
      <c r="G549" t="s">
        <v>310</v>
      </c>
      <c r="H549" t="s">
        <v>7703</v>
      </c>
      <c r="I549" t="s">
        <v>7750</v>
      </c>
    </row>
    <row r="550">
      <c r="A550" t="s">
        <v>1534</v>
      </c>
      <c r="B550" s="232" t="s">
        <v>1533</v>
      </c>
      <c r="C550" s="232">
        <v>0.0</v>
      </c>
      <c r="D550" s="232">
        <v>0.0</v>
      </c>
      <c r="F550" t="s">
        <v>7702</v>
      </c>
      <c r="G550" t="s">
        <v>310</v>
      </c>
      <c r="H550" t="s">
        <v>7703</v>
      </c>
      <c r="I550" t="s">
        <v>7750</v>
      </c>
    </row>
    <row r="551">
      <c r="A551" t="s">
        <v>1536</v>
      </c>
      <c r="B551" s="232" t="s">
        <v>1535</v>
      </c>
      <c r="C551" s="232">
        <v>0.0</v>
      </c>
      <c r="D551" s="232">
        <v>0.0</v>
      </c>
      <c r="F551" t="s">
        <v>7702</v>
      </c>
      <c r="G551" t="s">
        <v>310</v>
      </c>
      <c r="H551" t="s">
        <v>7703</v>
      </c>
      <c r="I551" t="s">
        <v>7750</v>
      </c>
    </row>
    <row r="552">
      <c r="A552" t="s">
        <v>1538</v>
      </c>
      <c r="B552" s="232" t="s">
        <v>1537</v>
      </c>
      <c r="C552" s="232">
        <v>0.0</v>
      </c>
      <c r="D552" s="232">
        <v>0.0</v>
      </c>
      <c r="F552" t="s">
        <v>7702</v>
      </c>
      <c r="G552" t="s">
        <v>310</v>
      </c>
      <c r="H552" t="s">
        <v>7703</v>
      </c>
      <c r="I552" t="s">
        <v>7750</v>
      </c>
    </row>
    <row r="553">
      <c r="A553" t="s">
        <v>1540</v>
      </c>
      <c r="B553" s="232" t="s">
        <v>1539</v>
      </c>
      <c r="C553" s="232">
        <v>0.0</v>
      </c>
      <c r="D553" s="232">
        <v>0.0</v>
      </c>
      <c r="F553" t="s">
        <v>7702</v>
      </c>
      <c r="G553" t="s">
        <v>310</v>
      </c>
      <c r="H553" t="s">
        <v>7703</v>
      </c>
      <c r="I553" t="s">
        <v>7750</v>
      </c>
    </row>
    <row r="554">
      <c r="A554" t="s">
        <v>1542</v>
      </c>
      <c r="B554" s="232" t="s">
        <v>1541</v>
      </c>
      <c r="C554" s="232">
        <v>0.0</v>
      </c>
      <c r="D554" s="232">
        <v>0.0</v>
      </c>
      <c r="F554" t="s">
        <v>7702</v>
      </c>
      <c r="G554" t="s">
        <v>310</v>
      </c>
      <c r="H554" t="s">
        <v>7703</v>
      </c>
      <c r="I554" t="s">
        <v>7750</v>
      </c>
    </row>
    <row r="555">
      <c r="A555" t="s">
        <v>1544</v>
      </c>
      <c r="B555" s="232" t="s">
        <v>1543</v>
      </c>
      <c r="C555" s="232">
        <v>0.0</v>
      </c>
      <c r="D555" s="232">
        <v>0.0</v>
      </c>
      <c r="F555" t="s">
        <v>7702</v>
      </c>
      <c r="G555" t="s">
        <v>310</v>
      </c>
      <c r="H555" t="s">
        <v>7703</v>
      </c>
      <c r="I555" t="s">
        <v>7750</v>
      </c>
    </row>
    <row r="556">
      <c r="A556" t="s">
        <v>1546</v>
      </c>
      <c r="B556" s="232" t="s">
        <v>1545</v>
      </c>
      <c r="C556" s="232">
        <v>0.0</v>
      </c>
      <c r="D556" s="232">
        <v>0.0</v>
      </c>
      <c r="F556" t="s">
        <v>7702</v>
      </c>
      <c r="G556" t="s">
        <v>310</v>
      </c>
      <c r="H556" t="s">
        <v>7703</v>
      </c>
      <c r="I556" t="s">
        <v>7750</v>
      </c>
    </row>
    <row r="557">
      <c r="A557" t="s">
        <v>1548</v>
      </c>
      <c r="B557" s="232" t="s">
        <v>1547</v>
      </c>
      <c r="C557" s="232">
        <v>0.0</v>
      </c>
      <c r="D557" s="232">
        <v>0.0</v>
      </c>
      <c r="F557" t="s">
        <v>7702</v>
      </c>
      <c r="G557" t="s">
        <v>310</v>
      </c>
      <c r="H557" t="s">
        <v>7703</v>
      </c>
      <c r="I557" t="s">
        <v>7750</v>
      </c>
    </row>
    <row r="558">
      <c r="A558" t="s">
        <v>1550</v>
      </c>
      <c r="B558" s="232" t="s">
        <v>1549</v>
      </c>
      <c r="C558" s="232">
        <v>0.0</v>
      </c>
      <c r="D558" s="232">
        <v>0.0</v>
      </c>
      <c r="F558" t="s">
        <v>7702</v>
      </c>
      <c r="G558" t="s">
        <v>310</v>
      </c>
      <c r="H558" t="s">
        <v>7703</v>
      </c>
      <c r="I558" t="s">
        <v>7750</v>
      </c>
    </row>
    <row r="559">
      <c r="A559" t="s">
        <v>1552</v>
      </c>
      <c r="B559" s="232" t="s">
        <v>1551</v>
      </c>
      <c r="C559" s="232">
        <v>0.0</v>
      </c>
      <c r="D559" s="232">
        <v>0.0</v>
      </c>
      <c r="F559" t="s">
        <v>7702</v>
      </c>
      <c r="G559" t="s">
        <v>310</v>
      </c>
      <c r="H559" t="s">
        <v>7703</v>
      </c>
      <c r="I559" t="s">
        <v>7750</v>
      </c>
    </row>
    <row r="560">
      <c r="A560" t="s">
        <v>1554</v>
      </c>
      <c r="B560" s="232" t="s">
        <v>1553</v>
      </c>
      <c r="C560" s="232">
        <v>0.0</v>
      </c>
      <c r="D560" s="232">
        <v>0.0</v>
      </c>
      <c r="F560" t="s">
        <v>7702</v>
      </c>
      <c r="G560" t="s">
        <v>310</v>
      </c>
      <c r="H560" t="s">
        <v>7703</v>
      </c>
      <c r="I560" t="s">
        <v>7750</v>
      </c>
    </row>
    <row r="561">
      <c r="A561" t="s">
        <v>1556</v>
      </c>
      <c r="B561" s="232" t="s">
        <v>1555</v>
      </c>
      <c r="C561" s="232">
        <v>0.0</v>
      </c>
      <c r="D561" s="232">
        <v>0.0</v>
      </c>
      <c r="F561" t="s">
        <v>7702</v>
      </c>
      <c r="G561" t="s">
        <v>310</v>
      </c>
      <c r="H561" t="s">
        <v>7703</v>
      </c>
      <c r="I561" t="s">
        <v>7750</v>
      </c>
    </row>
    <row r="562">
      <c r="A562" t="s">
        <v>1558</v>
      </c>
      <c r="B562" s="232" t="s">
        <v>1557</v>
      </c>
      <c r="C562" s="232">
        <v>0.0</v>
      </c>
      <c r="D562" s="232">
        <v>0.0</v>
      </c>
      <c r="F562" t="s">
        <v>7702</v>
      </c>
      <c r="G562" t="s">
        <v>310</v>
      </c>
      <c r="H562" t="s">
        <v>7703</v>
      </c>
      <c r="I562" t="s">
        <v>7750</v>
      </c>
    </row>
    <row r="563">
      <c r="A563" t="s">
        <v>1560</v>
      </c>
      <c r="B563" s="232" t="s">
        <v>1559</v>
      </c>
      <c r="C563" s="232">
        <v>0.0</v>
      </c>
      <c r="D563" s="232">
        <v>0.0</v>
      </c>
      <c r="F563" t="s">
        <v>7702</v>
      </c>
      <c r="G563" t="s">
        <v>310</v>
      </c>
      <c r="H563" t="s">
        <v>7703</v>
      </c>
      <c r="I563" t="s">
        <v>7750</v>
      </c>
    </row>
    <row r="564">
      <c r="A564" t="s">
        <v>1562</v>
      </c>
      <c r="B564" s="232" t="s">
        <v>1561</v>
      </c>
      <c r="C564" s="232">
        <v>0.0</v>
      </c>
      <c r="D564" s="232">
        <v>0.0</v>
      </c>
      <c r="F564" t="s">
        <v>7702</v>
      </c>
      <c r="G564" t="s">
        <v>310</v>
      </c>
      <c r="H564" t="s">
        <v>7703</v>
      </c>
      <c r="I564" t="s">
        <v>7750</v>
      </c>
    </row>
    <row r="565">
      <c r="A565" t="s">
        <v>1564</v>
      </c>
      <c r="B565" s="232" t="s">
        <v>1563</v>
      </c>
      <c r="C565" s="232">
        <v>0.0</v>
      </c>
      <c r="D565" s="232">
        <v>0.0</v>
      </c>
      <c r="F565" t="s">
        <v>7702</v>
      </c>
      <c r="G565" t="s">
        <v>310</v>
      </c>
      <c r="H565" t="s">
        <v>7703</v>
      </c>
      <c r="I565" t="s">
        <v>7750</v>
      </c>
    </row>
    <row r="566">
      <c r="A566" t="s">
        <v>1566</v>
      </c>
      <c r="B566" s="232" t="s">
        <v>1565</v>
      </c>
      <c r="C566" s="232">
        <v>0.0</v>
      </c>
      <c r="D566" s="232">
        <v>0.0</v>
      </c>
      <c r="F566" t="s">
        <v>7702</v>
      </c>
      <c r="G566" t="s">
        <v>310</v>
      </c>
      <c r="H566" t="s">
        <v>7703</v>
      </c>
      <c r="I566" t="s">
        <v>7750</v>
      </c>
    </row>
    <row r="567">
      <c r="A567" t="s">
        <v>1568</v>
      </c>
      <c r="B567" s="232" t="s">
        <v>1567</v>
      </c>
      <c r="C567" s="232">
        <v>0.0</v>
      </c>
      <c r="D567" s="232">
        <v>0.0</v>
      </c>
      <c r="F567" t="s">
        <v>7702</v>
      </c>
      <c r="G567" t="s">
        <v>310</v>
      </c>
      <c r="H567" t="s">
        <v>7703</v>
      </c>
      <c r="I567" t="s">
        <v>7750</v>
      </c>
    </row>
    <row r="568">
      <c r="A568" t="s">
        <v>1570</v>
      </c>
      <c r="B568" s="232" t="s">
        <v>1569</v>
      </c>
      <c r="C568" s="232">
        <v>0.0</v>
      </c>
      <c r="D568" s="232">
        <v>0.0</v>
      </c>
      <c r="F568" t="s">
        <v>7702</v>
      </c>
      <c r="G568" t="s">
        <v>310</v>
      </c>
      <c r="H568" t="s">
        <v>7703</v>
      </c>
      <c r="I568" t="s">
        <v>7750</v>
      </c>
    </row>
    <row r="569">
      <c r="A569" t="s">
        <v>1572</v>
      </c>
      <c r="B569" s="232" t="s">
        <v>1571</v>
      </c>
      <c r="C569" s="232">
        <v>0.0</v>
      </c>
      <c r="D569" s="232">
        <v>0.0</v>
      </c>
      <c r="F569" t="s">
        <v>7702</v>
      </c>
      <c r="G569" t="s">
        <v>310</v>
      </c>
      <c r="H569" t="s">
        <v>7703</v>
      </c>
      <c r="I569" t="s">
        <v>7750</v>
      </c>
    </row>
    <row r="570">
      <c r="A570" t="s">
        <v>1574</v>
      </c>
      <c r="B570" s="232" t="s">
        <v>1573</v>
      </c>
      <c r="C570" s="232">
        <v>0.0</v>
      </c>
      <c r="D570" s="232">
        <v>0.0</v>
      </c>
      <c r="F570" t="s">
        <v>7702</v>
      </c>
      <c r="G570" t="s">
        <v>310</v>
      </c>
      <c r="H570" t="s">
        <v>7703</v>
      </c>
      <c r="I570" t="s">
        <v>7750</v>
      </c>
    </row>
    <row r="571">
      <c r="A571" t="s">
        <v>1576</v>
      </c>
      <c r="B571" s="232" t="s">
        <v>1575</v>
      </c>
      <c r="C571" s="232">
        <v>0.0</v>
      </c>
      <c r="D571" s="232">
        <v>0.0</v>
      </c>
      <c r="F571" t="s">
        <v>7702</v>
      </c>
      <c r="G571" t="s">
        <v>310</v>
      </c>
      <c r="H571" t="s">
        <v>7703</v>
      </c>
      <c r="I571" t="s">
        <v>7750</v>
      </c>
    </row>
    <row r="572">
      <c r="A572" t="s">
        <v>1578</v>
      </c>
      <c r="B572" s="232" t="s">
        <v>1577</v>
      </c>
      <c r="C572" s="232">
        <v>0.0</v>
      </c>
      <c r="D572" s="232">
        <v>0.0</v>
      </c>
      <c r="F572" t="s">
        <v>7702</v>
      </c>
      <c r="G572" t="s">
        <v>310</v>
      </c>
      <c r="H572" t="s">
        <v>7703</v>
      </c>
      <c r="I572" t="s">
        <v>7750</v>
      </c>
    </row>
    <row r="573">
      <c r="A573" t="s">
        <v>1580</v>
      </c>
      <c r="B573" s="232" t="s">
        <v>1579</v>
      </c>
      <c r="C573" s="232">
        <v>0.0</v>
      </c>
      <c r="D573" s="232">
        <v>0.0</v>
      </c>
      <c r="F573" t="s">
        <v>7702</v>
      </c>
      <c r="G573" t="s">
        <v>310</v>
      </c>
      <c r="H573" t="s">
        <v>7703</v>
      </c>
      <c r="I573" t="s">
        <v>7750</v>
      </c>
    </row>
    <row r="574">
      <c r="A574" t="s">
        <v>1582</v>
      </c>
      <c r="B574" s="232" t="s">
        <v>1581</v>
      </c>
      <c r="C574" s="232">
        <v>0.0</v>
      </c>
      <c r="D574" s="232">
        <v>0.0</v>
      </c>
      <c r="F574" t="s">
        <v>7702</v>
      </c>
      <c r="G574" t="s">
        <v>310</v>
      </c>
      <c r="H574" t="s">
        <v>7703</v>
      </c>
      <c r="I574" t="s">
        <v>7750</v>
      </c>
    </row>
    <row r="575">
      <c r="A575" t="s">
        <v>1584</v>
      </c>
      <c r="B575" s="232" t="s">
        <v>1583</v>
      </c>
      <c r="C575" s="232">
        <v>0.0</v>
      </c>
      <c r="D575" s="232">
        <v>0.0</v>
      </c>
      <c r="F575" t="s">
        <v>7702</v>
      </c>
      <c r="G575" t="s">
        <v>310</v>
      </c>
      <c r="H575" t="s">
        <v>7703</v>
      </c>
      <c r="I575" t="s">
        <v>7750</v>
      </c>
    </row>
    <row r="576">
      <c r="A576" t="s">
        <v>1586</v>
      </c>
      <c r="B576" s="232" t="s">
        <v>1585</v>
      </c>
      <c r="C576" s="232">
        <v>0.0</v>
      </c>
      <c r="D576" s="232">
        <v>0.0</v>
      </c>
      <c r="F576" t="s">
        <v>7702</v>
      </c>
      <c r="G576" t="s">
        <v>310</v>
      </c>
      <c r="H576" t="s">
        <v>7703</v>
      </c>
      <c r="I576" t="s">
        <v>7750</v>
      </c>
    </row>
    <row r="577">
      <c r="A577" t="s">
        <v>1588</v>
      </c>
      <c r="B577" s="232" t="s">
        <v>1587</v>
      </c>
      <c r="C577" s="232">
        <v>0.0</v>
      </c>
      <c r="D577" s="232">
        <v>0.0</v>
      </c>
      <c r="F577" t="s">
        <v>7702</v>
      </c>
      <c r="G577" t="s">
        <v>310</v>
      </c>
      <c r="H577" t="s">
        <v>7703</v>
      </c>
      <c r="I577" t="s">
        <v>7750</v>
      </c>
    </row>
    <row r="578">
      <c r="A578" t="s">
        <v>1590</v>
      </c>
      <c r="B578" s="232" t="s">
        <v>1589</v>
      </c>
      <c r="C578" s="232">
        <v>0.0</v>
      </c>
      <c r="D578" s="232">
        <v>0.0</v>
      </c>
      <c r="F578" t="s">
        <v>7702</v>
      </c>
      <c r="G578" t="s">
        <v>310</v>
      </c>
      <c r="H578" t="s">
        <v>7703</v>
      </c>
      <c r="I578" t="s">
        <v>7750</v>
      </c>
    </row>
    <row r="579">
      <c r="A579" t="s">
        <v>1592</v>
      </c>
      <c r="B579" s="232" t="s">
        <v>1591</v>
      </c>
      <c r="C579" s="232">
        <v>0.0</v>
      </c>
      <c r="D579" s="232">
        <v>0.0</v>
      </c>
      <c r="F579" t="s">
        <v>7702</v>
      </c>
      <c r="G579" t="s">
        <v>310</v>
      </c>
      <c r="H579" t="s">
        <v>7703</v>
      </c>
      <c r="I579" t="s">
        <v>7750</v>
      </c>
    </row>
    <row r="580">
      <c r="A580" t="s">
        <v>1594</v>
      </c>
      <c r="B580" s="232" t="s">
        <v>1593</v>
      </c>
      <c r="C580" s="232">
        <v>0.0</v>
      </c>
      <c r="D580" s="232">
        <v>0.0</v>
      </c>
      <c r="F580" t="s">
        <v>7702</v>
      </c>
      <c r="G580" t="s">
        <v>310</v>
      </c>
      <c r="H580" t="s">
        <v>7703</v>
      </c>
      <c r="I580" t="s">
        <v>7750</v>
      </c>
    </row>
    <row r="581">
      <c r="A581" t="s">
        <v>1596</v>
      </c>
      <c r="B581" s="232" t="s">
        <v>1595</v>
      </c>
      <c r="C581" s="232">
        <v>0.0</v>
      </c>
      <c r="D581" s="232">
        <v>0.0</v>
      </c>
      <c r="F581" t="s">
        <v>7702</v>
      </c>
      <c r="G581" t="s">
        <v>310</v>
      </c>
      <c r="H581" t="s">
        <v>7703</v>
      </c>
      <c r="I581" t="s">
        <v>7750</v>
      </c>
    </row>
    <row r="582">
      <c r="A582" t="s">
        <v>1598</v>
      </c>
      <c r="B582" s="232" t="s">
        <v>1597</v>
      </c>
      <c r="C582" s="232">
        <v>0.0</v>
      </c>
      <c r="D582" s="232">
        <v>0.0</v>
      </c>
      <c r="F582" t="s">
        <v>7702</v>
      </c>
      <c r="G582" t="s">
        <v>310</v>
      </c>
      <c r="H582" t="s">
        <v>7703</v>
      </c>
      <c r="I582" t="s">
        <v>7750</v>
      </c>
    </row>
    <row r="583">
      <c r="A583" t="s">
        <v>1600</v>
      </c>
      <c r="B583" s="232" t="s">
        <v>1599</v>
      </c>
      <c r="C583" s="232">
        <v>0.0</v>
      </c>
      <c r="D583" s="232">
        <v>0.0</v>
      </c>
      <c r="F583" t="s">
        <v>7702</v>
      </c>
      <c r="G583" t="s">
        <v>310</v>
      </c>
      <c r="H583" t="s">
        <v>7703</v>
      </c>
      <c r="I583" t="s">
        <v>7750</v>
      </c>
    </row>
    <row r="584">
      <c r="A584" t="s">
        <v>1602</v>
      </c>
      <c r="B584" s="232" t="s">
        <v>1601</v>
      </c>
      <c r="C584" s="232">
        <v>0.0</v>
      </c>
      <c r="D584" s="232">
        <v>0.0</v>
      </c>
      <c r="F584" t="s">
        <v>7702</v>
      </c>
      <c r="G584" t="s">
        <v>310</v>
      </c>
      <c r="H584" t="s">
        <v>7703</v>
      </c>
      <c r="I584" t="s">
        <v>7750</v>
      </c>
    </row>
    <row r="585">
      <c r="A585" t="s">
        <v>1604</v>
      </c>
      <c r="B585" s="232" t="s">
        <v>1603</v>
      </c>
      <c r="C585" s="232">
        <v>0.0</v>
      </c>
      <c r="D585" s="232">
        <v>0.0</v>
      </c>
      <c r="F585" t="s">
        <v>7702</v>
      </c>
      <c r="G585" t="s">
        <v>310</v>
      </c>
      <c r="H585" t="s">
        <v>7703</v>
      </c>
      <c r="I585" t="s">
        <v>7750</v>
      </c>
    </row>
    <row r="586">
      <c r="A586" t="s">
        <v>1606</v>
      </c>
      <c r="B586" s="232" t="s">
        <v>1605</v>
      </c>
      <c r="C586" s="232">
        <v>0.0</v>
      </c>
      <c r="D586" s="232">
        <v>0.0</v>
      </c>
      <c r="F586" t="s">
        <v>7702</v>
      </c>
      <c r="G586" t="s">
        <v>310</v>
      </c>
      <c r="H586" t="s">
        <v>7703</v>
      </c>
      <c r="I586" t="s">
        <v>7750</v>
      </c>
    </row>
    <row r="587">
      <c r="A587" t="s">
        <v>1608</v>
      </c>
      <c r="B587" s="232" t="s">
        <v>1607</v>
      </c>
      <c r="C587" s="232">
        <v>0.0</v>
      </c>
      <c r="D587" s="232">
        <v>0.0</v>
      </c>
      <c r="F587" t="s">
        <v>7702</v>
      </c>
      <c r="G587" t="s">
        <v>310</v>
      </c>
      <c r="H587" t="s">
        <v>7703</v>
      </c>
      <c r="I587" t="s">
        <v>7750</v>
      </c>
    </row>
    <row r="588">
      <c r="A588" t="s">
        <v>1610</v>
      </c>
      <c r="B588" s="232" t="s">
        <v>1609</v>
      </c>
      <c r="C588" s="232">
        <v>0.0</v>
      </c>
      <c r="D588" s="232">
        <v>0.0</v>
      </c>
      <c r="F588" t="s">
        <v>7702</v>
      </c>
      <c r="G588" t="s">
        <v>310</v>
      </c>
      <c r="H588" t="s">
        <v>7703</v>
      </c>
      <c r="I588" t="s">
        <v>7750</v>
      </c>
    </row>
    <row r="589">
      <c r="A589" t="s">
        <v>1612</v>
      </c>
      <c r="B589" s="232" t="s">
        <v>1611</v>
      </c>
      <c r="C589" s="232">
        <v>0.0</v>
      </c>
      <c r="D589" s="232">
        <v>0.0</v>
      </c>
      <c r="F589" t="s">
        <v>7702</v>
      </c>
      <c r="G589" t="s">
        <v>310</v>
      </c>
      <c r="H589" t="s">
        <v>7703</v>
      </c>
      <c r="I589" t="s">
        <v>7750</v>
      </c>
    </row>
    <row r="590">
      <c r="A590" t="s">
        <v>1614</v>
      </c>
      <c r="B590" s="232" t="s">
        <v>1613</v>
      </c>
      <c r="C590" s="232">
        <v>0.0</v>
      </c>
      <c r="D590" s="232">
        <v>0.0</v>
      </c>
      <c r="F590" t="s">
        <v>7702</v>
      </c>
      <c r="G590" t="s">
        <v>310</v>
      </c>
      <c r="H590" t="s">
        <v>7703</v>
      </c>
      <c r="I590" t="s">
        <v>7750</v>
      </c>
    </row>
    <row r="591">
      <c r="A591" t="s">
        <v>1616</v>
      </c>
      <c r="B591" s="232" t="s">
        <v>1615</v>
      </c>
      <c r="C591" s="232">
        <v>0.0</v>
      </c>
      <c r="D591" s="232">
        <v>0.0</v>
      </c>
      <c r="F591" t="s">
        <v>7702</v>
      </c>
      <c r="G591" t="s">
        <v>310</v>
      </c>
      <c r="H591" t="s">
        <v>7703</v>
      </c>
      <c r="I591" t="s">
        <v>7750</v>
      </c>
    </row>
    <row r="592">
      <c r="A592" t="s">
        <v>1618</v>
      </c>
      <c r="B592" s="232" t="s">
        <v>1617</v>
      </c>
      <c r="C592" s="232">
        <v>0.0</v>
      </c>
      <c r="D592" s="232">
        <v>0.0</v>
      </c>
      <c r="F592" t="s">
        <v>7702</v>
      </c>
      <c r="G592" t="s">
        <v>310</v>
      </c>
      <c r="H592" t="s">
        <v>7703</v>
      </c>
      <c r="I592" t="s">
        <v>7750</v>
      </c>
    </row>
    <row r="593">
      <c r="A593" t="s">
        <v>1620</v>
      </c>
      <c r="B593" s="232" t="s">
        <v>1619</v>
      </c>
      <c r="C593" s="232">
        <v>0.0</v>
      </c>
      <c r="D593" s="232">
        <v>0.0</v>
      </c>
      <c r="F593" t="s">
        <v>7702</v>
      </c>
      <c r="G593" t="s">
        <v>310</v>
      </c>
      <c r="H593" t="s">
        <v>7703</v>
      </c>
      <c r="I593" t="s">
        <v>7750</v>
      </c>
    </row>
    <row r="594">
      <c r="A594" t="s">
        <v>1622</v>
      </c>
      <c r="B594" s="232" t="s">
        <v>1621</v>
      </c>
      <c r="C594" s="232">
        <v>0.0</v>
      </c>
      <c r="D594" s="232">
        <v>0.0</v>
      </c>
      <c r="F594" t="s">
        <v>7702</v>
      </c>
      <c r="G594" t="s">
        <v>310</v>
      </c>
      <c r="H594" t="s">
        <v>7703</v>
      </c>
      <c r="I594" t="s">
        <v>7750</v>
      </c>
    </row>
    <row r="595">
      <c r="A595" t="s">
        <v>1624</v>
      </c>
      <c r="B595" s="232" t="s">
        <v>1623</v>
      </c>
      <c r="C595" s="232">
        <v>0.0</v>
      </c>
      <c r="D595" s="232">
        <v>0.0</v>
      </c>
      <c r="F595" t="s">
        <v>7702</v>
      </c>
      <c r="G595" t="s">
        <v>310</v>
      </c>
      <c r="H595" t="s">
        <v>7703</v>
      </c>
      <c r="I595" t="s">
        <v>7750</v>
      </c>
    </row>
    <row r="596">
      <c r="A596" t="s">
        <v>1626</v>
      </c>
      <c r="B596" s="232" t="s">
        <v>1625</v>
      </c>
      <c r="C596" s="232">
        <v>0.0</v>
      </c>
      <c r="D596" s="232">
        <v>0.0</v>
      </c>
      <c r="F596" t="s">
        <v>7702</v>
      </c>
      <c r="G596" t="s">
        <v>310</v>
      </c>
      <c r="H596" t="s">
        <v>7703</v>
      </c>
      <c r="I596" t="s">
        <v>7750</v>
      </c>
    </row>
    <row r="597">
      <c r="A597" t="s">
        <v>1628</v>
      </c>
      <c r="B597" s="232" t="s">
        <v>1627</v>
      </c>
      <c r="C597" s="232">
        <v>0.0</v>
      </c>
      <c r="D597" s="232">
        <v>0.0</v>
      </c>
      <c r="F597" t="s">
        <v>7702</v>
      </c>
      <c r="G597" t="s">
        <v>310</v>
      </c>
      <c r="H597" t="s">
        <v>7703</v>
      </c>
      <c r="I597" t="s">
        <v>7750</v>
      </c>
    </row>
    <row r="598">
      <c r="A598" t="s">
        <v>1630</v>
      </c>
      <c r="B598" s="232" t="s">
        <v>1629</v>
      </c>
      <c r="C598" s="232">
        <v>0.0</v>
      </c>
      <c r="D598" s="232">
        <v>0.0</v>
      </c>
      <c r="F598" t="s">
        <v>7702</v>
      </c>
      <c r="G598" t="s">
        <v>310</v>
      </c>
      <c r="H598" t="s">
        <v>7703</v>
      </c>
      <c r="I598" t="s">
        <v>7750</v>
      </c>
    </row>
    <row r="599">
      <c r="A599" t="s">
        <v>1632</v>
      </c>
      <c r="B599" s="232" t="s">
        <v>1631</v>
      </c>
      <c r="C599" s="232">
        <v>0.0</v>
      </c>
      <c r="D599" s="232">
        <v>0.0</v>
      </c>
      <c r="F599" t="s">
        <v>7702</v>
      </c>
      <c r="G599" t="s">
        <v>310</v>
      </c>
      <c r="H599" t="s">
        <v>7703</v>
      </c>
      <c r="I599" t="s">
        <v>7750</v>
      </c>
    </row>
    <row r="600">
      <c r="A600" t="s">
        <v>1634</v>
      </c>
      <c r="B600" s="232" t="s">
        <v>1633</v>
      </c>
      <c r="C600" s="232">
        <v>0.0</v>
      </c>
      <c r="D600" s="232">
        <v>0.0</v>
      </c>
      <c r="F600" t="s">
        <v>7702</v>
      </c>
      <c r="G600" t="s">
        <v>310</v>
      </c>
      <c r="H600" t="s">
        <v>7703</v>
      </c>
      <c r="I600" t="s">
        <v>7750</v>
      </c>
    </row>
    <row r="601">
      <c r="A601" t="s">
        <v>1636</v>
      </c>
      <c r="B601" s="232" t="s">
        <v>1635</v>
      </c>
      <c r="C601" s="232">
        <v>0.0</v>
      </c>
      <c r="D601" s="232">
        <v>0.0</v>
      </c>
      <c r="F601" t="s">
        <v>7702</v>
      </c>
      <c r="G601" t="s">
        <v>310</v>
      </c>
      <c r="H601" t="s">
        <v>7703</v>
      </c>
      <c r="I601" t="s">
        <v>7750</v>
      </c>
    </row>
    <row r="602">
      <c r="A602" t="s">
        <v>1638</v>
      </c>
      <c r="B602" s="232" t="s">
        <v>1637</v>
      </c>
      <c r="C602" s="232">
        <v>0.0</v>
      </c>
      <c r="D602" s="232">
        <v>0.0</v>
      </c>
      <c r="F602" t="s">
        <v>7702</v>
      </c>
      <c r="G602" t="s">
        <v>310</v>
      </c>
      <c r="H602" t="s">
        <v>7703</v>
      </c>
      <c r="I602" t="s">
        <v>7750</v>
      </c>
    </row>
    <row r="603">
      <c r="A603" t="s">
        <v>1640</v>
      </c>
      <c r="B603" s="232" t="s">
        <v>1639</v>
      </c>
      <c r="C603" s="232">
        <v>0.0</v>
      </c>
      <c r="D603" s="232">
        <v>0.0</v>
      </c>
      <c r="F603" t="s">
        <v>7702</v>
      </c>
      <c r="G603" t="s">
        <v>310</v>
      </c>
      <c r="H603" t="s">
        <v>7703</v>
      </c>
      <c r="I603" t="s">
        <v>7750</v>
      </c>
    </row>
    <row r="604">
      <c r="A604" t="s">
        <v>1642</v>
      </c>
      <c r="B604" s="232" t="s">
        <v>1641</v>
      </c>
      <c r="C604" s="232">
        <v>0.0</v>
      </c>
      <c r="D604" s="232">
        <v>0.0</v>
      </c>
      <c r="F604" t="s">
        <v>7702</v>
      </c>
      <c r="G604" t="s">
        <v>310</v>
      </c>
      <c r="H604" t="s">
        <v>7703</v>
      </c>
      <c r="I604" t="s">
        <v>7750</v>
      </c>
    </row>
    <row r="605">
      <c r="A605" t="s">
        <v>1644</v>
      </c>
      <c r="B605" s="232" t="s">
        <v>1643</v>
      </c>
      <c r="C605" s="232">
        <v>0.0</v>
      </c>
      <c r="D605" s="232">
        <v>0.0</v>
      </c>
      <c r="F605" t="s">
        <v>7702</v>
      </c>
      <c r="G605" t="s">
        <v>310</v>
      </c>
      <c r="H605" t="s">
        <v>7703</v>
      </c>
      <c r="I605" t="s">
        <v>7750</v>
      </c>
    </row>
    <row r="606">
      <c r="A606" t="s">
        <v>1646</v>
      </c>
      <c r="B606" s="232" t="s">
        <v>1645</v>
      </c>
      <c r="C606" s="232">
        <v>0.0</v>
      </c>
      <c r="D606" s="232">
        <v>0.0</v>
      </c>
      <c r="F606" t="s">
        <v>7702</v>
      </c>
      <c r="G606" t="s">
        <v>310</v>
      </c>
      <c r="H606" t="s">
        <v>7703</v>
      </c>
      <c r="I606" t="s">
        <v>7750</v>
      </c>
    </row>
    <row r="607">
      <c r="A607" t="s">
        <v>1648</v>
      </c>
      <c r="B607" s="232" t="s">
        <v>1647</v>
      </c>
      <c r="C607" s="232">
        <v>0.0</v>
      </c>
      <c r="D607" s="232">
        <v>0.0</v>
      </c>
      <c r="F607" t="s">
        <v>7702</v>
      </c>
      <c r="G607" t="s">
        <v>310</v>
      </c>
      <c r="H607" t="s">
        <v>7703</v>
      </c>
      <c r="I607" t="s">
        <v>7750</v>
      </c>
    </row>
    <row r="608">
      <c r="A608" t="s">
        <v>1650</v>
      </c>
      <c r="B608" s="232" t="s">
        <v>1649</v>
      </c>
      <c r="C608" s="232">
        <v>0.0</v>
      </c>
      <c r="D608" s="232">
        <v>0.0</v>
      </c>
      <c r="F608" t="s">
        <v>7702</v>
      </c>
      <c r="G608" t="s">
        <v>310</v>
      </c>
      <c r="H608" t="s">
        <v>7703</v>
      </c>
      <c r="I608" t="s">
        <v>7750</v>
      </c>
    </row>
    <row r="609">
      <c r="A609" t="s">
        <v>1652</v>
      </c>
      <c r="B609" s="232" t="s">
        <v>1651</v>
      </c>
      <c r="C609" s="232">
        <v>0.0</v>
      </c>
      <c r="D609" s="232">
        <v>0.0</v>
      </c>
      <c r="F609" t="s">
        <v>7702</v>
      </c>
      <c r="G609" t="s">
        <v>310</v>
      </c>
      <c r="H609" t="s">
        <v>7703</v>
      </c>
      <c r="I609" t="s">
        <v>7750</v>
      </c>
    </row>
    <row r="610">
      <c r="A610" t="s">
        <v>1654</v>
      </c>
      <c r="B610" s="232" t="s">
        <v>1653</v>
      </c>
      <c r="C610" s="232">
        <v>0.0</v>
      </c>
      <c r="D610" s="232">
        <v>0.0</v>
      </c>
      <c r="F610" t="s">
        <v>7702</v>
      </c>
      <c r="G610" t="s">
        <v>310</v>
      </c>
      <c r="H610" t="s">
        <v>7703</v>
      </c>
      <c r="I610" t="s">
        <v>7750</v>
      </c>
    </row>
    <row r="611">
      <c r="A611" t="s">
        <v>1656</v>
      </c>
      <c r="B611" s="232" t="s">
        <v>1655</v>
      </c>
      <c r="C611" s="232">
        <v>0.0</v>
      </c>
      <c r="D611" s="232">
        <v>0.0</v>
      </c>
      <c r="F611" t="s">
        <v>7702</v>
      </c>
      <c r="G611" t="s">
        <v>310</v>
      </c>
      <c r="H611" t="s">
        <v>7703</v>
      </c>
      <c r="I611" t="s">
        <v>7750</v>
      </c>
    </row>
    <row r="612">
      <c r="A612" t="s">
        <v>1658</v>
      </c>
      <c r="B612" s="232" t="s">
        <v>1657</v>
      </c>
      <c r="C612" s="232">
        <v>0.0</v>
      </c>
      <c r="D612" s="232">
        <v>0.0</v>
      </c>
      <c r="F612" t="s">
        <v>7702</v>
      </c>
      <c r="G612" t="s">
        <v>310</v>
      </c>
      <c r="H612" t="s">
        <v>7703</v>
      </c>
      <c r="I612" t="s">
        <v>7750</v>
      </c>
    </row>
    <row r="613">
      <c r="A613" t="s">
        <v>1662</v>
      </c>
      <c r="B613" s="232" t="s">
        <v>1661</v>
      </c>
      <c r="C613" s="232">
        <v>0.0</v>
      </c>
      <c r="D613" s="232">
        <v>0.0</v>
      </c>
      <c r="F613" t="s">
        <v>7702</v>
      </c>
      <c r="G613" t="s">
        <v>310</v>
      </c>
      <c r="H613" t="s">
        <v>7703</v>
      </c>
    </row>
    <row r="614">
      <c r="A614" t="s">
        <v>1664</v>
      </c>
      <c r="B614" s="232" t="s">
        <v>1663</v>
      </c>
      <c r="C614" s="232">
        <v>93.0</v>
      </c>
      <c r="D614" s="232">
        <v>11261.08</v>
      </c>
      <c r="E614" s="232">
        <v>121.0869</v>
      </c>
      <c r="F614" t="s">
        <v>7702</v>
      </c>
      <c r="G614" t="s">
        <v>330</v>
      </c>
      <c r="H614" t="s">
        <v>7709</v>
      </c>
      <c r="I614" t="s">
        <v>7714</v>
      </c>
    </row>
    <row r="615">
      <c r="A615" t="s">
        <v>1668</v>
      </c>
      <c r="B615" s="232" t="s">
        <v>1667</v>
      </c>
      <c r="C615" s="232">
        <v>0.0</v>
      </c>
      <c r="D615" s="232">
        <v>0.0</v>
      </c>
      <c r="F615" t="s">
        <v>7702</v>
      </c>
      <c r="G615" t="s">
        <v>310</v>
      </c>
      <c r="H615" t="s">
        <v>7703</v>
      </c>
      <c r="I615" t="s">
        <v>7714</v>
      </c>
    </row>
    <row r="616">
      <c r="A616" t="s">
        <v>1670</v>
      </c>
      <c r="B616" s="232" t="s">
        <v>1669</v>
      </c>
      <c r="C616" s="232">
        <v>0.0</v>
      </c>
      <c r="D616" s="232">
        <v>0.0</v>
      </c>
      <c r="F616" t="s">
        <v>7702</v>
      </c>
      <c r="G616" t="s">
        <v>310</v>
      </c>
      <c r="H616" t="s">
        <v>7703</v>
      </c>
      <c r="I616" t="s">
        <v>7717</v>
      </c>
    </row>
    <row r="617">
      <c r="A617" t="s">
        <v>1672</v>
      </c>
      <c r="B617" s="232" t="s">
        <v>1671</v>
      </c>
      <c r="C617" s="232">
        <v>0.0</v>
      </c>
      <c r="D617" s="232">
        <v>0.0</v>
      </c>
      <c r="F617" t="s">
        <v>7702</v>
      </c>
      <c r="G617" t="s">
        <v>310</v>
      </c>
      <c r="H617" t="s">
        <v>7703</v>
      </c>
      <c r="I617" t="s">
        <v>7717</v>
      </c>
    </row>
    <row r="618">
      <c r="A618" t="s">
        <v>1674</v>
      </c>
      <c r="B618" s="232" t="s">
        <v>1673</v>
      </c>
      <c r="C618" s="232">
        <v>0.0</v>
      </c>
      <c r="D618" s="232">
        <v>0.0</v>
      </c>
      <c r="F618" t="s">
        <v>7702</v>
      </c>
      <c r="G618" t="s">
        <v>310</v>
      </c>
      <c r="H618" t="s">
        <v>7703</v>
      </c>
      <c r="I618" t="s">
        <v>7717</v>
      </c>
    </row>
    <row r="619">
      <c r="A619" t="s">
        <v>1675</v>
      </c>
      <c r="B619" s="232">
        <v>35306.0</v>
      </c>
      <c r="C619" s="232">
        <v>0.0</v>
      </c>
      <c r="D619" s="232">
        <v>0.0</v>
      </c>
      <c r="F619" t="s">
        <v>7702</v>
      </c>
      <c r="G619" t="s">
        <v>310</v>
      </c>
      <c r="H619" t="s">
        <v>7703</v>
      </c>
      <c r="I619" t="s">
        <v>7751</v>
      </c>
    </row>
    <row r="620">
      <c r="A620" t="s">
        <v>1677</v>
      </c>
      <c r="B620" s="232">
        <v>35301.0</v>
      </c>
      <c r="C620" s="232">
        <v>0.0</v>
      </c>
      <c r="D620" s="232">
        <v>0.0</v>
      </c>
      <c r="F620" t="s">
        <v>7702</v>
      </c>
      <c r="G620" t="s">
        <v>310</v>
      </c>
      <c r="H620" t="s">
        <v>7703</v>
      </c>
      <c r="I620" t="s">
        <v>7751</v>
      </c>
    </row>
    <row r="621">
      <c r="A621" t="s">
        <v>1678</v>
      </c>
      <c r="B621" s="232">
        <v>35305.0</v>
      </c>
      <c r="C621" s="232">
        <v>0.0</v>
      </c>
      <c r="D621" s="232">
        <v>0.0</v>
      </c>
      <c r="F621" t="s">
        <v>7702</v>
      </c>
      <c r="G621" t="s">
        <v>310</v>
      </c>
      <c r="H621" t="s">
        <v>7703</v>
      </c>
      <c r="I621" t="s">
        <v>7751</v>
      </c>
    </row>
    <row r="622">
      <c r="A622" t="s">
        <v>1679</v>
      </c>
      <c r="B622" s="232">
        <v>35304.0</v>
      </c>
      <c r="C622" s="232">
        <v>0.0</v>
      </c>
      <c r="D622" s="232">
        <v>0.0</v>
      </c>
      <c r="F622" t="s">
        <v>7702</v>
      </c>
      <c r="G622" t="s">
        <v>310</v>
      </c>
      <c r="H622" t="s">
        <v>7703</v>
      </c>
      <c r="I622" t="s">
        <v>7751</v>
      </c>
    </row>
    <row r="623">
      <c r="A623" t="s">
        <v>1680</v>
      </c>
      <c r="B623" s="232">
        <v>35303.0</v>
      </c>
      <c r="C623" s="232">
        <v>0.0</v>
      </c>
      <c r="D623" s="232">
        <v>0.0</v>
      </c>
      <c r="F623" t="s">
        <v>7702</v>
      </c>
      <c r="G623" t="s">
        <v>310</v>
      </c>
      <c r="H623" t="s">
        <v>7703</v>
      </c>
      <c r="I623" t="s">
        <v>7751</v>
      </c>
    </row>
    <row r="624">
      <c r="A624" t="s">
        <v>1682</v>
      </c>
      <c r="B624" s="232" t="s">
        <v>1681</v>
      </c>
      <c r="C624" s="232">
        <v>0.0</v>
      </c>
      <c r="D624" s="232">
        <v>0.0</v>
      </c>
      <c r="F624" t="s">
        <v>7702</v>
      </c>
      <c r="G624" t="s">
        <v>310</v>
      </c>
      <c r="H624" t="s">
        <v>45</v>
      </c>
      <c r="I624" t="s">
        <v>7752</v>
      </c>
    </row>
    <row r="625">
      <c r="A625" t="s">
        <v>1684</v>
      </c>
      <c r="B625" s="232" t="s">
        <v>1683</v>
      </c>
      <c r="C625" s="232">
        <v>317.0</v>
      </c>
      <c r="D625" s="232">
        <v>610.07</v>
      </c>
      <c r="E625" s="232">
        <v>1.9245</v>
      </c>
      <c r="F625" t="s">
        <v>7702</v>
      </c>
      <c r="G625" t="s">
        <v>330</v>
      </c>
      <c r="H625" t="s">
        <v>45</v>
      </c>
      <c r="I625" t="s">
        <v>7753</v>
      </c>
    </row>
    <row r="626">
      <c r="A626" t="s">
        <v>1686</v>
      </c>
      <c r="B626" s="232" t="s">
        <v>1685</v>
      </c>
      <c r="C626" s="232">
        <v>603.0</v>
      </c>
      <c r="D626" s="232">
        <v>1358.36</v>
      </c>
      <c r="E626" s="232">
        <v>2.2527</v>
      </c>
      <c r="F626" t="s">
        <v>7702</v>
      </c>
      <c r="G626" t="s">
        <v>330</v>
      </c>
      <c r="H626" t="s">
        <v>45</v>
      </c>
      <c r="I626" t="s">
        <v>7754</v>
      </c>
    </row>
    <row r="627">
      <c r="A627" t="s">
        <v>1688</v>
      </c>
      <c r="B627" s="232" t="s">
        <v>1687</v>
      </c>
      <c r="C627" s="232">
        <v>116.0</v>
      </c>
      <c r="D627" s="232">
        <v>261.32</v>
      </c>
      <c r="E627" s="232">
        <v>2.2528</v>
      </c>
      <c r="F627" t="s">
        <v>7702</v>
      </c>
      <c r="G627" t="s">
        <v>330</v>
      </c>
      <c r="H627" t="s">
        <v>45</v>
      </c>
      <c r="I627" t="s">
        <v>7755</v>
      </c>
    </row>
    <row r="628">
      <c r="A628" t="s">
        <v>1690</v>
      </c>
      <c r="B628" s="232" t="s">
        <v>1689</v>
      </c>
      <c r="C628" s="232">
        <v>0.0</v>
      </c>
      <c r="D628" s="232">
        <v>0.0</v>
      </c>
      <c r="F628" t="s">
        <v>7702</v>
      </c>
      <c r="G628" t="s">
        <v>310</v>
      </c>
      <c r="H628" t="s">
        <v>45</v>
      </c>
      <c r="I628" t="s">
        <v>7756</v>
      </c>
    </row>
    <row r="629">
      <c r="A629" t="s">
        <v>1692</v>
      </c>
      <c r="B629" s="232" t="s">
        <v>1691</v>
      </c>
      <c r="C629" s="232">
        <v>0.0</v>
      </c>
      <c r="D629" s="232">
        <v>0.0</v>
      </c>
      <c r="F629" t="s">
        <v>7702</v>
      </c>
      <c r="G629" t="s">
        <v>310</v>
      </c>
      <c r="H629" t="s">
        <v>45</v>
      </c>
      <c r="I629" t="s">
        <v>7757</v>
      </c>
    </row>
    <row r="630">
      <c r="A630" t="s">
        <v>1694</v>
      </c>
      <c r="B630" s="232" t="s">
        <v>1693</v>
      </c>
      <c r="C630" s="232">
        <v>176.0</v>
      </c>
      <c r="D630" s="232">
        <v>674.92</v>
      </c>
      <c r="E630" s="232">
        <v>3.8348</v>
      </c>
      <c r="F630" t="s">
        <v>7702</v>
      </c>
      <c r="G630" t="s">
        <v>330</v>
      </c>
      <c r="H630" t="s">
        <v>45</v>
      </c>
      <c r="I630" t="s">
        <v>7758</v>
      </c>
    </row>
    <row r="631">
      <c r="A631" t="s">
        <v>1696</v>
      </c>
      <c r="B631" s="232" t="s">
        <v>1695</v>
      </c>
      <c r="C631" s="232">
        <v>169.0</v>
      </c>
      <c r="D631" s="232">
        <v>331.63</v>
      </c>
      <c r="E631" s="232">
        <v>1.9623</v>
      </c>
      <c r="F631" t="s">
        <v>7702</v>
      </c>
      <c r="G631" t="s">
        <v>330</v>
      </c>
      <c r="H631" t="s">
        <v>45</v>
      </c>
      <c r="I631" t="s">
        <v>7759</v>
      </c>
    </row>
    <row r="632">
      <c r="A632" t="s">
        <v>1698</v>
      </c>
      <c r="B632" s="232" t="s">
        <v>1697</v>
      </c>
      <c r="C632" s="232">
        <v>455.0</v>
      </c>
      <c r="D632" s="232">
        <v>1130.52</v>
      </c>
      <c r="E632" s="232">
        <v>2.4847</v>
      </c>
      <c r="F632" t="s">
        <v>7702</v>
      </c>
      <c r="G632" t="s">
        <v>330</v>
      </c>
      <c r="H632" t="s">
        <v>45</v>
      </c>
      <c r="I632" t="s">
        <v>7760</v>
      </c>
    </row>
    <row r="633">
      <c r="A633" t="s">
        <v>1700</v>
      </c>
      <c r="B633" s="232" t="s">
        <v>1699</v>
      </c>
      <c r="C633" s="232">
        <v>224.0</v>
      </c>
      <c r="D633" s="232">
        <v>598.12</v>
      </c>
      <c r="E633" s="232">
        <v>2.6702</v>
      </c>
      <c r="F633" t="s">
        <v>7702</v>
      </c>
      <c r="G633" t="s">
        <v>330</v>
      </c>
      <c r="H633" t="s">
        <v>45</v>
      </c>
      <c r="I633" t="s">
        <v>7752</v>
      </c>
    </row>
    <row r="634">
      <c r="A634" t="s">
        <v>1702</v>
      </c>
      <c r="B634" s="232" t="s">
        <v>1701</v>
      </c>
      <c r="C634" s="232">
        <v>280.0</v>
      </c>
      <c r="D634" s="232">
        <v>1582.72</v>
      </c>
      <c r="E634" s="232">
        <v>5.6526</v>
      </c>
      <c r="F634" t="s">
        <v>7702</v>
      </c>
      <c r="G634" t="s">
        <v>330</v>
      </c>
      <c r="H634" t="s">
        <v>150</v>
      </c>
      <c r="I634" t="s">
        <v>7756</v>
      </c>
    </row>
    <row r="635">
      <c r="A635" t="s">
        <v>1704</v>
      </c>
      <c r="B635" s="232" t="s">
        <v>1703</v>
      </c>
      <c r="C635" s="232">
        <v>390.0</v>
      </c>
      <c r="D635" s="232">
        <v>1182.86</v>
      </c>
      <c r="E635" s="232">
        <v>3.033</v>
      </c>
      <c r="F635" t="s">
        <v>7702</v>
      </c>
      <c r="G635" t="s">
        <v>330</v>
      </c>
      <c r="H635" t="s">
        <v>45</v>
      </c>
      <c r="I635" t="s">
        <v>7760</v>
      </c>
    </row>
    <row r="636">
      <c r="A636" t="s">
        <v>1706</v>
      </c>
      <c r="B636" s="232" t="s">
        <v>1705</v>
      </c>
      <c r="C636" s="232">
        <v>137.0</v>
      </c>
      <c r="D636" s="232">
        <v>389.83</v>
      </c>
      <c r="E636" s="232">
        <v>2.8455</v>
      </c>
      <c r="F636" t="s">
        <v>7702</v>
      </c>
      <c r="G636" t="s">
        <v>330</v>
      </c>
      <c r="H636" t="s">
        <v>45</v>
      </c>
      <c r="I636" t="s">
        <v>7760</v>
      </c>
    </row>
    <row r="637">
      <c r="A637" t="s">
        <v>1708</v>
      </c>
      <c r="B637" s="232" t="s">
        <v>1707</v>
      </c>
      <c r="C637" s="232">
        <v>74.0</v>
      </c>
      <c r="D637" s="232">
        <v>197.05</v>
      </c>
      <c r="E637" s="232">
        <v>2.6628</v>
      </c>
      <c r="F637" t="s">
        <v>7702</v>
      </c>
      <c r="G637" t="s">
        <v>330</v>
      </c>
      <c r="H637" t="s">
        <v>45</v>
      </c>
      <c r="I637" t="s">
        <v>7752</v>
      </c>
    </row>
    <row r="638">
      <c r="A638" t="s">
        <v>1710</v>
      </c>
      <c r="B638" s="232" t="s">
        <v>1709</v>
      </c>
      <c r="C638" s="232">
        <v>63.0</v>
      </c>
      <c r="D638" s="232">
        <v>356.15</v>
      </c>
      <c r="E638" s="232">
        <v>5.6532</v>
      </c>
      <c r="F638" t="s">
        <v>7702</v>
      </c>
      <c r="G638" t="s">
        <v>330</v>
      </c>
      <c r="H638" t="s">
        <v>150</v>
      </c>
      <c r="I638" t="s">
        <v>7756</v>
      </c>
    </row>
    <row r="639">
      <c r="A639" t="s">
        <v>1712</v>
      </c>
      <c r="B639" s="232" t="s">
        <v>1711</v>
      </c>
      <c r="C639" s="232">
        <v>0.0</v>
      </c>
      <c r="D639" s="232">
        <v>0.0</v>
      </c>
      <c r="F639" t="s">
        <v>7702</v>
      </c>
      <c r="G639" t="s">
        <v>330</v>
      </c>
      <c r="H639" t="s">
        <v>45</v>
      </c>
      <c r="I639" t="s">
        <v>7755</v>
      </c>
    </row>
    <row r="640">
      <c r="A640" t="s">
        <v>1714</v>
      </c>
      <c r="B640" s="232" t="s">
        <v>1713</v>
      </c>
      <c r="C640" s="232">
        <v>0.0</v>
      </c>
      <c r="D640" s="232">
        <v>0.0</v>
      </c>
      <c r="F640" t="s">
        <v>7702</v>
      </c>
      <c r="G640" t="s">
        <v>310</v>
      </c>
      <c r="H640" t="s">
        <v>45</v>
      </c>
      <c r="I640" t="s">
        <v>7752</v>
      </c>
    </row>
    <row r="641">
      <c r="A641" t="s">
        <v>1716</v>
      </c>
      <c r="B641" s="232" t="s">
        <v>1715</v>
      </c>
      <c r="C641" s="232">
        <v>148.0</v>
      </c>
      <c r="D641" s="232">
        <v>284.73</v>
      </c>
      <c r="E641" s="232">
        <v>1.9239</v>
      </c>
      <c r="F641" t="s">
        <v>7702</v>
      </c>
      <c r="G641" t="s">
        <v>330</v>
      </c>
      <c r="H641" t="s">
        <v>45</v>
      </c>
      <c r="I641" t="s">
        <v>7753</v>
      </c>
    </row>
    <row r="642">
      <c r="A642" t="s">
        <v>1718</v>
      </c>
      <c r="B642" s="232" t="s">
        <v>1717</v>
      </c>
      <c r="C642" s="232">
        <v>423.0</v>
      </c>
      <c r="D642" s="232">
        <v>952.91</v>
      </c>
      <c r="E642" s="232">
        <v>2.2527</v>
      </c>
      <c r="F642" t="s">
        <v>7702</v>
      </c>
      <c r="G642" t="s">
        <v>330</v>
      </c>
      <c r="H642" t="s">
        <v>45</v>
      </c>
      <c r="I642" t="s">
        <v>7754</v>
      </c>
    </row>
    <row r="643">
      <c r="A643" t="s">
        <v>1720</v>
      </c>
      <c r="B643" s="232" t="s">
        <v>1719</v>
      </c>
      <c r="C643" s="232">
        <v>0.0</v>
      </c>
      <c r="D643" s="232">
        <v>0.0</v>
      </c>
      <c r="F643" t="s">
        <v>7702</v>
      </c>
      <c r="G643" t="s">
        <v>310</v>
      </c>
      <c r="H643" t="s">
        <v>45</v>
      </c>
      <c r="I643" t="s">
        <v>7755</v>
      </c>
    </row>
    <row r="644">
      <c r="A644" t="s">
        <v>1722</v>
      </c>
      <c r="B644" s="232" t="s">
        <v>1721</v>
      </c>
      <c r="C644" s="232">
        <v>0.0</v>
      </c>
      <c r="D644" s="232">
        <v>0.0</v>
      </c>
      <c r="F644" t="s">
        <v>7702</v>
      </c>
      <c r="G644" t="s">
        <v>310</v>
      </c>
      <c r="H644" t="s">
        <v>45</v>
      </c>
      <c r="I644" t="s">
        <v>7756</v>
      </c>
    </row>
    <row r="645">
      <c r="A645" t="s">
        <v>1724</v>
      </c>
      <c r="B645" s="232" t="s">
        <v>1723</v>
      </c>
      <c r="C645" s="232">
        <v>0.0</v>
      </c>
      <c r="D645" s="232">
        <v>0.0</v>
      </c>
      <c r="F645" t="s">
        <v>7702</v>
      </c>
      <c r="G645" t="s">
        <v>310</v>
      </c>
      <c r="H645" t="s">
        <v>45</v>
      </c>
      <c r="I645" t="s">
        <v>7757</v>
      </c>
    </row>
    <row r="646">
      <c r="A646" t="s">
        <v>1726</v>
      </c>
      <c r="B646" s="232" t="s">
        <v>1725</v>
      </c>
      <c r="C646" s="232">
        <v>15.0</v>
      </c>
      <c r="D646" s="232">
        <v>56.82</v>
      </c>
      <c r="E646" s="232">
        <v>3.788</v>
      </c>
      <c r="F646" t="s">
        <v>7702</v>
      </c>
      <c r="G646" t="s">
        <v>330</v>
      </c>
      <c r="H646" t="s">
        <v>45</v>
      </c>
      <c r="I646" t="s">
        <v>7758</v>
      </c>
    </row>
    <row r="647">
      <c r="A647" t="s">
        <v>1728</v>
      </c>
      <c r="B647" s="232" t="s">
        <v>1727</v>
      </c>
      <c r="C647" s="232">
        <v>0.0</v>
      </c>
      <c r="D647" s="232">
        <v>0.0</v>
      </c>
      <c r="F647" t="s">
        <v>7702</v>
      </c>
      <c r="G647" t="s">
        <v>310</v>
      </c>
      <c r="H647" t="s">
        <v>45</v>
      </c>
      <c r="I647" t="s">
        <v>7759</v>
      </c>
    </row>
    <row r="648">
      <c r="A648" t="s">
        <v>1730</v>
      </c>
      <c r="B648" s="232" t="s">
        <v>1729</v>
      </c>
      <c r="C648" s="232">
        <v>0.0</v>
      </c>
      <c r="D648" s="232">
        <v>0.0</v>
      </c>
      <c r="F648" t="s">
        <v>7702</v>
      </c>
      <c r="G648" t="s">
        <v>310</v>
      </c>
      <c r="H648" t="s">
        <v>45</v>
      </c>
      <c r="I648" t="s">
        <v>7752</v>
      </c>
    </row>
    <row r="649">
      <c r="A649" t="s">
        <v>1732</v>
      </c>
      <c r="B649" s="232" t="s">
        <v>1731</v>
      </c>
      <c r="C649" s="232">
        <v>129.0</v>
      </c>
      <c r="D649" s="232">
        <v>248.17</v>
      </c>
      <c r="E649" s="232">
        <v>1.9238</v>
      </c>
      <c r="F649" t="s">
        <v>7702</v>
      </c>
      <c r="G649" t="s">
        <v>330</v>
      </c>
      <c r="H649" t="s">
        <v>45</v>
      </c>
      <c r="I649" t="s">
        <v>7753</v>
      </c>
    </row>
    <row r="650">
      <c r="A650" t="s">
        <v>1734</v>
      </c>
      <c r="B650" s="232" t="s">
        <v>1733</v>
      </c>
      <c r="C650" s="232">
        <v>0.0</v>
      </c>
      <c r="D650" s="232">
        <v>0.0</v>
      </c>
      <c r="F650" t="s">
        <v>7702</v>
      </c>
      <c r="G650" t="s">
        <v>310</v>
      </c>
      <c r="H650" t="s">
        <v>45</v>
      </c>
      <c r="I650" t="s">
        <v>7756</v>
      </c>
    </row>
    <row r="651">
      <c r="A651" t="s">
        <v>1736</v>
      </c>
      <c r="B651" s="232" t="s">
        <v>1735</v>
      </c>
      <c r="C651" s="232">
        <v>0.0</v>
      </c>
      <c r="D651" s="232">
        <v>0.0</v>
      </c>
      <c r="F651" t="s">
        <v>7702</v>
      </c>
      <c r="G651" t="s">
        <v>310</v>
      </c>
      <c r="H651" t="s">
        <v>45</v>
      </c>
      <c r="I651" t="s">
        <v>7757</v>
      </c>
    </row>
    <row r="652">
      <c r="A652" t="s">
        <v>1738</v>
      </c>
      <c r="B652" s="232" t="s">
        <v>1737</v>
      </c>
      <c r="C652" s="232">
        <v>0.0</v>
      </c>
      <c r="D652" s="232">
        <v>0.0</v>
      </c>
      <c r="F652" t="s">
        <v>7702</v>
      </c>
      <c r="G652" t="s">
        <v>310</v>
      </c>
      <c r="H652" t="s">
        <v>45</v>
      </c>
      <c r="I652" t="s">
        <v>7758</v>
      </c>
    </row>
    <row r="653">
      <c r="A653" t="s">
        <v>1740</v>
      </c>
      <c r="B653" s="232" t="s">
        <v>1739</v>
      </c>
      <c r="C653" s="232">
        <v>448.0</v>
      </c>
      <c r="D653" s="232">
        <v>1009.23</v>
      </c>
      <c r="E653" s="232">
        <v>2.2527</v>
      </c>
      <c r="F653" t="s">
        <v>7702</v>
      </c>
      <c r="G653" t="s">
        <v>330</v>
      </c>
      <c r="H653" t="s">
        <v>45</v>
      </c>
      <c r="I653" t="s">
        <v>7754</v>
      </c>
    </row>
    <row r="654">
      <c r="A654" t="s">
        <v>1742</v>
      </c>
      <c r="B654" s="232" t="s">
        <v>1741</v>
      </c>
      <c r="C654" s="232">
        <v>0.0</v>
      </c>
      <c r="D654" s="232">
        <v>0.0</v>
      </c>
      <c r="F654" t="s">
        <v>7702</v>
      </c>
      <c r="G654" t="s">
        <v>310</v>
      </c>
      <c r="H654" t="s">
        <v>45</v>
      </c>
      <c r="I654" t="s">
        <v>7752</v>
      </c>
    </row>
    <row r="655">
      <c r="A655" t="s">
        <v>1744</v>
      </c>
      <c r="B655" s="232" t="s">
        <v>1743</v>
      </c>
      <c r="C655" s="232">
        <v>288.0</v>
      </c>
      <c r="D655" s="232">
        <v>554.24</v>
      </c>
      <c r="E655" s="232">
        <v>1.9244</v>
      </c>
      <c r="F655" t="s">
        <v>7702</v>
      </c>
      <c r="G655" t="s">
        <v>330</v>
      </c>
      <c r="H655" t="s">
        <v>45</v>
      </c>
      <c r="I655" t="s">
        <v>7753</v>
      </c>
    </row>
    <row r="656">
      <c r="A656" t="s">
        <v>1746</v>
      </c>
      <c r="B656" s="232" t="s">
        <v>1745</v>
      </c>
      <c r="C656" s="232">
        <v>188.0</v>
      </c>
      <c r="D656" s="232">
        <v>423.01</v>
      </c>
      <c r="E656" s="232">
        <v>2.2501</v>
      </c>
      <c r="F656" t="s">
        <v>7702</v>
      </c>
      <c r="G656" t="s">
        <v>330</v>
      </c>
      <c r="H656" t="s">
        <v>45</v>
      </c>
      <c r="I656" t="s">
        <v>7755</v>
      </c>
    </row>
    <row r="657">
      <c r="A657" t="s">
        <v>1748</v>
      </c>
      <c r="B657" s="232" t="s">
        <v>1747</v>
      </c>
      <c r="C657" s="232">
        <v>0.0</v>
      </c>
      <c r="D657" s="232">
        <v>0.0</v>
      </c>
      <c r="F657" t="s">
        <v>7702</v>
      </c>
      <c r="G657" t="s">
        <v>310</v>
      </c>
      <c r="H657" t="s">
        <v>45</v>
      </c>
      <c r="I657" t="s">
        <v>7756</v>
      </c>
    </row>
    <row r="658">
      <c r="A658" t="s">
        <v>1750</v>
      </c>
      <c r="B658" s="232" t="s">
        <v>1749</v>
      </c>
      <c r="C658" s="232">
        <v>0.0</v>
      </c>
      <c r="D658" s="232">
        <v>0.0</v>
      </c>
      <c r="F658" t="s">
        <v>7702</v>
      </c>
      <c r="G658" t="s">
        <v>310</v>
      </c>
      <c r="H658" t="s">
        <v>45</v>
      </c>
      <c r="I658" t="s">
        <v>7757</v>
      </c>
    </row>
    <row r="659">
      <c r="A659" t="s">
        <v>1752</v>
      </c>
      <c r="B659" s="232" t="s">
        <v>1751</v>
      </c>
      <c r="C659" s="232">
        <v>205.0</v>
      </c>
      <c r="D659" s="232">
        <v>786.32</v>
      </c>
      <c r="E659" s="232">
        <v>3.8357</v>
      </c>
      <c r="F659" t="s">
        <v>7702</v>
      </c>
      <c r="G659" t="s">
        <v>330</v>
      </c>
      <c r="H659" t="s">
        <v>45</v>
      </c>
      <c r="I659" t="s">
        <v>7758</v>
      </c>
    </row>
    <row r="660">
      <c r="A660" t="s">
        <v>1754</v>
      </c>
      <c r="B660" s="232" t="s">
        <v>1753</v>
      </c>
      <c r="C660" s="232">
        <v>138.0</v>
      </c>
      <c r="D660" s="232">
        <v>270.78</v>
      </c>
      <c r="E660" s="232">
        <v>1.9622</v>
      </c>
      <c r="F660" t="s">
        <v>7702</v>
      </c>
      <c r="G660" t="s">
        <v>330</v>
      </c>
      <c r="H660" t="s">
        <v>45</v>
      </c>
      <c r="I660" t="s">
        <v>7759</v>
      </c>
    </row>
    <row r="661">
      <c r="A661" t="s">
        <v>1756</v>
      </c>
      <c r="B661" s="232" t="s">
        <v>1755</v>
      </c>
      <c r="C661" s="232">
        <v>540.0</v>
      </c>
      <c r="D661" s="232">
        <v>1216.45</v>
      </c>
      <c r="E661" s="232">
        <v>2.2527</v>
      </c>
      <c r="F661" t="s">
        <v>7702</v>
      </c>
      <c r="G661" t="s">
        <v>330</v>
      </c>
      <c r="H661" t="s">
        <v>45</v>
      </c>
      <c r="I661" t="s">
        <v>7754</v>
      </c>
    </row>
    <row r="662">
      <c r="A662" t="s">
        <v>1758</v>
      </c>
      <c r="B662" s="232" t="s">
        <v>1757</v>
      </c>
      <c r="C662" s="232">
        <v>292.0</v>
      </c>
      <c r="D662" s="232">
        <v>1794.56</v>
      </c>
      <c r="E662" s="232">
        <v>6.1458</v>
      </c>
      <c r="F662" t="s">
        <v>7702</v>
      </c>
      <c r="G662" t="s">
        <v>330</v>
      </c>
      <c r="H662" t="s">
        <v>45</v>
      </c>
      <c r="I662" t="s">
        <v>7760</v>
      </c>
    </row>
    <row r="663">
      <c r="A663" t="s">
        <v>1760</v>
      </c>
      <c r="B663" s="232" t="s">
        <v>1759</v>
      </c>
      <c r="C663" s="232">
        <v>0.0</v>
      </c>
      <c r="D663" s="232">
        <v>0.0</v>
      </c>
      <c r="F663" t="s">
        <v>7702</v>
      </c>
      <c r="G663" t="s">
        <v>310</v>
      </c>
      <c r="H663" t="s">
        <v>7703</v>
      </c>
      <c r="I663" t="s">
        <v>7761</v>
      </c>
    </row>
    <row r="664">
      <c r="A664" t="s">
        <v>1762</v>
      </c>
      <c r="B664" s="232" t="s">
        <v>1761</v>
      </c>
      <c r="C664" s="232">
        <v>0.0</v>
      </c>
      <c r="D664" s="232">
        <v>0.0</v>
      </c>
      <c r="F664" t="s">
        <v>7702</v>
      </c>
      <c r="G664" t="s">
        <v>310</v>
      </c>
      <c r="H664" t="s">
        <v>7703</v>
      </c>
      <c r="I664" t="s">
        <v>7761</v>
      </c>
    </row>
    <row r="665">
      <c r="A665" t="s">
        <v>1764</v>
      </c>
      <c r="B665" s="232" t="s">
        <v>1763</v>
      </c>
      <c r="C665" s="232">
        <v>330.0</v>
      </c>
      <c r="D665" s="232">
        <v>666.38</v>
      </c>
      <c r="E665" s="232">
        <v>2.0193</v>
      </c>
      <c r="F665" t="s">
        <v>7702</v>
      </c>
      <c r="G665" t="s">
        <v>330</v>
      </c>
      <c r="H665" t="s">
        <v>45</v>
      </c>
      <c r="I665" t="s">
        <v>7762</v>
      </c>
    </row>
    <row r="666">
      <c r="A666" t="s">
        <v>1766</v>
      </c>
      <c r="B666" s="232" t="s">
        <v>1765</v>
      </c>
      <c r="C666" s="232">
        <v>23.0</v>
      </c>
      <c r="D666" s="232">
        <v>40.69</v>
      </c>
      <c r="E666" s="232">
        <v>1.7691</v>
      </c>
      <c r="F666" t="s">
        <v>7702</v>
      </c>
      <c r="G666" t="s">
        <v>330</v>
      </c>
      <c r="H666" t="s">
        <v>45</v>
      </c>
      <c r="I666" t="s">
        <v>7762</v>
      </c>
    </row>
    <row r="667">
      <c r="A667" t="s">
        <v>1768</v>
      </c>
      <c r="B667" s="232" t="s">
        <v>1767</v>
      </c>
      <c r="C667" s="232">
        <v>0.0</v>
      </c>
      <c r="D667" s="232">
        <v>0.0</v>
      </c>
      <c r="F667" t="s">
        <v>7702</v>
      </c>
      <c r="G667" t="s">
        <v>310</v>
      </c>
      <c r="H667" t="s">
        <v>7703</v>
      </c>
      <c r="I667" t="s">
        <v>7743</v>
      </c>
    </row>
    <row r="668">
      <c r="A668" t="s">
        <v>1770</v>
      </c>
      <c r="B668" s="232" t="s">
        <v>1769</v>
      </c>
      <c r="C668" s="232">
        <v>0.0</v>
      </c>
      <c r="D668" s="232">
        <v>0.0</v>
      </c>
      <c r="F668" t="s">
        <v>7702</v>
      </c>
      <c r="G668" t="s">
        <v>310</v>
      </c>
      <c r="H668" t="s">
        <v>7703</v>
      </c>
      <c r="I668" t="s">
        <v>7763</v>
      </c>
    </row>
    <row r="669">
      <c r="A669" t="s">
        <v>1772</v>
      </c>
      <c r="B669" s="232" t="s">
        <v>1771</v>
      </c>
      <c r="C669" s="232">
        <v>0.0</v>
      </c>
      <c r="D669" s="232">
        <v>0.0</v>
      </c>
      <c r="F669" t="s">
        <v>7702</v>
      </c>
      <c r="G669" t="s">
        <v>310</v>
      </c>
      <c r="H669" t="s">
        <v>7703</v>
      </c>
      <c r="I669" t="s">
        <v>7764</v>
      </c>
    </row>
    <row r="670">
      <c r="A670" t="s">
        <v>1774</v>
      </c>
      <c r="B670" s="232" t="s">
        <v>1773</v>
      </c>
      <c r="C670" s="232">
        <v>0.0</v>
      </c>
      <c r="D670" s="232">
        <v>0.0</v>
      </c>
      <c r="F670" t="s">
        <v>7702</v>
      </c>
      <c r="G670" t="s">
        <v>310</v>
      </c>
      <c r="H670" t="s">
        <v>45</v>
      </c>
      <c r="I670" t="s">
        <v>7765</v>
      </c>
    </row>
    <row r="671">
      <c r="A671" t="s">
        <v>1776</v>
      </c>
      <c r="B671" s="232" t="s">
        <v>1775</v>
      </c>
      <c r="C671" s="232">
        <v>0.0</v>
      </c>
      <c r="D671" s="232">
        <v>0.0</v>
      </c>
      <c r="F671" t="s">
        <v>7702</v>
      </c>
      <c r="G671" t="s">
        <v>310</v>
      </c>
      <c r="H671" t="s">
        <v>7703</v>
      </c>
      <c r="I671" t="s">
        <v>7765</v>
      </c>
    </row>
    <row r="672">
      <c r="A672" t="s">
        <v>1778</v>
      </c>
      <c r="B672" s="232" t="s">
        <v>1777</v>
      </c>
      <c r="C672" s="232">
        <v>18.0</v>
      </c>
      <c r="D672" s="232">
        <v>1489.27</v>
      </c>
      <c r="E672" s="232">
        <v>82.7372</v>
      </c>
      <c r="F672" t="s">
        <v>7702</v>
      </c>
      <c r="G672" t="s">
        <v>330</v>
      </c>
      <c r="H672" t="s">
        <v>150</v>
      </c>
      <c r="I672" t="s">
        <v>7714</v>
      </c>
    </row>
    <row r="673">
      <c r="A673" t="s">
        <v>1780</v>
      </c>
      <c r="B673" s="232" t="s">
        <v>1779</v>
      </c>
      <c r="C673" s="232">
        <v>0.0</v>
      </c>
      <c r="D673" s="232">
        <v>0.0</v>
      </c>
      <c r="F673" t="s">
        <v>7702</v>
      </c>
      <c r="G673" t="s">
        <v>310</v>
      </c>
      <c r="H673" t="s">
        <v>7703</v>
      </c>
      <c r="I673" t="s">
        <v>7766</v>
      </c>
    </row>
    <row r="674">
      <c r="A674" t="s">
        <v>1782</v>
      </c>
      <c r="B674" s="232" t="s">
        <v>1781</v>
      </c>
      <c r="C674" s="232">
        <v>0.0</v>
      </c>
      <c r="D674" s="232">
        <v>0.0</v>
      </c>
      <c r="F674" t="s">
        <v>7702</v>
      </c>
      <c r="G674" t="s">
        <v>310</v>
      </c>
      <c r="H674" t="s">
        <v>7703</v>
      </c>
      <c r="I674" t="s">
        <v>7766</v>
      </c>
    </row>
    <row r="675">
      <c r="A675" t="s">
        <v>1784</v>
      </c>
      <c r="B675" s="232" t="s">
        <v>1783</v>
      </c>
      <c r="C675" s="232">
        <v>0.0</v>
      </c>
      <c r="D675" s="232">
        <v>0.0</v>
      </c>
      <c r="F675" t="s">
        <v>7702</v>
      </c>
      <c r="G675" t="s">
        <v>310</v>
      </c>
      <c r="H675" t="s">
        <v>7703</v>
      </c>
    </row>
    <row r="676">
      <c r="A676" t="s">
        <v>1786</v>
      </c>
      <c r="B676" s="232" t="s">
        <v>1785</v>
      </c>
      <c r="C676" s="232">
        <v>0.0</v>
      </c>
      <c r="D676" s="232">
        <v>0.0</v>
      </c>
      <c r="F676" t="s">
        <v>7702</v>
      </c>
      <c r="G676" t="s">
        <v>310</v>
      </c>
      <c r="H676" t="s">
        <v>7703</v>
      </c>
      <c r="I676" t="s">
        <v>7767</v>
      </c>
    </row>
    <row r="677">
      <c r="A677" t="s">
        <v>1788</v>
      </c>
      <c r="B677" s="232" t="s">
        <v>1787</v>
      </c>
      <c r="C677" s="232">
        <v>0.0</v>
      </c>
      <c r="D677" s="232">
        <v>0.0</v>
      </c>
      <c r="F677" t="s">
        <v>7702</v>
      </c>
      <c r="G677" t="s">
        <v>310</v>
      </c>
      <c r="H677" t="s">
        <v>7703</v>
      </c>
      <c r="I677" t="s">
        <v>7767</v>
      </c>
    </row>
    <row r="678">
      <c r="A678" t="s">
        <v>1790</v>
      </c>
      <c r="B678" s="232" t="s">
        <v>1789</v>
      </c>
      <c r="C678" s="232">
        <v>0.0</v>
      </c>
      <c r="D678" s="232">
        <v>0.0</v>
      </c>
      <c r="F678" t="s">
        <v>7702</v>
      </c>
      <c r="G678" t="s">
        <v>310</v>
      </c>
      <c r="H678" t="s">
        <v>7703</v>
      </c>
      <c r="I678" t="s">
        <v>7768</v>
      </c>
    </row>
    <row r="679">
      <c r="A679" t="s">
        <v>1792</v>
      </c>
      <c r="B679" s="232" t="s">
        <v>1791</v>
      </c>
      <c r="C679" s="232">
        <v>0.0</v>
      </c>
      <c r="D679" s="232">
        <v>0.0</v>
      </c>
      <c r="F679" t="s">
        <v>7702</v>
      </c>
      <c r="G679" t="s">
        <v>310</v>
      </c>
      <c r="H679" t="s">
        <v>45</v>
      </c>
      <c r="I679" t="s">
        <v>7769</v>
      </c>
    </row>
    <row r="680">
      <c r="A680" t="s">
        <v>1794</v>
      </c>
      <c r="B680" s="232" t="s">
        <v>1793</v>
      </c>
      <c r="C680" s="232">
        <v>0.0</v>
      </c>
      <c r="D680" s="232">
        <v>0.0</v>
      </c>
      <c r="F680" t="s">
        <v>7702</v>
      </c>
      <c r="G680" t="s">
        <v>310</v>
      </c>
      <c r="H680" t="s">
        <v>7703</v>
      </c>
      <c r="I680" t="s">
        <v>7769</v>
      </c>
    </row>
    <row r="681">
      <c r="A681" t="s">
        <v>1796</v>
      </c>
      <c r="B681" s="232" t="s">
        <v>1795</v>
      </c>
      <c r="C681" s="232">
        <v>0.0</v>
      </c>
      <c r="D681" s="232">
        <v>0.0</v>
      </c>
      <c r="F681" t="s">
        <v>7702</v>
      </c>
      <c r="G681" t="s">
        <v>310</v>
      </c>
      <c r="H681" t="s">
        <v>7703</v>
      </c>
      <c r="I681" t="s">
        <v>7770</v>
      </c>
    </row>
    <row r="682">
      <c r="A682" t="s">
        <v>1798</v>
      </c>
      <c r="B682" s="232" t="s">
        <v>1797</v>
      </c>
      <c r="C682" s="232">
        <v>0.0</v>
      </c>
      <c r="D682" s="232">
        <v>0.0</v>
      </c>
      <c r="F682" t="s">
        <v>7702</v>
      </c>
      <c r="G682" t="s">
        <v>310</v>
      </c>
      <c r="H682" t="s">
        <v>7703</v>
      </c>
      <c r="I682" t="s">
        <v>7770</v>
      </c>
    </row>
    <row r="683">
      <c r="A683" t="s">
        <v>1814</v>
      </c>
      <c r="B683" s="232" t="s">
        <v>1813</v>
      </c>
      <c r="C683" s="232">
        <v>0.0</v>
      </c>
      <c r="D683" s="232">
        <v>0.0</v>
      </c>
      <c r="F683" t="s">
        <v>7702</v>
      </c>
      <c r="G683" t="s">
        <v>310</v>
      </c>
      <c r="H683" t="s">
        <v>7703</v>
      </c>
      <c r="I683" t="s">
        <v>7767</v>
      </c>
    </row>
    <row r="684">
      <c r="A684" t="s">
        <v>1816</v>
      </c>
      <c r="B684" s="232" t="s">
        <v>1815</v>
      </c>
      <c r="C684" s="232">
        <v>0.0</v>
      </c>
      <c r="D684" s="232">
        <v>0.0</v>
      </c>
      <c r="F684" t="s">
        <v>7702</v>
      </c>
      <c r="G684" t="s">
        <v>310</v>
      </c>
      <c r="H684" t="s">
        <v>7703</v>
      </c>
      <c r="I684" t="s">
        <v>7767</v>
      </c>
    </row>
    <row r="685">
      <c r="A685" t="s">
        <v>1821</v>
      </c>
      <c r="B685" s="232">
        <v>34801.0</v>
      </c>
      <c r="C685" s="232">
        <v>0.0</v>
      </c>
      <c r="D685" s="232">
        <v>0.0</v>
      </c>
      <c r="F685" t="s">
        <v>7702</v>
      </c>
      <c r="G685" t="s">
        <v>310</v>
      </c>
      <c r="H685" t="s">
        <v>7703</v>
      </c>
      <c r="I685" t="s">
        <v>7771</v>
      </c>
    </row>
    <row r="686">
      <c r="A686" t="s">
        <v>1822</v>
      </c>
      <c r="B686" s="232">
        <v>34802.0</v>
      </c>
      <c r="C686" s="232">
        <v>0.0</v>
      </c>
      <c r="D686" s="232">
        <v>0.0</v>
      </c>
      <c r="F686" t="s">
        <v>7702</v>
      </c>
      <c r="G686" t="s">
        <v>310</v>
      </c>
      <c r="H686" t="s">
        <v>7703</v>
      </c>
      <c r="I686" t="s">
        <v>7771</v>
      </c>
    </row>
    <row r="687">
      <c r="A687" t="s">
        <v>1823</v>
      </c>
      <c r="B687" s="232">
        <v>34803.0</v>
      </c>
      <c r="C687" s="232">
        <v>0.0</v>
      </c>
      <c r="D687" s="232">
        <v>0.0</v>
      </c>
      <c r="F687" t="s">
        <v>7702</v>
      </c>
      <c r="G687" t="s">
        <v>310</v>
      </c>
      <c r="H687" t="s">
        <v>7703</v>
      </c>
      <c r="I687" t="s">
        <v>7771</v>
      </c>
    </row>
    <row r="688">
      <c r="A688" t="s">
        <v>1824</v>
      </c>
      <c r="B688" s="232">
        <v>34804.0</v>
      </c>
      <c r="C688" s="232">
        <v>0.0</v>
      </c>
      <c r="D688" s="232">
        <v>0.0</v>
      </c>
      <c r="F688" t="s">
        <v>7702</v>
      </c>
      <c r="G688" t="s">
        <v>310</v>
      </c>
      <c r="H688" t="s">
        <v>7703</v>
      </c>
      <c r="I688" t="s">
        <v>7771</v>
      </c>
    </row>
    <row r="689">
      <c r="A689" t="s">
        <v>1826</v>
      </c>
      <c r="B689" s="232" t="s">
        <v>1825</v>
      </c>
      <c r="C689" s="232">
        <v>181.0</v>
      </c>
      <c r="D689" s="232">
        <v>0.0</v>
      </c>
      <c r="E689" s="232">
        <v>0.0</v>
      </c>
      <c r="F689" t="s">
        <v>7702</v>
      </c>
      <c r="G689" t="s">
        <v>310</v>
      </c>
      <c r="H689" t="s">
        <v>7703</v>
      </c>
      <c r="I689" t="s">
        <v>7772</v>
      </c>
    </row>
    <row r="690">
      <c r="A690" t="s">
        <v>1828</v>
      </c>
      <c r="B690" s="232" t="s">
        <v>1827</v>
      </c>
      <c r="C690" s="232">
        <v>0.0</v>
      </c>
      <c r="D690" s="232">
        <v>0.0</v>
      </c>
      <c r="F690" t="s">
        <v>7711</v>
      </c>
      <c r="G690" t="s">
        <v>310</v>
      </c>
      <c r="H690" t="s">
        <v>7703</v>
      </c>
    </row>
    <row r="691">
      <c r="A691" t="s">
        <v>1829</v>
      </c>
      <c r="B691" s="232">
        <v>92601.0</v>
      </c>
      <c r="C691" s="232">
        <v>0.0</v>
      </c>
      <c r="D691" s="232">
        <v>0.0</v>
      </c>
      <c r="F691" t="s">
        <v>7702</v>
      </c>
      <c r="G691" t="s">
        <v>310</v>
      </c>
      <c r="H691" t="s">
        <v>45</v>
      </c>
      <c r="I691" t="s">
        <v>98</v>
      </c>
    </row>
    <row r="692">
      <c r="A692" t="s">
        <v>1830</v>
      </c>
      <c r="B692" s="232">
        <v>92602.0</v>
      </c>
      <c r="C692" s="232">
        <v>0.0</v>
      </c>
      <c r="D692" s="232">
        <v>0.0</v>
      </c>
      <c r="F692" t="s">
        <v>7702</v>
      </c>
      <c r="G692" t="s">
        <v>310</v>
      </c>
      <c r="H692" t="s">
        <v>45</v>
      </c>
      <c r="I692" t="s">
        <v>98</v>
      </c>
    </row>
    <row r="693">
      <c r="A693" t="s">
        <v>1831</v>
      </c>
      <c r="B693" s="232">
        <v>92603.0</v>
      </c>
      <c r="C693" s="232">
        <v>0.0</v>
      </c>
      <c r="D693" s="232">
        <v>0.0</v>
      </c>
      <c r="F693" t="s">
        <v>7702</v>
      </c>
      <c r="G693" t="s">
        <v>310</v>
      </c>
      <c r="H693" t="s">
        <v>45</v>
      </c>
      <c r="I693" t="s">
        <v>98</v>
      </c>
    </row>
    <row r="694">
      <c r="A694" t="s">
        <v>1832</v>
      </c>
      <c r="B694" s="232">
        <v>92604.0</v>
      </c>
      <c r="C694" s="232">
        <v>0.0</v>
      </c>
      <c r="D694" s="232">
        <v>0.0</v>
      </c>
      <c r="F694" t="s">
        <v>7702</v>
      </c>
      <c r="G694" t="s">
        <v>310</v>
      </c>
      <c r="H694" t="s">
        <v>45</v>
      </c>
      <c r="I694" t="s">
        <v>98</v>
      </c>
    </row>
    <row r="695">
      <c r="A695" t="s">
        <v>1833</v>
      </c>
      <c r="B695" s="232">
        <v>92605.0</v>
      </c>
      <c r="C695" s="232">
        <v>0.0</v>
      </c>
      <c r="D695" s="232">
        <v>0.0</v>
      </c>
      <c r="F695" t="s">
        <v>7702</v>
      </c>
      <c r="G695" t="s">
        <v>310</v>
      </c>
      <c r="H695" t="s">
        <v>45</v>
      </c>
      <c r="I695" t="s">
        <v>98</v>
      </c>
    </row>
    <row r="696">
      <c r="A696" t="s">
        <v>1834</v>
      </c>
      <c r="B696" s="232">
        <v>92606.0</v>
      </c>
      <c r="C696" s="232">
        <v>0.0</v>
      </c>
      <c r="D696" s="232">
        <v>0.0</v>
      </c>
      <c r="F696" t="s">
        <v>7702</v>
      </c>
      <c r="G696" t="s">
        <v>310</v>
      </c>
      <c r="H696" t="s">
        <v>45</v>
      </c>
      <c r="I696" t="s">
        <v>98</v>
      </c>
    </row>
    <row r="697">
      <c r="A697" t="s">
        <v>1835</v>
      </c>
      <c r="B697" s="232">
        <v>92607.0</v>
      </c>
      <c r="C697" s="232">
        <v>0.0</v>
      </c>
      <c r="D697" s="232">
        <v>0.0</v>
      </c>
      <c r="F697" t="s">
        <v>7702</v>
      </c>
      <c r="G697" t="s">
        <v>310</v>
      </c>
      <c r="I697" t="s">
        <v>98</v>
      </c>
    </row>
    <row r="698">
      <c r="A698" t="s">
        <v>1836</v>
      </c>
      <c r="B698" s="232">
        <v>92608.0</v>
      </c>
      <c r="C698" s="232">
        <v>0.0</v>
      </c>
      <c r="D698" s="232">
        <v>0.0</v>
      </c>
      <c r="F698" t="s">
        <v>7702</v>
      </c>
      <c r="G698" t="s">
        <v>310</v>
      </c>
      <c r="H698" t="s">
        <v>45</v>
      </c>
      <c r="I698" t="s">
        <v>98</v>
      </c>
    </row>
    <row r="699">
      <c r="A699" t="s">
        <v>1837</v>
      </c>
      <c r="B699" s="232">
        <v>92609.0</v>
      </c>
      <c r="C699" s="232">
        <v>0.0</v>
      </c>
      <c r="D699" s="232">
        <v>0.0</v>
      </c>
      <c r="F699" t="s">
        <v>7702</v>
      </c>
      <c r="G699" t="s">
        <v>310</v>
      </c>
      <c r="I699" t="s">
        <v>98</v>
      </c>
    </row>
    <row r="700">
      <c r="A700" t="s">
        <v>1838</v>
      </c>
      <c r="B700" s="232">
        <v>92610.0</v>
      </c>
      <c r="C700" s="232">
        <v>0.0</v>
      </c>
      <c r="D700" s="232">
        <v>0.0</v>
      </c>
      <c r="F700" t="s">
        <v>7702</v>
      </c>
      <c r="G700" t="s">
        <v>310</v>
      </c>
      <c r="H700" t="s">
        <v>45</v>
      </c>
      <c r="I700" t="s">
        <v>98</v>
      </c>
    </row>
    <row r="701">
      <c r="A701" t="s">
        <v>1839</v>
      </c>
      <c r="B701" s="232">
        <v>92611.0</v>
      </c>
      <c r="C701" s="232">
        <v>0.0</v>
      </c>
      <c r="D701" s="232">
        <v>0.0</v>
      </c>
      <c r="F701" t="s">
        <v>7702</v>
      </c>
      <c r="G701" t="s">
        <v>310</v>
      </c>
      <c r="H701" t="s">
        <v>45</v>
      </c>
      <c r="I701" t="s">
        <v>98</v>
      </c>
    </row>
    <row r="702">
      <c r="A702" t="s">
        <v>1840</v>
      </c>
      <c r="B702" s="232">
        <v>92612.0</v>
      </c>
      <c r="C702" s="232">
        <v>0.0</v>
      </c>
      <c r="D702" s="232">
        <v>0.0</v>
      </c>
      <c r="F702" t="s">
        <v>7702</v>
      </c>
      <c r="G702" t="s">
        <v>310</v>
      </c>
      <c r="H702" t="s">
        <v>45</v>
      </c>
      <c r="I702" t="s">
        <v>98</v>
      </c>
    </row>
    <row r="703">
      <c r="A703" t="s">
        <v>1841</v>
      </c>
      <c r="B703" s="232">
        <v>92613.0</v>
      </c>
      <c r="C703" s="232">
        <v>0.0</v>
      </c>
      <c r="D703" s="232">
        <v>0.0</v>
      </c>
      <c r="F703" t="s">
        <v>7702</v>
      </c>
      <c r="G703" t="s">
        <v>310</v>
      </c>
      <c r="H703" t="s">
        <v>45</v>
      </c>
      <c r="I703" t="s">
        <v>98</v>
      </c>
    </row>
    <row r="704">
      <c r="A704" t="s">
        <v>1842</v>
      </c>
      <c r="B704" s="232">
        <v>92614.0</v>
      </c>
      <c r="C704" s="232">
        <v>0.0</v>
      </c>
      <c r="D704" s="232">
        <v>0.0</v>
      </c>
      <c r="F704" t="s">
        <v>7702</v>
      </c>
      <c r="G704" t="s">
        <v>310</v>
      </c>
      <c r="I704" t="s">
        <v>98</v>
      </c>
    </row>
    <row r="705">
      <c r="A705" t="s">
        <v>1843</v>
      </c>
      <c r="B705" s="232">
        <v>92615.0</v>
      </c>
      <c r="C705" s="232">
        <v>0.0</v>
      </c>
      <c r="D705" s="232">
        <v>0.0</v>
      </c>
      <c r="F705" t="s">
        <v>7702</v>
      </c>
      <c r="G705" t="s">
        <v>310</v>
      </c>
      <c r="I705" t="s">
        <v>98</v>
      </c>
    </row>
    <row r="706">
      <c r="A706" t="s">
        <v>1844</v>
      </c>
      <c r="B706" s="232">
        <v>92616.0</v>
      </c>
      <c r="C706" s="232">
        <v>0.0</v>
      </c>
      <c r="D706" s="232">
        <v>0.0</v>
      </c>
      <c r="F706" t="s">
        <v>7702</v>
      </c>
      <c r="G706" t="s">
        <v>310</v>
      </c>
      <c r="I706" t="s">
        <v>98</v>
      </c>
    </row>
    <row r="707">
      <c r="A707" t="s">
        <v>1845</v>
      </c>
      <c r="B707" s="232">
        <v>92618.0</v>
      </c>
      <c r="C707" s="232">
        <v>0.0</v>
      </c>
      <c r="D707" s="232">
        <v>0.0</v>
      </c>
      <c r="F707" t="s">
        <v>7702</v>
      </c>
      <c r="G707" t="s">
        <v>310</v>
      </c>
      <c r="H707" t="s">
        <v>45</v>
      </c>
      <c r="I707" t="s">
        <v>98</v>
      </c>
    </row>
    <row r="708">
      <c r="A708" t="s">
        <v>1846</v>
      </c>
      <c r="B708" s="232">
        <v>92619.0</v>
      </c>
      <c r="C708" s="232">
        <v>0.0</v>
      </c>
      <c r="D708" s="232">
        <v>0.0</v>
      </c>
      <c r="F708" t="s">
        <v>7702</v>
      </c>
      <c r="G708" t="s">
        <v>310</v>
      </c>
      <c r="H708" t="s">
        <v>45</v>
      </c>
      <c r="I708" t="s">
        <v>98</v>
      </c>
    </row>
    <row r="709">
      <c r="A709" t="s">
        <v>1847</v>
      </c>
      <c r="B709" s="232">
        <v>92620.0</v>
      </c>
      <c r="C709" s="232">
        <v>0.0</v>
      </c>
      <c r="D709" s="232">
        <v>0.0</v>
      </c>
      <c r="F709" t="s">
        <v>7702</v>
      </c>
      <c r="G709" t="s">
        <v>310</v>
      </c>
      <c r="I709" t="s">
        <v>98</v>
      </c>
    </row>
    <row r="710">
      <c r="A710" t="s">
        <v>1848</v>
      </c>
      <c r="B710" s="232">
        <v>92621.0</v>
      </c>
      <c r="C710" s="232">
        <v>0.0</v>
      </c>
      <c r="D710" s="232">
        <v>0.0</v>
      </c>
      <c r="F710" t="s">
        <v>7702</v>
      </c>
      <c r="G710" t="s">
        <v>310</v>
      </c>
      <c r="H710" t="s">
        <v>45</v>
      </c>
      <c r="I710" t="s">
        <v>98</v>
      </c>
    </row>
    <row r="711">
      <c r="A711" t="s">
        <v>1849</v>
      </c>
      <c r="B711" s="232">
        <v>92622.0</v>
      </c>
      <c r="C711" s="232">
        <v>0.0</v>
      </c>
      <c r="D711" s="232">
        <v>0.0</v>
      </c>
      <c r="F711" t="s">
        <v>7702</v>
      </c>
      <c r="G711" t="s">
        <v>310</v>
      </c>
      <c r="I711" t="s">
        <v>98</v>
      </c>
    </row>
    <row r="712">
      <c r="A712" t="s">
        <v>1850</v>
      </c>
      <c r="B712" s="232">
        <v>92623.0</v>
      </c>
      <c r="C712" s="232">
        <v>0.0</v>
      </c>
      <c r="D712" s="232">
        <v>0.0</v>
      </c>
      <c r="F712" t="s">
        <v>7702</v>
      </c>
      <c r="G712" t="s">
        <v>310</v>
      </c>
      <c r="I712" t="s">
        <v>98</v>
      </c>
    </row>
    <row r="713">
      <c r="A713" t="s">
        <v>1851</v>
      </c>
      <c r="B713" s="232">
        <v>92625.0</v>
      </c>
      <c r="C713" s="232">
        <v>0.0</v>
      </c>
      <c r="D713" s="232">
        <v>0.0</v>
      </c>
      <c r="F713" t="s">
        <v>7702</v>
      </c>
      <c r="G713" t="s">
        <v>310</v>
      </c>
      <c r="I713" t="s">
        <v>98</v>
      </c>
    </row>
    <row r="714">
      <c r="A714" t="s">
        <v>1852</v>
      </c>
      <c r="B714" s="232">
        <v>92626.0</v>
      </c>
      <c r="C714" s="232">
        <v>0.0</v>
      </c>
      <c r="D714" s="232">
        <v>0.0</v>
      </c>
      <c r="F714" t="s">
        <v>7702</v>
      </c>
      <c r="G714" t="s">
        <v>310</v>
      </c>
      <c r="I714" t="s">
        <v>98</v>
      </c>
    </row>
    <row r="715">
      <c r="A715" t="s">
        <v>1854</v>
      </c>
      <c r="B715" s="232" t="s">
        <v>1853</v>
      </c>
      <c r="C715" s="232">
        <v>0.0</v>
      </c>
      <c r="D715" s="232">
        <v>0.0</v>
      </c>
      <c r="F715" t="s">
        <v>7711</v>
      </c>
      <c r="G715" t="s">
        <v>310</v>
      </c>
      <c r="H715" t="s">
        <v>7703</v>
      </c>
      <c r="I715" t="s">
        <v>98</v>
      </c>
    </row>
    <row r="716">
      <c r="A716" t="s">
        <v>1856</v>
      </c>
      <c r="B716" s="232" t="s">
        <v>1855</v>
      </c>
      <c r="C716" s="232">
        <v>465.0</v>
      </c>
      <c r="D716" s="232">
        <v>178.02</v>
      </c>
      <c r="E716" s="232">
        <v>0.3828</v>
      </c>
      <c r="F716" t="s">
        <v>7702</v>
      </c>
      <c r="G716" t="s">
        <v>330</v>
      </c>
      <c r="H716" t="s">
        <v>45</v>
      </c>
      <c r="I716" t="s">
        <v>98</v>
      </c>
    </row>
    <row r="717">
      <c r="A717" t="s">
        <v>1858</v>
      </c>
      <c r="B717" s="232" t="s">
        <v>1857</v>
      </c>
      <c r="C717" s="232">
        <v>354.0</v>
      </c>
      <c r="D717" s="232">
        <v>135.46</v>
      </c>
      <c r="E717" s="232">
        <v>0.3827</v>
      </c>
      <c r="F717" t="s">
        <v>7702</v>
      </c>
      <c r="G717" t="s">
        <v>330</v>
      </c>
      <c r="H717" t="s">
        <v>45</v>
      </c>
      <c r="I717" t="s">
        <v>98</v>
      </c>
    </row>
    <row r="718">
      <c r="A718" t="s">
        <v>1860</v>
      </c>
      <c r="B718" s="232" t="s">
        <v>1859</v>
      </c>
      <c r="C718" s="232">
        <v>204.0</v>
      </c>
      <c r="D718" s="232">
        <v>77.98</v>
      </c>
      <c r="E718" s="232">
        <v>0.3823</v>
      </c>
      <c r="F718" t="s">
        <v>7702</v>
      </c>
      <c r="G718" t="s">
        <v>330</v>
      </c>
      <c r="H718" t="s">
        <v>45</v>
      </c>
      <c r="I718" t="s">
        <v>98</v>
      </c>
    </row>
    <row r="719">
      <c r="A719" t="s">
        <v>1862</v>
      </c>
      <c r="B719" s="232" t="s">
        <v>1861</v>
      </c>
      <c r="C719" s="232">
        <v>366.0</v>
      </c>
      <c r="D719" s="232">
        <v>140.07</v>
      </c>
      <c r="E719" s="232">
        <v>0.3827</v>
      </c>
      <c r="F719" t="s">
        <v>7702</v>
      </c>
      <c r="G719" t="s">
        <v>330</v>
      </c>
      <c r="H719" t="s">
        <v>45</v>
      </c>
      <c r="I719" t="s">
        <v>98</v>
      </c>
    </row>
    <row r="720">
      <c r="A720" t="s">
        <v>1864</v>
      </c>
      <c r="B720" s="232" t="s">
        <v>1863</v>
      </c>
      <c r="C720" s="232">
        <v>192.0</v>
      </c>
      <c r="D720" s="232">
        <v>72.72</v>
      </c>
      <c r="E720" s="232">
        <v>0.3788</v>
      </c>
      <c r="F720" t="s">
        <v>7702</v>
      </c>
      <c r="G720" t="s">
        <v>330</v>
      </c>
      <c r="H720" t="s">
        <v>45</v>
      </c>
      <c r="I720" t="s">
        <v>98</v>
      </c>
    </row>
    <row r="721">
      <c r="A721" t="s">
        <v>1866</v>
      </c>
      <c r="B721" s="232" t="s">
        <v>1865</v>
      </c>
      <c r="C721" s="232">
        <v>90.0</v>
      </c>
      <c r="D721" s="232">
        <v>34.2</v>
      </c>
      <c r="E721" s="232">
        <v>0.38</v>
      </c>
      <c r="F721" t="s">
        <v>7702</v>
      </c>
      <c r="G721" t="s">
        <v>330</v>
      </c>
      <c r="H721" t="s">
        <v>45</v>
      </c>
      <c r="I721" t="s">
        <v>98</v>
      </c>
    </row>
    <row r="722">
      <c r="A722" t="s">
        <v>1868</v>
      </c>
      <c r="B722" s="232" t="s">
        <v>1867</v>
      </c>
      <c r="C722" s="232">
        <v>0.0</v>
      </c>
      <c r="D722" s="232">
        <v>0.0</v>
      </c>
      <c r="F722" t="s">
        <v>7702</v>
      </c>
      <c r="G722" t="s">
        <v>310</v>
      </c>
      <c r="H722" t="s">
        <v>45</v>
      </c>
      <c r="I722" t="s">
        <v>98</v>
      </c>
    </row>
    <row r="723">
      <c r="A723" t="s">
        <v>1870</v>
      </c>
      <c r="B723" s="232" t="s">
        <v>1869</v>
      </c>
      <c r="C723" s="232">
        <v>0.0</v>
      </c>
      <c r="D723" s="232">
        <v>0.0</v>
      </c>
      <c r="F723" t="s">
        <v>7702</v>
      </c>
      <c r="G723" t="s">
        <v>310</v>
      </c>
      <c r="H723" t="s">
        <v>45</v>
      </c>
      <c r="I723" t="s">
        <v>98</v>
      </c>
    </row>
    <row r="724">
      <c r="A724" t="s">
        <v>1872</v>
      </c>
      <c r="B724" s="232" t="s">
        <v>1871</v>
      </c>
      <c r="C724" s="232">
        <v>204.0</v>
      </c>
      <c r="D724" s="232">
        <v>77.98</v>
      </c>
      <c r="E724" s="232">
        <v>0.3823</v>
      </c>
      <c r="F724" t="s">
        <v>7702</v>
      </c>
      <c r="G724" t="s">
        <v>330</v>
      </c>
      <c r="H724" t="s">
        <v>45</v>
      </c>
      <c r="I724" t="s">
        <v>98</v>
      </c>
    </row>
    <row r="725">
      <c r="A725" t="s">
        <v>1874</v>
      </c>
      <c r="B725" s="232" t="s">
        <v>1873</v>
      </c>
      <c r="C725" s="232">
        <v>0.0</v>
      </c>
      <c r="D725" s="232">
        <v>0.0</v>
      </c>
      <c r="F725" t="s">
        <v>7702</v>
      </c>
      <c r="G725" t="s">
        <v>310</v>
      </c>
      <c r="H725" t="s">
        <v>45</v>
      </c>
      <c r="I725" t="s">
        <v>98</v>
      </c>
    </row>
    <row r="726">
      <c r="A726" t="s">
        <v>1876</v>
      </c>
      <c r="B726" s="232" t="s">
        <v>1875</v>
      </c>
      <c r="C726" s="232">
        <v>0.0</v>
      </c>
      <c r="D726" s="232">
        <v>0.0</v>
      </c>
      <c r="F726" t="s">
        <v>7702</v>
      </c>
      <c r="G726" t="s">
        <v>310</v>
      </c>
      <c r="H726" t="s">
        <v>45</v>
      </c>
      <c r="I726" t="s">
        <v>98</v>
      </c>
    </row>
    <row r="727">
      <c r="A727" t="s">
        <v>1878</v>
      </c>
      <c r="B727" s="232" t="s">
        <v>1877</v>
      </c>
      <c r="C727" s="232">
        <v>276.0</v>
      </c>
      <c r="D727" s="232">
        <v>105.59</v>
      </c>
      <c r="E727" s="232">
        <v>0.3826</v>
      </c>
      <c r="F727" t="s">
        <v>7702</v>
      </c>
      <c r="G727" t="s">
        <v>330</v>
      </c>
      <c r="H727" t="s">
        <v>45</v>
      </c>
      <c r="I727" t="s">
        <v>98</v>
      </c>
    </row>
    <row r="728">
      <c r="A728" t="s">
        <v>1880</v>
      </c>
      <c r="B728" s="232" t="s">
        <v>1879</v>
      </c>
      <c r="C728" s="232">
        <v>0.0</v>
      </c>
      <c r="D728" s="232">
        <v>0.0</v>
      </c>
      <c r="F728" t="s">
        <v>7711</v>
      </c>
      <c r="G728" t="s">
        <v>310</v>
      </c>
      <c r="H728" t="s">
        <v>7703</v>
      </c>
      <c r="I728" t="s">
        <v>98</v>
      </c>
    </row>
    <row r="729">
      <c r="A729" t="s">
        <v>1882</v>
      </c>
      <c r="B729" s="232" t="s">
        <v>1881</v>
      </c>
      <c r="C729" s="232">
        <v>0.0</v>
      </c>
      <c r="D729" s="232">
        <v>0.0</v>
      </c>
      <c r="F729" t="s">
        <v>7702</v>
      </c>
      <c r="G729" t="s">
        <v>310</v>
      </c>
      <c r="H729" t="s">
        <v>7703</v>
      </c>
      <c r="I729" t="s">
        <v>7773</v>
      </c>
    </row>
    <row r="730">
      <c r="A730" t="s">
        <v>1884</v>
      </c>
      <c r="B730" s="232" t="s">
        <v>1883</v>
      </c>
      <c r="C730" s="232">
        <v>1.0</v>
      </c>
      <c r="D730" s="232">
        <v>38.34</v>
      </c>
      <c r="E730" s="232">
        <v>38.34</v>
      </c>
      <c r="F730" t="s">
        <v>7711</v>
      </c>
      <c r="G730" t="s">
        <v>330</v>
      </c>
      <c r="H730" t="s">
        <v>7725</v>
      </c>
      <c r="I730" t="s">
        <v>7736</v>
      </c>
    </row>
    <row r="731">
      <c r="A731" t="s">
        <v>1892</v>
      </c>
      <c r="B731" s="232" t="s">
        <v>1891</v>
      </c>
      <c r="C731" s="232">
        <v>0.0</v>
      </c>
      <c r="D731" s="232">
        <v>0.0</v>
      </c>
      <c r="F731" t="s">
        <v>7702</v>
      </c>
      <c r="G731" t="s">
        <v>310</v>
      </c>
      <c r="H731" t="s">
        <v>7703</v>
      </c>
      <c r="I731" t="s">
        <v>7744</v>
      </c>
    </row>
    <row r="732">
      <c r="A732" t="s">
        <v>1895</v>
      </c>
      <c r="B732" s="232">
        <v>96801.0</v>
      </c>
      <c r="C732" s="232">
        <v>0.0</v>
      </c>
      <c r="D732" s="232">
        <v>0.0</v>
      </c>
      <c r="F732" t="s">
        <v>7702</v>
      </c>
      <c r="G732" t="s">
        <v>310</v>
      </c>
      <c r="H732" t="s">
        <v>7703</v>
      </c>
      <c r="I732" t="s">
        <v>98</v>
      </c>
    </row>
    <row r="733">
      <c r="A733" t="s">
        <v>1896</v>
      </c>
      <c r="B733" s="232">
        <v>96803.0</v>
      </c>
      <c r="C733" s="232">
        <v>0.0</v>
      </c>
      <c r="D733" s="232">
        <v>0.0</v>
      </c>
      <c r="F733" t="s">
        <v>7702</v>
      </c>
      <c r="G733" t="s">
        <v>310</v>
      </c>
      <c r="H733" t="s">
        <v>7703</v>
      </c>
      <c r="I733" t="s">
        <v>98</v>
      </c>
    </row>
    <row r="734">
      <c r="A734" t="s">
        <v>1897</v>
      </c>
      <c r="B734" s="232">
        <v>96802.0</v>
      </c>
      <c r="C734" s="232">
        <v>0.0</v>
      </c>
      <c r="D734" s="232">
        <v>0.0</v>
      </c>
      <c r="F734" t="s">
        <v>7702</v>
      </c>
      <c r="G734" t="s">
        <v>310</v>
      </c>
      <c r="H734" t="s">
        <v>7703</v>
      </c>
      <c r="I734" t="s">
        <v>98</v>
      </c>
    </row>
    <row r="735">
      <c r="A735" t="s">
        <v>1898</v>
      </c>
      <c r="B735" s="232">
        <v>96805.0</v>
      </c>
      <c r="C735" s="232">
        <v>0.0</v>
      </c>
      <c r="D735" s="232">
        <v>0.0</v>
      </c>
      <c r="F735" t="s">
        <v>7702</v>
      </c>
      <c r="G735" t="s">
        <v>310</v>
      </c>
      <c r="H735" t="s">
        <v>7703</v>
      </c>
      <c r="I735" t="s">
        <v>98</v>
      </c>
    </row>
    <row r="736">
      <c r="A736" t="s">
        <v>1899</v>
      </c>
      <c r="B736" s="232">
        <v>96804.0</v>
      </c>
      <c r="C736" s="232">
        <v>0.0</v>
      </c>
      <c r="D736" s="232">
        <v>0.0</v>
      </c>
      <c r="F736" t="s">
        <v>7702</v>
      </c>
      <c r="G736" t="s">
        <v>310</v>
      </c>
      <c r="H736" t="s">
        <v>7703</v>
      </c>
      <c r="I736" t="s">
        <v>98</v>
      </c>
    </row>
    <row r="737">
      <c r="A737" t="s">
        <v>1900</v>
      </c>
      <c r="B737" s="232">
        <v>96806.0</v>
      </c>
      <c r="C737" s="232">
        <v>0.0</v>
      </c>
      <c r="D737" s="232">
        <v>0.0</v>
      </c>
      <c r="F737" t="s">
        <v>7702</v>
      </c>
      <c r="G737" t="s">
        <v>310</v>
      </c>
      <c r="H737" t="s">
        <v>7703</v>
      </c>
      <c r="I737" t="s">
        <v>98</v>
      </c>
    </row>
    <row r="738">
      <c r="A738" t="s">
        <v>1902</v>
      </c>
      <c r="B738" s="232" t="s">
        <v>1901</v>
      </c>
      <c r="C738" s="232">
        <v>0.0</v>
      </c>
      <c r="D738" s="232">
        <v>0.0</v>
      </c>
      <c r="F738" t="s">
        <v>7702</v>
      </c>
      <c r="G738" t="s">
        <v>310</v>
      </c>
      <c r="H738" t="s">
        <v>7703</v>
      </c>
      <c r="I738" t="s">
        <v>7714</v>
      </c>
    </row>
    <row r="739">
      <c r="A739" t="s">
        <v>1904</v>
      </c>
      <c r="B739" s="232" t="s">
        <v>1903</v>
      </c>
      <c r="C739" s="232">
        <v>0.0</v>
      </c>
      <c r="D739" s="232">
        <v>0.0</v>
      </c>
      <c r="F739" t="s">
        <v>7711</v>
      </c>
      <c r="G739" t="s">
        <v>310</v>
      </c>
      <c r="H739" t="s">
        <v>7703</v>
      </c>
      <c r="I739" t="s">
        <v>98</v>
      </c>
    </row>
    <row r="740">
      <c r="A740" t="s">
        <v>1906</v>
      </c>
      <c r="B740" s="232" t="s">
        <v>1905</v>
      </c>
      <c r="C740" s="232">
        <v>0.0</v>
      </c>
      <c r="D740" s="232">
        <v>0.0</v>
      </c>
      <c r="F740" t="s">
        <v>7711</v>
      </c>
      <c r="G740" t="s">
        <v>310</v>
      </c>
      <c r="H740" t="s">
        <v>45</v>
      </c>
      <c r="I740" t="s">
        <v>7713</v>
      </c>
    </row>
    <row r="741">
      <c r="A741" t="s">
        <v>1908</v>
      </c>
      <c r="B741" s="232" t="s">
        <v>1907</v>
      </c>
      <c r="C741" s="232">
        <v>0.0</v>
      </c>
      <c r="D741" s="232">
        <v>0.0</v>
      </c>
      <c r="F741" t="s">
        <v>7702</v>
      </c>
      <c r="G741" t="s">
        <v>330</v>
      </c>
      <c r="H741" t="s">
        <v>7774</v>
      </c>
      <c r="I741" t="s">
        <v>7775</v>
      </c>
    </row>
    <row r="742">
      <c r="A742" t="s">
        <v>1910</v>
      </c>
      <c r="B742" s="232">
        <v>43332.0</v>
      </c>
      <c r="C742" s="232">
        <v>0.0</v>
      </c>
      <c r="D742" s="232">
        <v>0.0</v>
      </c>
      <c r="F742" t="s">
        <v>7702</v>
      </c>
      <c r="G742" t="s">
        <v>330</v>
      </c>
      <c r="H742" t="s">
        <v>7774</v>
      </c>
      <c r="I742" t="s">
        <v>7775</v>
      </c>
    </row>
    <row r="743">
      <c r="A743" t="s">
        <v>1911</v>
      </c>
      <c r="B743" s="232">
        <v>43301.0</v>
      </c>
      <c r="C743" s="232">
        <v>0.0</v>
      </c>
      <c r="D743" s="232">
        <v>0.0</v>
      </c>
      <c r="F743" t="s">
        <v>7702</v>
      </c>
      <c r="G743" t="s">
        <v>330</v>
      </c>
      <c r="H743" t="s">
        <v>45</v>
      </c>
      <c r="I743" t="s">
        <v>7775</v>
      </c>
    </row>
    <row r="744">
      <c r="A744" t="s">
        <v>1912</v>
      </c>
      <c r="B744" s="232">
        <v>43302.0</v>
      </c>
      <c r="C744" s="232">
        <v>0.0</v>
      </c>
      <c r="D744" s="232">
        <v>0.0</v>
      </c>
      <c r="F744" t="s">
        <v>7702</v>
      </c>
      <c r="G744" t="s">
        <v>330</v>
      </c>
      <c r="H744" t="s">
        <v>45</v>
      </c>
      <c r="I744" t="s">
        <v>7775</v>
      </c>
    </row>
    <row r="745">
      <c r="A745" t="s">
        <v>1913</v>
      </c>
      <c r="B745" s="232">
        <v>43303.0</v>
      </c>
      <c r="C745" s="232">
        <v>0.0</v>
      </c>
      <c r="D745" s="232">
        <v>0.0</v>
      </c>
      <c r="F745" t="s">
        <v>7702</v>
      </c>
      <c r="G745" t="s">
        <v>310</v>
      </c>
      <c r="H745" t="s">
        <v>45</v>
      </c>
      <c r="I745" t="s">
        <v>7775</v>
      </c>
    </row>
    <row r="746">
      <c r="A746" t="s">
        <v>1914</v>
      </c>
      <c r="B746" s="232">
        <v>43304.0</v>
      </c>
      <c r="C746" s="232">
        <v>0.0</v>
      </c>
      <c r="D746" s="232">
        <v>0.0</v>
      </c>
      <c r="F746" t="s">
        <v>7702</v>
      </c>
      <c r="G746" t="s">
        <v>310</v>
      </c>
      <c r="H746" t="s">
        <v>7774</v>
      </c>
      <c r="I746" t="s">
        <v>7775</v>
      </c>
    </row>
    <row r="747">
      <c r="A747" t="s">
        <v>1915</v>
      </c>
      <c r="B747" s="232">
        <v>992432.0</v>
      </c>
      <c r="C747" s="232">
        <v>297.0</v>
      </c>
      <c r="D747" s="232">
        <v>17.73</v>
      </c>
      <c r="E747" s="232">
        <v>0.0597</v>
      </c>
      <c r="F747" t="s">
        <v>7702</v>
      </c>
      <c r="G747" t="s">
        <v>330</v>
      </c>
      <c r="H747" t="s">
        <v>7774</v>
      </c>
      <c r="I747" t="s">
        <v>7713</v>
      </c>
    </row>
    <row r="748">
      <c r="A748" t="s">
        <v>1916</v>
      </c>
      <c r="B748" s="232">
        <v>992431.0</v>
      </c>
      <c r="C748" s="232">
        <v>335.0</v>
      </c>
      <c r="D748" s="232">
        <v>103.65</v>
      </c>
      <c r="E748" s="232">
        <v>0.3094</v>
      </c>
      <c r="F748" t="s">
        <v>7702</v>
      </c>
      <c r="G748" t="s">
        <v>330</v>
      </c>
      <c r="H748" t="s">
        <v>7774</v>
      </c>
      <c r="I748" t="s">
        <v>7713</v>
      </c>
    </row>
    <row r="749">
      <c r="A749" t="s">
        <v>1917</v>
      </c>
      <c r="B749" s="232">
        <v>41201.0</v>
      </c>
      <c r="C749" s="232">
        <v>0.0</v>
      </c>
      <c r="D749" s="232">
        <v>0.0</v>
      </c>
      <c r="F749" t="s">
        <v>7702</v>
      </c>
      <c r="G749" t="s">
        <v>330</v>
      </c>
      <c r="H749" t="s">
        <v>45</v>
      </c>
      <c r="I749" t="s">
        <v>7776</v>
      </c>
    </row>
    <row r="750">
      <c r="A750" t="s">
        <v>1918</v>
      </c>
      <c r="B750" s="232">
        <v>41202.0</v>
      </c>
      <c r="C750" s="232">
        <v>0.0</v>
      </c>
      <c r="D750" s="232">
        <v>0.0</v>
      </c>
      <c r="F750" t="s">
        <v>7702</v>
      </c>
      <c r="G750" t="s">
        <v>330</v>
      </c>
      <c r="H750" t="s">
        <v>45</v>
      </c>
      <c r="I750" t="s">
        <v>7776</v>
      </c>
    </row>
    <row r="751">
      <c r="A751" t="s">
        <v>1919</v>
      </c>
      <c r="B751" s="232">
        <v>41233.0</v>
      </c>
      <c r="C751" s="232">
        <v>0.0</v>
      </c>
      <c r="D751" s="232">
        <v>0.0</v>
      </c>
      <c r="F751" t="s">
        <v>7702</v>
      </c>
      <c r="G751" t="s">
        <v>330</v>
      </c>
      <c r="H751" t="s">
        <v>45</v>
      </c>
      <c r="I751" t="s">
        <v>7776</v>
      </c>
    </row>
    <row r="752">
      <c r="A752" t="s">
        <v>1920</v>
      </c>
      <c r="B752" s="232">
        <v>41234.0</v>
      </c>
      <c r="C752" s="232">
        <v>0.0</v>
      </c>
      <c r="D752" s="232">
        <v>0.0</v>
      </c>
      <c r="F752" t="s">
        <v>7702</v>
      </c>
      <c r="G752" t="s">
        <v>330</v>
      </c>
      <c r="H752" t="s">
        <v>7774</v>
      </c>
      <c r="I752" t="s">
        <v>7776</v>
      </c>
    </row>
    <row r="753">
      <c r="A753" t="s">
        <v>1921</v>
      </c>
      <c r="B753" s="232">
        <v>41205.0</v>
      </c>
      <c r="C753" s="232">
        <v>0.0</v>
      </c>
      <c r="D753" s="232">
        <v>0.0</v>
      </c>
      <c r="F753" t="s">
        <v>7702</v>
      </c>
      <c r="G753" t="s">
        <v>330</v>
      </c>
      <c r="H753" t="s">
        <v>45</v>
      </c>
      <c r="I753" t="s">
        <v>7776</v>
      </c>
    </row>
    <row r="754">
      <c r="A754" t="s">
        <v>1922</v>
      </c>
      <c r="B754" s="232">
        <v>41203.0</v>
      </c>
      <c r="C754" s="232">
        <v>0.0</v>
      </c>
      <c r="D754" s="232">
        <v>0.0</v>
      </c>
      <c r="F754" t="s">
        <v>7702</v>
      </c>
      <c r="G754" t="s">
        <v>310</v>
      </c>
      <c r="H754" t="s">
        <v>45</v>
      </c>
      <c r="I754" t="s">
        <v>7776</v>
      </c>
    </row>
    <row r="755">
      <c r="A755" t="s">
        <v>1923</v>
      </c>
      <c r="B755" s="232">
        <v>41204.0</v>
      </c>
      <c r="C755" s="232">
        <v>0.0</v>
      </c>
      <c r="D755" s="232">
        <v>0.0</v>
      </c>
      <c r="F755" t="s">
        <v>7702</v>
      </c>
      <c r="G755" t="s">
        <v>310</v>
      </c>
      <c r="H755" t="s">
        <v>45</v>
      </c>
      <c r="I755" t="s">
        <v>7776</v>
      </c>
    </row>
    <row r="756">
      <c r="A756" t="s">
        <v>1925</v>
      </c>
      <c r="B756" s="232" t="s">
        <v>1924</v>
      </c>
      <c r="C756" s="232">
        <v>0.0</v>
      </c>
      <c r="D756" s="232">
        <v>0.0</v>
      </c>
      <c r="F756" t="s">
        <v>7702</v>
      </c>
      <c r="G756" t="s">
        <v>310</v>
      </c>
      <c r="H756" t="s">
        <v>7774</v>
      </c>
      <c r="I756" t="s">
        <v>7776</v>
      </c>
    </row>
    <row r="757">
      <c r="A757" t="s">
        <v>1927</v>
      </c>
      <c r="B757" s="232" t="s">
        <v>1926</v>
      </c>
      <c r="C757" s="232">
        <v>0.0</v>
      </c>
      <c r="D757" s="232">
        <v>0.0</v>
      </c>
      <c r="F757" t="s">
        <v>7702</v>
      </c>
      <c r="G757" t="s">
        <v>310</v>
      </c>
      <c r="H757" t="s">
        <v>7774</v>
      </c>
      <c r="I757" t="s">
        <v>7776</v>
      </c>
    </row>
    <row r="758">
      <c r="A758" t="s">
        <v>1928</v>
      </c>
      <c r="B758" s="232">
        <v>79602.0</v>
      </c>
      <c r="C758" s="232">
        <v>96.0</v>
      </c>
      <c r="D758" s="232">
        <v>308.0</v>
      </c>
      <c r="E758" s="232">
        <v>3.2083</v>
      </c>
      <c r="F758" t="s">
        <v>7702</v>
      </c>
      <c r="G758" t="s">
        <v>330</v>
      </c>
      <c r="H758" t="s">
        <v>45</v>
      </c>
      <c r="I758" t="s">
        <v>7777</v>
      </c>
    </row>
    <row r="759">
      <c r="A759" t="s">
        <v>1929</v>
      </c>
      <c r="B759" s="232">
        <v>79605.0</v>
      </c>
      <c r="C759" s="232">
        <v>93.0</v>
      </c>
      <c r="D759" s="232">
        <v>298.38</v>
      </c>
      <c r="E759" s="232">
        <v>3.2084</v>
      </c>
      <c r="F759" t="s">
        <v>7702</v>
      </c>
      <c r="G759" t="s">
        <v>330</v>
      </c>
      <c r="H759" t="s">
        <v>45</v>
      </c>
      <c r="I759" t="s">
        <v>7777</v>
      </c>
    </row>
    <row r="760">
      <c r="A760" t="s">
        <v>1930</v>
      </c>
      <c r="B760" s="232">
        <v>79603.0</v>
      </c>
      <c r="C760" s="232">
        <v>95.0</v>
      </c>
      <c r="D760" s="232">
        <v>304.79</v>
      </c>
      <c r="E760" s="232">
        <v>3.2083</v>
      </c>
      <c r="F760" t="s">
        <v>7702</v>
      </c>
      <c r="G760" t="s">
        <v>330</v>
      </c>
      <c r="H760" t="s">
        <v>45</v>
      </c>
      <c r="I760" t="s">
        <v>7777</v>
      </c>
    </row>
    <row r="761">
      <c r="A761" t="s">
        <v>1931</v>
      </c>
      <c r="B761" s="232">
        <v>79604.0</v>
      </c>
      <c r="C761" s="232">
        <v>0.0</v>
      </c>
      <c r="D761" s="232">
        <v>0.0</v>
      </c>
      <c r="F761" t="s">
        <v>7702</v>
      </c>
      <c r="G761" t="s">
        <v>330</v>
      </c>
      <c r="H761" t="s">
        <v>45</v>
      </c>
      <c r="I761" t="s">
        <v>7777</v>
      </c>
    </row>
    <row r="762">
      <c r="A762" t="s">
        <v>1932</v>
      </c>
      <c r="B762" s="232">
        <v>79606.0</v>
      </c>
      <c r="C762" s="232">
        <v>100.0</v>
      </c>
      <c r="D762" s="232">
        <v>320.82</v>
      </c>
      <c r="E762" s="232">
        <v>3.2082</v>
      </c>
      <c r="F762" t="s">
        <v>7702</v>
      </c>
      <c r="G762" t="s">
        <v>330</v>
      </c>
      <c r="H762" t="s">
        <v>45</v>
      </c>
      <c r="I762" t="s">
        <v>7777</v>
      </c>
    </row>
    <row r="763">
      <c r="A763" t="s">
        <v>1933</v>
      </c>
      <c r="B763" s="232">
        <v>79601.0</v>
      </c>
      <c r="C763" s="232">
        <v>124.0</v>
      </c>
      <c r="D763" s="232">
        <v>397.8</v>
      </c>
      <c r="E763" s="232">
        <v>3.2081</v>
      </c>
      <c r="F763" t="s">
        <v>7702</v>
      </c>
      <c r="G763" t="s">
        <v>330</v>
      </c>
      <c r="H763" t="s">
        <v>45</v>
      </c>
      <c r="I763" t="s">
        <v>7777</v>
      </c>
    </row>
    <row r="764">
      <c r="A764" t="s">
        <v>1935</v>
      </c>
      <c r="B764" s="232" t="s">
        <v>1934</v>
      </c>
      <c r="C764" s="232">
        <v>125.0</v>
      </c>
      <c r="D764" s="232">
        <v>0.0</v>
      </c>
      <c r="E764" s="232">
        <v>0.0</v>
      </c>
      <c r="F764" t="s">
        <v>7702</v>
      </c>
      <c r="G764" t="s">
        <v>330</v>
      </c>
      <c r="H764" t="s">
        <v>45</v>
      </c>
      <c r="I764" t="s">
        <v>7714</v>
      </c>
    </row>
    <row r="765">
      <c r="A765" t="s">
        <v>1937</v>
      </c>
      <c r="B765" s="232" t="s">
        <v>1936</v>
      </c>
      <c r="C765" s="232">
        <v>1.0</v>
      </c>
      <c r="D765" s="232">
        <v>96.37</v>
      </c>
      <c r="E765" s="232">
        <v>96.37</v>
      </c>
      <c r="F765" t="s">
        <v>7711</v>
      </c>
      <c r="G765" t="s">
        <v>330</v>
      </c>
      <c r="H765" t="s">
        <v>45</v>
      </c>
      <c r="I765" t="s">
        <v>7777</v>
      </c>
    </row>
    <row r="766">
      <c r="A766" t="s">
        <v>1938</v>
      </c>
      <c r="B766" s="232">
        <v>40601.0</v>
      </c>
      <c r="C766" s="232">
        <v>0.0</v>
      </c>
      <c r="D766" s="232">
        <v>0.0</v>
      </c>
      <c r="F766" t="s">
        <v>7702</v>
      </c>
      <c r="G766" t="s">
        <v>310</v>
      </c>
      <c r="H766" t="s">
        <v>45</v>
      </c>
      <c r="I766" t="s">
        <v>7778</v>
      </c>
    </row>
    <row r="767">
      <c r="A767" t="s">
        <v>1939</v>
      </c>
      <c r="B767" s="232">
        <v>40602.0</v>
      </c>
      <c r="C767" s="232">
        <v>0.0</v>
      </c>
      <c r="D767" s="232">
        <v>0.0</v>
      </c>
      <c r="F767" t="s">
        <v>7702</v>
      </c>
      <c r="G767" t="s">
        <v>310</v>
      </c>
      <c r="H767" t="s">
        <v>45</v>
      </c>
      <c r="I767" t="s">
        <v>7778</v>
      </c>
    </row>
    <row r="768">
      <c r="A768" t="s">
        <v>1940</v>
      </c>
      <c r="B768" s="232">
        <v>40603.0</v>
      </c>
      <c r="C768" s="232">
        <v>0.0</v>
      </c>
      <c r="D768" s="232">
        <v>0.0</v>
      </c>
      <c r="F768" t="s">
        <v>7702</v>
      </c>
      <c r="G768" t="s">
        <v>310</v>
      </c>
      <c r="H768" t="s">
        <v>45</v>
      </c>
      <c r="I768" t="s">
        <v>7778</v>
      </c>
    </row>
    <row r="769">
      <c r="A769" t="s">
        <v>1941</v>
      </c>
      <c r="B769" s="232">
        <v>40604.0</v>
      </c>
      <c r="C769" s="232">
        <v>0.0</v>
      </c>
      <c r="D769" s="232">
        <v>0.0</v>
      </c>
      <c r="F769" t="s">
        <v>7702</v>
      </c>
      <c r="G769" t="s">
        <v>310</v>
      </c>
      <c r="H769" t="s">
        <v>45</v>
      </c>
      <c r="I769" t="s">
        <v>7778</v>
      </c>
    </row>
    <row r="770">
      <c r="A770" t="s">
        <v>1943</v>
      </c>
      <c r="B770" s="232" t="s">
        <v>1942</v>
      </c>
      <c r="C770" s="232">
        <v>0.0</v>
      </c>
      <c r="D770" s="232">
        <v>0.0</v>
      </c>
      <c r="F770" t="s">
        <v>7702</v>
      </c>
      <c r="G770" t="s">
        <v>310</v>
      </c>
      <c r="H770" t="s">
        <v>45</v>
      </c>
      <c r="I770" t="s">
        <v>7778</v>
      </c>
    </row>
    <row r="771">
      <c r="A771" t="s">
        <v>1945</v>
      </c>
      <c r="B771" s="232" t="s">
        <v>1944</v>
      </c>
      <c r="C771" s="232">
        <v>0.0</v>
      </c>
      <c r="D771" s="232">
        <v>0.0</v>
      </c>
      <c r="F771" t="s">
        <v>7702</v>
      </c>
      <c r="G771" t="s">
        <v>310</v>
      </c>
      <c r="H771" t="s">
        <v>7703</v>
      </c>
      <c r="I771" t="s">
        <v>7778</v>
      </c>
    </row>
    <row r="772">
      <c r="A772" t="s">
        <v>1946</v>
      </c>
      <c r="B772" s="232">
        <v>43203.0</v>
      </c>
      <c r="C772" s="232">
        <v>0.0</v>
      </c>
      <c r="D772" s="232">
        <v>0.0</v>
      </c>
      <c r="F772" t="s">
        <v>7702</v>
      </c>
      <c r="G772" t="s">
        <v>330</v>
      </c>
      <c r="H772" t="s">
        <v>45</v>
      </c>
      <c r="I772" t="s">
        <v>7713</v>
      </c>
    </row>
    <row r="773">
      <c r="A773" t="s">
        <v>1947</v>
      </c>
      <c r="B773" s="232">
        <v>43232.0</v>
      </c>
      <c r="C773" s="232">
        <v>27.0</v>
      </c>
      <c r="D773" s="232">
        <v>129.8</v>
      </c>
      <c r="E773" s="232">
        <v>4.8074</v>
      </c>
      <c r="F773" t="s">
        <v>7702</v>
      </c>
      <c r="G773" t="s">
        <v>330</v>
      </c>
      <c r="H773" t="s">
        <v>45</v>
      </c>
      <c r="I773" t="s">
        <v>7713</v>
      </c>
    </row>
    <row r="774">
      <c r="A774" t="s">
        <v>1948</v>
      </c>
      <c r="B774" s="232">
        <v>43206.0</v>
      </c>
      <c r="C774" s="232">
        <v>0.0</v>
      </c>
      <c r="D774" s="232">
        <v>0.0</v>
      </c>
      <c r="F774" t="s">
        <v>7702</v>
      </c>
      <c r="G774" t="s">
        <v>310</v>
      </c>
      <c r="H774" t="s">
        <v>45</v>
      </c>
      <c r="I774" t="s">
        <v>7713</v>
      </c>
    </row>
    <row r="775">
      <c r="A775" t="s">
        <v>1950</v>
      </c>
      <c r="B775" s="232">
        <v>43215.0</v>
      </c>
      <c r="C775" s="232">
        <v>0.0</v>
      </c>
      <c r="D775" s="232">
        <v>0.0</v>
      </c>
      <c r="F775" t="s">
        <v>7702</v>
      </c>
      <c r="G775" t="s">
        <v>310</v>
      </c>
      <c r="H775" t="s">
        <v>7774</v>
      </c>
      <c r="I775" t="s">
        <v>7713</v>
      </c>
    </row>
    <row r="776">
      <c r="A776" t="s">
        <v>1951</v>
      </c>
      <c r="B776" s="232">
        <v>43213.0</v>
      </c>
      <c r="C776" s="232">
        <v>45.0</v>
      </c>
      <c r="D776" s="232">
        <v>195.57</v>
      </c>
      <c r="E776" s="232">
        <v>4.346</v>
      </c>
      <c r="F776" t="s">
        <v>7702</v>
      </c>
      <c r="G776" t="s">
        <v>330</v>
      </c>
      <c r="H776" t="s">
        <v>45</v>
      </c>
      <c r="I776" t="s">
        <v>7713</v>
      </c>
    </row>
    <row r="777">
      <c r="A777" t="s">
        <v>1952</v>
      </c>
      <c r="B777" s="232">
        <v>43212.0</v>
      </c>
      <c r="C777" s="232">
        <v>0.0</v>
      </c>
      <c r="D777" s="232">
        <v>0.0</v>
      </c>
      <c r="F777" t="s">
        <v>7702</v>
      </c>
      <c r="G777" t="s">
        <v>310</v>
      </c>
      <c r="H777" t="s">
        <v>45</v>
      </c>
      <c r="I777" t="s">
        <v>7713</v>
      </c>
    </row>
    <row r="778">
      <c r="A778" t="s">
        <v>1953</v>
      </c>
      <c r="B778" s="232">
        <v>43245.0</v>
      </c>
      <c r="C778" s="232">
        <v>0.0</v>
      </c>
      <c r="D778" s="232">
        <v>0.0</v>
      </c>
      <c r="F778" t="s">
        <v>7702</v>
      </c>
      <c r="G778" t="s">
        <v>310</v>
      </c>
      <c r="H778" t="s">
        <v>45</v>
      </c>
      <c r="I778" t="s">
        <v>7713</v>
      </c>
    </row>
    <row r="779">
      <c r="A779" t="s">
        <v>1954</v>
      </c>
      <c r="B779" s="232">
        <v>43205.0</v>
      </c>
      <c r="C779" s="232">
        <v>0.0</v>
      </c>
      <c r="D779" s="232">
        <v>0.0</v>
      </c>
      <c r="F779" t="s">
        <v>7702</v>
      </c>
      <c r="G779" t="s">
        <v>310</v>
      </c>
      <c r="H779" t="s">
        <v>45</v>
      </c>
      <c r="I779" t="s">
        <v>7713</v>
      </c>
    </row>
    <row r="780">
      <c r="A780" t="s">
        <v>1955</v>
      </c>
      <c r="B780" s="232">
        <v>43204.0</v>
      </c>
      <c r="C780" s="232">
        <v>58.0</v>
      </c>
      <c r="D780" s="232">
        <v>252.07</v>
      </c>
      <c r="E780" s="232">
        <v>4.346</v>
      </c>
      <c r="F780" t="s">
        <v>7702</v>
      </c>
      <c r="G780" t="s">
        <v>330</v>
      </c>
      <c r="H780" t="s">
        <v>45</v>
      </c>
      <c r="I780" t="s">
        <v>7713</v>
      </c>
    </row>
    <row r="781">
      <c r="A781" t="s">
        <v>1956</v>
      </c>
      <c r="B781" s="232">
        <v>43201.0</v>
      </c>
      <c r="C781" s="232">
        <v>0.0</v>
      </c>
      <c r="D781" s="232">
        <v>0.0</v>
      </c>
      <c r="F781" t="s">
        <v>7702</v>
      </c>
      <c r="G781" t="s">
        <v>330</v>
      </c>
      <c r="H781" t="s">
        <v>45</v>
      </c>
      <c r="I781" t="s">
        <v>7713</v>
      </c>
    </row>
    <row r="782">
      <c r="A782" t="s">
        <v>1958</v>
      </c>
      <c r="B782" s="232" t="s">
        <v>1957</v>
      </c>
      <c r="C782" s="232">
        <v>0.0</v>
      </c>
      <c r="D782" s="232">
        <v>0.0</v>
      </c>
      <c r="F782" t="s">
        <v>7702</v>
      </c>
      <c r="G782" t="s">
        <v>310</v>
      </c>
      <c r="H782" t="s">
        <v>45</v>
      </c>
      <c r="I782" t="s">
        <v>7713</v>
      </c>
    </row>
    <row r="783">
      <c r="A783" t="s">
        <v>1959</v>
      </c>
      <c r="B783" s="232">
        <v>40902.0</v>
      </c>
      <c r="C783" s="232">
        <v>0.0</v>
      </c>
      <c r="D783" s="232">
        <v>0.0</v>
      </c>
      <c r="F783" t="s">
        <v>7702</v>
      </c>
      <c r="G783" t="s">
        <v>310</v>
      </c>
      <c r="H783" t="s">
        <v>45</v>
      </c>
      <c r="I783" t="s">
        <v>7779</v>
      </c>
    </row>
    <row r="784">
      <c r="A784" t="s">
        <v>1960</v>
      </c>
      <c r="B784" s="232">
        <v>40904.0</v>
      </c>
      <c r="C784" s="232">
        <v>6.0</v>
      </c>
      <c r="D784" s="232">
        <v>43.61</v>
      </c>
      <c r="E784" s="232">
        <v>7.2683</v>
      </c>
      <c r="F784" t="s">
        <v>7702</v>
      </c>
      <c r="G784" t="s">
        <v>330</v>
      </c>
      <c r="H784" t="s">
        <v>45</v>
      </c>
      <c r="I784" t="s">
        <v>7779</v>
      </c>
    </row>
    <row r="785">
      <c r="A785" t="s">
        <v>1961</v>
      </c>
      <c r="B785" s="232">
        <v>40903.0</v>
      </c>
      <c r="C785" s="232">
        <v>0.0</v>
      </c>
      <c r="D785" s="232">
        <v>0.0</v>
      </c>
      <c r="F785" t="s">
        <v>7702</v>
      </c>
      <c r="G785" t="s">
        <v>310</v>
      </c>
      <c r="H785" t="s">
        <v>45</v>
      </c>
      <c r="I785" t="s">
        <v>7779</v>
      </c>
    </row>
    <row r="786">
      <c r="A786" t="s">
        <v>1962</v>
      </c>
      <c r="B786" s="232">
        <v>40901.0</v>
      </c>
      <c r="C786" s="232">
        <v>0.0</v>
      </c>
      <c r="D786" s="232">
        <v>0.0</v>
      </c>
      <c r="F786" t="s">
        <v>7702</v>
      </c>
      <c r="G786" t="s">
        <v>310</v>
      </c>
      <c r="H786" t="s">
        <v>45</v>
      </c>
      <c r="I786" t="s">
        <v>7779</v>
      </c>
    </row>
    <row r="787">
      <c r="A787" t="s">
        <v>1963</v>
      </c>
      <c r="B787" s="232">
        <v>40905.0</v>
      </c>
      <c r="C787" s="232">
        <v>0.0</v>
      </c>
      <c r="D787" s="232">
        <v>0.0</v>
      </c>
      <c r="F787" t="s">
        <v>7702</v>
      </c>
      <c r="G787" t="s">
        <v>310</v>
      </c>
      <c r="H787" t="s">
        <v>45</v>
      </c>
      <c r="I787" t="s">
        <v>7779</v>
      </c>
    </row>
    <row r="788">
      <c r="A788" t="s">
        <v>1965</v>
      </c>
      <c r="B788" s="232" t="s">
        <v>1964</v>
      </c>
      <c r="C788" s="232">
        <v>0.0</v>
      </c>
      <c r="D788" s="232">
        <v>0.0</v>
      </c>
      <c r="F788" t="s">
        <v>7702</v>
      </c>
      <c r="G788" t="s">
        <v>310</v>
      </c>
      <c r="H788" t="s">
        <v>45</v>
      </c>
      <c r="I788" t="s">
        <v>7779</v>
      </c>
    </row>
    <row r="789">
      <c r="A789" t="s">
        <v>1967</v>
      </c>
      <c r="B789" s="232" t="s">
        <v>1966</v>
      </c>
      <c r="C789" s="232">
        <v>0.0</v>
      </c>
      <c r="D789" s="232">
        <v>0.0</v>
      </c>
      <c r="F789" t="s">
        <v>7711</v>
      </c>
      <c r="G789" t="s">
        <v>310</v>
      </c>
      <c r="H789" t="s">
        <v>7703</v>
      </c>
      <c r="I789" t="s">
        <v>7779</v>
      </c>
    </row>
    <row r="790">
      <c r="A790" t="s">
        <v>1968</v>
      </c>
      <c r="B790" s="232">
        <v>43110.0</v>
      </c>
      <c r="C790" s="232">
        <v>9.0</v>
      </c>
      <c r="D790" s="232">
        <v>23.67</v>
      </c>
      <c r="E790" s="232">
        <v>2.63</v>
      </c>
      <c r="F790" t="s">
        <v>7702</v>
      </c>
      <c r="G790" t="s">
        <v>330</v>
      </c>
      <c r="H790" t="s">
        <v>7774</v>
      </c>
      <c r="I790" t="s">
        <v>7710</v>
      </c>
    </row>
    <row r="791">
      <c r="A791" t="s">
        <v>1969</v>
      </c>
      <c r="B791" s="232">
        <v>43133.0</v>
      </c>
      <c r="C791" s="232">
        <v>42.0</v>
      </c>
      <c r="D791" s="232">
        <v>116.37</v>
      </c>
      <c r="E791" s="232">
        <v>2.7707</v>
      </c>
      <c r="F791" t="s">
        <v>7702</v>
      </c>
      <c r="G791" t="s">
        <v>330</v>
      </c>
      <c r="H791" t="s">
        <v>7774</v>
      </c>
      <c r="I791" t="s">
        <v>7710</v>
      </c>
    </row>
    <row r="792">
      <c r="A792" t="s">
        <v>1970</v>
      </c>
      <c r="B792" s="232">
        <v>43150.0</v>
      </c>
      <c r="C792" s="232">
        <v>66.0</v>
      </c>
      <c r="D792" s="232">
        <v>178.93</v>
      </c>
      <c r="E792" s="232">
        <v>2.7111</v>
      </c>
      <c r="F792" t="s">
        <v>7702</v>
      </c>
      <c r="G792" t="s">
        <v>330</v>
      </c>
      <c r="H792" t="s">
        <v>7774</v>
      </c>
      <c r="I792" t="s">
        <v>7710</v>
      </c>
    </row>
    <row r="793">
      <c r="A793" t="s">
        <v>1971</v>
      </c>
      <c r="B793" s="232">
        <v>43134.0</v>
      </c>
      <c r="C793" s="232">
        <v>45.0</v>
      </c>
      <c r="D793" s="232">
        <v>124.71</v>
      </c>
      <c r="E793" s="232">
        <v>2.7713</v>
      </c>
      <c r="F793" t="s">
        <v>7702</v>
      </c>
      <c r="G793" t="s">
        <v>330</v>
      </c>
      <c r="H793" t="s">
        <v>7774</v>
      </c>
      <c r="I793" t="s">
        <v>7710</v>
      </c>
    </row>
    <row r="794">
      <c r="A794" t="s">
        <v>1972</v>
      </c>
      <c r="B794" s="232">
        <v>43145.0</v>
      </c>
      <c r="C794" s="232">
        <v>94.0</v>
      </c>
      <c r="D794" s="232">
        <v>258.35</v>
      </c>
      <c r="E794" s="232">
        <v>2.7484</v>
      </c>
      <c r="F794" t="s">
        <v>7702</v>
      </c>
      <c r="G794" t="s">
        <v>330</v>
      </c>
      <c r="H794" t="s">
        <v>7774</v>
      </c>
      <c r="I794" t="s">
        <v>7710</v>
      </c>
    </row>
    <row r="795">
      <c r="A795" t="s">
        <v>1973</v>
      </c>
      <c r="B795" s="232">
        <v>43108.0</v>
      </c>
      <c r="C795" s="232">
        <v>0.0</v>
      </c>
      <c r="D795" s="232">
        <v>0.0</v>
      </c>
      <c r="F795" t="s">
        <v>7702</v>
      </c>
      <c r="G795" t="s">
        <v>310</v>
      </c>
      <c r="H795" t="s">
        <v>45</v>
      </c>
      <c r="I795" t="s">
        <v>7710</v>
      </c>
    </row>
    <row r="796">
      <c r="A796" t="s">
        <v>1974</v>
      </c>
      <c r="B796" s="232">
        <v>43111.0</v>
      </c>
      <c r="C796" s="232">
        <v>81.0</v>
      </c>
      <c r="D796" s="232">
        <v>224.08</v>
      </c>
      <c r="E796" s="232">
        <v>2.7664</v>
      </c>
      <c r="F796" t="s">
        <v>7702</v>
      </c>
      <c r="G796" t="s">
        <v>330</v>
      </c>
      <c r="H796" t="s">
        <v>7774</v>
      </c>
      <c r="I796" t="s">
        <v>7710</v>
      </c>
    </row>
    <row r="797">
      <c r="A797" t="s">
        <v>1975</v>
      </c>
      <c r="B797" s="232">
        <v>43101.0</v>
      </c>
      <c r="C797" s="232">
        <v>107.0</v>
      </c>
      <c r="D797" s="232">
        <v>296.53</v>
      </c>
      <c r="E797" s="232">
        <v>2.7713</v>
      </c>
      <c r="F797" t="s">
        <v>7702</v>
      </c>
      <c r="G797" t="s">
        <v>330</v>
      </c>
      <c r="H797" t="s">
        <v>7774</v>
      </c>
      <c r="I797" t="s">
        <v>7710</v>
      </c>
    </row>
    <row r="798">
      <c r="A798" t="s">
        <v>1976</v>
      </c>
      <c r="B798" s="232">
        <v>43103.0</v>
      </c>
      <c r="C798" s="232">
        <v>0.0</v>
      </c>
      <c r="D798" s="232">
        <v>0.0</v>
      </c>
      <c r="F798" t="s">
        <v>7702</v>
      </c>
      <c r="G798" t="s">
        <v>310</v>
      </c>
      <c r="H798" t="s">
        <v>45</v>
      </c>
      <c r="I798" t="s">
        <v>7710</v>
      </c>
    </row>
    <row r="799">
      <c r="A799" t="s">
        <v>1977</v>
      </c>
      <c r="B799" s="232">
        <v>43106.0</v>
      </c>
      <c r="C799" s="232">
        <v>39.0</v>
      </c>
      <c r="D799" s="232">
        <v>108.13</v>
      </c>
      <c r="E799" s="232">
        <v>2.7726</v>
      </c>
      <c r="F799" t="s">
        <v>7702</v>
      </c>
      <c r="G799" t="s">
        <v>330</v>
      </c>
      <c r="H799" t="s">
        <v>7774</v>
      </c>
      <c r="I799" t="s">
        <v>7710</v>
      </c>
    </row>
    <row r="800">
      <c r="A800" t="s">
        <v>1978</v>
      </c>
      <c r="B800" s="232">
        <v>43105.0</v>
      </c>
      <c r="C800" s="232">
        <v>78.0</v>
      </c>
      <c r="D800" s="232">
        <v>208.17</v>
      </c>
      <c r="E800" s="232">
        <v>2.6688</v>
      </c>
      <c r="F800" t="s">
        <v>7702</v>
      </c>
      <c r="G800" t="s">
        <v>330</v>
      </c>
      <c r="H800" t="s">
        <v>7774</v>
      </c>
      <c r="I800" t="s">
        <v>7710</v>
      </c>
    </row>
    <row r="801">
      <c r="A801" t="s">
        <v>1979</v>
      </c>
      <c r="B801" s="232">
        <v>43104.0</v>
      </c>
      <c r="C801" s="232">
        <v>42.0</v>
      </c>
      <c r="D801" s="232">
        <v>116.42</v>
      </c>
      <c r="E801" s="232">
        <v>2.7719</v>
      </c>
      <c r="F801" t="s">
        <v>7702</v>
      </c>
      <c r="G801" t="s">
        <v>330</v>
      </c>
      <c r="H801" t="s">
        <v>7774</v>
      </c>
      <c r="I801" t="s">
        <v>7710</v>
      </c>
    </row>
    <row r="802">
      <c r="A802" t="s">
        <v>1980</v>
      </c>
      <c r="B802" s="232">
        <v>43112.0</v>
      </c>
      <c r="C802" s="232">
        <v>164.0</v>
      </c>
      <c r="D802" s="232">
        <v>449.37</v>
      </c>
      <c r="E802" s="232">
        <v>2.7401</v>
      </c>
      <c r="F802" t="s">
        <v>7702</v>
      </c>
      <c r="G802" t="s">
        <v>330</v>
      </c>
      <c r="H802" t="s">
        <v>7774</v>
      </c>
      <c r="I802" t="s">
        <v>7710</v>
      </c>
    </row>
    <row r="803">
      <c r="A803" t="s">
        <v>1981</v>
      </c>
      <c r="B803" s="232">
        <v>43107.0</v>
      </c>
      <c r="C803" s="232">
        <v>105.0</v>
      </c>
      <c r="D803" s="232">
        <v>288.15</v>
      </c>
      <c r="E803" s="232">
        <v>2.7443</v>
      </c>
      <c r="F803" t="s">
        <v>7702</v>
      </c>
      <c r="G803" t="s">
        <v>330</v>
      </c>
      <c r="H803" t="s">
        <v>7774</v>
      </c>
      <c r="I803" t="s">
        <v>7710</v>
      </c>
    </row>
    <row r="804">
      <c r="A804" t="s">
        <v>1983</v>
      </c>
      <c r="B804" s="232" t="s">
        <v>1982</v>
      </c>
      <c r="C804" s="232">
        <v>0.0</v>
      </c>
      <c r="D804" s="232">
        <v>0.0</v>
      </c>
      <c r="F804" t="s">
        <v>7702</v>
      </c>
      <c r="G804" t="s">
        <v>310</v>
      </c>
      <c r="H804" t="s">
        <v>7774</v>
      </c>
      <c r="I804" t="s">
        <v>7714</v>
      </c>
    </row>
    <row r="805">
      <c r="A805" t="s">
        <v>1984</v>
      </c>
      <c r="B805" s="232">
        <v>40701.0</v>
      </c>
      <c r="C805" s="232">
        <v>0.0</v>
      </c>
      <c r="D805" s="232">
        <v>0.0</v>
      </c>
      <c r="F805" t="s">
        <v>7702</v>
      </c>
      <c r="G805" t="s">
        <v>330</v>
      </c>
      <c r="H805" t="s">
        <v>45</v>
      </c>
      <c r="I805" t="s">
        <v>7780</v>
      </c>
    </row>
    <row r="806">
      <c r="A806" t="s">
        <v>1985</v>
      </c>
      <c r="B806" s="232">
        <v>40732.0</v>
      </c>
      <c r="C806" s="232">
        <v>0.0</v>
      </c>
      <c r="D806" s="232">
        <v>0.0</v>
      </c>
      <c r="F806" t="s">
        <v>7702</v>
      </c>
      <c r="G806" t="s">
        <v>310</v>
      </c>
      <c r="H806" t="s">
        <v>7774</v>
      </c>
      <c r="I806" t="s">
        <v>7780</v>
      </c>
    </row>
    <row r="807">
      <c r="A807" t="s">
        <v>1986</v>
      </c>
      <c r="B807" s="232">
        <v>40702.0</v>
      </c>
      <c r="C807" s="232">
        <v>0.0</v>
      </c>
      <c r="D807" s="232">
        <v>0.0</v>
      </c>
      <c r="F807" t="s">
        <v>7702</v>
      </c>
      <c r="G807" t="s">
        <v>330</v>
      </c>
      <c r="H807" t="s">
        <v>45</v>
      </c>
      <c r="I807" t="s">
        <v>7780</v>
      </c>
    </row>
    <row r="808">
      <c r="A808" t="s">
        <v>1987</v>
      </c>
      <c r="B808" s="232">
        <v>40734.0</v>
      </c>
      <c r="C808" s="232">
        <v>0.0</v>
      </c>
      <c r="D808" s="232">
        <v>0.0</v>
      </c>
      <c r="F808" t="s">
        <v>7702</v>
      </c>
      <c r="G808" t="s">
        <v>310</v>
      </c>
      <c r="H808" t="s">
        <v>7774</v>
      </c>
      <c r="I808" t="s">
        <v>7780</v>
      </c>
    </row>
    <row r="809">
      <c r="A809" t="s">
        <v>1988</v>
      </c>
      <c r="B809" s="232">
        <v>40735.0</v>
      </c>
      <c r="C809" s="232">
        <v>0.0</v>
      </c>
      <c r="D809" s="232">
        <v>0.0</v>
      </c>
      <c r="F809" t="s">
        <v>7702</v>
      </c>
      <c r="G809" t="s">
        <v>310</v>
      </c>
      <c r="H809" t="s">
        <v>45</v>
      </c>
      <c r="I809" t="s">
        <v>7780</v>
      </c>
    </row>
    <row r="810">
      <c r="A810" t="s">
        <v>1989</v>
      </c>
      <c r="B810" s="232">
        <v>40706.0</v>
      </c>
      <c r="C810" s="232">
        <v>0.0</v>
      </c>
      <c r="D810" s="232">
        <v>0.0</v>
      </c>
      <c r="F810" t="s">
        <v>7702</v>
      </c>
      <c r="G810" t="s">
        <v>310</v>
      </c>
      <c r="H810" t="s">
        <v>7703</v>
      </c>
      <c r="I810" t="s">
        <v>7780</v>
      </c>
    </row>
    <row r="811">
      <c r="A811" t="s">
        <v>1990</v>
      </c>
      <c r="B811" s="232">
        <v>40708.0</v>
      </c>
      <c r="C811" s="232">
        <v>0.0</v>
      </c>
      <c r="D811" s="232">
        <v>0.0</v>
      </c>
      <c r="F811" t="s">
        <v>7702</v>
      </c>
      <c r="G811" t="s">
        <v>310</v>
      </c>
      <c r="H811" t="s">
        <v>7703</v>
      </c>
      <c r="I811" t="s">
        <v>7780</v>
      </c>
    </row>
    <row r="812">
      <c r="A812" t="s">
        <v>1991</v>
      </c>
      <c r="B812" s="232">
        <v>40746.0</v>
      </c>
      <c r="C812" s="232">
        <v>0.0</v>
      </c>
      <c r="D812" s="232">
        <v>0.0</v>
      </c>
      <c r="F812" t="s">
        <v>7702</v>
      </c>
      <c r="G812" t="s">
        <v>310</v>
      </c>
      <c r="H812" t="s">
        <v>45</v>
      </c>
      <c r="I812" t="s">
        <v>7780</v>
      </c>
    </row>
    <row r="813">
      <c r="A813" t="s">
        <v>1992</v>
      </c>
      <c r="B813" s="232">
        <v>40703.0</v>
      </c>
      <c r="C813" s="232">
        <v>0.0</v>
      </c>
      <c r="D813" s="232">
        <v>0.0</v>
      </c>
      <c r="F813" t="s">
        <v>7702</v>
      </c>
      <c r="G813" t="s">
        <v>310</v>
      </c>
      <c r="H813" t="s">
        <v>45</v>
      </c>
      <c r="I813" t="s">
        <v>7780</v>
      </c>
    </row>
    <row r="814">
      <c r="A814" t="s">
        <v>1993</v>
      </c>
      <c r="B814" s="232">
        <v>40704.0</v>
      </c>
      <c r="C814" s="232">
        <v>0.0</v>
      </c>
      <c r="D814" s="232">
        <v>0.0</v>
      </c>
      <c r="F814" t="s">
        <v>7702</v>
      </c>
      <c r="G814" t="s">
        <v>310</v>
      </c>
      <c r="H814" t="s">
        <v>45</v>
      </c>
      <c r="I814" t="s">
        <v>7780</v>
      </c>
    </row>
    <row r="815">
      <c r="A815" t="s">
        <v>1994</v>
      </c>
      <c r="B815" s="232">
        <v>40707.0</v>
      </c>
      <c r="C815" s="232">
        <v>0.0</v>
      </c>
      <c r="D815" s="232">
        <v>0.0</v>
      </c>
      <c r="F815" t="s">
        <v>7702</v>
      </c>
      <c r="G815" t="s">
        <v>310</v>
      </c>
      <c r="H815" t="s">
        <v>7703</v>
      </c>
      <c r="I815" t="s">
        <v>7780</v>
      </c>
    </row>
    <row r="816">
      <c r="A816" t="s">
        <v>1995</v>
      </c>
      <c r="B816" s="232">
        <v>40705.0</v>
      </c>
      <c r="C816" s="232">
        <v>0.0</v>
      </c>
      <c r="D816" s="232">
        <v>0.0</v>
      </c>
      <c r="F816" t="s">
        <v>7702</v>
      </c>
      <c r="G816" t="s">
        <v>310</v>
      </c>
      <c r="H816" t="s">
        <v>45</v>
      </c>
      <c r="I816" t="s">
        <v>7780</v>
      </c>
    </row>
    <row r="817">
      <c r="A817" t="s">
        <v>1997</v>
      </c>
      <c r="B817" s="232" t="s">
        <v>1996</v>
      </c>
      <c r="C817" s="232">
        <v>0.0</v>
      </c>
      <c r="D817" s="232">
        <v>0.0</v>
      </c>
      <c r="F817" t="s">
        <v>7702</v>
      </c>
      <c r="G817" t="s">
        <v>310</v>
      </c>
      <c r="H817" t="s">
        <v>45</v>
      </c>
      <c r="I817" t="s">
        <v>7780</v>
      </c>
    </row>
    <row r="818">
      <c r="A818" t="s">
        <v>1999</v>
      </c>
      <c r="B818" s="232" t="s">
        <v>1998</v>
      </c>
      <c r="C818" s="232">
        <v>0.0</v>
      </c>
      <c r="D818" s="232">
        <v>0.0</v>
      </c>
      <c r="F818" t="s">
        <v>7711</v>
      </c>
      <c r="G818" t="s">
        <v>310</v>
      </c>
      <c r="H818" t="s">
        <v>45</v>
      </c>
      <c r="I818" t="s">
        <v>7780</v>
      </c>
    </row>
    <row r="819">
      <c r="A819" t="s">
        <v>2000</v>
      </c>
      <c r="B819" s="232">
        <v>43190.0</v>
      </c>
      <c r="C819" s="232">
        <v>0.0</v>
      </c>
      <c r="D819" s="232">
        <v>0.0</v>
      </c>
      <c r="F819" t="s">
        <v>7702</v>
      </c>
      <c r="G819" t="s">
        <v>330</v>
      </c>
      <c r="H819" t="s">
        <v>7774</v>
      </c>
      <c r="I819" t="s">
        <v>7710</v>
      </c>
    </row>
    <row r="820">
      <c r="A820" t="s">
        <v>2002</v>
      </c>
      <c r="B820" s="232" t="s">
        <v>2001</v>
      </c>
      <c r="C820" s="232">
        <v>2.0</v>
      </c>
      <c r="D820" s="232">
        <v>177.97</v>
      </c>
      <c r="E820" s="232">
        <v>88.985</v>
      </c>
      <c r="F820" t="s">
        <v>7702</v>
      </c>
      <c r="G820" t="s">
        <v>330</v>
      </c>
      <c r="H820" t="s">
        <v>7774</v>
      </c>
      <c r="I820" t="s">
        <v>7710</v>
      </c>
    </row>
    <row r="821">
      <c r="A821" t="s">
        <v>2003</v>
      </c>
      <c r="B821" s="232">
        <v>53822.0</v>
      </c>
      <c r="C821" s="232">
        <v>0.0</v>
      </c>
      <c r="D821" s="232">
        <v>0.0</v>
      </c>
      <c r="F821" t="s">
        <v>7702</v>
      </c>
      <c r="G821" t="s">
        <v>310</v>
      </c>
      <c r="H821" t="s">
        <v>45</v>
      </c>
      <c r="I821" t="s">
        <v>7781</v>
      </c>
    </row>
    <row r="822">
      <c r="A822" t="s">
        <v>2004</v>
      </c>
      <c r="B822" s="232">
        <v>53833.0</v>
      </c>
      <c r="C822" s="232">
        <v>21.0</v>
      </c>
      <c r="D822" s="232">
        <v>163.71</v>
      </c>
      <c r="E822" s="232">
        <v>7.7957</v>
      </c>
      <c r="F822" t="s">
        <v>7702</v>
      </c>
      <c r="G822" t="s">
        <v>330</v>
      </c>
      <c r="H822" t="s">
        <v>45</v>
      </c>
      <c r="I822" t="s">
        <v>7781</v>
      </c>
    </row>
    <row r="823">
      <c r="A823" t="s">
        <v>2005</v>
      </c>
      <c r="B823" s="232">
        <v>53834.0</v>
      </c>
      <c r="C823" s="232">
        <v>71.0</v>
      </c>
      <c r="D823" s="232">
        <v>553.39</v>
      </c>
      <c r="E823" s="232">
        <v>7.7942</v>
      </c>
      <c r="F823" t="s">
        <v>7702</v>
      </c>
      <c r="G823" t="s">
        <v>330</v>
      </c>
      <c r="H823" t="s">
        <v>45</v>
      </c>
      <c r="I823" t="s">
        <v>7781</v>
      </c>
    </row>
    <row r="824">
      <c r="A824" t="s">
        <v>2006</v>
      </c>
      <c r="B824" s="232">
        <v>53845.0</v>
      </c>
      <c r="C824" s="232">
        <v>87.0</v>
      </c>
      <c r="D824" s="232">
        <v>678.08</v>
      </c>
      <c r="E824" s="232">
        <v>7.794</v>
      </c>
      <c r="F824" t="s">
        <v>7702</v>
      </c>
      <c r="G824" t="s">
        <v>330</v>
      </c>
      <c r="H824" t="s">
        <v>45</v>
      </c>
      <c r="I824" t="s">
        <v>7781</v>
      </c>
    </row>
    <row r="825">
      <c r="A825" t="s">
        <v>2007</v>
      </c>
      <c r="B825" s="232">
        <v>53852.0</v>
      </c>
      <c r="C825" s="232">
        <v>6.0</v>
      </c>
      <c r="D825" s="232">
        <v>46.77</v>
      </c>
      <c r="E825" s="232">
        <v>7.795</v>
      </c>
      <c r="F825" t="s">
        <v>7702</v>
      </c>
      <c r="G825" t="s">
        <v>330</v>
      </c>
      <c r="H825" t="s">
        <v>45</v>
      </c>
      <c r="I825" t="s">
        <v>7781</v>
      </c>
    </row>
    <row r="826">
      <c r="A826" t="s">
        <v>2009</v>
      </c>
      <c r="B826" s="232" t="s">
        <v>2008</v>
      </c>
      <c r="C826" s="232">
        <v>1.0</v>
      </c>
      <c r="D826" s="232">
        <v>94.23</v>
      </c>
      <c r="E826" s="232">
        <v>94.23</v>
      </c>
      <c r="F826" t="s">
        <v>7711</v>
      </c>
      <c r="G826" t="s">
        <v>330</v>
      </c>
      <c r="H826" t="s">
        <v>45</v>
      </c>
      <c r="I826" t="s">
        <v>7780</v>
      </c>
    </row>
    <row r="827">
      <c r="A827" t="s">
        <v>2010</v>
      </c>
      <c r="B827" s="232">
        <v>40501.0</v>
      </c>
      <c r="C827" s="232">
        <v>0.0</v>
      </c>
      <c r="D827" s="232">
        <v>0.0</v>
      </c>
      <c r="F827" t="s">
        <v>7702</v>
      </c>
      <c r="G827" t="s">
        <v>330</v>
      </c>
      <c r="H827" t="s">
        <v>7774</v>
      </c>
      <c r="I827" t="s">
        <v>7782</v>
      </c>
    </row>
    <row r="828">
      <c r="A828" t="s">
        <v>2011</v>
      </c>
      <c r="B828" s="232">
        <v>40502.0</v>
      </c>
      <c r="C828" s="232">
        <v>0.0</v>
      </c>
      <c r="D828" s="232">
        <v>0.0</v>
      </c>
      <c r="F828" t="s">
        <v>7702</v>
      </c>
      <c r="G828" t="s">
        <v>330</v>
      </c>
      <c r="H828" t="s">
        <v>7774</v>
      </c>
      <c r="I828" t="s">
        <v>7782</v>
      </c>
    </row>
    <row r="829">
      <c r="A829" t="s">
        <v>2012</v>
      </c>
      <c r="B829" s="232">
        <v>40533.0</v>
      </c>
      <c r="C829" s="232">
        <v>19.0</v>
      </c>
      <c r="D829" s="232">
        <v>100.31</v>
      </c>
      <c r="E829" s="232">
        <v>5.2795</v>
      </c>
      <c r="F829" t="s">
        <v>7702</v>
      </c>
      <c r="G829" t="s">
        <v>330</v>
      </c>
      <c r="H829" t="s">
        <v>7774</v>
      </c>
      <c r="I829" t="s">
        <v>7782</v>
      </c>
    </row>
    <row r="830">
      <c r="A830" t="s">
        <v>2013</v>
      </c>
      <c r="B830" s="232">
        <v>40534.0</v>
      </c>
      <c r="C830" s="232">
        <v>3.0</v>
      </c>
      <c r="D830" s="232">
        <v>15.86</v>
      </c>
      <c r="E830" s="232">
        <v>5.2867</v>
      </c>
      <c r="F830" t="s">
        <v>7702</v>
      </c>
      <c r="G830" t="s">
        <v>330</v>
      </c>
      <c r="H830" t="s">
        <v>7774</v>
      </c>
      <c r="I830" t="s">
        <v>7782</v>
      </c>
    </row>
    <row r="831">
      <c r="A831" t="s">
        <v>2014</v>
      </c>
      <c r="B831" s="232">
        <v>40523.0</v>
      </c>
      <c r="C831" s="232">
        <v>0.0</v>
      </c>
      <c r="D831" s="232">
        <v>0.0</v>
      </c>
      <c r="F831" t="s">
        <v>7702</v>
      </c>
      <c r="G831" t="s">
        <v>330</v>
      </c>
      <c r="H831" t="s">
        <v>7774</v>
      </c>
      <c r="I831" t="s">
        <v>7782</v>
      </c>
    </row>
    <row r="832">
      <c r="A832" t="s">
        <v>2015</v>
      </c>
      <c r="B832" s="232">
        <v>40504.0</v>
      </c>
      <c r="C832" s="232">
        <v>0.0</v>
      </c>
      <c r="D832" s="232">
        <v>0.0</v>
      </c>
      <c r="F832" t="s">
        <v>7702</v>
      </c>
      <c r="G832" t="s">
        <v>310</v>
      </c>
      <c r="H832" t="s">
        <v>45</v>
      </c>
      <c r="I832" t="s">
        <v>7782</v>
      </c>
    </row>
    <row r="833">
      <c r="A833" t="s">
        <v>2016</v>
      </c>
      <c r="B833" s="232">
        <v>40503.0</v>
      </c>
      <c r="C833" s="232">
        <v>0.0</v>
      </c>
      <c r="D833" s="232">
        <v>0.0</v>
      </c>
      <c r="F833" t="s">
        <v>7702</v>
      </c>
      <c r="G833" t="s">
        <v>310</v>
      </c>
      <c r="H833" t="s">
        <v>45</v>
      </c>
      <c r="I833" t="s">
        <v>7782</v>
      </c>
    </row>
    <row r="834">
      <c r="A834" t="s">
        <v>2018</v>
      </c>
      <c r="B834" s="232" t="s">
        <v>2017</v>
      </c>
      <c r="C834" s="232">
        <v>0.0</v>
      </c>
      <c r="D834" s="232">
        <v>0.0</v>
      </c>
      <c r="F834" t="s">
        <v>7702</v>
      </c>
      <c r="G834" t="s">
        <v>310</v>
      </c>
      <c r="H834" t="s">
        <v>7774</v>
      </c>
      <c r="I834" t="s">
        <v>7782</v>
      </c>
    </row>
    <row r="835">
      <c r="A835" t="s">
        <v>2020</v>
      </c>
      <c r="B835" s="232" t="s">
        <v>2019</v>
      </c>
      <c r="C835" s="232">
        <v>2.0</v>
      </c>
      <c r="D835" s="232">
        <v>158.33</v>
      </c>
      <c r="E835" s="232">
        <v>79.165</v>
      </c>
      <c r="F835" t="s">
        <v>7702</v>
      </c>
      <c r="G835" t="s">
        <v>330</v>
      </c>
      <c r="H835" t="s">
        <v>7774</v>
      </c>
      <c r="I835" t="s">
        <v>7782</v>
      </c>
    </row>
    <row r="836">
      <c r="A836" t="s">
        <v>2021</v>
      </c>
      <c r="B836" s="232">
        <v>43010.0</v>
      </c>
      <c r="C836" s="232">
        <v>0.0</v>
      </c>
      <c r="D836" s="232">
        <v>0.0</v>
      </c>
      <c r="F836" t="s">
        <v>7702</v>
      </c>
      <c r="G836" t="s">
        <v>330</v>
      </c>
      <c r="H836" t="s">
        <v>45</v>
      </c>
      <c r="I836" t="s">
        <v>7713</v>
      </c>
    </row>
    <row r="837">
      <c r="A837" t="s">
        <v>2022</v>
      </c>
      <c r="B837" s="232">
        <v>43032.0</v>
      </c>
      <c r="C837" s="232">
        <v>130.0</v>
      </c>
      <c r="D837" s="232">
        <v>575.67</v>
      </c>
      <c r="E837" s="232">
        <v>4.4282</v>
      </c>
      <c r="F837" t="s">
        <v>7702</v>
      </c>
      <c r="G837" t="s">
        <v>330</v>
      </c>
      <c r="H837" t="s">
        <v>45</v>
      </c>
      <c r="I837" t="s">
        <v>7713</v>
      </c>
    </row>
    <row r="838">
      <c r="A838" t="s">
        <v>2023</v>
      </c>
      <c r="B838" s="232">
        <v>43011.0</v>
      </c>
      <c r="C838" s="232">
        <v>0.0</v>
      </c>
      <c r="D838" s="232">
        <v>0.0</v>
      </c>
      <c r="F838" t="s">
        <v>7702</v>
      </c>
      <c r="G838" t="s">
        <v>310</v>
      </c>
      <c r="H838" t="s">
        <v>45</v>
      </c>
      <c r="I838" t="s">
        <v>7713</v>
      </c>
    </row>
    <row r="839">
      <c r="A839" t="s">
        <v>2024</v>
      </c>
      <c r="B839" s="232">
        <v>43033.0</v>
      </c>
      <c r="C839" s="232">
        <v>136.0</v>
      </c>
      <c r="D839" s="232">
        <v>606.6</v>
      </c>
      <c r="E839" s="232">
        <v>4.4603</v>
      </c>
      <c r="F839" t="s">
        <v>7702</v>
      </c>
      <c r="G839" t="s">
        <v>330</v>
      </c>
      <c r="H839" t="s">
        <v>45</v>
      </c>
      <c r="I839" t="s">
        <v>7713</v>
      </c>
    </row>
    <row r="840">
      <c r="A840" t="s">
        <v>2025</v>
      </c>
      <c r="B840" s="232">
        <v>43034.0</v>
      </c>
      <c r="C840" s="232">
        <v>148.0</v>
      </c>
      <c r="D840" s="232">
        <v>668.43</v>
      </c>
      <c r="E840" s="232">
        <v>4.5164</v>
      </c>
      <c r="F840" t="s">
        <v>7702</v>
      </c>
      <c r="G840" t="s">
        <v>330</v>
      </c>
      <c r="H840" t="s">
        <v>45</v>
      </c>
      <c r="I840" t="s">
        <v>7713</v>
      </c>
    </row>
    <row r="841">
      <c r="A841" t="s">
        <v>2026</v>
      </c>
      <c r="B841" s="232">
        <v>43008.0</v>
      </c>
      <c r="C841" s="232">
        <v>0.0</v>
      </c>
      <c r="D841" s="232">
        <v>0.0</v>
      </c>
      <c r="F841" t="s">
        <v>7702</v>
      </c>
      <c r="G841" t="s">
        <v>310</v>
      </c>
      <c r="H841" t="s">
        <v>45</v>
      </c>
      <c r="I841" t="s">
        <v>7713</v>
      </c>
    </row>
    <row r="842">
      <c r="A842" t="s">
        <v>2027</v>
      </c>
      <c r="B842" s="232">
        <v>43001.0</v>
      </c>
      <c r="C842" s="232">
        <v>1.0</v>
      </c>
      <c r="D842" s="232">
        <v>4.04</v>
      </c>
      <c r="E842" s="232">
        <v>4.04</v>
      </c>
      <c r="F842" t="s">
        <v>7702</v>
      </c>
      <c r="G842" t="s">
        <v>330</v>
      </c>
      <c r="H842" t="s">
        <v>45</v>
      </c>
      <c r="I842" t="s">
        <v>7713</v>
      </c>
    </row>
    <row r="843">
      <c r="A843" t="s">
        <v>2028</v>
      </c>
      <c r="B843" s="232">
        <v>43003.0</v>
      </c>
      <c r="C843" s="232">
        <v>146.0</v>
      </c>
      <c r="D843" s="232">
        <v>493.47</v>
      </c>
      <c r="E843" s="232">
        <v>3.3799</v>
      </c>
      <c r="F843" t="s">
        <v>7702</v>
      </c>
      <c r="G843" t="s">
        <v>330</v>
      </c>
      <c r="H843" t="s">
        <v>45</v>
      </c>
      <c r="I843" t="s">
        <v>7713</v>
      </c>
    </row>
    <row r="844">
      <c r="A844" t="s">
        <v>2029</v>
      </c>
      <c r="B844" s="232">
        <v>43006.0</v>
      </c>
      <c r="C844" s="232">
        <v>0.0</v>
      </c>
      <c r="D844" s="232">
        <v>0.0</v>
      </c>
      <c r="F844" t="s">
        <v>7702</v>
      </c>
      <c r="G844" t="s">
        <v>310</v>
      </c>
      <c r="H844" t="s">
        <v>45</v>
      </c>
      <c r="I844" t="s">
        <v>7713</v>
      </c>
    </row>
    <row r="845">
      <c r="A845" t="s">
        <v>2030</v>
      </c>
      <c r="B845" s="232">
        <v>43004.0</v>
      </c>
      <c r="C845" s="232">
        <v>148.0</v>
      </c>
      <c r="D845" s="232">
        <v>500.21</v>
      </c>
      <c r="E845" s="232">
        <v>3.3798</v>
      </c>
      <c r="F845" t="s">
        <v>7702</v>
      </c>
      <c r="G845" t="s">
        <v>330</v>
      </c>
      <c r="H845" t="s">
        <v>45</v>
      </c>
      <c r="I845" t="s">
        <v>7713</v>
      </c>
    </row>
    <row r="846">
      <c r="A846" t="s">
        <v>2031</v>
      </c>
      <c r="B846" s="232">
        <v>43012.0</v>
      </c>
      <c r="C846" s="232">
        <v>39.0</v>
      </c>
      <c r="D846" s="232">
        <v>131.71</v>
      </c>
      <c r="E846" s="232">
        <v>3.3772</v>
      </c>
      <c r="F846" t="s">
        <v>7702</v>
      </c>
      <c r="G846" t="s">
        <v>330</v>
      </c>
      <c r="H846" t="s">
        <v>45</v>
      </c>
      <c r="I846" t="s">
        <v>7713</v>
      </c>
    </row>
    <row r="847">
      <c r="A847" t="s">
        <v>2033</v>
      </c>
      <c r="B847" s="232" t="s">
        <v>2032</v>
      </c>
      <c r="C847" s="232">
        <v>0.0</v>
      </c>
      <c r="D847" s="232">
        <v>0.0</v>
      </c>
      <c r="F847" t="s">
        <v>7702</v>
      </c>
      <c r="G847" t="s">
        <v>330</v>
      </c>
      <c r="H847" t="s">
        <v>45</v>
      </c>
      <c r="I847" t="s">
        <v>7713</v>
      </c>
    </row>
    <row r="848">
      <c r="A848" t="s">
        <v>2035</v>
      </c>
      <c r="B848" s="232" t="s">
        <v>2034</v>
      </c>
      <c r="C848" s="232">
        <v>1.0</v>
      </c>
      <c r="D848" s="232">
        <v>51.21</v>
      </c>
      <c r="E848" s="232">
        <v>51.21</v>
      </c>
      <c r="F848" t="s">
        <v>7711</v>
      </c>
      <c r="G848" t="s">
        <v>330</v>
      </c>
      <c r="H848" t="s">
        <v>45</v>
      </c>
      <c r="I848" t="s">
        <v>7713</v>
      </c>
    </row>
    <row r="849">
      <c r="A849" t="s">
        <v>2036</v>
      </c>
      <c r="B849" s="232">
        <v>992412.0</v>
      </c>
      <c r="C849" s="232">
        <v>40.0</v>
      </c>
      <c r="D849" s="232">
        <v>0.0</v>
      </c>
      <c r="E849" s="232">
        <v>0.0</v>
      </c>
      <c r="F849" t="s">
        <v>7702</v>
      </c>
      <c r="G849" t="s">
        <v>310</v>
      </c>
      <c r="H849" t="s">
        <v>7774</v>
      </c>
      <c r="I849" t="s">
        <v>7714</v>
      </c>
    </row>
    <row r="850">
      <c r="A850" t="s">
        <v>2037</v>
      </c>
      <c r="B850" s="232">
        <v>992401.0</v>
      </c>
      <c r="C850" s="232">
        <v>160.0</v>
      </c>
      <c r="D850" s="232">
        <v>0.0</v>
      </c>
      <c r="E850" s="232">
        <v>0.0</v>
      </c>
      <c r="F850" t="s">
        <v>7702</v>
      </c>
      <c r="G850" t="s">
        <v>310</v>
      </c>
      <c r="H850" t="s">
        <v>7774</v>
      </c>
      <c r="I850" t="s">
        <v>7714</v>
      </c>
    </row>
    <row r="851">
      <c r="A851" t="s">
        <v>2038</v>
      </c>
      <c r="B851" s="232">
        <v>41101.0</v>
      </c>
      <c r="C851" s="232">
        <v>0.0</v>
      </c>
      <c r="D851" s="232">
        <v>0.0</v>
      </c>
      <c r="F851" t="s">
        <v>7702</v>
      </c>
      <c r="G851" t="s">
        <v>310</v>
      </c>
      <c r="H851" t="s">
        <v>45</v>
      </c>
      <c r="I851" t="s">
        <v>7783</v>
      </c>
    </row>
    <row r="852">
      <c r="A852" t="s">
        <v>2039</v>
      </c>
      <c r="B852" s="232">
        <v>41103.0</v>
      </c>
      <c r="C852" s="232">
        <v>99.0</v>
      </c>
      <c r="D852" s="232">
        <v>347.92</v>
      </c>
      <c r="E852" s="232">
        <v>3.5143</v>
      </c>
      <c r="F852" t="s">
        <v>7702</v>
      </c>
      <c r="G852" t="s">
        <v>330</v>
      </c>
      <c r="H852" t="s">
        <v>45</v>
      </c>
      <c r="I852" t="s">
        <v>7783</v>
      </c>
    </row>
    <row r="853">
      <c r="A853" t="s">
        <v>2040</v>
      </c>
      <c r="B853" s="232">
        <v>41102.0</v>
      </c>
      <c r="C853" s="232">
        <v>60.0</v>
      </c>
      <c r="D853" s="232">
        <v>210.77</v>
      </c>
      <c r="E853" s="232">
        <v>3.5128</v>
      </c>
      <c r="F853" t="s">
        <v>7702</v>
      </c>
      <c r="G853" t="s">
        <v>330</v>
      </c>
      <c r="H853" t="s">
        <v>45</v>
      </c>
      <c r="I853" t="s">
        <v>7783</v>
      </c>
    </row>
    <row r="854">
      <c r="A854" t="s">
        <v>2041</v>
      </c>
      <c r="B854" s="232">
        <v>41104.0</v>
      </c>
      <c r="C854" s="232">
        <v>0.0</v>
      </c>
      <c r="D854" s="232">
        <v>0.0</v>
      </c>
      <c r="F854" t="s">
        <v>7702</v>
      </c>
      <c r="G854" t="s">
        <v>310</v>
      </c>
      <c r="H854" t="s">
        <v>45</v>
      </c>
      <c r="I854" t="s">
        <v>7783</v>
      </c>
    </row>
    <row r="855">
      <c r="A855" t="s">
        <v>2043</v>
      </c>
      <c r="B855" s="232" t="s">
        <v>2042</v>
      </c>
      <c r="C855" s="232">
        <v>48.0</v>
      </c>
      <c r="D855" s="232">
        <v>0.0</v>
      </c>
      <c r="E855" s="232">
        <v>0.0</v>
      </c>
      <c r="F855" t="s">
        <v>7702</v>
      </c>
      <c r="G855" t="s">
        <v>330</v>
      </c>
      <c r="H855" t="s">
        <v>45</v>
      </c>
      <c r="I855" t="s">
        <v>7783</v>
      </c>
    </row>
    <row r="856">
      <c r="A856" t="s">
        <v>2045</v>
      </c>
      <c r="B856" s="232" t="s">
        <v>2044</v>
      </c>
      <c r="C856" s="232">
        <v>0.0</v>
      </c>
      <c r="D856" s="232">
        <v>0.0</v>
      </c>
      <c r="F856" t="s">
        <v>7702</v>
      </c>
      <c r="G856" t="s">
        <v>330</v>
      </c>
      <c r="H856" t="s">
        <v>45</v>
      </c>
      <c r="I856" t="s">
        <v>7783</v>
      </c>
    </row>
    <row r="857">
      <c r="A857" t="s">
        <v>2046</v>
      </c>
      <c r="B857" s="232">
        <v>41001.0</v>
      </c>
      <c r="C857" s="232">
        <v>24.0</v>
      </c>
      <c r="D857" s="232">
        <v>395.86</v>
      </c>
      <c r="E857" s="232">
        <v>16.4942</v>
      </c>
      <c r="F857" t="s">
        <v>7702</v>
      </c>
      <c r="G857" t="s">
        <v>330</v>
      </c>
      <c r="H857" t="s">
        <v>7774</v>
      </c>
      <c r="I857" t="s">
        <v>7784</v>
      </c>
    </row>
    <row r="858">
      <c r="A858" t="s">
        <v>2047</v>
      </c>
      <c r="B858" s="232">
        <v>41002.0</v>
      </c>
      <c r="C858" s="232">
        <v>5.0</v>
      </c>
      <c r="D858" s="232">
        <v>82.47</v>
      </c>
      <c r="E858" s="232">
        <v>16.494</v>
      </c>
      <c r="F858" t="s">
        <v>7702</v>
      </c>
      <c r="G858" t="s">
        <v>330</v>
      </c>
      <c r="H858" t="s">
        <v>7774</v>
      </c>
      <c r="I858" t="s">
        <v>7784</v>
      </c>
    </row>
    <row r="859">
      <c r="A859" t="s">
        <v>2048</v>
      </c>
      <c r="B859" s="232">
        <v>41005.0</v>
      </c>
      <c r="C859" s="232">
        <v>0.0</v>
      </c>
      <c r="D859" s="232">
        <v>0.0</v>
      </c>
      <c r="F859" t="s">
        <v>7702</v>
      </c>
      <c r="G859" t="s">
        <v>310</v>
      </c>
      <c r="H859" t="s">
        <v>45</v>
      </c>
      <c r="I859" t="s">
        <v>7784</v>
      </c>
    </row>
    <row r="860">
      <c r="A860" t="s">
        <v>2049</v>
      </c>
      <c r="B860" s="232">
        <v>41034.0</v>
      </c>
      <c r="C860" s="232">
        <v>53.0</v>
      </c>
      <c r="D860" s="232">
        <v>688.31</v>
      </c>
      <c r="E860" s="232">
        <v>12.987</v>
      </c>
      <c r="F860" t="s">
        <v>7702</v>
      </c>
      <c r="G860" t="s">
        <v>330</v>
      </c>
      <c r="H860" t="s">
        <v>45</v>
      </c>
      <c r="I860" t="s">
        <v>7784</v>
      </c>
    </row>
    <row r="861">
      <c r="A861" t="s">
        <v>2050</v>
      </c>
      <c r="B861" s="232">
        <v>41023.0</v>
      </c>
      <c r="C861" s="232">
        <v>8.0</v>
      </c>
      <c r="D861" s="232">
        <v>145.67</v>
      </c>
      <c r="E861" s="232">
        <v>18.2088</v>
      </c>
      <c r="F861" t="s">
        <v>7702</v>
      </c>
      <c r="G861" t="s">
        <v>330</v>
      </c>
      <c r="H861" t="s">
        <v>45</v>
      </c>
      <c r="I861" t="s">
        <v>7784</v>
      </c>
    </row>
    <row r="862">
      <c r="A862" t="s">
        <v>2051</v>
      </c>
      <c r="B862" s="232">
        <v>41004.0</v>
      </c>
      <c r="C862" s="232">
        <v>0.0</v>
      </c>
      <c r="D862" s="232">
        <v>0.0</v>
      </c>
      <c r="F862" t="s">
        <v>7702</v>
      </c>
      <c r="G862" t="s">
        <v>310</v>
      </c>
      <c r="H862" t="s">
        <v>45</v>
      </c>
      <c r="I862" t="s">
        <v>7784</v>
      </c>
    </row>
    <row r="863">
      <c r="A863" t="s">
        <v>2052</v>
      </c>
      <c r="B863" s="232">
        <v>41003.0</v>
      </c>
      <c r="C863" s="232">
        <v>0.0</v>
      </c>
      <c r="D863" s="232">
        <v>0.0</v>
      </c>
      <c r="F863" t="s">
        <v>7702</v>
      </c>
      <c r="G863" t="s">
        <v>310</v>
      </c>
      <c r="H863" t="s">
        <v>45</v>
      </c>
      <c r="I863" t="s">
        <v>7784</v>
      </c>
    </row>
    <row r="864">
      <c r="A864" t="s">
        <v>2054</v>
      </c>
      <c r="B864" s="232" t="s">
        <v>2053</v>
      </c>
      <c r="C864" s="232">
        <v>0.0</v>
      </c>
      <c r="D864" s="232">
        <v>0.0</v>
      </c>
      <c r="F864" t="s">
        <v>7702</v>
      </c>
      <c r="G864" t="s">
        <v>310</v>
      </c>
      <c r="H864" t="s">
        <v>45</v>
      </c>
      <c r="I864" t="s">
        <v>166</v>
      </c>
    </row>
    <row r="865">
      <c r="A865" t="s">
        <v>2056</v>
      </c>
      <c r="B865" s="232" t="s">
        <v>2055</v>
      </c>
      <c r="C865" s="232">
        <v>21.0</v>
      </c>
      <c r="D865" s="232">
        <v>0.18</v>
      </c>
      <c r="E865" s="232">
        <v>0.0086</v>
      </c>
      <c r="F865" t="s">
        <v>7702</v>
      </c>
      <c r="G865" t="s">
        <v>310</v>
      </c>
      <c r="H865" t="s">
        <v>45</v>
      </c>
      <c r="I865" t="s">
        <v>7714</v>
      </c>
    </row>
    <row r="866">
      <c r="A866" t="s">
        <v>2058</v>
      </c>
      <c r="B866" s="232" t="s">
        <v>2057</v>
      </c>
      <c r="C866" s="232">
        <v>0.0</v>
      </c>
      <c r="D866" s="232">
        <v>0.0</v>
      </c>
      <c r="F866" t="s">
        <v>7711</v>
      </c>
      <c r="G866" t="s">
        <v>330</v>
      </c>
      <c r="H866" t="s">
        <v>45</v>
      </c>
      <c r="I866" t="s">
        <v>98</v>
      </c>
    </row>
    <row r="867">
      <c r="A867" t="s">
        <v>2060</v>
      </c>
      <c r="B867" s="232" t="s">
        <v>2059</v>
      </c>
      <c r="C867" s="232">
        <v>0.0</v>
      </c>
      <c r="D867" s="232">
        <v>0.0</v>
      </c>
      <c r="F867" t="s">
        <v>7702</v>
      </c>
      <c r="G867" t="s">
        <v>330</v>
      </c>
      <c r="H867" t="s">
        <v>7725</v>
      </c>
      <c r="I867" t="s">
        <v>98</v>
      </c>
    </row>
    <row r="868">
      <c r="A868" t="s">
        <v>2062</v>
      </c>
      <c r="B868" s="232" t="s">
        <v>2061</v>
      </c>
      <c r="C868" s="232">
        <v>29.0</v>
      </c>
      <c r="D868" s="232">
        <v>674.25</v>
      </c>
      <c r="E868" s="232">
        <v>23.25</v>
      </c>
      <c r="F868" t="s">
        <v>7702</v>
      </c>
      <c r="G868" t="s">
        <v>330</v>
      </c>
      <c r="H868" t="s">
        <v>7725</v>
      </c>
      <c r="I868" t="s">
        <v>7714</v>
      </c>
    </row>
    <row r="869">
      <c r="A869" t="s">
        <v>2064</v>
      </c>
      <c r="B869" s="232" t="s">
        <v>2063</v>
      </c>
      <c r="C869" s="232">
        <v>167.0</v>
      </c>
      <c r="D869" s="232">
        <v>3668.85</v>
      </c>
      <c r="E869" s="232">
        <v>21.9692</v>
      </c>
      <c r="F869" t="s">
        <v>7702</v>
      </c>
      <c r="G869" t="s">
        <v>330</v>
      </c>
      <c r="H869" t="s">
        <v>150</v>
      </c>
      <c r="I869" t="s">
        <v>7714</v>
      </c>
    </row>
    <row r="870">
      <c r="A870" t="s">
        <v>2066</v>
      </c>
      <c r="B870" s="232" t="s">
        <v>2065</v>
      </c>
      <c r="C870" s="232">
        <v>0.0</v>
      </c>
      <c r="D870" s="232">
        <v>0.0</v>
      </c>
      <c r="F870" t="s">
        <v>7702</v>
      </c>
      <c r="G870" t="s">
        <v>330</v>
      </c>
      <c r="H870" t="s">
        <v>7747</v>
      </c>
      <c r="I870" t="s">
        <v>29</v>
      </c>
    </row>
    <row r="871">
      <c r="A871" t="s">
        <v>2068</v>
      </c>
      <c r="B871" s="232" t="s">
        <v>2067</v>
      </c>
      <c r="C871" s="232">
        <v>22.0</v>
      </c>
      <c r="D871" s="232">
        <v>0.0</v>
      </c>
      <c r="E871" s="232">
        <v>0.0</v>
      </c>
      <c r="F871" t="s">
        <v>7702</v>
      </c>
      <c r="G871" t="s">
        <v>330</v>
      </c>
      <c r="H871" t="s">
        <v>7725</v>
      </c>
      <c r="I871" t="s">
        <v>7714</v>
      </c>
    </row>
    <row r="872">
      <c r="A872" t="s">
        <v>2070</v>
      </c>
      <c r="B872" s="232" t="s">
        <v>2069</v>
      </c>
      <c r="C872" s="232">
        <v>947.0</v>
      </c>
      <c r="D872" s="232">
        <v>402.01</v>
      </c>
      <c r="E872" s="232">
        <v>0.4245</v>
      </c>
      <c r="F872" t="s">
        <v>7732</v>
      </c>
      <c r="G872" t="s">
        <v>330</v>
      </c>
      <c r="H872" t="s">
        <v>7747</v>
      </c>
    </row>
    <row r="873">
      <c r="A873" t="s">
        <v>2072</v>
      </c>
      <c r="B873" s="232" t="s">
        <v>2071</v>
      </c>
      <c r="C873" s="232">
        <v>114.0</v>
      </c>
      <c r="D873" s="232">
        <v>54.72</v>
      </c>
      <c r="E873" s="232">
        <v>0.48</v>
      </c>
      <c r="F873" t="s">
        <v>7702</v>
      </c>
      <c r="G873" t="s">
        <v>330</v>
      </c>
      <c r="H873" t="s">
        <v>7725</v>
      </c>
      <c r="I873" t="s">
        <v>7739</v>
      </c>
    </row>
    <row r="874">
      <c r="A874" t="s">
        <v>2074</v>
      </c>
      <c r="B874" s="232" t="s">
        <v>2073</v>
      </c>
      <c r="C874" s="232">
        <v>0.0</v>
      </c>
      <c r="D874" s="232">
        <v>0.0</v>
      </c>
      <c r="F874" t="s">
        <v>7702</v>
      </c>
      <c r="G874" t="s">
        <v>310</v>
      </c>
      <c r="H874" t="s">
        <v>7703</v>
      </c>
      <c r="I874" t="s">
        <v>7785</v>
      </c>
    </row>
    <row r="875">
      <c r="A875" t="s">
        <v>2076</v>
      </c>
      <c r="B875" s="232" t="s">
        <v>2075</v>
      </c>
      <c r="C875" s="232">
        <v>0.0</v>
      </c>
      <c r="D875" s="232">
        <v>0.0</v>
      </c>
      <c r="F875" t="s">
        <v>7702</v>
      </c>
      <c r="G875" t="s">
        <v>310</v>
      </c>
      <c r="H875" t="s">
        <v>7703</v>
      </c>
      <c r="I875" t="s">
        <v>7785</v>
      </c>
    </row>
    <row r="876">
      <c r="A876" t="s">
        <v>2080</v>
      </c>
      <c r="B876" s="232" t="s">
        <v>2079</v>
      </c>
      <c r="C876" s="232">
        <v>588.0</v>
      </c>
      <c r="D876" s="232">
        <v>323.4</v>
      </c>
      <c r="E876" s="232">
        <v>0.55</v>
      </c>
      <c r="F876" t="s">
        <v>7702</v>
      </c>
      <c r="G876" t="s">
        <v>330</v>
      </c>
      <c r="H876" t="s">
        <v>7725</v>
      </c>
      <c r="I876" t="s">
        <v>7727</v>
      </c>
    </row>
    <row r="877">
      <c r="A877" t="s">
        <v>2082</v>
      </c>
      <c r="B877" s="232" t="s">
        <v>2081</v>
      </c>
      <c r="C877" s="232">
        <v>344.0</v>
      </c>
      <c r="D877" s="232">
        <v>172.0</v>
      </c>
      <c r="E877" s="232">
        <v>0.5</v>
      </c>
      <c r="F877" t="s">
        <v>7702</v>
      </c>
      <c r="G877" t="s">
        <v>330</v>
      </c>
      <c r="H877" t="s">
        <v>7725</v>
      </c>
      <c r="I877" t="s">
        <v>7745</v>
      </c>
    </row>
    <row r="878">
      <c r="A878" t="s">
        <v>2083</v>
      </c>
      <c r="B878" s="232">
        <v>78360.0</v>
      </c>
      <c r="C878" s="232">
        <v>0.0</v>
      </c>
      <c r="D878" s="232">
        <v>0.0</v>
      </c>
      <c r="F878" t="s">
        <v>7702</v>
      </c>
      <c r="G878" t="s">
        <v>310</v>
      </c>
      <c r="H878" t="s">
        <v>7703</v>
      </c>
      <c r="I878" t="s">
        <v>7786</v>
      </c>
    </row>
    <row r="879">
      <c r="A879" t="s">
        <v>2084</v>
      </c>
      <c r="B879" s="232">
        <v>78798.0</v>
      </c>
      <c r="C879" s="232">
        <v>0.0</v>
      </c>
      <c r="D879" s="232">
        <v>0.0</v>
      </c>
      <c r="F879" t="s">
        <v>7702</v>
      </c>
      <c r="G879" t="s">
        <v>310</v>
      </c>
      <c r="H879" t="s">
        <v>7703</v>
      </c>
      <c r="I879" t="s">
        <v>7786</v>
      </c>
    </row>
    <row r="880">
      <c r="A880" t="s">
        <v>2086</v>
      </c>
      <c r="B880" s="232" t="s">
        <v>2085</v>
      </c>
      <c r="C880" s="232">
        <v>0.0</v>
      </c>
      <c r="D880" s="232">
        <v>0.0</v>
      </c>
      <c r="F880" t="s">
        <v>7702</v>
      </c>
      <c r="G880" t="s">
        <v>330</v>
      </c>
      <c r="H880" t="s">
        <v>7733</v>
      </c>
    </row>
    <row r="881">
      <c r="A881" t="s">
        <v>2088</v>
      </c>
      <c r="B881" s="232" t="s">
        <v>2087</v>
      </c>
      <c r="C881" s="232">
        <v>1000.0</v>
      </c>
      <c r="D881" s="232">
        <v>2081.1</v>
      </c>
      <c r="E881" s="232">
        <v>2.0811</v>
      </c>
      <c r="F881" t="s">
        <v>7702</v>
      </c>
      <c r="G881" t="s">
        <v>330</v>
      </c>
      <c r="H881" t="s">
        <v>7733</v>
      </c>
    </row>
    <row r="882">
      <c r="A882" t="s">
        <v>2090</v>
      </c>
      <c r="B882" s="232" t="s">
        <v>2089</v>
      </c>
      <c r="C882" s="232">
        <v>2000.0</v>
      </c>
      <c r="D882" s="232">
        <v>3882.37</v>
      </c>
      <c r="E882" s="232">
        <v>1.9412</v>
      </c>
      <c r="F882" t="s">
        <v>7702</v>
      </c>
      <c r="G882" t="s">
        <v>330</v>
      </c>
      <c r="H882" t="s">
        <v>7733</v>
      </c>
    </row>
    <row r="883">
      <c r="A883" t="s">
        <v>2092</v>
      </c>
      <c r="B883" s="232" t="s">
        <v>2091</v>
      </c>
      <c r="C883" s="232">
        <v>0.0</v>
      </c>
      <c r="D883" s="232">
        <v>0.0</v>
      </c>
      <c r="F883" t="s">
        <v>7702</v>
      </c>
      <c r="G883" t="s">
        <v>330</v>
      </c>
      <c r="H883" t="s">
        <v>7733</v>
      </c>
    </row>
    <row r="884">
      <c r="A884" t="s">
        <v>2104</v>
      </c>
      <c r="B884" s="232" t="s">
        <v>2103</v>
      </c>
      <c r="C884" s="232">
        <v>0.0</v>
      </c>
      <c r="D884" s="232">
        <v>0.0</v>
      </c>
      <c r="F884" t="s">
        <v>7702</v>
      </c>
      <c r="G884" t="s">
        <v>310</v>
      </c>
      <c r="H884" t="s">
        <v>7703</v>
      </c>
      <c r="I884" t="s">
        <v>7767</v>
      </c>
    </row>
    <row r="885">
      <c r="A885" t="s">
        <v>2106</v>
      </c>
      <c r="B885" s="232" t="s">
        <v>2105</v>
      </c>
      <c r="C885" s="232">
        <v>336.0</v>
      </c>
      <c r="D885" s="232">
        <v>174.72</v>
      </c>
      <c r="E885" s="232">
        <v>0.52</v>
      </c>
      <c r="F885" t="s">
        <v>7702</v>
      </c>
      <c r="G885" t="s">
        <v>330</v>
      </c>
      <c r="H885" t="s">
        <v>7725</v>
      </c>
      <c r="I885" t="s">
        <v>7739</v>
      </c>
    </row>
    <row r="886">
      <c r="A886" t="s">
        <v>2107</v>
      </c>
      <c r="B886" s="232">
        <v>96001.0</v>
      </c>
      <c r="C886" s="232">
        <v>0.0</v>
      </c>
      <c r="D886" s="232">
        <v>0.0</v>
      </c>
      <c r="F886" t="s">
        <v>7702</v>
      </c>
      <c r="G886" t="s">
        <v>310</v>
      </c>
      <c r="H886" t="s">
        <v>7703</v>
      </c>
      <c r="I886" t="s">
        <v>7744</v>
      </c>
    </row>
    <row r="887">
      <c r="A887" t="s">
        <v>2109</v>
      </c>
      <c r="B887" s="232">
        <v>96005.0</v>
      </c>
      <c r="C887" s="232">
        <v>0.0</v>
      </c>
      <c r="D887" s="232">
        <v>0.0</v>
      </c>
      <c r="F887" t="s">
        <v>7702</v>
      </c>
      <c r="G887" t="s">
        <v>310</v>
      </c>
      <c r="H887" t="s">
        <v>7703</v>
      </c>
      <c r="I887" t="s">
        <v>7744</v>
      </c>
    </row>
    <row r="888">
      <c r="A888" t="s">
        <v>2111</v>
      </c>
      <c r="B888" s="232" t="s">
        <v>2110</v>
      </c>
      <c r="C888" s="232">
        <v>0.0</v>
      </c>
      <c r="D888" s="232">
        <v>0.0</v>
      </c>
      <c r="F888" t="s">
        <v>7702</v>
      </c>
      <c r="G888" t="s">
        <v>310</v>
      </c>
      <c r="H888" t="s">
        <v>7703</v>
      </c>
      <c r="I888" t="s">
        <v>7714</v>
      </c>
    </row>
    <row r="889">
      <c r="A889" t="s">
        <v>2112</v>
      </c>
      <c r="B889" s="232">
        <v>96003.0</v>
      </c>
      <c r="C889" s="232">
        <v>0.0</v>
      </c>
      <c r="D889" s="232">
        <v>0.0</v>
      </c>
      <c r="F889" t="s">
        <v>7702</v>
      </c>
      <c r="G889" t="s">
        <v>310</v>
      </c>
      <c r="H889" t="s">
        <v>7703</v>
      </c>
      <c r="I889" t="s">
        <v>7744</v>
      </c>
    </row>
    <row r="890">
      <c r="A890" t="s">
        <v>2113</v>
      </c>
      <c r="B890" s="232">
        <v>96004.0</v>
      </c>
      <c r="C890" s="232">
        <v>0.0</v>
      </c>
      <c r="D890" s="232">
        <v>0.0</v>
      </c>
      <c r="F890" t="s">
        <v>7702</v>
      </c>
      <c r="G890" t="s">
        <v>310</v>
      </c>
      <c r="H890" t="s">
        <v>7703</v>
      </c>
      <c r="I890" t="s">
        <v>7744</v>
      </c>
    </row>
    <row r="891">
      <c r="A891" t="s">
        <v>2115</v>
      </c>
      <c r="B891" s="232" t="s">
        <v>2114</v>
      </c>
      <c r="C891" s="232">
        <v>0.0</v>
      </c>
      <c r="D891" s="232">
        <v>0.0</v>
      </c>
      <c r="F891" t="s">
        <v>7702</v>
      </c>
      <c r="G891" t="s">
        <v>310</v>
      </c>
      <c r="H891" t="s">
        <v>7703</v>
      </c>
      <c r="I891" t="s">
        <v>7787</v>
      </c>
    </row>
    <row r="892">
      <c r="A892" t="s">
        <v>2117</v>
      </c>
      <c r="B892" s="232" t="s">
        <v>2116</v>
      </c>
      <c r="C892" s="232">
        <v>879.0</v>
      </c>
      <c r="D892" s="232">
        <v>5871.54</v>
      </c>
      <c r="E892" s="232">
        <v>6.6798</v>
      </c>
      <c r="F892" t="s">
        <v>7702</v>
      </c>
      <c r="G892" t="s">
        <v>330</v>
      </c>
      <c r="H892" t="s">
        <v>214</v>
      </c>
      <c r="I892" t="s">
        <v>7788</v>
      </c>
    </row>
    <row r="893">
      <c r="A893" t="s">
        <v>2119</v>
      </c>
      <c r="B893" s="232" t="s">
        <v>2118</v>
      </c>
      <c r="C893" s="232">
        <v>920.0</v>
      </c>
      <c r="D893" s="232">
        <v>385.14</v>
      </c>
      <c r="E893" s="232">
        <v>0.4186</v>
      </c>
      <c r="F893" t="s">
        <v>7732</v>
      </c>
      <c r="G893" t="s">
        <v>330</v>
      </c>
      <c r="H893" t="s">
        <v>7747</v>
      </c>
    </row>
    <row r="894">
      <c r="A894" t="s">
        <v>2127</v>
      </c>
      <c r="B894" s="232" t="s">
        <v>2126</v>
      </c>
      <c r="C894" s="232">
        <v>582.0</v>
      </c>
      <c r="D894" s="232">
        <v>320.1</v>
      </c>
      <c r="E894" s="232">
        <v>0.55</v>
      </c>
      <c r="F894" t="s">
        <v>7702</v>
      </c>
      <c r="G894" t="s">
        <v>330</v>
      </c>
      <c r="H894" t="s">
        <v>7725</v>
      </c>
      <c r="I894" t="s">
        <v>7727</v>
      </c>
    </row>
    <row r="895">
      <c r="A895" t="s">
        <v>2129</v>
      </c>
      <c r="B895" s="232" t="s">
        <v>2128</v>
      </c>
      <c r="C895" s="232">
        <v>570.0</v>
      </c>
      <c r="D895" s="232">
        <v>285.0</v>
      </c>
      <c r="E895" s="232">
        <v>0.5</v>
      </c>
      <c r="F895" t="s">
        <v>7702</v>
      </c>
      <c r="G895" t="s">
        <v>330</v>
      </c>
      <c r="H895" t="s">
        <v>7725</v>
      </c>
      <c r="I895" t="s">
        <v>7745</v>
      </c>
    </row>
    <row r="896">
      <c r="A896" t="s">
        <v>2131</v>
      </c>
      <c r="B896" s="232" t="s">
        <v>2130</v>
      </c>
      <c r="C896" s="232">
        <v>0.0</v>
      </c>
      <c r="D896" s="232">
        <v>0.0</v>
      </c>
      <c r="F896" t="s">
        <v>7702</v>
      </c>
      <c r="G896" t="s">
        <v>310</v>
      </c>
      <c r="H896" t="s">
        <v>45</v>
      </c>
      <c r="I896" t="s">
        <v>7789</v>
      </c>
    </row>
    <row r="897">
      <c r="A897" t="s">
        <v>2133</v>
      </c>
      <c r="B897" s="232" t="s">
        <v>2132</v>
      </c>
      <c r="C897" s="232">
        <v>396.0</v>
      </c>
      <c r="D897" s="232">
        <v>1539.4</v>
      </c>
      <c r="E897" s="232">
        <v>3.8874</v>
      </c>
      <c r="F897" t="s">
        <v>7702</v>
      </c>
      <c r="G897" t="s">
        <v>330</v>
      </c>
      <c r="H897" t="s">
        <v>45</v>
      </c>
      <c r="I897" t="s">
        <v>7789</v>
      </c>
    </row>
    <row r="898">
      <c r="A898" t="s">
        <v>2135</v>
      </c>
      <c r="B898" s="232" t="s">
        <v>2134</v>
      </c>
      <c r="C898" s="232">
        <v>350.0</v>
      </c>
      <c r="D898" s="232">
        <v>1351.91</v>
      </c>
      <c r="E898" s="232">
        <v>3.8626</v>
      </c>
      <c r="F898" t="s">
        <v>7702</v>
      </c>
      <c r="G898" t="s">
        <v>330</v>
      </c>
      <c r="H898" t="s">
        <v>45</v>
      </c>
      <c r="I898" t="s">
        <v>7789</v>
      </c>
    </row>
    <row r="899">
      <c r="A899" t="s">
        <v>2137</v>
      </c>
      <c r="B899" s="232" t="s">
        <v>2136</v>
      </c>
      <c r="C899" s="232">
        <v>0.0</v>
      </c>
      <c r="D899" s="232">
        <v>0.0</v>
      </c>
      <c r="F899" t="s">
        <v>7702</v>
      </c>
      <c r="G899" t="s">
        <v>310</v>
      </c>
      <c r="H899" t="s">
        <v>45</v>
      </c>
      <c r="I899" t="s">
        <v>7789</v>
      </c>
    </row>
    <row r="900">
      <c r="A900" t="s">
        <v>2143</v>
      </c>
      <c r="B900" s="232" t="s">
        <v>2142</v>
      </c>
      <c r="C900" s="232">
        <v>0.0</v>
      </c>
      <c r="D900" s="232">
        <v>0.0</v>
      </c>
      <c r="F900" t="s">
        <v>7702</v>
      </c>
      <c r="G900" t="s">
        <v>330</v>
      </c>
      <c r="H900" t="s">
        <v>45</v>
      </c>
      <c r="I900" t="s">
        <v>151</v>
      </c>
    </row>
    <row r="901">
      <c r="A901" t="s">
        <v>2145</v>
      </c>
      <c r="B901" s="232" t="s">
        <v>2144</v>
      </c>
      <c r="C901" s="232">
        <v>0.0</v>
      </c>
      <c r="D901" s="232">
        <v>0.0</v>
      </c>
      <c r="F901" t="s">
        <v>7702</v>
      </c>
      <c r="G901" t="s">
        <v>310</v>
      </c>
      <c r="H901" t="s">
        <v>45</v>
      </c>
      <c r="I901" t="s">
        <v>151</v>
      </c>
    </row>
    <row r="902">
      <c r="A902" t="s">
        <v>2149</v>
      </c>
      <c r="B902" s="232" t="s">
        <v>2148</v>
      </c>
      <c r="C902" s="232">
        <v>0.0</v>
      </c>
      <c r="D902" s="232">
        <v>0.0</v>
      </c>
      <c r="F902" t="s">
        <v>7702</v>
      </c>
      <c r="G902" t="s">
        <v>310</v>
      </c>
      <c r="H902" t="s">
        <v>7703</v>
      </c>
      <c r="I902" t="s">
        <v>7790</v>
      </c>
    </row>
    <row r="903">
      <c r="A903" t="s">
        <v>2151</v>
      </c>
      <c r="B903" s="232" t="s">
        <v>2150</v>
      </c>
      <c r="C903" s="232">
        <v>0.0</v>
      </c>
      <c r="D903" s="232">
        <v>0.0</v>
      </c>
      <c r="F903" t="s">
        <v>7702</v>
      </c>
      <c r="G903" t="s">
        <v>310</v>
      </c>
      <c r="H903" t="s">
        <v>7703</v>
      </c>
      <c r="I903" t="s">
        <v>7746</v>
      </c>
    </row>
    <row r="904">
      <c r="A904" t="s">
        <v>2153</v>
      </c>
      <c r="B904" s="232" t="s">
        <v>2152</v>
      </c>
      <c r="C904" s="232">
        <v>3937.0</v>
      </c>
      <c r="D904" s="232">
        <v>0.01</v>
      </c>
      <c r="E904" s="232">
        <v>0.0</v>
      </c>
      <c r="F904" t="s">
        <v>7732</v>
      </c>
      <c r="G904" t="s">
        <v>330</v>
      </c>
      <c r="H904" t="s">
        <v>45</v>
      </c>
    </row>
    <row r="905">
      <c r="A905" t="s">
        <v>2155</v>
      </c>
      <c r="B905" s="232" t="s">
        <v>2154</v>
      </c>
      <c r="C905" s="232">
        <v>1620.0</v>
      </c>
      <c r="D905" s="232">
        <v>324.0</v>
      </c>
      <c r="E905" s="232">
        <v>0.2</v>
      </c>
      <c r="F905" t="s">
        <v>7732</v>
      </c>
      <c r="G905" t="s">
        <v>330</v>
      </c>
      <c r="H905" t="s">
        <v>7733</v>
      </c>
    </row>
    <row r="906">
      <c r="A906" t="s">
        <v>2157</v>
      </c>
      <c r="B906" s="232" t="s">
        <v>2156</v>
      </c>
      <c r="C906" s="232">
        <v>0.0</v>
      </c>
      <c r="D906" s="232">
        <v>0.0</v>
      </c>
      <c r="F906" t="s">
        <v>7702</v>
      </c>
      <c r="G906" t="s">
        <v>330</v>
      </c>
      <c r="H906" t="s">
        <v>45</v>
      </c>
      <c r="I906" t="s">
        <v>7791</v>
      </c>
    </row>
    <row r="907">
      <c r="A907" t="s">
        <v>2159</v>
      </c>
      <c r="B907" s="232" t="s">
        <v>2158</v>
      </c>
      <c r="C907" s="232">
        <v>8.0</v>
      </c>
      <c r="D907" s="232">
        <v>41.83</v>
      </c>
      <c r="E907" s="232">
        <v>5.2288</v>
      </c>
      <c r="F907" t="s">
        <v>7702</v>
      </c>
      <c r="G907" t="s">
        <v>330</v>
      </c>
      <c r="H907" t="s">
        <v>45</v>
      </c>
      <c r="I907" t="s">
        <v>7791</v>
      </c>
    </row>
    <row r="908">
      <c r="A908" t="s">
        <v>2161</v>
      </c>
      <c r="B908" s="232" t="s">
        <v>2160</v>
      </c>
      <c r="C908" s="232">
        <v>279.0</v>
      </c>
      <c r="D908" s="232">
        <v>1444.85</v>
      </c>
      <c r="E908" s="232">
        <v>5.1787</v>
      </c>
      <c r="F908" t="s">
        <v>7702</v>
      </c>
      <c r="G908" t="s">
        <v>330</v>
      </c>
      <c r="H908" t="s">
        <v>45</v>
      </c>
      <c r="I908" t="s">
        <v>7791</v>
      </c>
    </row>
    <row r="909">
      <c r="A909" t="s">
        <v>2163</v>
      </c>
      <c r="B909" s="232" t="s">
        <v>2162</v>
      </c>
      <c r="C909" s="232">
        <v>66.0</v>
      </c>
      <c r="D909" s="232">
        <v>342.06</v>
      </c>
      <c r="E909" s="232">
        <v>5.1827</v>
      </c>
      <c r="F909" t="s">
        <v>7702</v>
      </c>
      <c r="G909" t="s">
        <v>330</v>
      </c>
      <c r="H909" t="s">
        <v>45</v>
      </c>
      <c r="I909" t="s">
        <v>7791</v>
      </c>
    </row>
    <row r="910">
      <c r="A910" t="s">
        <v>2167</v>
      </c>
      <c r="B910" s="232" t="s">
        <v>2166</v>
      </c>
      <c r="C910" s="232">
        <v>276.0</v>
      </c>
      <c r="D910" s="232">
        <v>1429.3</v>
      </c>
      <c r="E910" s="232">
        <v>5.1786</v>
      </c>
      <c r="F910" t="s">
        <v>7702</v>
      </c>
      <c r="G910" t="s">
        <v>330</v>
      </c>
      <c r="H910" t="s">
        <v>45</v>
      </c>
      <c r="I910" t="s">
        <v>7791</v>
      </c>
    </row>
    <row r="911">
      <c r="A911" t="s">
        <v>2169</v>
      </c>
      <c r="B911" s="232" t="s">
        <v>2168</v>
      </c>
      <c r="C911" s="232">
        <v>568.0</v>
      </c>
      <c r="D911" s="232">
        <v>312.4</v>
      </c>
      <c r="E911" s="232">
        <v>0.55</v>
      </c>
      <c r="F911" t="s">
        <v>7702</v>
      </c>
      <c r="G911" t="s">
        <v>330</v>
      </c>
      <c r="H911" t="s">
        <v>7725</v>
      </c>
      <c r="I911" t="s">
        <v>7727</v>
      </c>
    </row>
    <row r="912">
      <c r="A912" t="s">
        <v>2171</v>
      </c>
      <c r="B912" s="232" t="s">
        <v>2170</v>
      </c>
      <c r="C912" s="232">
        <v>512.0</v>
      </c>
      <c r="D912" s="232">
        <v>256.0</v>
      </c>
      <c r="E912" s="232">
        <v>0.5</v>
      </c>
      <c r="F912" t="s">
        <v>7702</v>
      </c>
      <c r="G912" t="s">
        <v>330</v>
      </c>
      <c r="H912" t="s">
        <v>7725</v>
      </c>
      <c r="I912" t="s">
        <v>7745</v>
      </c>
    </row>
    <row r="913">
      <c r="A913" t="s">
        <v>2175</v>
      </c>
      <c r="B913" s="232" t="s">
        <v>2174</v>
      </c>
      <c r="C913" s="232">
        <v>348.0</v>
      </c>
      <c r="D913" s="232">
        <v>191.4</v>
      </c>
      <c r="E913" s="232">
        <v>0.55</v>
      </c>
      <c r="F913" t="s">
        <v>7702</v>
      </c>
      <c r="G913" t="s">
        <v>330</v>
      </c>
      <c r="H913" t="s">
        <v>7725</v>
      </c>
      <c r="I913" t="s">
        <v>7727</v>
      </c>
    </row>
    <row r="914">
      <c r="A914" t="s">
        <v>2177</v>
      </c>
      <c r="B914" s="232" t="s">
        <v>2176</v>
      </c>
      <c r="C914" s="232">
        <v>630.0</v>
      </c>
      <c r="D914" s="232">
        <v>315.0</v>
      </c>
      <c r="E914" s="232">
        <v>0.5</v>
      </c>
      <c r="F914" t="s">
        <v>7702</v>
      </c>
      <c r="G914" t="s">
        <v>330</v>
      </c>
      <c r="H914" t="s">
        <v>7725</v>
      </c>
      <c r="I914" t="s">
        <v>7745</v>
      </c>
    </row>
    <row r="915">
      <c r="A915" t="s">
        <v>2179</v>
      </c>
      <c r="B915" s="232" t="s">
        <v>2178</v>
      </c>
      <c r="C915" s="232">
        <v>168.0</v>
      </c>
      <c r="D915" s="232">
        <v>80.64</v>
      </c>
      <c r="E915" s="232">
        <v>0.48</v>
      </c>
      <c r="F915" t="s">
        <v>7702</v>
      </c>
      <c r="G915" t="s">
        <v>330</v>
      </c>
      <c r="H915" t="s">
        <v>7725</v>
      </c>
      <c r="I915" t="s">
        <v>7739</v>
      </c>
    </row>
    <row r="916">
      <c r="A916" t="s">
        <v>2181</v>
      </c>
      <c r="B916" s="232" t="s">
        <v>2180</v>
      </c>
      <c r="C916" s="232">
        <v>0.0</v>
      </c>
      <c r="D916" s="232">
        <v>0.0</v>
      </c>
      <c r="F916" t="s">
        <v>7702</v>
      </c>
      <c r="G916" t="s">
        <v>310</v>
      </c>
      <c r="H916" t="s">
        <v>45</v>
      </c>
      <c r="I916" t="s">
        <v>7792</v>
      </c>
    </row>
    <row r="917">
      <c r="A917" t="s">
        <v>2185</v>
      </c>
      <c r="B917" s="232" t="s">
        <v>2184</v>
      </c>
      <c r="C917" s="232">
        <v>0.0</v>
      </c>
      <c r="D917" s="232">
        <v>0.0</v>
      </c>
      <c r="F917" t="s">
        <v>7702</v>
      </c>
      <c r="G917" t="s">
        <v>310</v>
      </c>
      <c r="H917" t="s">
        <v>7703</v>
      </c>
      <c r="I917" t="s">
        <v>7793</v>
      </c>
    </row>
    <row r="918">
      <c r="A918" t="s">
        <v>2187</v>
      </c>
      <c r="B918" s="232" t="s">
        <v>2186</v>
      </c>
      <c r="C918" s="232">
        <v>0.0</v>
      </c>
      <c r="D918" s="232">
        <v>0.0</v>
      </c>
      <c r="F918" t="s">
        <v>7702</v>
      </c>
      <c r="G918" t="s">
        <v>310</v>
      </c>
      <c r="H918" t="s">
        <v>7703</v>
      </c>
      <c r="I918" t="s">
        <v>7749</v>
      </c>
    </row>
    <row r="919">
      <c r="A919" t="s">
        <v>2189</v>
      </c>
      <c r="B919" s="232" t="s">
        <v>2188</v>
      </c>
      <c r="C919" s="232">
        <v>0.0</v>
      </c>
      <c r="D919" s="232">
        <v>0.0</v>
      </c>
      <c r="F919" t="s">
        <v>7702</v>
      </c>
      <c r="G919" t="s">
        <v>310</v>
      </c>
      <c r="H919" t="s">
        <v>7703</v>
      </c>
      <c r="I919" t="s">
        <v>7749</v>
      </c>
    </row>
    <row r="920">
      <c r="A920" t="s">
        <v>2191</v>
      </c>
      <c r="B920" s="232" t="s">
        <v>2190</v>
      </c>
      <c r="C920" s="232">
        <v>0.0</v>
      </c>
      <c r="D920" s="232">
        <v>0.0</v>
      </c>
      <c r="F920" t="s">
        <v>7702</v>
      </c>
      <c r="G920" t="s">
        <v>310</v>
      </c>
      <c r="H920" t="s">
        <v>7703</v>
      </c>
      <c r="I920" t="s">
        <v>7793</v>
      </c>
    </row>
    <row r="921">
      <c r="A921" t="s">
        <v>2193</v>
      </c>
      <c r="B921" s="232" t="s">
        <v>2192</v>
      </c>
      <c r="C921" s="232">
        <v>0.0</v>
      </c>
      <c r="D921" s="232">
        <v>0.0</v>
      </c>
      <c r="F921" t="s">
        <v>7702</v>
      </c>
      <c r="G921" t="s">
        <v>310</v>
      </c>
      <c r="H921" t="s">
        <v>7703</v>
      </c>
      <c r="I921" t="s">
        <v>7749</v>
      </c>
    </row>
    <row r="922">
      <c r="A922" t="s">
        <v>2195</v>
      </c>
      <c r="B922" s="232" t="s">
        <v>2194</v>
      </c>
      <c r="C922" s="232">
        <v>0.0</v>
      </c>
      <c r="D922" s="232">
        <v>0.0</v>
      </c>
      <c r="F922" t="s">
        <v>7702</v>
      </c>
      <c r="G922" t="s">
        <v>310</v>
      </c>
      <c r="H922" t="s">
        <v>7703</v>
      </c>
      <c r="I922" t="s">
        <v>7793</v>
      </c>
    </row>
    <row r="923">
      <c r="A923" t="s">
        <v>2197</v>
      </c>
      <c r="B923" s="232" t="s">
        <v>2196</v>
      </c>
      <c r="C923" s="232">
        <v>0.0</v>
      </c>
      <c r="D923" s="232">
        <v>0.0</v>
      </c>
      <c r="F923" t="s">
        <v>7702</v>
      </c>
      <c r="G923" t="s">
        <v>310</v>
      </c>
      <c r="H923" t="s">
        <v>7703</v>
      </c>
      <c r="I923" t="s">
        <v>7793</v>
      </c>
    </row>
    <row r="924">
      <c r="A924" t="s">
        <v>2199</v>
      </c>
      <c r="B924" s="232" t="s">
        <v>2198</v>
      </c>
      <c r="C924" s="232">
        <v>0.0</v>
      </c>
      <c r="D924" s="232">
        <v>0.0</v>
      </c>
      <c r="F924" t="s">
        <v>7702</v>
      </c>
      <c r="G924" t="s">
        <v>310</v>
      </c>
      <c r="H924" t="s">
        <v>7703</v>
      </c>
      <c r="I924" t="s">
        <v>7793</v>
      </c>
    </row>
    <row r="925">
      <c r="A925" t="s">
        <v>2201</v>
      </c>
      <c r="B925" s="232" t="s">
        <v>2200</v>
      </c>
      <c r="C925" s="232">
        <v>0.0</v>
      </c>
      <c r="D925" s="232">
        <v>0.0</v>
      </c>
      <c r="F925" t="s">
        <v>7702</v>
      </c>
      <c r="G925" t="s">
        <v>310</v>
      </c>
      <c r="H925" t="s">
        <v>7703</v>
      </c>
      <c r="I925" t="s">
        <v>7793</v>
      </c>
    </row>
    <row r="926">
      <c r="A926" t="s">
        <v>2203</v>
      </c>
      <c r="B926" s="232" t="s">
        <v>2202</v>
      </c>
      <c r="C926" s="232">
        <v>0.0</v>
      </c>
      <c r="D926" s="232">
        <v>0.0</v>
      </c>
      <c r="F926" t="s">
        <v>7702</v>
      </c>
      <c r="G926" t="s">
        <v>310</v>
      </c>
      <c r="H926" t="s">
        <v>7703</v>
      </c>
      <c r="I926" t="s">
        <v>7793</v>
      </c>
    </row>
    <row r="927">
      <c r="A927" t="s">
        <v>2205</v>
      </c>
      <c r="B927" s="232" t="s">
        <v>2204</v>
      </c>
      <c r="C927" s="232">
        <v>0.0</v>
      </c>
      <c r="D927" s="232">
        <v>0.0</v>
      </c>
      <c r="F927" t="s">
        <v>7702</v>
      </c>
      <c r="G927" t="s">
        <v>310</v>
      </c>
      <c r="H927" t="s">
        <v>7703</v>
      </c>
      <c r="I927" t="s">
        <v>7793</v>
      </c>
    </row>
    <row r="928">
      <c r="A928" t="s">
        <v>2207</v>
      </c>
      <c r="B928" s="232" t="s">
        <v>2206</v>
      </c>
      <c r="C928" s="232">
        <v>0.0</v>
      </c>
      <c r="D928" s="232">
        <v>0.0</v>
      </c>
      <c r="F928" t="s">
        <v>7702</v>
      </c>
      <c r="G928" t="s">
        <v>310</v>
      </c>
      <c r="H928" t="s">
        <v>7703</v>
      </c>
      <c r="I928" t="s">
        <v>7793</v>
      </c>
    </row>
    <row r="929">
      <c r="A929" t="s">
        <v>2209</v>
      </c>
      <c r="B929" s="232" t="s">
        <v>2208</v>
      </c>
      <c r="C929" s="232">
        <v>1.0</v>
      </c>
      <c r="D929" s="232">
        <v>0.01</v>
      </c>
      <c r="E929" s="232">
        <v>0.01</v>
      </c>
      <c r="F929" t="s">
        <v>7702</v>
      </c>
      <c r="G929" t="s">
        <v>330</v>
      </c>
      <c r="H929" t="s">
        <v>45</v>
      </c>
      <c r="I929" t="s">
        <v>7793</v>
      </c>
    </row>
    <row r="930">
      <c r="A930" t="s">
        <v>2211</v>
      </c>
      <c r="B930" s="232" t="s">
        <v>2210</v>
      </c>
      <c r="C930" s="232">
        <v>24.0</v>
      </c>
      <c r="D930" s="232">
        <v>0.01</v>
      </c>
      <c r="E930" s="232">
        <v>4.0E-4</v>
      </c>
      <c r="F930" t="s">
        <v>7702</v>
      </c>
      <c r="G930" t="s">
        <v>330</v>
      </c>
      <c r="H930" t="s">
        <v>45</v>
      </c>
      <c r="I930" t="s">
        <v>7793</v>
      </c>
    </row>
    <row r="931">
      <c r="A931" t="s">
        <v>2213</v>
      </c>
      <c r="B931" s="232" t="s">
        <v>2212</v>
      </c>
      <c r="C931" s="232">
        <v>0.0</v>
      </c>
      <c r="D931" s="232">
        <v>0.0</v>
      </c>
      <c r="F931" t="s">
        <v>7702</v>
      </c>
      <c r="G931" t="s">
        <v>310</v>
      </c>
      <c r="H931" t="s">
        <v>45</v>
      </c>
      <c r="I931" t="s">
        <v>7793</v>
      </c>
    </row>
    <row r="932">
      <c r="A932" t="s">
        <v>2215</v>
      </c>
      <c r="B932" s="232" t="s">
        <v>2214</v>
      </c>
      <c r="C932" s="232">
        <v>0.0</v>
      </c>
      <c r="D932" s="232">
        <v>0.0</v>
      </c>
      <c r="F932" t="s">
        <v>7702</v>
      </c>
      <c r="G932" t="s">
        <v>310</v>
      </c>
      <c r="H932" t="s">
        <v>45</v>
      </c>
      <c r="I932" t="s">
        <v>7793</v>
      </c>
    </row>
    <row r="933">
      <c r="A933" t="s">
        <v>2217</v>
      </c>
      <c r="B933" s="232" t="s">
        <v>2216</v>
      </c>
      <c r="C933" s="232">
        <v>0.0</v>
      </c>
      <c r="D933" s="232">
        <v>0.0</v>
      </c>
      <c r="F933" t="s">
        <v>7702</v>
      </c>
      <c r="G933" t="s">
        <v>310</v>
      </c>
      <c r="H933" t="s">
        <v>45</v>
      </c>
      <c r="I933" t="s">
        <v>7793</v>
      </c>
    </row>
    <row r="934">
      <c r="A934" t="s">
        <v>2219</v>
      </c>
      <c r="B934" s="232" t="s">
        <v>2218</v>
      </c>
      <c r="C934" s="232">
        <v>0.0</v>
      </c>
      <c r="D934" s="232">
        <v>0.0</v>
      </c>
      <c r="F934" t="s">
        <v>7702</v>
      </c>
      <c r="G934" t="s">
        <v>310</v>
      </c>
      <c r="H934" t="s">
        <v>45</v>
      </c>
      <c r="I934" t="s">
        <v>7793</v>
      </c>
    </row>
    <row r="935">
      <c r="A935" t="s">
        <v>2221</v>
      </c>
      <c r="B935" s="232" t="s">
        <v>2220</v>
      </c>
      <c r="C935" s="232">
        <v>0.0</v>
      </c>
      <c r="D935" s="232">
        <v>0.0</v>
      </c>
      <c r="F935" t="s">
        <v>7702</v>
      </c>
      <c r="G935" t="s">
        <v>310</v>
      </c>
      <c r="H935" t="s">
        <v>45</v>
      </c>
      <c r="I935" t="s">
        <v>7793</v>
      </c>
    </row>
    <row r="936">
      <c r="A936" t="s">
        <v>2223</v>
      </c>
      <c r="B936" s="232" t="s">
        <v>2222</v>
      </c>
      <c r="C936" s="232">
        <v>0.0</v>
      </c>
      <c r="D936" s="232">
        <v>0.0</v>
      </c>
      <c r="F936" t="s">
        <v>7702</v>
      </c>
      <c r="G936" t="s">
        <v>310</v>
      </c>
      <c r="H936" t="s">
        <v>45</v>
      </c>
      <c r="I936" t="s">
        <v>7793</v>
      </c>
    </row>
    <row r="937">
      <c r="A937" t="s">
        <v>2225</v>
      </c>
      <c r="B937" s="232" t="s">
        <v>2224</v>
      </c>
      <c r="C937" s="232">
        <v>0.0</v>
      </c>
      <c r="D937" s="232">
        <v>0.0</v>
      </c>
      <c r="F937" t="s">
        <v>7702</v>
      </c>
      <c r="G937" t="s">
        <v>310</v>
      </c>
      <c r="H937" t="s">
        <v>45</v>
      </c>
      <c r="I937" t="s">
        <v>7793</v>
      </c>
    </row>
    <row r="938">
      <c r="A938" t="s">
        <v>2227</v>
      </c>
      <c r="B938" s="232" t="s">
        <v>2226</v>
      </c>
      <c r="C938" s="232">
        <v>0.0</v>
      </c>
      <c r="D938" s="232">
        <v>0.0</v>
      </c>
      <c r="F938" t="s">
        <v>7702</v>
      </c>
      <c r="G938" t="s">
        <v>310</v>
      </c>
      <c r="H938" t="s">
        <v>45</v>
      </c>
      <c r="I938" t="s">
        <v>7793</v>
      </c>
    </row>
    <row r="939">
      <c r="A939" t="s">
        <v>2229</v>
      </c>
      <c r="B939" s="232" t="s">
        <v>2228</v>
      </c>
      <c r="C939" s="232">
        <v>9.0</v>
      </c>
      <c r="D939" s="232">
        <v>0.01</v>
      </c>
      <c r="E939" s="232">
        <v>0.0011</v>
      </c>
      <c r="F939" t="s">
        <v>7702</v>
      </c>
      <c r="G939" t="s">
        <v>330</v>
      </c>
      <c r="H939" t="s">
        <v>45</v>
      </c>
      <c r="I939" t="s">
        <v>7793</v>
      </c>
    </row>
    <row r="940">
      <c r="A940" t="s">
        <v>2231</v>
      </c>
      <c r="B940" s="232" t="s">
        <v>2230</v>
      </c>
      <c r="C940" s="232">
        <v>18.0</v>
      </c>
      <c r="D940" s="232">
        <v>0.01</v>
      </c>
      <c r="E940" s="232">
        <v>6.0E-4</v>
      </c>
      <c r="F940" t="s">
        <v>7702</v>
      </c>
      <c r="G940" t="s">
        <v>330</v>
      </c>
      <c r="H940" t="s">
        <v>45</v>
      </c>
      <c r="I940" t="s">
        <v>7793</v>
      </c>
    </row>
    <row r="941">
      <c r="A941" t="s">
        <v>2233</v>
      </c>
      <c r="B941" s="232" t="s">
        <v>2232</v>
      </c>
      <c r="C941" s="232">
        <v>0.0</v>
      </c>
      <c r="D941" s="232">
        <v>0.0</v>
      </c>
      <c r="F941" t="s">
        <v>7702</v>
      </c>
      <c r="G941" t="s">
        <v>310</v>
      </c>
      <c r="H941" t="s">
        <v>45</v>
      </c>
      <c r="I941" t="s">
        <v>7793</v>
      </c>
    </row>
    <row r="942">
      <c r="A942" t="s">
        <v>2235</v>
      </c>
      <c r="B942" s="232" t="s">
        <v>2234</v>
      </c>
      <c r="C942" s="232">
        <v>0.0</v>
      </c>
      <c r="D942" s="232">
        <v>0.0</v>
      </c>
      <c r="F942" t="s">
        <v>7702</v>
      </c>
      <c r="G942" t="s">
        <v>310</v>
      </c>
      <c r="H942" t="s">
        <v>45</v>
      </c>
      <c r="I942" t="s">
        <v>7793</v>
      </c>
    </row>
    <row r="943">
      <c r="A943" t="s">
        <v>2237</v>
      </c>
      <c r="B943" s="232" t="s">
        <v>2236</v>
      </c>
      <c r="C943" s="232">
        <v>0.0</v>
      </c>
      <c r="D943" s="232">
        <v>0.0</v>
      </c>
      <c r="F943" t="s">
        <v>7702</v>
      </c>
      <c r="G943" t="s">
        <v>310</v>
      </c>
      <c r="H943" t="s">
        <v>45</v>
      </c>
      <c r="I943" t="s">
        <v>7793</v>
      </c>
    </row>
    <row r="944">
      <c r="A944" t="s">
        <v>2239</v>
      </c>
      <c r="B944" s="232" t="s">
        <v>2238</v>
      </c>
      <c r="C944" s="232">
        <v>0.0</v>
      </c>
      <c r="D944" s="232">
        <v>0.0</v>
      </c>
      <c r="F944" t="s">
        <v>7702</v>
      </c>
      <c r="G944" t="s">
        <v>310</v>
      </c>
      <c r="H944" t="s">
        <v>45</v>
      </c>
      <c r="I944" t="s">
        <v>7793</v>
      </c>
    </row>
    <row r="945">
      <c r="A945" t="s">
        <v>2241</v>
      </c>
      <c r="B945" s="232" t="s">
        <v>2240</v>
      </c>
      <c r="C945" s="232">
        <v>0.0</v>
      </c>
      <c r="D945" s="232">
        <v>0.0</v>
      </c>
      <c r="F945" t="s">
        <v>7702</v>
      </c>
      <c r="G945" t="s">
        <v>310</v>
      </c>
      <c r="H945" t="s">
        <v>45</v>
      </c>
      <c r="I945" t="s">
        <v>7793</v>
      </c>
    </row>
    <row r="946">
      <c r="A946" t="s">
        <v>2243</v>
      </c>
      <c r="B946" s="232" t="s">
        <v>2242</v>
      </c>
      <c r="C946" s="232">
        <v>5.0</v>
      </c>
      <c r="D946" s="232">
        <v>0.01</v>
      </c>
      <c r="E946" s="232">
        <v>0.002</v>
      </c>
      <c r="F946" t="s">
        <v>7702</v>
      </c>
      <c r="G946" t="s">
        <v>330</v>
      </c>
      <c r="H946" t="s">
        <v>45</v>
      </c>
      <c r="I946" t="s">
        <v>7793</v>
      </c>
    </row>
    <row r="947">
      <c r="A947" t="s">
        <v>2245</v>
      </c>
      <c r="B947" s="232" t="s">
        <v>2244</v>
      </c>
      <c r="C947" s="232">
        <v>3.0</v>
      </c>
      <c r="D947" s="232">
        <v>0.01</v>
      </c>
      <c r="E947" s="232">
        <v>0.0033</v>
      </c>
      <c r="F947" t="s">
        <v>7702</v>
      </c>
      <c r="G947" t="s">
        <v>330</v>
      </c>
      <c r="H947" t="s">
        <v>45</v>
      </c>
      <c r="I947" t="s">
        <v>7793</v>
      </c>
    </row>
    <row r="948">
      <c r="A948" t="s">
        <v>2247</v>
      </c>
      <c r="B948" s="232" t="s">
        <v>2246</v>
      </c>
      <c r="C948" s="232">
        <v>0.0</v>
      </c>
      <c r="D948" s="232">
        <v>0.0</v>
      </c>
      <c r="F948" t="s">
        <v>7702</v>
      </c>
      <c r="G948" t="s">
        <v>310</v>
      </c>
      <c r="H948" t="s">
        <v>45</v>
      </c>
      <c r="I948" t="s">
        <v>7793</v>
      </c>
    </row>
    <row r="949">
      <c r="A949" t="s">
        <v>2249</v>
      </c>
      <c r="B949" s="232" t="s">
        <v>2248</v>
      </c>
      <c r="C949" s="232">
        <v>0.0</v>
      </c>
      <c r="D949" s="232">
        <v>0.0</v>
      </c>
      <c r="F949" t="s">
        <v>7702</v>
      </c>
      <c r="G949" t="s">
        <v>310</v>
      </c>
      <c r="H949" t="s">
        <v>45</v>
      </c>
      <c r="I949" t="s">
        <v>7793</v>
      </c>
    </row>
    <row r="950">
      <c r="A950" t="s">
        <v>2251</v>
      </c>
      <c r="B950" s="232" t="s">
        <v>2250</v>
      </c>
      <c r="C950" s="232">
        <v>37.0</v>
      </c>
      <c r="D950" s="232">
        <v>0.01</v>
      </c>
      <c r="E950" s="232">
        <v>3.0E-4</v>
      </c>
      <c r="F950" t="s">
        <v>7702</v>
      </c>
      <c r="G950" t="s">
        <v>330</v>
      </c>
      <c r="H950" t="s">
        <v>45</v>
      </c>
      <c r="I950" t="s">
        <v>7793</v>
      </c>
    </row>
    <row r="951">
      <c r="A951" t="s">
        <v>2253</v>
      </c>
      <c r="B951" s="232" t="s">
        <v>2252</v>
      </c>
      <c r="C951" s="232">
        <v>0.0</v>
      </c>
      <c r="D951" s="232">
        <v>0.0</v>
      </c>
      <c r="F951" t="s">
        <v>7702</v>
      </c>
      <c r="G951" t="s">
        <v>310</v>
      </c>
      <c r="H951" t="s">
        <v>45</v>
      </c>
      <c r="I951" t="s">
        <v>7793</v>
      </c>
    </row>
    <row r="952">
      <c r="A952" t="s">
        <v>2255</v>
      </c>
      <c r="B952" s="232" t="s">
        <v>2254</v>
      </c>
      <c r="C952" s="232">
        <v>0.0</v>
      </c>
      <c r="D952" s="232">
        <v>0.0</v>
      </c>
      <c r="F952" t="s">
        <v>7702</v>
      </c>
      <c r="G952" t="s">
        <v>310</v>
      </c>
      <c r="H952" t="s">
        <v>45</v>
      </c>
      <c r="I952" t="s">
        <v>7793</v>
      </c>
    </row>
    <row r="953">
      <c r="A953" t="s">
        <v>2257</v>
      </c>
      <c r="B953" s="232" t="s">
        <v>2256</v>
      </c>
      <c r="C953" s="232">
        <v>0.0</v>
      </c>
      <c r="D953" s="232">
        <v>0.0</v>
      </c>
      <c r="F953" t="s">
        <v>7702</v>
      </c>
      <c r="G953" t="s">
        <v>310</v>
      </c>
      <c r="H953" t="s">
        <v>45</v>
      </c>
      <c r="I953" t="s">
        <v>7793</v>
      </c>
    </row>
    <row r="954">
      <c r="A954" t="s">
        <v>2259</v>
      </c>
      <c r="B954" s="232" t="s">
        <v>2258</v>
      </c>
      <c r="C954" s="232">
        <v>0.0</v>
      </c>
      <c r="D954" s="232">
        <v>0.0</v>
      </c>
      <c r="F954" t="s">
        <v>7702</v>
      </c>
      <c r="G954" t="s">
        <v>310</v>
      </c>
      <c r="H954" t="s">
        <v>45</v>
      </c>
      <c r="I954" t="s">
        <v>7793</v>
      </c>
    </row>
    <row r="955">
      <c r="A955" t="s">
        <v>2261</v>
      </c>
      <c r="B955" s="232" t="s">
        <v>2260</v>
      </c>
      <c r="C955" s="232">
        <v>0.0</v>
      </c>
      <c r="D955" s="232">
        <v>0.0</v>
      </c>
      <c r="F955" t="s">
        <v>7702</v>
      </c>
      <c r="G955" t="s">
        <v>310</v>
      </c>
      <c r="H955" t="s">
        <v>45</v>
      </c>
      <c r="I955" t="s">
        <v>7793</v>
      </c>
    </row>
    <row r="956">
      <c r="A956" t="s">
        <v>2263</v>
      </c>
      <c r="B956" s="232" t="s">
        <v>2262</v>
      </c>
      <c r="C956" s="232">
        <v>4.0</v>
      </c>
      <c r="D956" s="232">
        <v>0.01</v>
      </c>
      <c r="E956" s="232">
        <v>0.0025</v>
      </c>
      <c r="F956" t="s">
        <v>7702</v>
      </c>
      <c r="G956" t="s">
        <v>330</v>
      </c>
      <c r="H956" t="s">
        <v>45</v>
      </c>
      <c r="I956" t="s">
        <v>7793</v>
      </c>
    </row>
    <row r="957">
      <c r="A957" t="s">
        <v>2265</v>
      </c>
      <c r="B957" s="232" t="s">
        <v>2264</v>
      </c>
      <c r="C957" s="232">
        <v>1.0</v>
      </c>
      <c r="D957" s="232">
        <v>0.01</v>
      </c>
      <c r="E957" s="232">
        <v>0.01</v>
      </c>
      <c r="F957" t="s">
        <v>7702</v>
      </c>
      <c r="G957" t="s">
        <v>330</v>
      </c>
      <c r="H957" t="s">
        <v>45</v>
      </c>
      <c r="I957" t="s">
        <v>7793</v>
      </c>
    </row>
    <row r="958">
      <c r="A958" t="s">
        <v>2267</v>
      </c>
      <c r="B958" s="232" t="s">
        <v>2266</v>
      </c>
      <c r="C958" s="232">
        <v>0.0</v>
      </c>
      <c r="D958" s="232">
        <v>0.0</v>
      </c>
      <c r="F958" t="s">
        <v>7702</v>
      </c>
      <c r="G958" t="s">
        <v>310</v>
      </c>
      <c r="H958" t="s">
        <v>45</v>
      </c>
      <c r="I958" t="s">
        <v>7793</v>
      </c>
    </row>
    <row r="959">
      <c r="A959" t="s">
        <v>2269</v>
      </c>
      <c r="B959" s="232" t="s">
        <v>2268</v>
      </c>
      <c r="C959" s="232">
        <v>26.0</v>
      </c>
      <c r="D959" s="232">
        <v>0.01</v>
      </c>
      <c r="E959" s="232">
        <v>4.0E-4</v>
      </c>
      <c r="F959" t="s">
        <v>7702</v>
      </c>
      <c r="G959" t="s">
        <v>330</v>
      </c>
      <c r="H959" t="s">
        <v>45</v>
      </c>
      <c r="I959" t="s">
        <v>7793</v>
      </c>
    </row>
    <row r="960">
      <c r="A960" t="s">
        <v>2271</v>
      </c>
      <c r="B960" s="232" t="s">
        <v>2270</v>
      </c>
      <c r="C960" s="232">
        <v>17.0</v>
      </c>
      <c r="D960" s="232">
        <v>0.01</v>
      </c>
      <c r="E960" s="232">
        <v>6.0E-4</v>
      </c>
      <c r="F960" t="s">
        <v>7702</v>
      </c>
      <c r="G960" t="s">
        <v>330</v>
      </c>
      <c r="H960" t="s">
        <v>45</v>
      </c>
      <c r="I960" t="s">
        <v>7793</v>
      </c>
    </row>
    <row r="961">
      <c r="A961" t="s">
        <v>2273</v>
      </c>
      <c r="B961" s="232" t="s">
        <v>2272</v>
      </c>
      <c r="C961" s="232">
        <v>0.0</v>
      </c>
      <c r="D961" s="232">
        <v>0.0</v>
      </c>
      <c r="F961" t="s">
        <v>7702</v>
      </c>
      <c r="G961" t="s">
        <v>310</v>
      </c>
      <c r="H961" t="s">
        <v>45</v>
      </c>
      <c r="I961" t="s">
        <v>7793</v>
      </c>
    </row>
    <row r="962">
      <c r="A962" t="s">
        <v>2275</v>
      </c>
      <c r="B962" s="232" t="s">
        <v>2274</v>
      </c>
      <c r="C962" s="232">
        <v>0.0</v>
      </c>
      <c r="D962" s="232">
        <v>0.0</v>
      </c>
      <c r="F962" t="s">
        <v>7702</v>
      </c>
      <c r="G962" t="s">
        <v>310</v>
      </c>
      <c r="H962" t="s">
        <v>45</v>
      </c>
      <c r="I962" t="s">
        <v>7793</v>
      </c>
    </row>
    <row r="963">
      <c r="A963" t="s">
        <v>2277</v>
      </c>
      <c r="B963" s="232" t="s">
        <v>2276</v>
      </c>
      <c r="C963" s="232">
        <v>2.0</v>
      </c>
      <c r="D963" s="232">
        <v>0.01</v>
      </c>
      <c r="E963" s="232">
        <v>0.005</v>
      </c>
      <c r="F963" t="s">
        <v>7702</v>
      </c>
      <c r="G963" t="s">
        <v>330</v>
      </c>
      <c r="H963" t="s">
        <v>45</v>
      </c>
      <c r="I963" t="s">
        <v>7793</v>
      </c>
    </row>
    <row r="964">
      <c r="A964" t="s">
        <v>2279</v>
      </c>
      <c r="B964" s="232" t="s">
        <v>2278</v>
      </c>
      <c r="C964" s="232">
        <v>0.0</v>
      </c>
      <c r="D964" s="232">
        <v>0.0</v>
      </c>
      <c r="F964" t="s">
        <v>7702</v>
      </c>
      <c r="G964" t="s">
        <v>310</v>
      </c>
      <c r="H964" t="s">
        <v>45</v>
      </c>
      <c r="I964" t="s">
        <v>7793</v>
      </c>
    </row>
    <row r="965">
      <c r="A965" t="s">
        <v>2281</v>
      </c>
      <c r="B965" s="232" t="s">
        <v>2280</v>
      </c>
      <c r="C965" s="232">
        <v>0.0</v>
      </c>
      <c r="D965" s="232">
        <v>0.0</v>
      </c>
      <c r="F965" t="s">
        <v>7702</v>
      </c>
      <c r="G965" t="s">
        <v>310</v>
      </c>
      <c r="H965" t="s">
        <v>45</v>
      </c>
      <c r="I965" t="s">
        <v>7793</v>
      </c>
    </row>
    <row r="966">
      <c r="A966" t="s">
        <v>2283</v>
      </c>
      <c r="B966" s="232" t="s">
        <v>2282</v>
      </c>
      <c r="C966" s="232">
        <v>0.0</v>
      </c>
      <c r="D966" s="232">
        <v>0.0</v>
      </c>
      <c r="F966" t="s">
        <v>7702</v>
      </c>
      <c r="G966" t="s">
        <v>310</v>
      </c>
      <c r="H966" t="s">
        <v>45</v>
      </c>
      <c r="I966" t="s">
        <v>7793</v>
      </c>
    </row>
    <row r="967">
      <c r="A967" t="s">
        <v>2285</v>
      </c>
      <c r="B967" s="232" t="s">
        <v>2284</v>
      </c>
      <c r="C967" s="232">
        <v>0.0</v>
      </c>
      <c r="D967" s="232">
        <v>0.0</v>
      </c>
      <c r="F967" t="s">
        <v>7702</v>
      </c>
      <c r="G967" t="s">
        <v>310</v>
      </c>
      <c r="H967" t="s">
        <v>45</v>
      </c>
      <c r="I967" t="s">
        <v>7793</v>
      </c>
    </row>
    <row r="968">
      <c r="A968" t="s">
        <v>2287</v>
      </c>
      <c r="B968" s="232" t="s">
        <v>2286</v>
      </c>
      <c r="C968" s="232">
        <v>0.0</v>
      </c>
      <c r="D968" s="232">
        <v>0.0</v>
      </c>
      <c r="F968" t="s">
        <v>7702</v>
      </c>
      <c r="G968" t="s">
        <v>310</v>
      </c>
      <c r="H968" t="s">
        <v>45</v>
      </c>
      <c r="I968" t="s">
        <v>7793</v>
      </c>
    </row>
    <row r="969">
      <c r="A969" t="s">
        <v>2289</v>
      </c>
      <c r="B969" s="232" t="s">
        <v>2288</v>
      </c>
      <c r="C969" s="232">
        <v>3.0</v>
      </c>
      <c r="D969" s="232">
        <v>0.0</v>
      </c>
      <c r="E969" s="232">
        <v>0.0</v>
      </c>
      <c r="F969" t="s">
        <v>7702</v>
      </c>
      <c r="G969" t="s">
        <v>330</v>
      </c>
      <c r="H969" t="s">
        <v>45</v>
      </c>
      <c r="I969" t="s">
        <v>7793</v>
      </c>
    </row>
    <row r="970">
      <c r="A970" t="s">
        <v>2291</v>
      </c>
      <c r="B970" s="232" t="s">
        <v>2290</v>
      </c>
      <c r="C970" s="232">
        <v>2.0</v>
      </c>
      <c r="D970" s="232">
        <v>0.01</v>
      </c>
      <c r="E970" s="232">
        <v>0.005</v>
      </c>
      <c r="F970" t="s">
        <v>7702</v>
      </c>
      <c r="G970" t="s">
        <v>330</v>
      </c>
      <c r="H970" t="s">
        <v>45</v>
      </c>
      <c r="I970" t="s">
        <v>7793</v>
      </c>
    </row>
    <row r="971">
      <c r="A971" t="s">
        <v>2293</v>
      </c>
      <c r="B971" s="232" t="s">
        <v>2292</v>
      </c>
      <c r="C971" s="232">
        <v>0.0</v>
      </c>
      <c r="D971" s="232">
        <v>0.0</v>
      </c>
      <c r="F971" t="s">
        <v>7702</v>
      </c>
      <c r="G971" t="s">
        <v>310</v>
      </c>
      <c r="H971" t="s">
        <v>45</v>
      </c>
      <c r="I971" t="s">
        <v>7793</v>
      </c>
    </row>
    <row r="972">
      <c r="A972" t="s">
        <v>2295</v>
      </c>
      <c r="B972" s="232" t="s">
        <v>2294</v>
      </c>
      <c r="C972" s="232">
        <v>0.0</v>
      </c>
      <c r="D972" s="232">
        <v>0.0</v>
      </c>
      <c r="F972" t="s">
        <v>7702</v>
      </c>
      <c r="G972" t="s">
        <v>310</v>
      </c>
      <c r="H972" t="s">
        <v>45</v>
      </c>
      <c r="I972" t="s">
        <v>7793</v>
      </c>
    </row>
    <row r="973">
      <c r="A973" t="s">
        <v>2297</v>
      </c>
      <c r="B973" s="232" t="s">
        <v>2296</v>
      </c>
      <c r="C973" s="232">
        <v>0.0</v>
      </c>
      <c r="D973" s="232">
        <v>0.0</v>
      </c>
      <c r="F973" t="s">
        <v>7702</v>
      </c>
      <c r="G973" t="s">
        <v>310</v>
      </c>
      <c r="H973" t="s">
        <v>45</v>
      </c>
      <c r="I973" t="s">
        <v>7793</v>
      </c>
    </row>
    <row r="974">
      <c r="A974" t="s">
        <v>2299</v>
      </c>
      <c r="B974" s="232" t="s">
        <v>2298</v>
      </c>
      <c r="C974" s="232">
        <v>1.0</v>
      </c>
      <c r="D974" s="232">
        <v>0.0</v>
      </c>
      <c r="E974" s="232">
        <v>0.0</v>
      </c>
      <c r="F974" t="s">
        <v>7702</v>
      </c>
      <c r="G974" t="s">
        <v>330</v>
      </c>
      <c r="H974" t="s">
        <v>45</v>
      </c>
      <c r="I974" t="s">
        <v>7793</v>
      </c>
    </row>
    <row r="975">
      <c r="A975" t="s">
        <v>2301</v>
      </c>
      <c r="B975" s="232" t="s">
        <v>2300</v>
      </c>
      <c r="C975" s="232">
        <v>0.0</v>
      </c>
      <c r="D975" s="232">
        <v>0.0</v>
      </c>
      <c r="F975" t="s">
        <v>7702</v>
      </c>
      <c r="G975" t="s">
        <v>310</v>
      </c>
      <c r="H975" t="s">
        <v>45</v>
      </c>
      <c r="I975" t="s">
        <v>7793</v>
      </c>
    </row>
    <row r="976">
      <c r="A976" t="s">
        <v>2303</v>
      </c>
      <c r="B976" s="232" t="s">
        <v>2302</v>
      </c>
      <c r="C976" s="232">
        <v>0.0</v>
      </c>
      <c r="D976" s="232">
        <v>0.0</v>
      </c>
      <c r="F976" t="s">
        <v>7702</v>
      </c>
      <c r="G976" t="s">
        <v>310</v>
      </c>
      <c r="H976" t="s">
        <v>45</v>
      </c>
      <c r="I976" t="s">
        <v>7793</v>
      </c>
    </row>
    <row r="977">
      <c r="A977" t="s">
        <v>2305</v>
      </c>
      <c r="B977" s="232" t="s">
        <v>2304</v>
      </c>
      <c r="C977" s="232">
        <v>0.0</v>
      </c>
      <c r="D977" s="232">
        <v>0.0</v>
      </c>
      <c r="F977" t="s">
        <v>7702</v>
      </c>
      <c r="G977" t="s">
        <v>310</v>
      </c>
      <c r="H977" t="s">
        <v>45</v>
      </c>
      <c r="I977" t="s">
        <v>7793</v>
      </c>
    </row>
    <row r="978">
      <c r="A978" t="s">
        <v>2307</v>
      </c>
      <c r="B978" s="232" t="s">
        <v>2306</v>
      </c>
      <c r="C978" s="232">
        <v>2.0</v>
      </c>
      <c r="D978" s="232">
        <v>0.01</v>
      </c>
      <c r="E978" s="232">
        <v>0.005</v>
      </c>
      <c r="F978" t="s">
        <v>7702</v>
      </c>
      <c r="G978" t="s">
        <v>330</v>
      </c>
      <c r="H978" t="s">
        <v>45</v>
      </c>
      <c r="I978" t="s">
        <v>7793</v>
      </c>
    </row>
    <row r="979">
      <c r="A979" t="s">
        <v>2309</v>
      </c>
      <c r="B979" s="232" t="s">
        <v>2308</v>
      </c>
      <c r="C979" s="232">
        <v>9.0</v>
      </c>
      <c r="D979" s="232">
        <v>0.01</v>
      </c>
      <c r="E979" s="232">
        <v>0.0011</v>
      </c>
      <c r="F979" t="s">
        <v>7702</v>
      </c>
      <c r="G979" t="s">
        <v>330</v>
      </c>
      <c r="H979" t="s">
        <v>45</v>
      </c>
      <c r="I979" t="s">
        <v>7793</v>
      </c>
    </row>
    <row r="980">
      <c r="A980" t="s">
        <v>2311</v>
      </c>
      <c r="B980" s="232" t="s">
        <v>2310</v>
      </c>
      <c r="C980" s="232">
        <v>6.0</v>
      </c>
      <c r="D980" s="232">
        <v>0.01</v>
      </c>
      <c r="E980" s="232">
        <v>0.0017</v>
      </c>
      <c r="F980" t="s">
        <v>7702</v>
      </c>
      <c r="G980" t="s">
        <v>330</v>
      </c>
      <c r="H980" t="s">
        <v>45</v>
      </c>
      <c r="I980" t="s">
        <v>7793</v>
      </c>
    </row>
    <row r="981">
      <c r="A981" t="s">
        <v>2313</v>
      </c>
      <c r="B981" s="232" t="s">
        <v>2312</v>
      </c>
      <c r="C981" s="232">
        <v>0.0</v>
      </c>
      <c r="D981" s="232">
        <v>0.0</v>
      </c>
      <c r="F981" t="s">
        <v>7702</v>
      </c>
      <c r="G981" t="s">
        <v>310</v>
      </c>
      <c r="H981" t="s">
        <v>45</v>
      </c>
      <c r="I981" t="s">
        <v>7793</v>
      </c>
    </row>
    <row r="982">
      <c r="A982" t="s">
        <v>2315</v>
      </c>
      <c r="B982" s="232" t="s">
        <v>2314</v>
      </c>
      <c r="C982" s="232">
        <v>0.0</v>
      </c>
      <c r="D982" s="232">
        <v>0.0</v>
      </c>
      <c r="F982" t="s">
        <v>7702</v>
      </c>
      <c r="G982" t="s">
        <v>310</v>
      </c>
      <c r="H982" t="s">
        <v>45</v>
      </c>
      <c r="I982" t="s">
        <v>7793</v>
      </c>
    </row>
    <row r="983">
      <c r="A983" t="s">
        <v>2317</v>
      </c>
      <c r="B983" s="232" t="s">
        <v>2316</v>
      </c>
      <c r="C983" s="232">
        <v>0.0</v>
      </c>
      <c r="D983" s="232">
        <v>0.0</v>
      </c>
      <c r="F983" t="s">
        <v>7702</v>
      </c>
      <c r="G983" t="s">
        <v>310</v>
      </c>
      <c r="H983" t="s">
        <v>45</v>
      </c>
      <c r="I983" t="s">
        <v>7793</v>
      </c>
    </row>
    <row r="984">
      <c r="A984" t="s">
        <v>2319</v>
      </c>
      <c r="B984" s="232" t="s">
        <v>2318</v>
      </c>
      <c r="C984" s="232">
        <v>0.0</v>
      </c>
      <c r="D984" s="232">
        <v>0.0</v>
      </c>
      <c r="F984" t="s">
        <v>7702</v>
      </c>
      <c r="G984" t="s">
        <v>310</v>
      </c>
      <c r="H984" t="s">
        <v>45</v>
      </c>
      <c r="I984" t="s">
        <v>7793</v>
      </c>
    </row>
    <row r="985">
      <c r="A985" t="s">
        <v>2321</v>
      </c>
      <c r="B985" s="232" t="s">
        <v>2320</v>
      </c>
      <c r="C985" s="232">
        <v>0.0</v>
      </c>
      <c r="D985" s="232">
        <v>0.0</v>
      </c>
      <c r="F985" t="s">
        <v>7702</v>
      </c>
      <c r="G985" t="s">
        <v>310</v>
      </c>
      <c r="H985" t="s">
        <v>45</v>
      </c>
      <c r="I985" t="s">
        <v>7793</v>
      </c>
    </row>
    <row r="986">
      <c r="A986" t="s">
        <v>2323</v>
      </c>
      <c r="B986" s="232" t="s">
        <v>2322</v>
      </c>
      <c r="C986" s="232">
        <v>2.0</v>
      </c>
      <c r="D986" s="232">
        <v>0.01</v>
      </c>
      <c r="E986" s="232">
        <v>0.005</v>
      </c>
      <c r="F986" t="s">
        <v>7702</v>
      </c>
      <c r="G986" t="s">
        <v>330</v>
      </c>
      <c r="H986" t="s">
        <v>45</v>
      </c>
      <c r="I986" t="s">
        <v>7793</v>
      </c>
    </row>
    <row r="987">
      <c r="A987" t="s">
        <v>2325</v>
      </c>
      <c r="B987" s="232" t="s">
        <v>2324</v>
      </c>
      <c r="C987" s="232">
        <v>4.0</v>
      </c>
      <c r="D987" s="232">
        <v>0.0</v>
      </c>
      <c r="E987" s="232">
        <v>0.0</v>
      </c>
      <c r="F987" t="s">
        <v>7702</v>
      </c>
      <c r="G987" t="s">
        <v>330</v>
      </c>
      <c r="H987" t="s">
        <v>45</v>
      </c>
      <c r="I987" t="s">
        <v>7793</v>
      </c>
    </row>
    <row r="988">
      <c r="A988" t="s">
        <v>2327</v>
      </c>
      <c r="B988" s="232" t="s">
        <v>2326</v>
      </c>
      <c r="C988" s="232">
        <v>6.0</v>
      </c>
      <c r="D988" s="232">
        <v>0.01</v>
      </c>
      <c r="E988" s="232">
        <v>0.0017</v>
      </c>
      <c r="F988" t="s">
        <v>7702</v>
      </c>
      <c r="G988" t="s">
        <v>330</v>
      </c>
      <c r="H988" t="s">
        <v>45</v>
      </c>
      <c r="I988" t="s">
        <v>7793</v>
      </c>
    </row>
    <row r="989">
      <c r="A989" t="s">
        <v>2329</v>
      </c>
      <c r="B989" s="232" t="s">
        <v>2328</v>
      </c>
      <c r="C989" s="232">
        <v>9.0</v>
      </c>
      <c r="D989" s="232">
        <v>0.0</v>
      </c>
      <c r="E989" s="232">
        <v>0.0</v>
      </c>
      <c r="F989" t="s">
        <v>7702</v>
      </c>
      <c r="G989" t="s">
        <v>330</v>
      </c>
      <c r="H989" t="s">
        <v>45</v>
      </c>
      <c r="I989" t="s">
        <v>7793</v>
      </c>
    </row>
    <row r="990">
      <c r="A990" t="s">
        <v>2331</v>
      </c>
      <c r="B990" s="232" t="s">
        <v>2330</v>
      </c>
      <c r="C990" s="232">
        <v>0.0</v>
      </c>
      <c r="D990" s="232">
        <v>0.0</v>
      </c>
      <c r="F990" t="s">
        <v>7702</v>
      </c>
      <c r="G990" t="s">
        <v>310</v>
      </c>
      <c r="H990" t="s">
        <v>45</v>
      </c>
      <c r="I990" t="s">
        <v>7793</v>
      </c>
    </row>
    <row r="991">
      <c r="A991" t="s">
        <v>2333</v>
      </c>
      <c r="B991" s="232" t="s">
        <v>2332</v>
      </c>
      <c r="C991" s="232">
        <v>0.0</v>
      </c>
      <c r="D991" s="232">
        <v>0.0</v>
      </c>
      <c r="F991" t="s">
        <v>7702</v>
      </c>
      <c r="G991" t="s">
        <v>310</v>
      </c>
      <c r="H991" t="s">
        <v>45</v>
      </c>
      <c r="I991" t="s">
        <v>7793</v>
      </c>
    </row>
    <row r="992">
      <c r="A992" t="s">
        <v>2335</v>
      </c>
      <c r="B992" s="232" t="s">
        <v>2334</v>
      </c>
      <c r="C992" s="232">
        <v>0.0</v>
      </c>
      <c r="D992" s="232">
        <v>0.0</v>
      </c>
      <c r="F992" t="s">
        <v>7702</v>
      </c>
      <c r="G992" t="s">
        <v>310</v>
      </c>
      <c r="H992" t="s">
        <v>7703</v>
      </c>
      <c r="I992" t="s">
        <v>7713</v>
      </c>
    </row>
    <row r="993">
      <c r="A993" t="s">
        <v>2337</v>
      </c>
      <c r="B993" s="232" t="s">
        <v>2336</v>
      </c>
      <c r="C993" s="232">
        <v>0.0</v>
      </c>
      <c r="D993" s="232">
        <v>0.0</v>
      </c>
      <c r="F993" t="s">
        <v>7702</v>
      </c>
      <c r="G993" t="s">
        <v>310</v>
      </c>
      <c r="H993" t="s">
        <v>7703</v>
      </c>
      <c r="I993" t="s">
        <v>7713</v>
      </c>
    </row>
    <row r="994">
      <c r="A994" t="s">
        <v>2339</v>
      </c>
      <c r="B994" s="232" t="s">
        <v>2338</v>
      </c>
      <c r="C994" s="232">
        <v>0.0</v>
      </c>
      <c r="D994" s="232">
        <v>0.0</v>
      </c>
      <c r="F994" t="s">
        <v>7702</v>
      </c>
      <c r="G994" t="s">
        <v>310</v>
      </c>
      <c r="H994" t="s">
        <v>7703</v>
      </c>
      <c r="I994" t="s">
        <v>7713</v>
      </c>
    </row>
    <row r="995">
      <c r="A995" t="s">
        <v>2341</v>
      </c>
      <c r="B995" s="232" t="s">
        <v>2340</v>
      </c>
      <c r="C995" s="232">
        <v>0.0</v>
      </c>
      <c r="D995" s="232">
        <v>0.0</v>
      </c>
      <c r="F995" t="s">
        <v>7702</v>
      </c>
      <c r="G995" t="s">
        <v>310</v>
      </c>
      <c r="H995" t="s">
        <v>7703</v>
      </c>
      <c r="I995" t="s">
        <v>7713</v>
      </c>
    </row>
    <row r="996">
      <c r="A996" t="s">
        <v>2343</v>
      </c>
      <c r="B996" s="232" t="s">
        <v>2342</v>
      </c>
      <c r="C996" s="232">
        <v>0.0</v>
      </c>
      <c r="D996" s="232">
        <v>0.0</v>
      </c>
      <c r="F996" t="s">
        <v>7702</v>
      </c>
      <c r="G996" t="s">
        <v>310</v>
      </c>
      <c r="H996" t="s">
        <v>7703</v>
      </c>
      <c r="I996" t="s">
        <v>7746</v>
      </c>
    </row>
    <row r="997">
      <c r="A997" t="s">
        <v>2345</v>
      </c>
      <c r="B997" s="232" t="s">
        <v>2344</v>
      </c>
      <c r="C997" s="232">
        <v>36.0</v>
      </c>
      <c r="D997" s="232">
        <v>485.64</v>
      </c>
      <c r="E997" s="232">
        <v>13.49</v>
      </c>
      <c r="F997" t="s">
        <v>7702</v>
      </c>
      <c r="G997" t="s">
        <v>330</v>
      </c>
      <c r="I997" t="s">
        <v>7714</v>
      </c>
    </row>
    <row r="998">
      <c r="A998" t="s">
        <v>2347</v>
      </c>
      <c r="B998" s="232" t="s">
        <v>2346</v>
      </c>
      <c r="C998" s="232">
        <v>1089.0</v>
      </c>
      <c r="D998" s="232">
        <v>1359.61</v>
      </c>
      <c r="E998" s="232">
        <v>1.2485</v>
      </c>
      <c r="F998" t="s">
        <v>7702</v>
      </c>
      <c r="G998" t="s">
        <v>310</v>
      </c>
      <c r="H998" t="s">
        <v>7725</v>
      </c>
      <c r="I998" t="s">
        <v>7714</v>
      </c>
    </row>
    <row r="999">
      <c r="A999" t="s">
        <v>2349</v>
      </c>
      <c r="B999" s="232" t="s">
        <v>2348</v>
      </c>
      <c r="C999" s="232">
        <v>64.0</v>
      </c>
      <c r="D999" s="232">
        <v>863.36</v>
      </c>
      <c r="E999" s="232">
        <v>13.49</v>
      </c>
      <c r="F999" t="s">
        <v>7702</v>
      </c>
      <c r="G999" t="s">
        <v>330</v>
      </c>
      <c r="I999" t="s">
        <v>7714</v>
      </c>
    </row>
    <row r="1000">
      <c r="A1000" t="s">
        <v>2351</v>
      </c>
      <c r="B1000" s="232" t="s">
        <v>2350</v>
      </c>
      <c r="C1000" s="232">
        <v>0.0</v>
      </c>
      <c r="D1000" s="232">
        <v>0.0</v>
      </c>
      <c r="F1000" t="s">
        <v>7702</v>
      </c>
      <c r="G1000" t="s">
        <v>310</v>
      </c>
      <c r="H1000" t="s">
        <v>45</v>
      </c>
      <c r="I1000" t="s">
        <v>7721</v>
      </c>
    </row>
    <row r="1001">
      <c r="A1001" t="s">
        <v>2353</v>
      </c>
      <c r="B1001" s="232" t="s">
        <v>2352</v>
      </c>
      <c r="C1001" s="232">
        <v>0.0</v>
      </c>
      <c r="D1001" s="232">
        <v>0.0</v>
      </c>
      <c r="F1001" t="s">
        <v>7702</v>
      </c>
      <c r="G1001" t="s">
        <v>310</v>
      </c>
      <c r="H1001" t="s">
        <v>45</v>
      </c>
      <c r="I1001" t="s">
        <v>7721</v>
      </c>
    </row>
    <row r="1002">
      <c r="A1002" t="s">
        <v>2355</v>
      </c>
      <c r="B1002" s="232" t="s">
        <v>2354</v>
      </c>
      <c r="C1002" s="232">
        <v>228.0</v>
      </c>
      <c r="D1002" s="232">
        <v>153.85</v>
      </c>
      <c r="E1002" s="232">
        <v>0.6748</v>
      </c>
      <c r="F1002" t="s">
        <v>7702</v>
      </c>
      <c r="G1002" t="s">
        <v>330</v>
      </c>
      <c r="H1002" t="s">
        <v>45</v>
      </c>
      <c r="I1002" t="s">
        <v>7721</v>
      </c>
    </row>
    <row r="1003">
      <c r="A1003" t="s">
        <v>2357</v>
      </c>
      <c r="B1003" s="232" t="s">
        <v>2356</v>
      </c>
      <c r="C1003" s="232">
        <v>60.0</v>
      </c>
      <c r="D1003" s="232">
        <v>40.12</v>
      </c>
      <c r="E1003" s="232">
        <v>0.6687</v>
      </c>
      <c r="F1003" t="s">
        <v>7702</v>
      </c>
      <c r="G1003" t="s">
        <v>330</v>
      </c>
      <c r="H1003" t="s">
        <v>45</v>
      </c>
      <c r="I1003" t="s">
        <v>7721</v>
      </c>
    </row>
    <row r="1004">
      <c r="A1004" t="s">
        <v>2359</v>
      </c>
      <c r="B1004" s="232" t="s">
        <v>2358</v>
      </c>
      <c r="C1004" s="232">
        <v>0.0</v>
      </c>
      <c r="D1004" s="232">
        <v>0.0</v>
      </c>
      <c r="F1004" t="s">
        <v>7702</v>
      </c>
      <c r="G1004" t="s">
        <v>310</v>
      </c>
      <c r="H1004" t="s">
        <v>45</v>
      </c>
      <c r="I1004" t="s">
        <v>7721</v>
      </c>
    </row>
    <row r="1005">
      <c r="A1005" t="s">
        <v>2361</v>
      </c>
      <c r="B1005" s="232" t="s">
        <v>2360</v>
      </c>
      <c r="C1005" s="232">
        <v>90.0</v>
      </c>
      <c r="D1005" s="232">
        <v>60.5</v>
      </c>
      <c r="E1005" s="232">
        <v>0.6722</v>
      </c>
      <c r="F1005" t="s">
        <v>7702</v>
      </c>
      <c r="G1005" t="s">
        <v>330</v>
      </c>
      <c r="H1005" t="s">
        <v>45</v>
      </c>
      <c r="I1005" t="s">
        <v>7721</v>
      </c>
    </row>
    <row r="1006">
      <c r="A1006" t="s">
        <v>2363</v>
      </c>
      <c r="B1006" s="232" t="s">
        <v>2362</v>
      </c>
      <c r="C1006" s="232">
        <v>0.0</v>
      </c>
      <c r="D1006" s="232">
        <v>0.0</v>
      </c>
      <c r="F1006" t="s">
        <v>7702</v>
      </c>
      <c r="G1006" t="s">
        <v>310</v>
      </c>
      <c r="H1006" t="s">
        <v>45</v>
      </c>
      <c r="I1006" t="s">
        <v>7721</v>
      </c>
    </row>
    <row r="1007">
      <c r="A1007" t="s">
        <v>2365</v>
      </c>
      <c r="B1007" s="232" t="s">
        <v>2364</v>
      </c>
      <c r="C1007" s="232">
        <v>330.0</v>
      </c>
      <c r="D1007" s="232">
        <v>222.84</v>
      </c>
      <c r="E1007" s="232">
        <v>0.6753</v>
      </c>
      <c r="F1007" t="s">
        <v>7702</v>
      </c>
      <c r="G1007" t="s">
        <v>330</v>
      </c>
      <c r="H1007" t="s">
        <v>45</v>
      </c>
      <c r="I1007" t="s">
        <v>7721</v>
      </c>
    </row>
    <row r="1008">
      <c r="A1008" t="s">
        <v>2367</v>
      </c>
      <c r="B1008" s="232" t="s">
        <v>2366</v>
      </c>
      <c r="C1008" s="232">
        <v>30.0</v>
      </c>
      <c r="D1008" s="232">
        <v>19.9</v>
      </c>
      <c r="E1008" s="232">
        <v>0.6633</v>
      </c>
      <c r="F1008" t="s">
        <v>7702</v>
      </c>
      <c r="G1008" t="s">
        <v>330</v>
      </c>
      <c r="H1008" t="s">
        <v>45</v>
      </c>
      <c r="I1008" t="s">
        <v>7721</v>
      </c>
    </row>
    <row r="1009">
      <c r="A1009" t="s">
        <v>2369</v>
      </c>
      <c r="B1009" s="232" t="s">
        <v>2368</v>
      </c>
      <c r="C1009" s="232">
        <v>1.0</v>
      </c>
      <c r="D1009" s="232">
        <v>59.68</v>
      </c>
      <c r="E1009" s="232">
        <v>59.68</v>
      </c>
      <c r="F1009" t="s">
        <v>7711</v>
      </c>
      <c r="G1009" t="s">
        <v>310</v>
      </c>
      <c r="H1009" t="s">
        <v>45</v>
      </c>
      <c r="I1009" t="s">
        <v>7721</v>
      </c>
    </row>
    <row r="1010">
      <c r="A1010" t="s">
        <v>2371</v>
      </c>
      <c r="B1010" s="232" t="s">
        <v>2370</v>
      </c>
      <c r="C1010" s="232">
        <v>835.0</v>
      </c>
      <c r="D1010" s="232">
        <v>842.44</v>
      </c>
      <c r="E1010" s="232">
        <v>1.0089</v>
      </c>
      <c r="F1010" t="s">
        <v>7702</v>
      </c>
      <c r="G1010" t="s">
        <v>330</v>
      </c>
      <c r="H1010" t="s">
        <v>7794</v>
      </c>
      <c r="I1010" t="s">
        <v>7742</v>
      </c>
    </row>
    <row r="1011">
      <c r="A1011" t="s">
        <v>2373</v>
      </c>
      <c r="B1011" s="232" t="s">
        <v>2372</v>
      </c>
      <c r="C1011" s="232">
        <v>840.0</v>
      </c>
      <c r="D1011" s="232">
        <v>847.47</v>
      </c>
      <c r="E1011" s="232">
        <v>1.0089</v>
      </c>
      <c r="F1011" t="s">
        <v>7702</v>
      </c>
      <c r="G1011" t="s">
        <v>330</v>
      </c>
      <c r="H1011" t="s">
        <v>7794</v>
      </c>
      <c r="I1011" t="s">
        <v>7742</v>
      </c>
    </row>
    <row r="1012">
      <c r="A1012" t="s">
        <v>2375</v>
      </c>
      <c r="B1012" s="232" t="s">
        <v>2374</v>
      </c>
      <c r="C1012" s="232">
        <v>785.0</v>
      </c>
      <c r="D1012" s="232">
        <v>791.93</v>
      </c>
      <c r="E1012" s="232">
        <v>1.0088</v>
      </c>
      <c r="F1012" t="s">
        <v>7702</v>
      </c>
      <c r="G1012" t="s">
        <v>330</v>
      </c>
      <c r="H1012" t="s">
        <v>7794</v>
      </c>
      <c r="I1012" t="s">
        <v>7742</v>
      </c>
    </row>
    <row r="1013">
      <c r="A1013" t="s">
        <v>2377</v>
      </c>
      <c r="B1013" s="232" t="s">
        <v>2376</v>
      </c>
      <c r="C1013" s="232">
        <v>799.0</v>
      </c>
      <c r="D1013" s="232">
        <v>806.06</v>
      </c>
      <c r="E1013" s="232">
        <v>1.0088</v>
      </c>
      <c r="F1013" t="s">
        <v>7702</v>
      </c>
      <c r="G1013" t="s">
        <v>330</v>
      </c>
      <c r="H1013" t="s">
        <v>7794</v>
      </c>
      <c r="I1013" t="s">
        <v>7742</v>
      </c>
    </row>
    <row r="1014">
      <c r="A1014" t="s">
        <v>2379</v>
      </c>
      <c r="B1014" s="232" t="s">
        <v>2378</v>
      </c>
      <c r="C1014" s="232">
        <v>821.0</v>
      </c>
      <c r="D1014" s="232">
        <v>828.27</v>
      </c>
      <c r="E1014" s="232">
        <v>1.0089</v>
      </c>
      <c r="F1014" t="s">
        <v>7702</v>
      </c>
      <c r="G1014" t="s">
        <v>330</v>
      </c>
      <c r="H1014" t="s">
        <v>7794</v>
      </c>
      <c r="I1014" t="s">
        <v>7742</v>
      </c>
    </row>
    <row r="1015">
      <c r="A1015" t="s">
        <v>2381</v>
      </c>
      <c r="B1015" s="232" t="s">
        <v>2380</v>
      </c>
      <c r="C1015" s="232">
        <v>845.0</v>
      </c>
      <c r="D1015" s="232">
        <v>852.52</v>
      </c>
      <c r="E1015" s="232">
        <v>1.0089</v>
      </c>
      <c r="F1015" t="s">
        <v>7702</v>
      </c>
      <c r="G1015" t="s">
        <v>330</v>
      </c>
      <c r="H1015" t="s">
        <v>7794</v>
      </c>
      <c r="I1015" t="s">
        <v>7742</v>
      </c>
    </row>
    <row r="1016">
      <c r="A1016" t="s">
        <v>2383</v>
      </c>
      <c r="B1016" s="232" t="s">
        <v>2382</v>
      </c>
      <c r="C1016" s="232">
        <v>931.0</v>
      </c>
      <c r="D1016" s="232">
        <v>939.32</v>
      </c>
      <c r="E1016" s="232">
        <v>1.0089</v>
      </c>
      <c r="F1016" t="s">
        <v>7702</v>
      </c>
      <c r="G1016" t="s">
        <v>330</v>
      </c>
      <c r="H1016" t="s">
        <v>7794</v>
      </c>
      <c r="I1016" t="s">
        <v>7742</v>
      </c>
    </row>
    <row r="1017">
      <c r="A1017" t="s">
        <v>2385</v>
      </c>
      <c r="B1017" s="232" t="s">
        <v>2384</v>
      </c>
      <c r="C1017" s="232">
        <v>17.0</v>
      </c>
      <c r="D1017" s="232">
        <v>72.63</v>
      </c>
      <c r="E1017" s="232">
        <v>4.2724</v>
      </c>
      <c r="F1017" t="s">
        <v>7702</v>
      </c>
      <c r="G1017" t="s">
        <v>330</v>
      </c>
      <c r="I1017" t="s">
        <v>7714</v>
      </c>
    </row>
    <row r="1018">
      <c r="A1018" t="s">
        <v>2387</v>
      </c>
      <c r="B1018" s="232" t="s">
        <v>2386</v>
      </c>
      <c r="C1018" s="232">
        <v>5.0</v>
      </c>
      <c r="D1018" s="232">
        <v>162.91</v>
      </c>
      <c r="E1018" s="232">
        <v>32.582</v>
      </c>
      <c r="F1018" t="s">
        <v>7702</v>
      </c>
      <c r="G1018" t="s">
        <v>330</v>
      </c>
      <c r="H1018" t="s">
        <v>7794</v>
      </c>
      <c r="I1018" t="s">
        <v>7742</v>
      </c>
    </row>
    <row r="1019">
      <c r="A1019" t="s">
        <v>2389</v>
      </c>
      <c r="B1019" s="232" t="s">
        <v>2388</v>
      </c>
      <c r="C1019" s="232">
        <v>162.0</v>
      </c>
      <c r="D1019" s="232">
        <v>16.2</v>
      </c>
      <c r="E1019" s="232">
        <v>0.1</v>
      </c>
      <c r="F1019" t="s">
        <v>7732</v>
      </c>
      <c r="G1019" t="s">
        <v>330</v>
      </c>
      <c r="H1019" t="s">
        <v>7747</v>
      </c>
    </row>
    <row r="1020">
      <c r="A1020" t="s">
        <v>2391</v>
      </c>
      <c r="B1020" s="232" t="s">
        <v>2390</v>
      </c>
      <c r="C1020" s="232">
        <v>0.0</v>
      </c>
      <c r="D1020" s="232">
        <v>0.0</v>
      </c>
      <c r="F1020" t="s">
        <v>7702</v>
      </c>
      <c r="G1020" t="s">
        <v>330</v>
      </c>
      <c r="H1020" t="s">
        <v>45</v>
      </c>
    </row>
    <row r="1021">
      <c r="A1021" t="s">
        <v>2392</v>
      </c>
      <c r="B1021" s="232">
        <v>26414.0</v>
      </c>
      <c r="C1021" s="232">
        <v>0.0</v>
      </c>
      <c r="D1021" s="232">
        <v>0.0</v>
      </c>
      <c r="F1021" t="s">
        <v>7702</v>
      </c>
      <c r="G1021" t="s">
        <v>310</v>
      </c>
      <c r="H1021" t="s">
        <v>7703</v>
      </c>
      <c r="I1021" t="s">
        <v>7786</v>
      </c>
    </row>
    <row r="1022">
      <c r="A1022" t="s">
        <v>2393</v>
      </c>
      <c r="B1022" s="232">
        <v>30049.0</v>
      </c>
      <c r="C1022" s="232">
        <v>0.0</v>
      </c>
      <c r="D1022" s="232">
        <v>0.0</v>
      </c>
      <c r="F1022" t="s">
        <v>7702</v>
      </c>
      <c r="G1022" t="s">
        <v>310</v>
      </c>
      <c r="H1022" t="s">
        <v>7703</v>
      </c>
      <c r="I1022" t="s">
        <v>7786</v>
      </c>
    </row>
    <row r="1023">
      <c r="A1023" t="s">
        <v>2397</v>
      </c>
      <c r="B1023" s="232" t="s">
        <v>2396</v>
      </c>
      <c r="C1023" s="232">
        <v>0.0</v>
      </c>
      <c r="D1023" s="232">
        <v>0.0</v>
      </c>
      <c r="F1023" t="s">
        <v>7702</v>
      </c>
      <c r="G1023" t="s">
        <v>310</v>
      </c>
      <c r="H1023" t="s">
        <v>7703</v>
      </c>
      <c r="I1023" t="s">
        <v>7772</v>
      </c>
    </row>
    <row r="1024">
      <c r="A1024" t="s">
        <v>2399</v>
      </c>
      <c r="B1024" s="232" t="s">
        <v>2398</v>
      </c>
      <c r="C1024" s="232">
        <v>0.0</v>
      </c>
      <c r="D1024" s="232">
        <v>0.0</v>
      </c>
      <c r="F1024" t="s">
        <v>7702</v>
      </c>
      <c r="G1024" t="s">
        <v>310</v>
      </c>
      <c r="H1024" t="s">
        <v>7703</v>
      </c>
      <c r="I1024" t="s">
        <v>7708</v>
      </c>
    </row>
    <row r="1025">
      <c r="A1025" t="s">
        <v>2401</v>
      </c>
      <c r="B1025" s="232" t="s">
        <v>2400</v>
      </c>
      <c r="C1025" s="232">
        <v>0.0</v>
      </c>
      <c r="D1025" s="232">
        <v>0.0</v>
      </c>
      <c r="F1025" t="s">
        <v>7711</v>
      </c>
      <c r="G1025" t="s">
        <v>310</v>
      </c>
      <c r="H1025" t="s">
        <v>45</v>
      </c>
      <c r="I1025" t="s">
        <v>7749</v>
      </c>
    </row>
    <row r="1026">
      <c r="A1026" t="s">
        <v>2403</v>
      </c>
      <c r="B1026" s="232" t="s">
        <v>2402</v>
      </c>
      <c r="C1026" s="232">
        <v>0.0</v>
      </c>
      <c r="D1026" s="232">
        <v>0.0</v>
      </c>
      <c r="F1026" t="s">
        <v>7711</v>
      </c>
      <c r="G1026" t="s">
        <v>310</v>
      </c>
      <c r="H1026" t="s">
        <v>45</v>
      </c>
      <c r="I1026" t="s">
        <v>7795</v>
      </c>
    </row>
    <row r="1027">
      <c r="A1027" t="s">
        <v>2405</v>
      </c>
      <c r="B1027" s="232" t="s">
        <v>2404</v>
      </c>
      <c r="C1027" s="232">
        <v>0.0</v>
      </c>
      <c r="D1027" s="232">
        <v>0.0</v>
      </c>
      <c r="F1027" t="s">
        <v>7702</v>
      </c>
      <c r="G1027" t="s">
        <v>310</v>
      </c>
      <c r="H1027" t="s">
        <v>45</v>
      </c>
      <c r="I1027" t="s">
        <v>7719</v>
      </c>
    </row>
    <row r="1028">
      <c r="A1028" t="s">
        <v>2407</v>
      </c>
      <c r="B1028" s="232" t="s">
        <v>2406</v>
      </c>
      <c r="C1028" s="232">
        <v>0.0</v>
      </c>
      <c r="D1028" s="232">
        <v>0.0</v>
      </c>
      <c r="F1028" t="s">
        <v>7702</v>
      </c>
      <c r="G1028" t="s">
        <v>310</v>
      </c>
      <c r="H1028" t="s">
        <v>7703</v>
      </c>
      <c r="I1028" t="s">
        <v>7749</v>
      </c>
    </row>
    <row r="1029">
      <c r="A1029" t="s">
        <v>2409</v>
      </c>
      <c r="B1029" s="232" t="s">
        <v>2408</v>
      </c>
      <c r="C1029" s="232">
        <v>0.0</v>
      </c>
      <c r="D1029" s="232">
        <v>0.0</v>
      </c>
      <c r="F1029" t="s">
        <v>7702</v>
      </c>
      <c r="G1029" t="s">
        <v>310</v>
      </c>
      <c r="H1029" t="s">
        <v>7703</v>
      </c>
      <c r="I1029" t="s">
        <v>7749</v>
      </c>
    </row>
    <row r="1030">
      <c r="A1030" t="s">
        <v>2411</v>
      </c>
      <c r="B1030" s="232" t="s">
        <v>2410</v>
      </c>
      <c r="C1030" s="232">
        <v>0.0</v>
      </c>
      <c r="D1030" s="232">
        <v>0.0</v>
      </c>
      <c r="F1030" t="s">
        <v>7702</v>
      </c>
      <c r="G1030" t="s">
        <v>310</v>
      </c>
      <c r="H1030" t="s">
        <v>7703</v>
      </c>
      <c r="I1030" t="s">
        <v>7749</v>
      </c>
    </row>
    <row r="1031">
      <c r="A1031" t="s">
        <v>2413</v>
      </c>
      <c r="B1031" s="232" t="s">
        <v>2412</v>
      </c>
      <c r="C1031" s="232">
        <v>0.0</v>
      </c>
      <c r="D1031" s="232">
        <v>0.0</v>
      </c>
      <c r="F1031" t="s">
        <v>7702</v>
      </c>
      <c r="G1031" t="s">
        <v>310</v>
      </c>
      <c r="H1031" t="s">
        <v>7703</v>
      </c>
      <c r="I1031" t="s">
        <v>7749</v>
      </c>
    </row>
    <row r="1032">
      <c r="A1032" t="s">
        <v>2415</v>
      </c>
      <c r="B1032" s="232" t="s">
        <v>2414</v>
      </c>
      <c r="C1032" s="232">
        <v>0.0</v>
      </c>
      <c r="D1032" s="232">
        <v>0.0</v>
      </c>
      <c r="F1032" t="s">
        <v>7702</v>
      </c>
      <c r="G1032" t="s">
        <v>310</v>
      </c>
      <c r="H1032" t="s">
        <v>7703</v>
      </c>
      <c r="I1032" t="s">
        <v>7749</v>
      </c>
    </row>
    <row r="1033">
      <c r="A1033" t="s">
        <v>2417</v>
      </c>
      <c r="B1033" s="232" t="s">
        <v>2416</v>
      </c>
      <c r="C1033" s="232">
        <v>0.0</v>
      </c>
      <c r="D1033" s="232">
        <v>0.0</v>
      </c>
      <c r="F1033" t="s">
        <v>7702</v>
      </c>
      <c r="G1033" t="s">
        <v>310</v>
      </c>
      <c r="H1033" t="s">
        <v>7703</v>
      </c>
      <c r="I1033" t="s">
        <v>7749</v>
      </c>
    </row>
    <row r="1034">
      <c r="A1034" t="s">
        <v>2419</v>
      </c>
      <c r="B1034" s="232" t="s">
        <v>2418</v>
      </c>
      <c r="C1034" s="232">
        <v>0.0</v>
      </c>
      <c r="D1034" s="232">
        <v>0.0</v>
      </c>
      <c r="F1034" t="s">
        <v>7702</v>
      </c>
      <c r="G1034" t="s">
        <v>310</v>
      </c>
      <c r="H1034" t="s">
        <v>7703</v>
      </c>
      <c r="I1034" t="s">
        <v>7749</v>
      </c>
    </row>
    <row r="1035">
      <c r="A1035" t="s">
        <v>2421</v>
      </c>
      <c r="B1035" s="232" t="s">
        <v>2420</v>
      </c>
      <c r="C1035" s="232">
        <v>0.0</v>
      </c>
      <c r="D1035" s="232">
        <v>0.0</v>
      </c>
      <c r="F1035" t="s">
        <v>7711</v>
      </c>
      <c r="G1035" t="s">
        <v>310</v>
      </c>
      <c r="H1035" t="s">
        <v>7703</v>
      </c>
      <c r="I1035" t="s">
        <v>98</v>
      </c>
    </row>
    <row r="1036">
      <c r="A1036" t="s">
        <v>2423</v>
      </c>
      <c r="B1036" s="232" t="s">
        <v>2422</v>
      </c>
      <c r="C1036" s="232">
        <v>0.0</v>
      </c>
      <c r="D1036" s="232">
        <v>0.0</v>
      </c>
      <c r="F1036" t="s">
        <v>7702</v>
      </c>
      <c r="G1036" t="s">
        <v>310</v>
      </c>
      <c r="H1036" t="s">
        <v>7703</v>
      </c>
      <c r="I1036" t="s">
        <v>7714</v>
      </c>
    </row>
    <row r="1037">
      <c r="A1037" t="s">
        <v>2426</v>
      </c>
      <c r="B1037" s="232" t="s">
        <v>2425</v>
      </c>
      <c r="C1037" s="232">
        <v>0.0</v>
      </c>
      <c r="D1037" s="232">
        <v>0.0</v>
      </c>
      <c r="F1037" t="s">
        <v>7702</v>
      </c>
      <c r="G1037" t="s">
        <v>310</v>
      </c>
      <c r="H1037" t="s">
        <v>7703</v>
      </c>
      <c r="I1037" t="s">
        <v>7730</v>
      </c>
    </row>
    <row r="1038">
      <c r="A1038" t="s">
        <v>2428</v>
      </c>
      <c r="B1038" s="232" t="s">
        <v>2427</v>
      </c>
      <c r="C1038" s="232">
        <v>0.0</v>
      </c>
      <c r="D1038" s="232">
        <v>0.0</v>
      </c>
      <c r="F1038" t="s">
        <v>7702</v>
      </c>
      <c r="G1038" t="s">
        <v>310</v>
      </c>
      <c r="H1038" t="s">
        <v>7703</v>
      </c>
      <c r="I1038" t="s">
        <v>7730</v>
      </c>
    </row>
    <row r="1039">
      <c r="A1039" t="s">
        <v>2430</v>
      </c>
      <c r="B1039" s="232" t="s">
        <v>2429</v>
      </c>
      <c r="C1039" s="232">
        <v>0.0</v>
      </c>
      <c r="D1039" s="232">
        <v>0.0</v>
      </c>
      <c r="F1039" t="s">
        <v>7702</v>
      </c>
      <c r="G1039" t="s">
        <v>310</v>
      </c>
      <c r="H1039" t="s">
        <v>7703</v>
      </c>
      <c r="I1039" t="s">
        <v>7730</v>
      </c>
    </row>
    <row r="1040">
      <c r="A1040" t="s">
        <v>2432</v>
      </c>
      <c r="B1040" s="232" t="s">
        <v>2431</v>
      </c>
      <c r="C1040" s="232">
        <v>0.0</v>
      </c>
      <c r="D1040" s="232">
        <v>0.0</v>
      </c>
      <c r="F1040" t="s">
        <v>7702</v>
      </c>
      <c r="G1040" t="s">
        <v>310</v>
      </c>
      <c r="H1040" t="s">
        <v>7703</v>
      </c>
      <c r="I1040" t="s">
        <v>7730</v>
      </c>
    </row>
    <row r="1041">
      <c r="A1041" t="s">
        <v>2434</v>
      </c>
      <c r="B1041" s="232" t="s">
        <v>2433</v>
      </c>
      <c r="C1041" s="232">
        <v>0.0</v>
      </c>
      <c r="D1041" s="232">
        <v>0.0</v>
      </c>
      <c r="F1041" t="s">
        <v>7702</v>
      </c>
      <c r="G1041" t="s">
        <v>310</v>
      </c>
      <c r="H1041" t="s">
        <v>7703</v>
      </c>
      <c r="I1041" t="s">
        <v>7721</v>
      </c>
    </row>
    <row r="1042">
      <c r="A1042" t="s">
        <v>2436</v>
      </c>
      <c r="B1042" s="232" t="s">
        <v>2435</v>
      </c>
      <c r="C1042" s="232">
        <v>78.0</v>
      </c>
      <c r="D1042" s="232">
        <v>52.56</v>
      </c>
      <c r="E1042" s="232">
        <v>0.6738</v>
      </c>
      <c r="F1042" t="s">
        <v>7702</v>
      </c>
      <c r="G1042" t="s">
        <v>330</v>
      </c>
      <c r="H1042" t="s">
        <v>45</v>
      </c>
      <c r="I1042" t="s">
        <v>7721</v>
      </c>
    </row>
    <row r="1043">
      <c r="A1043" t="s">
        <v>2438</v>
      </c>
      <c r="B1043" s="232" t="s">
        <v>2437</v>
      </c>
      <c r="C1043" s="232">
        <v>0.0</v>
      </c>
      <c r="D1043" s="232">
        <v>0.0</v>
      </c>
      <c r="F1043" t="s">
        <v>7702</v>
      </c>
      <c r="G1043" t="s">
        <v>310</v>
      </c>
      <c r="H1043" t="s">
        <v>7703</v>
      </c>
      <c r="I1043" t="s">
        <v>7721</v>
      </c>
    </row>
    <row r="1044">
      <c r="A1044" t="s">
        <v>2442</v>
      </c>
      <c r="B1044" s="232" t="s">
        <v>2441</v>
      </c>
      <c r="C1044" s="232">
        <v>0.0</v>
      </c>
      <c r="D1044" s="232">
        <v>0.0</v>
      </c>
      <c r="F1044" t="s">
        <v>7702</v>
      </c>
      <c r="G1044" t="s">
        <v>310</v>
      </c>
      <c r="H1044" t="s">
        <v>45</v>
      </c>
      <c r="I1044" t="s">
        <v>7721</v>
      </c>
    </row>
    <row r="1045">
      <c r="A1045" t="s">
        <v>2444</v>
      </c>
      <c r="B1045" s="232" t="s">
        <v>2443</v>
      </c>
      <c r="C1045" s="232">
        <v>0.0</v>
      </c>
      <c r="D1045" s="232">
        <v>0.0</v>
      </c>
      <c r="F1045" t="s">
        <v>7702</v>
      </c>
      <c r="G1045" t="s">
        <v>310</v>
      </c>
      <c r="H1045" t="s">
        <v>7703</v>
      </c>
      <c r="I1045" t="s">
        <v>7721</v>
      </c>
    </row>
    <row r="1046">
      <c r="A1046" t="s">
        <v>2446</v>
      </c>
      <c r="B1046" s="232" t="s">
        <v>2445</v>
      </c>
      <c r="C1046" s="232">
        <v>0.0</v>
      </c>
      <c r="D1046" s="232">
        <v>0.0</v>
      </c>
      <c r="F1046" t="s">
        <v>7702</v>
      </c>
      <c r="G1046" t="s">
        <v>310</v>
      </c>
      <c r="H1046" t="s">
        <v>7703</v>
      </c>
      <c r="I1046" t="s">
        <v>7721</v>
      </c>
    </row>
    <row r="1047">
      <c r="A1047" t="s">
        <v>2448</v>
      </c>
      <c r="B1047" s="232" t="s">
        <v>2447</v>
      </c>
      <c r="C1047" s="232">
        <v>0.0</v>
      </c>
      <c r="D1047" s="232">
        <v>0.0</v>
      </c>
      <c r="F1047" t="s">
        <v>7702</v>
      </c>
      <c r="G1047" t="s">
        <v>310</v>
      </c>
      <c r="H1047" t="s">
        <v>7703</v>
      </c>
      <c r="I1047" t="s">
        <v>7796</v>
      </c>
    </row>
    <row r="1048">
      <c r="A1048" t="s">
        <v>2450</v>
      </c>
      <c r="B1048" s="232" t="s">
        <v>2449</v>
      </c>
      <c r="C1048" s="232">
        <v>0.0</v>
      </c>
      <c r="D1048" s="232">
        <v>0.0</v>
      </c>
      <c r="F1048" t="s">
        <v>7702</v>
      </c>
      <c r="G1048" t="s">
        <v>310</v>
      </c>
      <c r="H1048" t="s">
        <v>7703</v>
      </c>
      <c r="I1048" t="s">
        <v>7721</v>
      </c>
    </row>
    <row r="1049">
      <c r="A1049" t="s">
        <v>2452</v>
      </c>
      <c r="B1049" s="232" t="s">
        <v>2451</v>
      </c>
      <c r="C1049" s="232">
        <v>0.0</v>
      </c>
      <c r="D1049" s="232">
        <v>0.0</v>
      </c>
      <c r="F1049" t="s">
        <v>7702</v>
      </c>
      <c r="G1049" t="s">
        <v>310</v>
      </c>
      <c r="H1049" t="s">
        <v>7703</v>
      </c>
      <c r="I1049" t="s">
        <v>7721</v>
      </c>
    </row>
    <row r="1050">
      <c r="A1050" t="s">
        <v>2454</v>
      </c>
      <c r="B1050" s="232" t="s">
        <v>2453</v>
      </c>
      <c r="C1050" s="232">
        <v>0.0</v>
      </c>
      <c r="D1050" s="232">
        <v>0.0</v>
      </c>
      <c r="F1050" t="s">
        <v>7702</v>
      </c>
      <c r="G1050" t="s">
        <v>310</v>
      </c>
      <c r="H1050" t="s">
        <v>45</v>
      </c>
      <c r="I1050" t="s">
        <v>7721</v>
      </c>
    </row>
    <row r="1051">
      <c r="A1051" t="s">
        <v>2456</v>
      </c>
      <c r="B1051" s="232" t="s">
        <v>2455</v>
      </c>
      <c r="C1051" s="232">
        <v>0.0</v>
      </c>
      <c r="D1051" s="232">
        <v>0.0</v>
      </c>
      <c r="F1051" t="s">
        <v>7702</v>
      </c>
      <c r="G1051" t="s">
        <v>310</v>
      </c>
      <c r="H1051" t="s">
        <v>7703</v>
      </c>
      <c r="I1051" t="s">
        <v>7721</v>
      </c>
    </row>
    <row r="1052">
      <c r="A1052" t="s">
        <v>2458</v>
      </c>
      <c r="B1052" s="232" t="s">
        <v>2457</v>
      </c>
      <c r="C1052" s="232">
        <v>0.0</v>
      </c>
      <c r="D1052" s="232">
        <v>0.0</v>
      </c>
      <c r="F1052" t="s">
        <v>7702</v>
      </c>
      <c r="G1052" t="s">
        <v>310</v>
      </c>
      <c r="H1052" t="s">
        <v>7703</v>
      </c>
      <c r="I1052" t="s">
        <v>7721</v>
      </c>
    </row>
    <row r="1053">
      <c r="A1053" t="s">
        <v>2460</v>
      </c>
      <c r="B1053" s="232" t="s">
        <v>2459</v>
      </c>
      <c r="C1053" s="232">
        <v>0.0</v>
      </c>
      <c r="D1053" s="232">
        <v>0.0</v>
      </c>
      <c r="F1053" t="s">
        <v>7702</v>
      </c>
      <c r="G1053" t="s">
        <v>310</v>
      </c>
      <c r="H1053" t="s">
        <v>7703</v>
      </c>
      <c r="I1053" t="s">
        <v>7721</v>
      </c>
    </row>
    <row r="1054">
      <c r="A1054" t="s">
        <v>2462</v>
      </c>
      <c r="B1054" s="232" t="s">
        <v>2461</v>
      </c>
      <c r="C1054" s="232">
        <v>0.0</v>
      </c>
      <c r="D1054" s="232">
        <v>0.0</v>
      </c>
      <c r="F1054" t="s">
        <v>7702</v>
      </c>
      <c r="G1054" t="s">
        <v>310</v>
      </c>
      <c r="H1054" t="s">
        <v>7703</v>
      </c>
      <c r="I1054" t="s">
        <v>7721</v>
      </c>
    </row>
    <row r="1055">
      <c r="A1055" t="s">
        <v>2464</v>
      </c>
      <c r="B1055" s="232" t="s">
        <v>2463</v>
      </c>
      <c r="C1055" s="232">
        <v>0.0</v>
      </c>
      <c r="D1055" s="232">
        <v>0.0</v>
      </c>
      <c r="F1055" t="s">
        <v>7702</v>
      </c>
      <c r="G1055" t="s">
        <v>310</v>
      </c>
      <c r="H1055" t="s">
        <v>7703</v>
      </c>
      <c r="I1055" t="s">
        <v>7721</v>
      </c>
    </row>
    <row r="1056">
      <c r="A1056" t="s">
        <v>2466</v>
      </c>
      <c r="B1056" s="232" t="s">
        <v>2465</v>
      </c>
      <c r="C1056" s="232">
        <v>0.0</v>
      </c>
      <c r="D1056" s="232">
        <v>0.0</v>
      </c>
      <c r="F1056" t="s">
        <v>7702</v>
      </c>
      <c r="G1056" t="s">
        <v>310</v>
      </c>
      <c r="H1056" t="s">
        <v>7703</v>
      </c>
      <c r="I1056" t="s">
        <v>7721</v>
      </c>
    </row>
    <row r="1057">
      <c r="A1057" t="s">
        <v>2468</v>
      </c>
      <c r="B1057" s="232" t="s">
        <v>2467</v>
      </c>
      <c r="C1057" s="232">
        <v>408.0</v>
      </c>
      <c r="D1057" s="232">
        <v>275.86</v>
      </c>
      <c r="E1057" s="232">
        <v>0.6761</v>
      </c>
      <c r="F1057" t="s">
        <v>7702</v>
      </c>
      <c r="G1057" t="s">
        <v>330</v>
      </c>
      <c r="H1057" t="s">
        <v>45</v>
      </c>
      <c r="I1057" t="s">
        <v>7721</v>
      </c>
    </row>
    <row r="1058">
      <c r="A1058" t="s">
        <v>2470</v>
      </c>
      <c r="B1058" s="232" t="s">
        <v>2469</v>
      </c>
      <c r="C1058" s="232">
        <v>0.0</v>
      </c>
      <c r="D1058" s="232">
        <v>0.0</v>
      </c>
      <c r="F1058" t="s">
        <v>7702</v>
      </c>
      <c r="G1058" t="s">
        <v>310</v>
      </c>
      <c r="H1058" t="s">
        <v>7703</v>
      </c>
      <c r="I1058" t="s">
        <v>7721</v>
      </c>
    </row>
    <row r="1059">
      <c r="A1059" t="s">
        <v>2472</v>
      </c>
      <c r="B1059" s="232" t="s">
        <v>2471</v>
      </c>
      <c r="C1059" s="232">
        <v>0.0</v>
      </c>
      <c r="D1059" s="232">
        <v>0.0</v>
      </c>
      <c r="F1059" t="s">
        <v>7702</v>
      </c>
      <c r="G1059" t="s">
        <v>310</v>
      </c>
      <c r="H1059" t="s">
        <v>7703</v>
      </c>
      <c r="I1059" t="s">
        <v>7721</v>
      </c>
    </row>
    <row r="1060">
      <c r="A1060" t="s">
        <v>2474</v>
      </c>
      <c r="B1060" s="232" t="s">
        <v>2473</v>
      </c>
      <c r="C1060" s="232">
        <v>0.0</v>
      </c>
      <c r="D1060" s="232">
        <v>0.0</v>
      </c>
      <c r="F1060" t="s">
        <v>7702</v>
      </c>
      <c r="G1060" t="s">
        <v>310</v>
      </c>
      <c r="H1060" t="s">
        <v>7703</v>
      </c>
      <c r="I1060" t="s">
        <v>7721</v>
      </c>
    </row>
    <row r="1061">
      <c r="A1061" t="s">
        <v>2476</v>
      </c>
      <c r="B1061" s="232" t="s">
        <v>2475</v>
      </c>
      <c r="C1061" s="232">
        <v>0.0</v>
      </c>
      <c r="D1061" s="232">
        <v>0.0</v>
      </c>
      <c r="F1061" t="s">
        <v>7702</v>
      </c>
      <c r="G1061" t="s">
        <v>310</v>
      </c>
      <c r="H1061" t="s">
        <v>7703</v>
      </c>
      <c r="I1061" t="s">
        <v>7721</v>
      </c>
    </row>
    <row r="1062">
      <c r="A1062" t="s">
        <v>2478</v>
      </c>
      <c r="B1062" s="232" t="s">
        <v>2477</v>
      </c>
      <c r="C1062" s="232">
        <v>0.0</v>
      </c>
      <c r="D1062" s="232">
        <v>0.0</v>
      </c>
      <c r="F1062" t="s">
        <v>7702</v>
      </c>
      <c r="G1062" t="s">
        <v>310</v>
      </c>
      <c r="H1062" t="s">
        <v>7703</v>
      </c>
      <c r="I1062" t="s">
        <v>7721</v>
      </c>
    </row>
    <row r="1063">
      <c r="A1063" t="s">
        <v>2480</v>
      </c>
      <c r="B1063" s="232" t="s">
        <v>2479</v>
      </c>
      <c r="C1063" s="232">
        <v>174.0</v>
      </c>
      <c r="D1063" s="232">
        <v>117.53</v>
      </c>
      <c r="E1063" s="232">
        <v>0.6755</v>
      </c>
      <c r="F1063" t="s">
        <v>7702</v>
      </c>
      <c r="G1063" t="s">
        <v>330</v>
      </c>
      <c r="H1063" t="s">
        <v>45</v>
      </c>
      <c r="I1063" t="s">
        <v>7721</v>
      </c>
    </row>
    <row r="1064">
      <c r="A1064" t="s">
        <v>2482</v>
      </c>
      <c r="B1064" s="232" t="s">
        <v>2481</v>
      </c>
      <c r="C1064" s="232">
        <v>0.0</v>
      </c>
      <c r="D1064" s="232">
        <v>0.0</v>
      </c>
      <c r="F1064" t="s">
        <v>7702</v>
      </c>
      <c r="G1064" t="s">
        <v>310</v>
      </c>
      <c r="H1064" t="s">
        <v>7703</v>
      </c>
      <c r="I1064" t="s">
        <v>7721</v>
      </c>
    </row>
    <row r="1065">
      <c r="A1065" t="s">
        <v>2484</v>
      </c>
      <c r="B1065" s="232" t="s">
        <v>2483</v>
      </c>
      <c r="C1065" s="232">
        <v>0.0</v>
      </c>
      <c r="D1065" s="232">
        <v>0.0</v>
      </c>
      <c r="F1065" t="s">
        <v>7702</v>
      </c>
      <c r="G1065" t="s">
        <v>310</v>
      </c>
      <c r="H1065" t="s">
        <v>45</v>
      </c>
      <c r="I1065" t="s">
        <v>7721</v>
      </c>
    </row>
    <row r="1066">
      <c r="A1066" t="s">
        <v>2486</v>
      </c>
      <c r="B1066" s="232" t="s">
        <v>2485</v>
      </c>
      <c r="C1066" s="232">
        <v>0.0</v>
      </c>
      <c r="D1066" s="232">
        <v>0.0</v>
      </c>
      <c r="F1066" t="s">
        <v>7702</v>
      </c>
      <c r="G1066" t="s">
        <v>310</v>
      </c>
      <c r="H1066" t="s">
        <v>7703</v>
      </c>
      <c r="I1066" t="s">
        <v>7721</v>
      </c>
    </row>
    <row r="1067">
      <c r="A1067" t="s">
        <v>2488</v>
      </c>
      <c r="B1067" s="232" t="s">
        <v>2487</v>
      </c>
      <c r="C1067" s="232">
        <v>0.0</v>
      </c>
      <c r="D1067" s="232">
        <v>0.0</v>
      </c>
      <c r="F1067" t="s">
        <v>7702</v>
      </c>
      <c r="G1067" t="s">
        <v>310</v>
      </c>
      <c r="H1067" t="s">
        <v>7703</v>
      </c>
      <c r="I1067" t="s">
        <v>7721</v>
      </c>
    </row>
    <row r="1068">
      <c r="A1068" t="s">
        <v>2490</v>
      </c>
      <c r="B1068" s="232" t="s">
        <v>2489</v>
      </c>
      <c r="C1068" s="232">
        <v>0.0</v>
      </c>
      <c r="D1068" s="232">
        <v>0.0</v>
      </c>
      <c r="F1068" t="s">
        <v>7702</v>
      </c>
      <c r="G1068" t="s">
        <v>310</v>
      </c>
      <c r="H1068" t="s">
        <v>7703</v>
      </c>
      <c r="I1068" t="s">
        <v>7721</v>
      </c>
    </row>
    <row r="1069">
      <c r="A1069" t="s">
        <v>2492</v>
      </c>
      <c r="B1069" s="232" t="s">
        <v>2491</v>
      </c>
      <c r="C1069" s="232">
        <v>0.0</v>
      </c>
      <c r="D1069" s="232">
        <v>0.0</v>
      </c>
      <c r="F1069" t="s">
        <v>7702</v>
      </c>
      <c r="G1069" t="s">
        <v>310</v>
      </c>
      <c r="H1069" t="s">
        <v>7703</v>
      </c>
      <c r="I1069" t="s">
        <v>7721</v>
      </c>
    </row>
    <row r="1070">
      <c r="A1070" t="s">
        <v>2494</v>
      </c>
      <c r="B1070" s="232" t="s">
        <v>2493</v>
      </c>
      <c r="C1070" s="232">
        <v>0.0</v>
      </c>
      <c r="D1070" s="232">
        <v>0.0</v>
      </c>
      <c r="F1070" t="s">
        <v>7702</v>
      </c>
      <c r="G1070" t="s">
        <v>310</v>
      </c>
      <c r="H1070" t="s">
        <v>7703</v>
      </c>
      <c r="I1070" t="s">
        <v>7721</v>
      </c>
    </row>
    <row r="1071">
      <c r="A1071" t="s">
        <v>2496</v>
      </c>
      <c r="B1071" s="232" t="s">
        <v>2495</v>
      </c>
      <c r="C1071" s="232">
        <v>0.0</v>
      </c>
      <c r="D1071" s="232">
        <v>0.0</v>
      </c>
      <c r="F1071" t="s">
        <v>7702</v>
      </c>
      <c r="G1071" t="s">
        <v>310</v>
      </c>
      <c r="H1071" t="s">
        <v>7703</v>
      </c>
      <c r="I1071" t="s">
        <v>7721</v>
      </c>
    </row>
    <row r="1072">
      <c r="A1072" t="s">
        <v>2498</v>
      </c>
      <c r="B1072" s="232" t="s">
        <v>2497</v>
      </c>
      <c r="C1072" s="232">
        <v>0.0</v>
      </c>
      <c r="D1072" s="232">
        <v>0.0</v>
      </c>
      <c r="F1072" t="s">
        <v>7702</v>
      </c>
      <c r="G1072" t="s">
        <v>310</v>
      </c>
      <c r="H1072" t="s">
        <v>7703</v>
      </c>
      <c r="I1072" t="s">
        <v>7721</v>
      </c>
    </row>
    <row r="1073">
      <c r="A1073" t="s">
        <v>2502</v>
      </c>
      <c r="B1073" s="232" t="s">
        <v>2501</v>
      </c>
      <c r="C1073" s="232">
        <v>0.0</v>
      </c>
      <c r="D1073" s="232">
        <v>0.0</v>
      </c>
      <c r="F1073" t="s">
        <v>7702</v>
      </c>
      <c r="G1073" t="s">
        <v>310</v>
      </c>
      <c r="H1073" t="s">
        <v>7703</v>
      </c>
      <c r="I1073" t="s">
        <v>7721</v>
      </c>
    </row>
    <row r="1074">
      <c r="A1074" t="s">
        <v>2504</v>
      </c>
      <c r="B1074" s="232" t="s">
        <v>2503</v>
      </c>
      <c r="C1074" s="232">
        <v>0.0</v>
      </c>
      <c r="D1074" s="232">
        <v>0.0</v>
      </c>
      <c r="F1074" t="s">
        <v>7702</v>
      </c>
      <c r="G1074" t="s">
        <v>310</v>
      </c>
      <c r="H1074" t="s">
        <v>7703</v>
      </c>
      <c r="I1074" t="s">
        <v>7796</v>
      </c>
    </row>
    <row r="1075">
      <c r="A1075" t="s">
        <v>2508</v>
      </c>
      <c r="B1075" s="232" t="s">
        <v>2507</v>
      </c>
      <c r="C1075" s="232">
        <v>0.0</v>
      </c>
      <c r="D1075" s="232">
        <v>0.0</v>
      </c>
      <c r="F1075" t="s">
        <v>7702</v>
      </c>
      <c r="G1075" t="s">
        <v>310</v>
      </c>
      <c r="H1075" t="s">
        <v>7703</v>
      </c>
      <c r="I1075" t="s">
        <v>7796</v>
      </c>
    </row>
    <row r="1076">
      <c r="A1076" t="s">
        <v>2512</v>
      </c>
      <c r="B1076" s="232" t="s">
        <v>2511</v>
      </c>
      <c r="C1076" s="232">
        <v>0.0</v>
      </c>
      <c r="D1076" s="232">
        <v>0.0</v>
      </c>
      <c r="F1076" t="s">
        <v>7702</v>
      </c>
      <c r="G1076" t="s">
        <v>310</v>
      </c>
      <c r="H1076" t="s">
        <v>7703</v>
      </c>
      <c r="I1076" t="s">
        <v>7796</v>
      </c>
    </row>
    <row r="1077">
      <c r="A1077" t="s">
        <v>2514</v>
      </c>
      <c r="B1077" s="232" t="s">
        <v>2513</v>
      </c>
      <c r="C1077" s="232">
        <v>6.0</v>
      </c>
      <c r="D1077" s="232">
        <v>4.06</v>
      </c>
      <c r="E1077" s="232">
        <v>0.6767</v>
      </c>
      <c r="F1077" t="s">
        <v>7702</v>
      </c>
      <c r="G1077" t="s">
        <v>310</v>
      </c>
      <c r="H1077" t="s">
        <v>45</v>
      </c>
      <c r="I1077" t="s">
        <v>7721</v>
      </c>
    </row>
    <row r="1078">
      <c r="A1078" t="s">
        <v>2516</v>
      </c>
      <c r="B1078" s="232" t="s">
        <v>2515</v>
      </c>
      <c r="C1078" s="232">
        <v>0.0</v>
      </c>
      <c r="D1078" s="232">
        <v>0.0</v>
      </c>
      <c r="F1078" t="s">
        <v>7702</v>
      </c>
      <c r="G1078" t="s">
        <v>310</v>
      </c>
      <c r="H1078" t="s">
        <v>7703</v>
      </c>
      <c r="I1078" t="s">
        <v>7721</v>
      </c>
    </row>
    <row r="1079">
      <c r="A1079" t="s">
        <v>2520</v>
      </c>
      <c r="B1079" s="232" t="s">
        <v>2519</v>
      </c>
      <c r="C1079" s="232">
        <v>0.0</v>
      </c>
      <c r="D1079" s="232">
        <v>0.0</v>
      </c>
      <c r="F1079" t="s">
        <v>7702</v>
      </c>
      <c r="G1079" t="s">
        <v>310</v>
      </c>
      <c r="H1079" t="s">
        <v>7703</v>
      </c>
      <c r="I1079" t="s">
        <v>7721</v>
      </c>
    </row>
    <row r="1080">
      <c r="A1080" t="s">
        <v>2522</v>
      </c>
      <c r="B1080" s="232" t="s">
        <v>2521</v>
      </c>
      <c r="C1080" s="232">
        <v>0.0</v>
      </c>
      <c r="D1080" s="232">
        <v>0.0</v>
      </c>
      <c r="F1080" t="s">
        <v>7702</v>
      </c>
      <c r="G1080" t="s">
        <v>310</v>
      </c>
      <c r="H1080" t="s">
        <v>7703</v>
      </c>
      <c r="I1080" t="s">
        <v>7721</v>
      </c>
    </row>
    <row r="1081">
      <c r="A1081" t="s">
        <v>2524</v>
      </c>
      <c r="B1081" s="232" t="s">
        <v>2523</v>
      </c>
      <c r="C1081" s="232">
        <v>360.0</v>
      </c>
      <c r="D1081" s="232">
        <v>243.36</v>
      </c>
      <c r="E1081" s="232">
        <v>0.676</v>
      </c>
      <c r="F1081" t="s">
        <v>7702</v>
      </c>
      <c r="G1081" t="s">
        <v>330</v>
      </c>
      <c r="H1081" t="s">
        <v>45</v>
      </c>
      <c r="I1081" t="s">
        <v>7721</v>
      </c>
    </row>
    <row r="1082">
      <c r="A1082" t="s">
        <v>2526</v>
      </c>
      <c r="B1082" s="232" t="s">
        <v>2525</v>
      </c>
      <c r="C1082" s="232">
        <v>0.0</v>
      </c>
      <c r="D1082" s="232">
        <v>0.0</v>
      </c>
      <c r="F1082" t="s">
        <v>7702</v>
      </c>
      <c r="G1082" t="s">
        <v>310</v>
      </c>
      <c r="H1082" t="s">
        <v>7703</v>
      </c>
      <c r="I1082" t="s">
        <v>7721</v>
      </c>
    </row>
    <row r="1083">
      <c r="A1083" t="s">
        <v>2530</v>
      </c>
      <c r="B1083" s="232" t="s">
        <v>2529</v>
      </c>
      <c r="C1083" s="232">
        <v>0.0</v>
      </c>
      <c r="D1083" s="232">
        <v>0.0</v>
      </c>
      <c r="F1083" t="s">
        <v>7702</v>
      </c>
      <c r="G1083" t="s">
        <v>310</v>
      </c>
      <c r="H1083" t="s">
        <v>45</v>
      </c>
      <c r="I1083" t="s">
        <v>7721</v>
      </c>
    </row>
    <row r="1084">
      <c r="A1084" t="s">
        <v>2532</v>
      </c>
      <c r="B1084" s="232" t="s">
        <v>2531</v>
      </c>
      <c r="C1084" s="232">
        <v>0.0</v>
      </c>
      <c r="D1084" s="232">
        <v>0.0</v>
      </c>
      <c r="F1084" t="s">
        <v>7702</v>
      </c>
      <c r="G1084" t="s">
        <v>310</v>
      </c>
      <c r="H1084" t="s">
        <v>7703</v>
      </c>
      <c r="I1084" t="s">
        <v>7721</v>
      </c>
    </row>
    <row r="1085">
      <c r="A1085" t="s">
        <v>2534</v>
      </c>
      <c r="B1085" s="232" t="s">
        <v>2533</v>
      </c>
      <c r="C1085" s="232">
        <v>0.0</v>
      </c>
      <c r="D1085" s="232">
        <v>0.0</v>
      </c>
      <c r="F1085" t="s">
        <v>7702</v>
      </c>
      <c r="G1085" t="s">
        <v>310</v>
      </c>
      <c r="H1085" t="s">
        <v>7703</v>
      </c>
      <c r="I1085" t="s">
        <v>7721</v>
      </c>
    </row>
    <row r="1086">
      <c r="A1086" t="s">
        <v>2536</v>
      </c>
      <c r="B1086" s="232" t="s">
        <v>2535</v>
      </c>
      <c r="C1086" s="232">
        <v>0.0</v>
      </c>
      <c r="D1086" s="232">
        <v>0.0</v>
      </c>
      <c r="F1086" t="s">
        <v>7702</v>
      </c>
      <c r="G1086" t="s">
        <v>310</v>
      </c>
      <c r="H1086" t="s">
        <v>7703</v>
      </c>
      <c r="I1086" t="s">
        <v>7731</v>
      </c>
    </row>
    <row r="1087">
      <c r="A1087" t="s">
        <v>2540</v>
      </c>
      <c r="B1087" s="232" t="s">
        <v>2539</v>
      </c>
      <c r="C1087" s="232">
        <v>0.0</v>
      </c>
      <c r="D1087" s="232">
        <v>0.0</v>
      </c>
      <c r="F1087" t="s">
        <v>7711</v>
      </c>
      <c r="G1087" t="s">
        <v>310</v>
      </c>
      <c r="H1087" t="s">
        <v>7703</v>
      </c>
      <c r="I1087" t="s">
        <v>7714</v>
      </c>
    </row>
    <row r="1088">
      <c r="A1088" t="s">
        <v>2542</v>
      </c>
      <c r="B1088" s="232" t="s">
        <v>2541</v>
      </c>
      <c r="C1088" s="232">
        <v>0.0</v>
      </c>
      <c r="D1088" s="232">
        <v>0.0</v>
      </c>
      <c r="F1088" t="s">
        <v>7702</v>
      </c>
      <c r="G1088" t="s">
        <v>310</v>
      </c>
      <c r="H1088" t="s">
        <v>7703</v>
      </c>
      <c r="I1088" t="s">
        <v>7721</v>
      </c>
    </row>
    <row r="1089">
      <c r="A1089" t="s">
        <v>2544</v>
      </c>
      <c r="B1089" s="232" t="s">
        <v>2543</v>
      </c>
      <c r="C1089" s="232">
        <v>0.0</v>
      </c>
      <c r="D1089" s="232">
        <v>0.0</v>
      </c>
      <c r="F1089" t="s">
        <v>7702</v>
      </c>
      <c r="G1089" t="s">
        <v>310</v>
      </c>
      <c r="H1089" t="s">
        <v>7703</v>
      </c>
      <c r="I1089" t="s">
        <v>7796</v>
      </c>
    </row>
    <row r="1090">
      <c r="A1090" t="s">
        <v>2546</v>
      </c>
      <c r="B1090" s="232" t="s">
        <v>2545</v>
      </c>
      <c r="C1090" s="232">
        <v>0.0</v>
      </c>
      <c r="D1090" s="232">
        <v>0.0</v>
      </c>
      <c r="F1090" t="s">
        <v>7702</v>
      </c>
      <c r="G1090" t="s">
        <v>310</v>
      </c>
      <c r="H1090" t="s">
        <v>7703</v>
      </c>
      <c r="I1090" t="s">
        <v>7721</v>
      </c>
    </row>
    <row r="1091">
      <c r="A1091" t="s">
        <v>2548</v>
      </c>
      <c r="B1091" s="232" t="s">
        <v>2547</v>
      </c>
      <c r="C1091" s="232">
        <v>0.0</v>
      </c>
      <c r="D1091" s="232">
        <v>0.0</v>
      </c>
      <c r="F1091" t="s">
        <v>7702</v>
      </c>
      <c r="G1091" t="s">
        <v>310</v>
      </c>
      <c r="H1091" t="s">
        <v>7703</v>
      </c>
      <c r="I1091" t="s">
        <v>7721</v>
      </c>
    </row>
    <row r="1092">
      <c r="A1092" t="s">
        <v>2550</v>
      </c>
      <c r="B1092" s="232" t="s">
        <v>2549</v>
      </c>
      <c r="C1092" s="232">
        <v>0.0</v>
      </c>
      <c r="D1092" s="232">
        <v>0.0</v>
      </c>
      <c r="F1092" t="s">
        <v>7702</v>
      </c>
      <c r="G1092" t="s">
        <v>310</v>
      </c>
      <c r="H1092" t="s">
        <v>7703</v>
      </c>
      <c r="I1092" t="s">
        <v>7796</v>
      </c>
    </row>
    <row r="1093">
      <c r="A1093" t="s">
        <v>2554</v>
      </c>
      <c r="B1093" s="232" t="s">
        <v>2553</v>
      </c>
      <c r="C1093" s="232">
        <v>0.0</v>
      </c>
      <c r="D1093" s="232">
        <v>0.0</v>
      </c>
      <c r="F1093" t="s">
        <v>7702</v>
      </c>
      <c r="G1093" t="s">
        <v>310</v>
      </c>
      <c r="H1093" t="s">
        <v>7703</v>
      </c>
      <c r="I1093" t="s">
        <v>7717</v>
      </c>
    </row>
    <row r="1094">
      <c r="A1094" t="s">
        <v>2556</v>
      </c>
      <c r="B1094" s="232" t="s">
        <v>2555</v>
      </c>
      <c r="C1094" s="232">
        <v>0.0</v>
      </c>
      <c r="D1094" s="232">
        <v>0.0</v>
      </c>
      <c r="F1094" t="s">
        <v>7702</v>
      </c>
      <c r="G1094" t="s">
        <v>310</v>
      </c>
      <c r="H1094" t="s">
        <v>7703</v>
      </c>
      <c r="I1094" t="s">
        <v>7716</v>
      </c>
    </row>
    <row r="1095">
      <c r="A1095" t="s">
        <v>2558</v>
      </c>
      <c r="B1095" s="232" t="s">
        <v>2557</v>
      </c>
      <c r="C1095" s="232">
        <v>0.0</v>
      </c>
      <c r="D1095" s="232">
        <v>0.0</v>
      </c>
      <c r="F1095" t="s">
        <v>7702</v>
      </c>
      <c r="G1095" t="s">
        <v>310</v>
      </c>
      <c r="H1095" t="s">
        <v>7703</v>
      </c>
      <c r="I1095" t="s">
        <v>7716</v>
      </c>
    </row>
    <row r="1096">
      <c r="A1096" t="s">
        <v>2560</v>
      </c>
      <c r="B1096" s="232" t="s">
        <v>2559</v>
      </c>
      <c r="C1096" s="232">
        <v>0.0</v>
      </c>
      <c r="D1096" s="232">
        <v>0.0</v>
      </c>
      <c r="F1096" t="s">
        <v>7702</v>
      </c>
      <c r="G1096" t="s">
        <v>310</v>
      </c>
      <c r="H1096" t="s">
        <v>7703</v>
      </c>
      <c r="I1096" t="s">
        <v>7716</v>
      </c>
    </row>
    <row r="1097">
      <c r="A1097" t="s">
        <v>2562</v>
      </c>
      <c r="B1097" s="232" t="s">
        <v>2561</v>
      </c>
      <c r="C1097" s="232">
        <v>0.0</v>
      </c>
      <c r="D1097" s="232">
        <v>0.0</v>
      </c>
      <c r="F1097" t="s">
        <v>7702</v>
      </c>
      <c r="G1097" t="s">
        <v>310</v>
      </c>
      <c r="H1097" t="s">
        <v>7703</v>
      </c>
      <c r="I1097" t="s">
        <v>7716</v>
      </c>
    </row>
    <row r="1098">
      <c r="A1098" t="s">
        <v>2564</v>
      </c>
      <c r="B1098" s="232" t="s">
        <v>2563</v>
      </c>
      <c r="C1098" s="232">
        <v>0.0</v>
      </c>
      <c r="D1098" s="232">
        <v>0.0</v>
      </c>
      <c r="F1098" t="s">
        <v>7702</v>
      </c>
      <c r="G1098" t="s">
        <v>310</v>
      </c>
      <c r="H1098" t="s">
        <v>7703</v>
      </c>
      <c r="I1098" t="s">
        <v>7716</v>
      </c>
    </row>
    <row r="1099">
      <c r="A1099" t="s">
        <v>2566</v>
      </c>
      <c r="B1099" s="232" t="s">
        <v>2565</v>
      </c>
      <c r="C1099" s="232">
        <v>0.0</v>
      </c>
      <c r="D1099" s="232">
        <v>0.0</v>
      </c>
      <c r="F1099" t="s">
        <v>7702</v>
      </c>
      <c r="G1099" t="s">
        <v>310</v>
      </c>
      <c r="H1099" t="s">
        <v>7703</v>
      </c>
      <c r="I1099" t="s">
        <v>7716</v>
      </c>
    </row>
    <row r="1100">
      <c r="A1100" t="s">
        <v>2568</v>
      </c>
      <c r="B1100" s="232" t="s">
        <v>2567</v>
      </c>
      <c r="C1100" s="232">
        <v>0.0</v>
      </c>
      <c r="D1100" s="232">
        <v>0.0</v>
      </c>
      <c r="F1100" t="s">
        <v>7711</v>
      </c>
      <c r="G1100" t="s">
        <v>310</v>
      </c>
      <c r="H1100" t="s">
        <v>45</v>
      </c>
      <c r="I1100" t="s">
        <v>7721</v>
      </c>
    </row>
    <row r="1101">
      <c r="A1101" t="s">
        <v>2570</v>
      </c>
      <c r="B1101" s="232" t="s">
        <v>2569</v>
      </c>
      <c r="C1101" s="232">
        <v>189.0</v>
      </c>
      <c r="D1101" s="232">
        <v>103.95</v>
      </c>
      <c r="E1101" s="232">
        <v>0.55</v>
      </c>
      <c r="F1101" t="s">
        <v>7702</v>
      </c>
      <c r="G1101" t="s">
        <v>330</v>
      </c>
      <c r="H1101" t="s">
        <v>7725</v>
      </c>
      <c r="I1101" t="s">
        <v>7727</v>
      </c>
    </row>
    <row r="1102">
      <c r="A1102" t="s">
        <v>2572</v>
      </c>
      <c r="B1102" s="232" t="s">
        <v>2571</v>
      </c>
      <c r="C1102" s="232">
        <v>474.0</v>
      </c>
      <c r="D1102" s="232">
        <v>237.0</v>
      </c>
      <c r="E1102" s="232">
        <v>0.5</v>
      </c>
      <c r="F1102" t="s">
        <v>7702</v>
      </c>
      <c r="G1102" t="s">
        <v>330</v>
      </c>
      <c r="H1102" t="s">
        <v>7725</v>
      </c>
      <c r="I1102" t="s">
        <v>7745</v>
      </c>
    </row>
    <row r="1103">
      <c r="A1103" t="s">
        <v>2574</v>
      </c>
      <c r="B1103" s="232" t="s">
        <v>2573</v>
      </c>
      <c r="C1103" s="232">
        <v>24.0</v>
      </c>
      <c r="D1103" s="232">
        <v>12.96</v>
      </c>
      <c r="E1103" s="232">
        <v>0.54</v>
      </c>
      <c r="F1103" t="s">
        <v>7702</v>
      </c>
      <c r="G1103" t="s">
        <v>330</v>
      </c>
      <c r="H1103" t="s">
        <v>7725</v>
      </c>
      <c r="I1103" t="s">
        <v>7739</v>
      </c>
    </row>
    <row r="1104">
      <c r="A1104" t="s">
        <v>2576</v>
      </c>
      <c r="B1104" s="232" t="s">
        <v>2575</v>
      </c>
      <c r="C1104" s="232">
        <v>0.0</v>
      </c>
      <c r="D1104" s="232">
        <v>0.0</v>
      </c>
      <c r="F1104" t="s">
        <v>7702</v>
      </c>
      <c r="G1104" t="s">
        <v>310</v>
      </c>
      <c r="H1104" t="s">
        <v>7703</v>
      </c>
      <c r="I1104" t="s">
        <v>7764</v>
      </c>
    </row>
    <row r="1105">
      <c r="A1105" t="s">
        <v>2578</v>
      </c>
      <c r="B1105" s="232" t="s">
        <v>2577</v>
      </c>
      <c r="C1105" s="232">
        <v>0.0</v>
      </c>
      <c r="D1105" s="232">
        <v>0.0</v>
      </c>
      <c r="F1105" t="s">
        <v>7702</v>
      </c>
      <c r="G1105" t="s">
        <v>310</v>
      </c>
      <c r="H1105" t="s">
        <v>7703</v>
      </c>
      <c r="I1105" t="s">
        <v>7764</v>
      </c>
    </row>
    <row r="1106">
      <c r="A1106" t="s">
        <v>2580</v>
      </c>
      <c r="B1106" s="232" t="s">
        <v>2579</v>
      </c>
      <c r="C1106" s="232">
        <v>0.0</v>
      </c>
      <c r="D1106" s="232">
        <v>0.0</v>
      </c>
      <c r="F1106" t="s">
        <v>7702</v>
      </c>
      <c r="G1106" t="s">
        <v>310</v>
      </c>
      <c r="H1106" t="s">
        <v>7703</v>
      </c>
      <c r="I1106" t="s">
        <v>7764</v>
      </c>
    </row>
    <row r="1107">
      <c r="A1107" t="s">
        <v>2582</v>
      </c>
      <c r="B1107" s="232" t="s">
        <v>2581</v>
      </c>
      <c r="C1107" s="232">
        <v>0.0</v>
      </c>
      <c r="D1107" s="232">
        <v>0.0</v>
      </c>
      <c r="F1107" t="s">
        <v>7702</v>
      </c>
      <c r="G1107" t="s">
        <v>310</v>
      </c>
      <c r="H1107" t="s">
        <v>7703</v>
      </c>
      <c r="I1107" t="s">
        <v>7763</v>
      </c>
    </row>
    <row r="1108">
      <c r="A1108" t="s">
        <v>2584</v>
      </c>
      <c r="B1108" s="232" t="s">
        <v>2583</v>
      </c>
      <c r="C1108" s="232">
        <v>0.0</v>
      </c>
      <c r="D1108" s="232">
        <v>0.0</v>
      </c>
      <c r="F1108" t="s">
        <v>7702</v>
      </c>
      <c r="G1108" t="s">
        <v>310</v>
      </c>
      <c r="H1108" t="s">
        <v>7703</v>
      </c>
      <c r="I1108" t="s">
        <v>7763</v>
      </c>
    </row>
    <row r="1109">
      <c r="A1109" t="s">
        <v>2586</v>
      </c>
      <c r="B1109" s="232" t="s">
        <v>2585</v>
      </c>
      <c r="C1109" s="232">
        <v>0.0</v>
      </c>
      <c r="D1109" s="232">
        <v>0.0</v>
      </c>
      <c r="F1109" t="s">
        <v>7702</v>
      </c>
      <c r="G1109" t="s">
        <v>310</v>
      </c>
      <c r="H1109" t="s">
        <v>7703</v>
      </c>
      <c r="I1109" t="s">
        <v>7718</v>
      </c>
    </row>
    <row r="1110">
      <c r="A1110" t="s">
        <v>2592</v>
      </c>
      <c r="B1110" s="232" t="s">
        <v>2591</v>
      </c>
      <c r="C1110" s="232">
        <v>6.0</v>
      </c>
      <c r="D1110" s="232">
        <v>6.03</v>
      </c>
      <c r="E1110" s="232">
        <v>1.005</v>
      </c>
      <c r="F1110" t="s">
        <v>7702</v>
      </c>
      <c r="G1110" t="s">
        <v>330</v>
      </c>
      <c r="H1110" t="s">
        <v>7709</v>
      </c>
      <c r="I1110" t="s">
        <v>7797</v>
      </c>
    </row>
    <row r="1111">
      <c r="A1111" t="s">
        <v>2594</v>
      </c>
      <c r="B1111" s="232" t="s">
        <v>2593</v>
      </c>
      <c r="C1111" s="232">
        <v>54.0</v>
      </c>
      <c r="D1111" s="232">
        <v>54.3</v>
      </c>
      <c r="E1111" s="232">
        <v>1.0056</v>
      </c>
      <c r="F1111" t="s">
        <v>7702</v>
      </c>
      <c r="G1111" t="s">
        <v>330</v>
      </c>
      <c r="H1111" t="s">
        <v>7709</v>
      </c>
      <c r="I1111" t="s">
        <v>7797</v>
      </c>
    </row>
    <row r="1112">
      <c r="A1112" t="s">
        <v>2596</v>
      </c>
      <c r="B1112" s="232" t="s">
        <v>2595</v>
      </c>
      <c r="C1112" s="232">
        <v>6.0</v>
      </c>
      <c r="D1112" s="232">
        <v>6.03</v>
      </c>
      <c r="E1112" s="232">
        <v>1.005</v>
      </c>
      <c r="F1112" t="s">
        <v>7702</v>
      </c>
      <c r="G1112" t="s">
        <v>330</v>
      </c>
      <c r="H1112" t="s">
        <v>150</v>
      </c>
      <c r="I1112" t="s">
        <v>7797</v>
      </c>
    </row>
    <row r="1113">
      <c r="A1113" t="s">
        <v>2598</v>
      </c>
      <c r="B1113" s="232" t="s">
        <v>2597</v>
      </c>
      <c r="C1113" s="232">
        <v>54.0</v>
      </c>
      <c r="D1113" s="232">
        <v>54.28</v>
      </c>
      <c r="E1113" s="232">
        <v>1.0052</v>
      </c>
      <c r="F1113" t="s">
        <v>7702</v>
      </c>
      <c r="G1113" t="s">
        <v>330</v>
      </c>
      <c r="H1113" t="s">
        <v>7709</v>
      </c>
      <c r="I1113" t="s">
        <v>7797</v>
      </c>
    </row>
    <row r="1114">
      <c r="A1114" t="s">
        <v>2600</v>
      </c>
      <c r="B1114" s="232" t="s">
        <v>2599</v>
      </c>
      <c r="C1114" s="232">
        <v>24.0</v>
      </c>
      <c r="D1114" s="232">
        <v>24.13</v>
      </c>
      <c r="E1114" s="232">
        <v>1.0054</v>
      </c>
      <c r="F1114" t="s">
        <v>7702</v>
      </c>
      <c r="G1114" t="s">
        <v>330</v>
      </c>
      <c r="H1114" t="s">
        <v>7709</v>
      </c>
      <c r="I1114" t="s">
        <v>7797</v>
      </c>
    </row>
    <row r="1115">
      <c r="A1115" t="s">
        <v>2602</v>
      </c>
      <c r="B1115" s="232" t="s">
        <v>2601</v>
      </c>
      <c r="C1115" s="232">
        <v>78.0</v>
      </c>
      <c r="D1115" s="232">
        <v>78.42</v>
      </c>
      <c r="E1115" s="232">
        <v>1.0054</v>
      </c>
      <c r="F1115" t="s">
        <v>7702</v>
      </c>
      <c r="G1115" t="s">
        <v>330</v>
      </c>
      <c r="H1115" t="s">
        <v>7709</v>
      </c>
      <c r="I1115" t="s">
        <v>7797</v>
      </c>
    </row>
    <row r="1116">
      <c r="A1116" t="s">
        <v>2604</v>
      </c>
      <c r="B1116" s="232" t="s">
        <v>2603</v>
      </c>
      <c r="C1116" s="232">
        <v>0.0</v>
      </c>
      <c r="D1116" s="232">
        <v>0.0</v>
      </c>
      <c r="F1116" t="s">
        <v>7702</v>
      </c>
      <c r="G1116" t="s">
        <v>330</v>
      </c>
      <c r="H1116" t="s">
        <v>150</v>
      </c>
      <c r="I1116" t="s">
        <v>7797</v>
      </c>
    </row>
    <row r="1117">
      <c r="A1117" t="s">
        <v>2608</v>
      </c>
      <c r="B1117" s="232" t="s">
        <v>2607</v>
      </c>
      <c r="C1117" s="232">
        <v>0.0</v>
      </c>
      <c r="D1117" s="232">
        <v>0.0</v>
      </c>
      <c r="F1117" t="s">
        <v>7702</v>
      </c>
      <c r="G1117" t="s">
        <v>310</v>
      </c>
      <c r="H1117" t="s">
        <v>45</v>
      </c>
    </row>
    <row r="1118">
      <c r="A1118" t="s">
        <v>2610</v>
      </c>
      <c r="B1118" s="232" t="s">
        <v>2609</v>
      </c>
      <c r="C1118" s="232">
        <v>0.0</v>
      </c>
      <c r="D1118" s="232">
        <v>0.0</v>
      </c>
      <c r="F1118" t="s">
        <v>7702</v>
      </c>
      <c r="G1118" t="s">
        <v>310</v>
      </c>
      <c r="H1118" t="s">
        <v>45</v>
      </c>
    </row>
    <row r="1119">
      <c r="A1119" t="s">
        <v>2612</v>
      </c>
      <c r="B1119" s="232" t="s">
        <v>2611</v>
      </c>
      <c r="C1119" s="232">
        <v>37.0</v>
      </c>
      <c r="D1119" s="232">
        <v>1037.81</v>
      </c>
      <c r="E1119" s="232">
        <v>28.0489</v>
      </c>
      <c r="F1119" t="s">
        <v>7702</v>
      </c>
      <c r="G1119" t="s">
        <v>330</v>
      </c>
      <c r="H1119" t="s">
        <v>7709</v>
      </c>
      <c r="I1119" t="s">
        <v>7797</v>
      </c>
    </row>
    <row r="1120">
      <c r="A1120" t="s">
        <v>2614</v>
      </c>
      <c r="B1120" s="232" t="s">
        <v>2613</v>
      </c>
      <c r="C1120" s="232">
        <v>0.0</v>
      </c>
      <c r="D1120" s="232">
        <v>0.0</v>
      </c>
      <c r="F1120" t="s">
        <v>7702</v>
      </c>
      <c r="G1120" t="s">
        <v>310</v>
      </c>
      <c r="H1120" t="s">
        <v>45</v>
      </c>
      <c r="I1120" t="s">
        <v>7798</v>
      </c>
    </row>
    <row r="1121">
      <c r="A1121" t="s">
        <v>2616</v>
      </c>
      <c r="B1121" s="232" t="s">
        <v>2615</v>
      </c>
      <c r="C1121" s="232">
        <v>0.0</v>
      </c>
      <c r="D1121" s="232">
        <v>0.0</v>
      </c>
      <c r="F1121" t="s">
        <v>7702</v>
      </c>
      <c r="G1121" t="s">
        <v>310</v>
      </c>
      <c r="H1121" t="s">
        <v>7709</v>
      </c>
      <c r="I1121" t="s">
        <v>7799</v>
      </c>
    </row>
    <row r="1122">
      <c r="A1122" t="s">
        <v>2618</v>
      </c>
      <c r="B1122" s="232" t="s">
        <v>2617</v>
      </c>
      <c r="C1122" s="232">
        <v>61.0</v>
      </c>
      <c r="D1122" s="232">
        <v>1614.23</v>
      </c>
      <c r="E1122" s="232">
        <v>26.4628</v>
      </c>
      <c r="F1122" t="s">
        <v>7702</v>
      </c>
      <c r="G1122" t="s">
        <v>330</v>
      </c>
      <c r="H1122" t="s">
        <v>7709</v>
      </c>
      <c r="I1122" t="s">
        <v>7799</v>
      </c>
    </row>
    <row r="1123">
      <c r="A1123" t="s">
        <v>2620</v>
      </c>
      <c r="B1123" s="232" t="s">
        <v>2619</v>
      </c>
      <c r="C1123" s="232">
        <v>0.0</v>
      </c>
      <c r="D1123" s="232">
        <v>0.0</v>
      </c>
      <c r="F1123" t="s">
        <v>7702</v>
      </c>
      <c r="G1123" t="s">
        <v>310</v>
      </c>
      <c r="H1123" t="s">
        <v>7709</v>
      </c>
      <c r="I1123" t="s">
        <v>7799</v>
      </c>
    </row>
    <row r="1124">
      <c r="A1124" t="s">
        <v>2622</v>
      </c>
      <c r="B1124" s="232" t="s">
        <v>2621</v>
      </c>
      <c r="C1124" s="232">
        <v>0.0</v>
      </c>
      <c r="D1124" s="232">
        <v>0.0</v>
      </c>
      <c r="F1124" t="s">
        <v>7702</v>
      </c>
      <c r="G1124" t="s">
        <v>310</v>
      </c>
      <c r="H1124" t="s">
        <v>45</v>
      </c>
      <c r="I1124" t="s">
        <v>7752</v>
      </c>
    </row>
    <row r="1125">
      <c r="A1125" t="s">
        <v>2624</v>
      </c>
      <c r="B1125" s="232" t="s">
        <v>2623</v>
      </c>
      <c r="C1125" s="232">
        <v>0.0</v>
      </c>
      <c r="D1125" s="232">
        <v>0.0</v>
      </c>
      <c r="F1125" t="s">
        <v>7702</v>
      </c>
      <c r="G1125" t="s">
        <v>330</v>
      </c>
      <c r="H1125" t="s">
        <v>45</v>
      </c>
      <c r="I1125" t="s">
        <v>7755</v>
      </c>
    </row>
    <row r="1126">
      <c r="A1126" t="s">
        <v>2626</v>
      </c>
      <c r="B1126" s="232" t="s">
        <v>2625</v>
      </c>
      <c r="C1126" s="232">
        <v>0.0</v>
      </c>
      <c r="D1126" s="232">
        <v>0.0</v>
      </c>
      <c r="F1126" t="s">
        <v>7702</v>
      </c>
      <c r="G1126" t="s">
        <v>310</v>
      </c>
      <c r="H1126" t="s">
        <v>45</v>
      </c>
      <c r="I1126" t="s">
        <v>7800</v>
      </c>
    </row>
    <row r="1127">
      <c r="A1127" t="s">
        <v>2628</v>
      </c>
      <c r="B1127" s="232" t="s">
        <v>2627</v>
      </c>
      <c r="C1127" s="232">
        <v>0.0</v>
      </c>
      <c r="D1127" s="232">
        <v>0.0</v>
      </c>
      <c r="F1127" t="s">
        <v>7702</v>
      </c>
      <c r="G1127" t="s">
        <v>330</v>
      </c>
      <c r="H1127" t="s">
        <v>45</v>
      </c>
      <c r="I1127" t="s">
        <v>7800</v>
      </c>
    </row>
    <row r="1128">
      <c r="A1128" t="s">
        <v>2630</v>
      </c>
      <c r="B1128" s="232" t="s">
        <v>2629</v>
      </c>
      <c r="C1128" s="232">
        <v>0.0</v>
      </c>
      <c r="D1128" s="232">
        <v>0.0</v>
      </c>
      <c r="F1128" t="s">
        <v>7702</v>
      </c>
      <c r="G1128" t="s">
        <v>330</v>
      </c>
      <c r="H1128" t="s">
        <v>45</v>
      </c>
      <c r="I1128" t="s">
        <v>7758</v>
      </c>
    </row>
    <row r="1129">
      <c r="A1129" t="s">
        <v>2632</v>
      </c>
      <c r="B1129" s="232" t="s">
        <v>2631</v>
      </c>
      <c r="C1129" s="232">
        <v>0.0</v>
      </c>
      <c r="D1129" s="232">
        <v>0.0</v>
      </c>
      <c r="F1129" t="s">
        <v>7702</v>
      </c>
      <c r="G1129" t="s">
        <v>330</v>
      </c>
      <c r="H1129" t="s">
        <v>45</v>
      </c>
      <c r="I1129" t="s">
        <v>7800</v>
      </c>
    </row>
    <row r="1130">
      <c r="A1130" t="s">
        <v>2634</v>
      </c>
      <c r="B1130" s="232" t="s">
        <v>2633</v>
      </c>
      <c r="C1130" s="232">
        <v>0.0</v>
      </c>
      <c r="D1130" s="232">
        <v>0.0</v>
      </c>
      <c r="F1130" t="s">
        <v>7702</v>
      </c>
      <c r="G1130" t="s">
        <v>310</v>
      </c>
      <c r="H1130" t="s">
        <v>45</v>
      </c>
      <c r="I1130" t="s">
        <v>7800</v>
      </c>
    </row>
    <row r="1131">
      <c r="A1131" t="s">
        <v>2636</v>
      </c>
      <c r="B1131" s="232" t="s">
        <v>2635</v>
      </c>
      <c r="C1131" s="232">
        <v>0.0</v>
      </c>
      <c r="D1131" s="232">
        <v>0.0</v>
      </c>
      <c r="F1131" t="s">
        <v>7702</v>
      </c>
      <c r="G1131" t="s">
        <v>310</v>
      </c>
      <c r="H1131" t="s">
        <v>45</v>
      </c>
      <c r="I1131" t="s">
        <v>7754</v>
      </c>
    </row>
    <row r="1132">
      <c r="A1132" t="s">
        <v>2638</v>
      </c>
      <c r="B1132" s="232" t="s">
        <v>2637</v>
      </c>
      <c r="C1132" s="232">
        <v>0.0</v>
      </c>
      <c r="D1132" s="232">
        <v>0.0</v>
      </c>
      <c r="F1132" t="s">
        <v>7702</v>
      </c>
      <c r="G1132" t="s">
        <v>330</v>
      </c>
      <c r="H1132" t="s">
        <v>45</v>
      </c>
      <c r="I1132" t="s">
        <v>7800</v>
      </c>
    </row>
    <row r="1133">
      <c r="A1133" t="s">
        <v>2640</v>
      </c>
      <c r="B1133" s="232" t="s">
        <v>2639</v>
      </c>
      <c r="C1133" s="232">
        <v>0.0</v>
      </c>
      <c r="D1133" s="232">
        <v>0.0</v>
      </c>
      <c r="F1133" t="s">
        <v>7702</v>
      </c>
      <c r="G1133" t="s">
        <v>330</v>
      </c>
      <c r="H1133" t="s">
        <v>45</v>
      </c>
      <c r="I1133" t="s">
        <v>7800</v>
      </c>
    </row>
    <row r="1134">
      <c r="A1134" t="s">
        <v>2642</v>
      </c>
      <c r="B1134" s="232" t="s">
        <v>2641</v>
      </c>
      <c r="C1134" s="232">
        <v>0.0</v>
      </c>
      <c r="D1134" s="232">
        <v>0.0</v>
      </c>
      <c r="F1134" t="s">
        <v>7702</v>
      </c>
      <c r="G1134" t="s">
        <v>330</v>
      </c>
      <c r="H1134" t="s">
        <v>45</v>
      </c>
      <c r="I1134" t="s">
        <v>7800</v>
      </c>
    </row>
    <row r="1135">
      <c r="A1135" t="s">
        <v>2644</v>
      </c>
      <c r="B1135" s="232" t="s">
        <v>2643</v>
      </c>
      <c r="C1135" s="232">
        <v>0.0</v>
      </c>
      <c r="D1135" s="232">
        <v>0.0</v>
      </c>
      <c r="F1135" t="s">
        <v>7702</v>
      </c>
      <c r="G1135" t="s">
        <v>310</v>
      </c>
      <c r="H1135" t="s">
        <v>45</v>
      </c>
      <c r="I1135" t="s">
        <v>7752</v>
      </c>
    </row>
    <row r="1136">
      <c r="A1136" t="s">
        <v>2646</v>
      </c>
      <c r="B1136" s="232" t="s">
        <v>2645</v>
      </c>
      <c r="C1136" s="232">
        <v>0.0</v>
      </c>
      <c r="D1136" s="232">
        <v>0.0</v>
      </c>
      <c r="F1136" t="s">
        <v>7702</v>
      </c>
      <c r="G1136" t="s">
        <v>310</v>
      </c>
      <c r="H1136" t="s">
        <v>45</v>
      </c>
      <c r="I1136" t="s">
        <v>7755</v>
      </c>
    </row>
    <row r="1137">
      <c r="A1137" t="s">
        <v>2648</v>
      </c>
      <c r="B1137" s="232" t="s">
        <v>2647</v>
      </c>
      <c r="C1137" s="232">
        <v>0.0</v>
      </c>
      <c r="D1137" s="232">
        <v>0.0</v>
      </c>
      <c r="F1137" t="s">
        <v>7702</v>
      </c>
      <c r="G1137" t="s">
        <v>310</v>
      </c>
      <c r="H1137" t="s">
        <v>45</v>
      </c>
      <c r="I1137" t="s">
        <v>7800</v>
      </c>
    </row>
    <row r="1138">
      <c r="A1138" t="s">
        <v>2650</v>
      </c>
      <c r="B1138" s="232" t="s">
        <v>2649</v>
      </c>
      <c r="C1138" s="232">
        <v>0.0</v>
      </c>
      <c r="D1138" s="232">
        <v>0.0</v>
      </c>
      <c r="F1138" t="s">
        <v>7702</v>
      </c>
      <c r="G1138" t="s">
        <v>310</v>
      </c>
      <c r="H1138" t="s">
        <v>45</v>
      </c>
      <c r="I1138" t="s">
        <v>7800</v>
      </c>
    </row>
    <row r="1139">
      <c r="A1139" t="s">
        <v>2652</v>
      </c>
      <c r="B1139" s="232" t="s">
        <v>2651</v>
      </c>
      <c r="C1139" s="232">
        <v>0.0</v>
      </c>
      <c r="D1139" s="232">
        <v>0.0</v>
      </c>
      <c r="F1139" t="s">
        <v>7702</v>
      </c>
      <c r="G1139" t="s">
        <v>330</v>
      </c>
      <c r="H1139" t="s">
        <v>45</v>
      </c>
      <c r="I1139" t="s">
        <v>7758</v>
      </c>
    </row>
    <row r="1140">
      <c r="A1140" t="s">
        <v>2654</v>
      </c>
      <c r="B1140" s="232" t="s">
        <v>2653</v>
      </c>
      <c r="C1140" s="232">
        <v>0.0</v>
      </c>
      <c r="D1140" s="232">
        <v>0.0</v>
      </c>
      <c r="F1140" t="s">
        <v>7702</v>
      </c>
      <c r="G1140" t="s">
        <v>310</v>
      </c>
      <c r="H1140" t="s">
        <v>45</v>
      </c>
      <c r="I1140" t="s">
        <v>7800</v>
      </c>
    </row>
    <row r="1141">
      <c r="A1141" t="s">
        <v>2656</v>
      </c>
      <c r="B1141" s="232" t="s">
        <v>2655</v>
      </c>
      <c r="C1141" s="232">
        <v>0.0</v>
      </c>
      <c r="D1141" s="232">
        <v>0.0</v>
      </c>
      <c r="F1141" t="s">
        <v>7702</v>
      </c>
      <c r="G1141" t="s">
        <v>330</v>
      </c>
      <c r="H1141" t="s">
        <v>45</v>
      </c>
      <c r="I1141" t="s">
        <v>7800</v>
      </c>
    </row>
    <row r="1142">
      <c r="A1142" t="s">
        <v>2658</v>
      </c>
      <c r="B1142" s="232" t="s">
        <v>2657</v>
      </c>
      <c r="C1142" s="232">
        <v>0.0</v>
      </c>
      <c r="D1142" s="232">
        <v>0.0</v>
      </c>
      <c r="F1142" t="s">
        <v>7702</v>
      </c>
      <c r="G1142" t="s">
        <v>310</v>
      </c>
      <c r="H1142" t="s">
        <v>45</v>
      </c>
      <c r="I1142" t="s">
        <v>7754</v>
      </c>
    </row>
    <row r="1143">
      <c r="A1143" t="s">
        <v>2660</v>
      </c>
      <c r="B1143" s="232" t="s">
        <v>2659</v>
      </c>
      <c r="C1143" s="232">
        <v>0.0</v>
      </c>
      <c r="D1143" s="232">
        <v>0.0</v>
      </c>
      <c r="F1143" t="s">
        <v>7702</v>
      </c>
      <c r="G1143" t="s">
        <v>310</v>
      </c>
      <c r="H1143" t="s">
        <v>45</v>
      </c>
      <c r="I1143" t="s">
        <v>7752</v>
      </c>
    </row>
    <row r="1144">
      <c r="A1144" t="s">
        <v>2662</v>
      </c>
      <c r="B1144" s="232" t="s">
        <v>2661</v>
      </c>
      <c r="C1144" s="232">
        <v>0.0</v>
      </c>
      <c r="D1144" s="232">
        <v>0.0</v>
      </c>
      <c r="F1144" t="s">
        <v>7702</v>
      </c>
      <c r="G1144" t="s">
        <v>330</v>
      </c>
      <c r="H1144" t="s">
        <v>45</v>
      </c>
      <c r="I1144" t="s">
        <v>7755</v>
      </c>
    </row>
    <row r="1145">
      <c r="A1145" t="s">
        <v>2664</v>
      </c>
      <c r="B1145" s="232" t="s">
        <v>2663</v>
      </c>
      <c r="C1145" s="232">
        <v>0.0</v>
      </c>
      <c r="D1145" s="232">
        <v>0.0</v>
      </c>
      <c r="F1145" t="s">
        <v>7702</v>
      </c>
      <c r="G1145" t="s">
        <v>310</v>
      </c>
      <c r="H1145" t="s">
        <v>45</v>
      </c>
      <c r="I1145" t="s">
        <v>7800</v>
      </c>
    </row>
    <row r="1146">
      <c r="A1146" t="s">
        <v>2666</v>
      </c>
      <c r="B1146" s="232" t="s">
        <v>2665</v>
      </c>
      <c r="C1146" s="232">
        <v>0.0</v>
      </c>
      <c r="D1146" s="232">
        <v>0.0</v>
      </c>
      <c r="F1146" t="s">
        <v>7702</v>
      </c>
      <c r="G1146" t="s">
        <v>310</v>
      </c>
      <c r="H1146" t="s">
        <v>45</v>
      </c>
      <c r="I1146" t="s">
        <v>7800</v>
      </c>
    </row>
    <row r="1147">
      <c r="A1147" t="s">
        <v>2668</v>
      </c>
      <c r="B1147" s="232" t="s">
        <v>2667</v>
      </c>
      <c r="C1147" s="232">
        <v>0.0</v>
      </c>
      <c r="D1147" s="232">
        <v>0.0</v>
      </c>
      <c r="F1147" t="s">
        <v>7702</v>
      </c>
      <c r="G1147" t="s">
        <v>310</v>
      </c>
      <c r="H1147" t="s">
        <v>45</v>
      </c>
      <c r="I1147" t="s">
        <v>7758</v>
      </c>
    </row>
    <row r="1148">
      <c r="A1148" t="s">
        <v>2670</v>
      </c>
      <c r="B1148" s="232" t="s">
        <v>2669</v>
      </c>
      <c r="C1148" s="232">
        <v>0.0</v>
      </c>
      <c r="D1148" s="232">
        <v>0.0</v>
      </c>
      <c r="F1148" t="s">
        <v>7702</v>
      </c>
      <c r="G1148" t="s">
        <v>310</v>
      </c>
      <c r="H1148" t="s">
        <v>45</v>
      </c>
      <c r="I1148" t="s">
        <v>7800</v>
      </c>
    </row>
    <row r="1149">
      <c r="A1149" t="s">
        <v>2672</v>
      </c>
      <c r="B1149" s="232" t="s">
        <v>2671</v>
      </c>
      <c r="C1149" s="232">
        <v>0.0</v>
      </c>
      <c r="D1149" s="232">
        <v>0.0</v>
      </c>
      <c r="F1149" t="s">
        <v>7702</v>
      </c>
      <c r="G1149" t="s">
        <v>310</v>
      </c>
      <c r="H1149" t="s">
        <v>45</v>
      </c>
      <c r="I1149" t="s">
        <v>7800</v>
      </c>
    </row>
    <row r="1150">
      <c r="A1150" t="s">
        <v>2674</v>
      </c>
      <c r="B1150" s="232" t="s">
        <v>2673</v>
      </c>
      <c r="C1150" s="232">
        <v>0.0</v>
      </c>
      <c r="D1150" s="232">
        <v>0.0</v>
      </c>
      <c r="F1150" t="s">
        <v>7702</v>
      </c>
      <c r="G1150" t="s">
        <v>310</v>
      </c>
      <c r="H1150" t="s">
        <v>45</v>
      </c>
      <c r="I1150" t="s">
        <v>7754</v>
      </c>
    </row>
    <row r="1151">
      <c r="A1151" t="s">
        <v>2676</v>
      </c>
      <c r="B1151" s="232" t="s">
        <v>2675</v>
      </c>
      <c r="C1151" s="232">
        <v>0.0</v>
      </c>
      <c r="D1151" s="232">
        <v>0.0</v>
      </c>
      <c r="F1151" t="s">
        <v>7702</v>
      </c>
      <c r="G1151" t="s">
        <v>310</v>
      </c>
      <c r="H1151" t="s">
        <v>45</v>
      </c>
      <c r="I1151" t="s">
        <v>7752</v>
      </c>
    </row>
    <row r="1152">
      <c r="A1152" t="s">
        <v>2678</v>
      </c>
      <c r="B1152" s="232" t="s">
        <v>2677</v>
      </c>
      <c r="C1152" s="232">
        <v>0.0</v>
      </c>
      <c r="D1152" s="232">
        <v>0.0</v>
      </c>
      <c r="F1152" t="s">
        <v>7702</v>
      </c>
      <c r="G1152" t="s">
        <v>310</v>
      </c>
      <c r="H1152" t="s">
        <v>45</v>
      </c>
      <c r="I1152" t="s">
        <v>7755</v>
      </c>
    </row>
    <row r="1153">
      <c r="A1153" t="s">
        <v>2680</v>
      </c>
      <c r="B1153" s="232" t="s">
        <v>2679</v>
      </c>
      <c r="C1153" s="232">
        <v>0.0</v>
      </c>
      <c r="D1153" s="232">
        <v>0.0</v>
      </c>
      <c r="F1153" t="s">
        <v>7702</v>
      </c>
      <c r="G1153" t="s">
        <v>310</v>
      </c>
      <c r="H1153" t="s">
        <v>45</v>
      </c>
      <c r="I1153" t="s">
        <v>7800</v>
      </c>
    </row>
    <row r="1154">
      <c r="A1154" t="s">
        <v>2682</v>
      </c>
      <c r="B1154" s="232" t="s">
        <v>2681</v>
      </c>
      <c r="C1154" s="232">
        <v>0.0</v>
      </c>
      <c r="D1154" s="232">
        <v>0.0</v>
      </c>
      <c r="F1154" t="s">
        <v>7702</v>
      </c>
      <c r="G1154" t="s">
        <v>310</v>
      </c>
      <c r="H1154" t="s">
        <v>45</v>
      </c>
      <c r="I1154" t="s">
        <v>7800</v>
      </c>
    </row>
    <row r="1155">
      <c r="A1155" t="s">
        <v>2684</v>
      </c>
      <c r="B1155" s="232" t="s">
        <v>2683</v>
      </c>
      <c r="C1155" s="232">
        <v>0.0</v>
      </c>
      <c r="D1155" s="232">
        <v>0.0</v>
      </c>
      <c r="F1155" t="s">
        <v>7702</v>
      </c>
      <c r="G1155" t="s">
        <v>330</v>
      </c>
      <c r="H1155" t="s">
        <v>45</v>
      </c>
      <c r="I1155" t="s">
        <v>7758</v>
      </c>
    </row>
    <row r="1156">
      <c r="A1156" t="s">
        <v>2686</v>
      </c>
      <c r="B1156" s="232" t="s">
        <v>2685</v>
      </c>
      <c r="C1156" s="232">
        <v>0.0</v>
      </c>
      <c r="D1156" s="232">
        <v>0.0</v>
      </c>
      <c r="F1156" t="s">
        <v>7702</v>
      </c>
      <c r="G1156" t="s">
        <v>310</v>
      </c>
      <c r="H1156" t="s">
        <v>45</v>
      </c>
      <c r="I1156" t="s">
        <v>7800</v>
      </c>
    </row>
    <row r="1157">
      <c r="A1157" t="s">
        <v>2688</v>
      </c>
      <c r="B1157" s="232" t="s">
        <v>2687</v>
      </c>
      <c r="C1157" s="232">
        <v>0.0</v>
      </c>
      <c r="D1157" s="232">
        <v>0.0</v>
      </c>
      <c r="F1157" t="s">
        <v>7702</v>
      </c>
      <c r="G1157" t="s">
        <v>310</v>
      </c>
      <c r="H1157" t="s">
        <v>45</v>
      </c>
      <c r="I1157" t="s">
        <v>7800</v>
      </c>
    </row>
    <row r="1158">
      <c r="A1158" t="s">
        <v>2690</v>
      </c>
      <c r="B1158" s="232" t="s">
        <v>2689</v>
      </c>
      <c r="C1158" s="232">
        <v>0.0</v>
      </c>
      <c r="D1158" s="232">
        <v>0.0</v>
      </c>
      <c r="F1158" t="s">
        <v>7702</v>
      </c>
      <c r="G1158" t="s">
        <v>310</v>
      </c>
      <c r="H1158" t="s">
        <v>45</v>
      </c>
      <c r="I1158" t="s">
        <v>7754</v>
      </c>
    </row>
    <row r="1159">
      <c r="A1159" t="s">
        <v>2692</v>
      </c>
      <c r="B1159" s="232" t="s">
        <v>2691</v>
      </c>
      <c r="C1159" s="232">
        <v>0.0</v>
      </c>
      <c r="D1159" s="232">
        <v>0.0</v>
      </c>
      <c r="F1159" t="s">
        <v>7702</v>
      </c>
      <c r="G1159" t="s">
        <v>330</v>
      </c>
      <c r="H1159" t="s">
        <v>45</v>
      </c>
      <c r="I1159" t="s">
        <v>7800</v>
      </c>
    </row>
    <row r="1160">
      <c r="A1160" t="s">
        <v>2695</v>
      </c>
      <c r="B1160" s="232">
        <v>78797.0</v>
      </c>
      <c r="C1160" s="232">
        <v>0.0</v>
      </c>
      <c r="D1160" s="232">
        <v>0.0</v>
      </c>
      <c r="F1160" t="s">
        <v>7702</v>
      </c>
      <c r="G1160" t="s">
        <v>310</v>
      </c>
      <c r="H1160" t="s">
        <v>7703</v>
      </c>
      <c r="I1160" t="s">
        <v>7786</v>
      </c>
    </row>
    <row r="1161">
      <c r="A1161" t="s">
        <v>2697</v>
      </c>
      <c r="B1161" s="232" t="s">
        <v>2696</v>
      </c>
      <c r="C1161" s="232">
        <v>324.0</v>
      </c>
      <c r="D1161" s="232">
        <v>1571.91</v>
      </c>
      <c r="E1161" s="232">
        <v>4.8516</v>
      </c>
      <c r="F1161" t="s">
        <v>7702</v>
      </c>
      <c r="G1161" t="s">
        <v>330</v>
      </c>
      <c r="H1161" t="s">
        <v>7709</v>
      </c>
      <c r="I1161" t="s">
        <v>7801</v>
      </c>
    </row>
    <row r="1162">
      <c r="A1162" t="s">
        <v>2701</v>
      </c>
      <c r="B1162" s="232" t="s">
        <v>2700</v>
      </c>
      <c r="C1162" s="232">
        <v>261.0</v>
      </c>
      <c r="D1162" s="232">
        <v>1298.48</v>
      </c>
      <c r="E1162" s="232">
        <v>4.975</v>
      </c>
      <c r="F1162" t="s">
        <v>7702</v>
      </c>
      <c r="G1162" t="s">
        <v>330</v>
      </c>
      <c r="H1162" t="s">
        <v>7709</v>
      </c>
      <c r="I1162" t="s">
        <v>7801</v>
      </c>
    </row>
    <row r="1163">
      <c r="A1163" t="s">
        <v>2703</v>
      </c>
      <c r="B1163" s="232" t="s">
        <v>2702</v>
      </c>
      <c r="C1163" s="232">
        <v>643.0</v>
      </c>
      <c r="D1163" s="232">
        <v>3157.11</v>
      </c>
      <c r="E1163" s="232">
        <v>4.91</v>
      </c>
      <c r="F1163" t="s">
        <v>7702</v>
      </c>
      <c r="G1163" t="s">
        <v>330</v>
      </c>
      <c r="H1163" t="s">
        <v>7709</v>
      </c>
      <c r="I1163" t="s">
        <v>7801</v>
      </c>
    </row>
    <row r="1164">
      <c r="A1164" t="s">
        <v>2705</v>
      </c>
      <c r="B1164" s="232" t="s">
        <v>2704</v>
      </c>
      <c r="C1164" s="232">
        <v>330.0</v>
      </c>
      <c r="D1164" s="232">
        <v>1641.65</v>
      </c>
      <c r="E1164" s="232">
        <v>4.9747</v>
      </c>
      <c r="F1164" t="s">
        <v>7702</v>
      </c>
      <c r="G1164" t="s">
        <v>330</v>
      </c>
      <c r="H1164" t="s">
        <v>7709</v>
      </c>
      <c r="I1164" t="s">
        <v>7801</v>
      </c>
    </row>
    <row r="1165">
      <c r="A1165" t="s">
        <v>2707</v>
      </c>
      <c r="B1165" s="232" t="s">
        <v>2706</v>
      </c>
      <c r="C1165" s="232">
        <v>183.0</v>
      </c>
      <c r="D1165" s="232">
        <v>910.57</v>
      </c>
      <c r="E1165" s="232">
        <v>4.9758</v>
      </c>
      <c r="F1165" t="s">
        <v>7702</v>
      </c>
      <c r="G1165" t="s">
        <v>330</v>
      </c>
      <c r="H1165" t="s">
        <v>7709</v>
      </c>
      <c r="I1165" t="s">
        <v>7801</v>
      </c>
    </row>
    <row r="1166">
      <c r="A1166" t="s">
        <v>2709</v>
      </c>
      <c r="B1166" s="232" t="s">
        <v>2708</v>
      </c>
      <c r="C1166" s="232">
        <v>0.0</v>
      </c>
      <c r="D1166" s="232">
        <v>0.0</v>
      </c>
      <c r="F1166" t="s">
        <v>7702</v>
      </c>
      <c r="G1166" t="s">
        <v>310</v>
      </c>
      <c r="H1166" t="s">
        <v>7703</v>
      </c>
      <c r="I1166" t="s">
        <v>7765</v>
      </c>
    </row>
    <row r="1167">
      <c r="A1167" t="s">
        <v>2713</v>
      </c>
      <c r="B1167" s="232" t="s">
        <v>2712</v>
      </c>
      <c r="C1167" s="232">
        <v>0.0</v>
      </c>
      <c r="D1167" s="232">
        <v>0.0</v>
      </c>
      <c r="F1167" t="s">
        <v>7702</v>
      </c>
      <c r="G1167" t="s">
        <v>310</v>
      </c>
      <c r="H1167" t="s">
        <v>7703</v>
      </c>
      <c r="I1167" t="s">
        <v>7765</v>
      </c>
    </row>
    <row r="1168">
      <c r="A1168" t="s">
        <v>2715</v>
      </c>
      <c r="B1168" s="232" t="s">
        <v>2714</v>
      </c>
      <c r="C1168" s="232">
        <v>0.0</v>
      </c>
      <c r="D1168" s="232">
        <v>0.0</v>
      </c>
      <c r="F1168" t="s">
        <v>7702</v>
      </c>
      <c r="G1168" t="s">
        <v>310</v>
      </c>
      <c r="H1168" t="s">
        <v>7703</v>
      </c>
      <c r="I1168" t="s">
        <v>7765</v>
      </c>
    </row>
    <row r="1169">
      <c r="A1169" t="s">
        <v>2717</v>
      </c>
      <c r="B1169" s="232" t="s">
        <v>2716</v>
      </c>
      <c r="C1169" s="232">
        <v>349.0</v>
      </c>
      <c r="D1169" s="232">
        <v>1820.89</v>
      </c>
      <c r="E1169" s="232">
        <v>5.2174</v>
      </c>
      <c r="F1169" t="s">
        <v>7702</v>
      </c>
      <c r="G1169" t="s">
        <v>330</v>
      </c>
      <c r="H1169" t="s">
        <v>7709</v>
      </c>
      <c r="I1169" t="s">
        <v>7801</v>
      </c>
    </row>
    <row r="1170">
      <c r="A1170" t="s">
        <v>2719</v>
      </c>
      <c r="B1170" s="232" t="s">
        <v>2718</v>
      </c>
      <c r="C1170" s="232">
        <v>501.0</v>
      </c>
      <c r="D1170" s="232">
        <v>2613.82</v>
      </c>
      <c r="E1170" s="232">
        <v>5.2172</v>
      </c>
      <c r="F1170" t="s">
        <v>7702</v>
      </c>
      <c r="G1170" t="s">
        <v>330</v>
      </c>
      <c r="H1170" t="s">
        <v>45</v>
      </c>
      <c r="I1170" t="s">
        <v>7801</v>
      </c>
    </row>
    <row r="1171">
      <c r="A1171" t="s">
        <v>2721</v>
      </c>
      <c r="B1171" s="232" t="s">
        <v>2720</v>
      </c>
      <c r="C1171" s="232">
        <v>426.0</v>
      </c>
      <c r="D1171" s="232">
        <v>2066.62</v>
      </c>
      <c r="E1171" s="232">
        <v>4.8512</v>
      </c>
      <c r="F1171" t="s">
        <v>7702</v>
      </c>
      <c r="G1171" t="s">
        <v>330</v>
      </c>
      <c r="H1171" t="s">
        <v>7709</v>
      </c>
      <c r="I1171" t="s">
        <v>7801</v>
      </c>
    </row>
    <row r="1172">
      <c r="A1172" t="s">
        <v>2723</v>
      </c>
      <c r="B1172" s="232" t="s">
        <v>2722</v>
      </c>
      <c r="C1172" s="232">
        <v>526.0</v>
      </c>
      <c r="D1172" s="232">
        <v>2740.07</v>
      </c>
      <c r="E1172" s="232">
        <v>5.2093</v>
      </c>
      <c r="F1172" t="s">
        <v>7702</v>
      </c>
      <c r="G1172" t="s">
        <v>330</v>
      </c>
      <c r="H1172" t="s">
        <v>7709</v>
      </c>
      <c r="I1172" t="s">
        <v>7801</v>
      </c>
    </row>
    <row r="1173">
      <c r="A1173" t="s">
        <v>2725</v>
      </c>
      <c r="B1173" s="232" t="s">
        <v>2724</v>
      </c>
      <c r="C1173" s="232">
        <v>0.0</v>
      </c>
      <c r="D1173" s="232">
        <v>0.0</v>
      </c>
      <c r="F1173" t="s">
        <v>7702</v>
      </c>
      <c r="G1173" t="s">
        <v>310</v>
      </c>
      <c r="H1173" t="s">
        <v>7703</v>
      </c>
      <c r="I1173" t="s">
        <v>7765</v>
      </c>
    </row>
    <row r="1174">
      <c r="A1174" t="s">
        <v>2727</v>
      </c>
      <c r="B1174" s="232" t="s">
        <v>2726</v>
      </c>
      <c r="C1174" s="232">
        <v>158.0</v>
      </c>
      <c r="D1174" s="232">
        <v>630.19</v>
      </c>
      <c r="E1174" s="232">
        <v>3.9885</v>
      </c>
      <c r="F1174" t="s">
        <v>7702</v>
      </c>
      <c r="G1174" t="s">
        <v>330</v>
      </c>
      <c r="H1174" t="s">
        <v>45</v>
      </c>
      <c r="I1174" t="s">
        <v>7801</v>
      </c>
    </row>
    <row r="1175">
      <c r="A1175" t="s">
        <v>2729</v>
      </c>
      <c r="B1175" s="232" t="s">
        <v>2728</v>
      </c>
      <c r="C1175" s="232">
        <v>0.0</v>
      </c>
      <c r="D1175" s="232">
        <v>0.0</v>
      </c>
      <c r="F1175" t="s">
        <v>7702</v>
      </c>
      <c r="G1175" t="s">
        <v>310</v>
      </c>
      <c r="H1175" t="s">
        <v>7703</v>
      </c>
      <c r="I1175" t="s">
        <v>7765</v>
      </c>
    </row>
    <row r="1176">
      <c r="A1176" t="s">
        <v>2731</v>
      </c>
      <c r="B1176" s="232" t="s">
        <v>2730</v>
      </c>
      <c r="C1176" s="232">
        <v>0.0</v>
      </c>
      <c r="D1176" s="232">
        <v>0.0</v>
      </c>
      <c r="F1176" t="s">
        <v>7702</v>
      </c>
      <c r="G1176" t="s">
        <v>310</v>
      </c>
      <c r="H1176" t="s">
        <v>45</v>
      </c>
      <c r="I1176" t="s">
        <v>7765</v>
      </c>
    </row>
    <row r="1177">
      <c r="A1177" t="s">
        <v>2735</v>
      </c>
      <c r="B1177" s="232" t="s">
        <v>2734</v>
      </c>
      <c r="C1177" s="232">
        <v>0.0</v>
      </c>
      <c r="D1177" s="232">
        <v>0.0</v>
      </c>
      <c r="F1177" t="s">
        <v>7702</v>
      </c>
      <c r="G1177" t="s">
        <v>310</v>
      </c>
      <c r="H1177" t="s">
        <v>7703</v>
      </c>
      <c r="I1177" t="s">
        <v>151</v>
      </c>
    </row>
    <row r="1178">
      <c r="A1178" t="s">
        <v>2737</v>
      </c>
      <c r="B1178" s="232" t="s">
        <v>2736</v>
      </c>
      <c r="C1178" s="232">
        <v>0.0</v>
      </c>
      <c r="D1178" s="232">
        <v>0.0</v>
      </c>
      <c r="F1178" t="s">
        <v>7702</v>
      </c>
      <c r="G1178" t="s">
        <v>310</v>
      </c>
      <c r="H1178" t="s">
        <v>45</v>
      </c>
      <c r="I1178" t="s">
        <v>166</v>
      </c>
    </row>
    <row r="1179">
      <c r="A1179" t="s">
        <v>2741</v>
      </c>
      <c r="B1179" s="232" t="s">
        <v>2740</v>
      </c>
      <c r="C1179" s="232">
        <v>0.0</v>
      </c>
      <c r="D1179" s="232">
        <v>0.0</v>
      </c>
      <c r="F1179" t="s">
        <v>7702</v>
      </c>
      <c r="G1179" t="s">
        <v>310</v>
      </c>
      <c r="H1179" t="s">
        <v>45</v>
      </c>
      <c r="I1179" t="s">
        <v>166</v>
      </c>
    </row>
    <row r="1180">
      <c r="A1180" t="s">
        <v>2743</v>
      </c>
      <c r="B1180" s="232" t="s">
        <v>2742</v>
      </c>
      <c r="C1180" s="232">
        <v>491.0</v>
      </c>
      <c r="D1180" s="232">
        <v>2408.63</v>
      </c>
      <c r="E1180" s="232">
        <v>4.9056</v>
      </c>
      <c r="F1180" t="s">
        <v>7702</v>
      </c>
      <c r="G1180" t="s">
        <v>330</v>
      </c>
      <c r="H1180" t="s">
        <v>150</v>
      </c>
      <c r="I1180" t="s">
        <v>166</v>
      </c>
    </row>
    <row r="1181">
      <c r="A1181" t="s">
        <v>2745</v>
      </c>
      <c r="B1181" s="232" t="s">
        <v>2744</v>
      </c>
      <c r="C1181" s="232">
        <v>188.0</v>
      </c>
      <c r="D1181" s="232">
        <v>1112.7</v>
      </c>
      <c r="E1181" s="232">
        <v>5.9186</v>
      </c>
      <c r="F1181" t="s">
        <v>7702</v>
      </c>
      <c r="G1181" t="s">
        <v>330</v>
      </c>
      <c r="H1181" t="s">
        <v>150</v>
      </c>
      <c r="I1181" t="s">
        <v>166</v>
      </c>
    </row>
    <row r="1182">
      <c r="A1182" t="s">
        <v>2747</v>
      </c>
      <c r="B1182" s="232" t="s">
        <v>2746</v>
      </c>
      <c r="C1182" s="232">
        <v>593.0</v>
      </c>
      <c r="D1182" s="232">
        <v>2742.41</v>
      </c>
      <c r="E1182" s="232">
        <v>4.6246</v>
      </c>
      <c r="F1182" t="s">
        <v>7702</v>
      </c>
      <c r="G1182" t="s">
        <v>330</v>
      </c>
      <c r="H1182" t="s">
        <v>150</v>
      </c>
      <c r="I1182" t="s">
        <v>166</v>
      </c>
    </row>
    <row r="1183">
      <c r="A1183" t="s">
        <v>2749</v>
      </c>
      <c r="B1183" s="232" t="s">
        <v>2748</v>
      </c>
      <c r="C1183" s="232">
        <v>248.0</v>
      </c>
      <c r="D1183" s="232">
        <v>1300.46</v>
      </c>
      <c r="E1183" s="232">
        <v>5.2438</v>
      </c>
      <c r="F1183" t="s">
        <v>7702</v>
      </c>
      <c r="G1183" t="s">
        <v>330</v>
      </c>
      <c r="H1183" t="s">
        <v>150</v>
      </c>
      <c r="I1183" t="s">
        <v>166</v>
      </c>
    </row>
    <row r="1184">
      <c r="A1184" t="s">
        <v>2751</v>
      </c>
      <c r="B1184" s="232" t="s">
        <v>2750</v>
      </c>
      <c r="C1184" s="232">
        <v>0.0</v>
      </c>
      <c r="D1184" s="232">
        <v>0.0</v>
      </c>
      <c r="F1184" t="s">
        <v>7702</v>
      </c>
      <c r="G1184" t="s">
        <v>330</v>
      </c>
      <c r="H1184" t="s">
        <v>45</v>
      </c>
      <c r="I1184" t="s">
        <v>166</v>
      </c>
    </row>
    <row r="1185">
      <c r="A1185" t="s">
        <v>2753</v>
      </c>
      <c r="B1185" s="232" t="s">
        <v>2752</v>
      </c>
      <c r="C1185" s="232">
        <v>728.0</v>
      </c>
      <c r="D1185" s="232">
        <v>3353.92</v>
      </c>
      <c r="E1185" s="232">
        <v>4.607</v>
      </c>
      <c r="F1185" t="s">
        <v>7702</v>
      </c>
      <c r="G1185" t="s">
        <v>330</v>
      </c>
      <c r="H1185" t="s">
        <v>150</v>
      </c>
      <c r="I1185" t="s">
        <v>166</v>
      </c>
    </row>
    <row r="1186">
      <c r="A1186" t="s">
        <v>2757</v>
      </c>
      <c r="B1186" s="232" t="s">
        <v>2756</v>
      </c>
      <c r="C1186" s="232">
        <v>0.0</v>
      </c>
      <c r="D1186" s="232">
        <v>0.0</v>
      </c>
      <c r="F1186" t="s">
        <v>7702</v>
      </c>
      <c r="G1186" t="s">
        <v>310</v>
      </c>
      <c r="H1186" t="s">
        <v>7725</v>
      </c>
    </row>
    <row r="1187">
      <c r="A1187" t="s">
        <v>2759</v>
      </c>
      <c r="B1187" s="232" t="s">
        <v>2758</v>
      </c>
      <c r="C1187" s="232">
        <v>1.0</v>
      </c>
      <c r="D1187" s="232">
        <v>0.0</v>
      </c>
      <c r="E1187" s="232">
        <v>0.0</v>
      </c>
      <c r="F1187" t="s">
        <v>7732</v>
      </c>
      <c r="G1187" t="s">
        <v>330</v>
      </c>
      <c r="H1187" t="s">
        <v>45</v>
      </c>
    </row>
    <row r="1188">
      <c r="A1188" t="s">
        <v>2764</v>
      </c>
      <c r="B1188" s="232" t="s">
        <v>2763</v>
      </c>
      <c r="C1188" s="232">
        <v>0.0</v>
      </c>
      <c r="D1188" s="232">
        <v>0.0</v>
      </c>
      <c r="F1188" t="s">
        <v>7702</v>
      </c>
      <c r="G1188" t="s">
        <v>310</v>
      </c>
      <c r="H1188" t="s">
        <v>7703</v>
      </c>
      <c r="I1188" t="s">
        <v>7718</v>
      </c>
    </row>
    <row r="1189">
      <c r="A1189" t="s">
        <v>2766</v>
      </c>
      <c r="B1189" s="232" t="s">
        <v>2765</v>
      </c>
      <c r="C1189" s="232">
        <v>0.0</v>
      </c>
      <c r="D1189" s="232">
        <v>0.0</v>
      </c>
      <c r="F1189" t="s">
        <v>7702</v>
      </c>
      <c r="G1189" t="s">
        <v>310</v>
      </c>
      <c r="H1189" t="s">
        <v>7703</v>
      </c>
      <c r="I1189" t="s">
        <v>7802</v>
      </c>
    </row>
    <row r="1190">
      <c r="A1190" t="s">
        <v>2768</v>
      </c>
      <c r="B1190" s="232" t="s">
        <v>2767</v>
      </c>
      <c r="C1190" s="232">
        <v>0.0</v>
      </c>
      <c r="D1190" s="232">
        <v>0.0</v>
      </c>
      <c r="F1190" t="s">
        <v>7702</v>
      </c>
      <c r="G1190" t="s">
        <v>310</v>
      </c>
      <c r="H1190" t="s">
        <v>7703</v>
      </c>
      <c r="I1190" t="s">
        <v>7802</v>
      </c>
    </row>
    <row r="1191">
      <c r="A1191" t="s">
        <v>2770</v>
      </c>
      <c r="B1191" s="232" t="s">
        <v>2769</v>
      </c>
      <c r="C1191" s="232">
        <v>8.0</v>
      </c>
      <c r="D1191" s="232">
        <v>43.6</v>
      </c>
      <c r="E1191" s="232">
        <v>5.45</v>
      </c>
      <c r="F1191" t="s">
        <v>7702</v>
      </c>
      <c r="G1191" t="s">
        <v>330</v>
      </c>
      <c r="H1191" t="s">
        <v>45</v>
      </c>
      <c r="I1191" t="s">
        <v>7714</v>
      </c>
    </row>
    <row r="1192">
      <c r="A1192" t="s">
        <v>2772</v>
      </c>
      <c r="B1192" s="232" t="s">
        <v>2771</v>
      </c>
      <c r="C1192" s="232">
        <v>684.0</v>
      </c>
      <c r="D1192" s="232">
        <v>1086.43</v>
      </c>
      <c r="E1192" s="232">
        <v>1.5883</v>
      </c>
      <c r="F1192" t="s">
        <v>7702</v>
      </c>
      <c r="G1192" t="s">
        <v>330</v>
      </c>
      <c r="H1192" t="s">
        <v>45</v>
      </c>
      <c r="I1192" t="s">
        <v>7742</v>
      </c>
    </row>
    <row r="1193">
      <c r="A1193" t="s">
        <v>2774</v>
      </c>
      <c r="B1193" s="232" t="s">
        <v>2773</v>
      </c>
      <c r="C1193" s="232">
        <v>655.0</v>
      </c>
      <c r="D1193" s="232">
        <v>1040.37</v>
      </c>
      <c r="E1193" s="232">
        <v>1.5884</v>
      </c>
      <c r="F1193" t="s">
        <v>7702</v>
      </c>
      <c r="G1193" t="s">
        <v>330</v>
      </c>
      <c r="H1193" t="s">
        <v>45</v>
      </c>
      <c r="I1193" t="s">
        <v>7742</v>
      </c>
    </row>
    <row r="1194">
      <c r="A1194" t="s">
        <v>2776</v>
      </c>
      <c r="B1194" s="232" t="s">
        <v>2775</v>
      </c>
      <c r="C1194" s="232">
        <v>42.0</v>
      </c>
      <c r="D1194" s="232">
        <v>74.92</v>
      </c>
      <c r="E1194" s="232">
        <v>1.7838</v>
      </c>
      <c r="F1194" t="s">
        <v>7702</v>
      </c>
      <c r="G1194" t="s">
        <v>330</v>
      </c>
      <c r="H1194" t="s">
        <v>45</v>
      </c>
      <c r="I1194" t="s">
        <v>7742</v>
      </c>
    </row>
    <row r="1195">
      <c r="A1195" t="s">
        <v>2778</v>
      </c>
      <c r="B1195" s="232" t="s">
        <v>2777</v>
      </c>
      <c r="C1195" s="232">
        <v>210.0</v>
      </c>
      <c r="D1195" s="232">
        <v>333.23</v>
      </c>
      <c r="E1195" s="232">
        <v>1.5868</v>
      </c>
      <c r="F1195" t="s">
        <v>7702</v>
      </c>
      <c r="G1195" t="s">
        <v>330</v>
      </c>
      <c r="H1195" t="s">
        <v>150</v>
      </c>
      <c r="I1195" t="s">
        <v>7742</v>
      </c>
    </row>
    <row r="1196">
      <c r="A1196" t="s">
        <v>2780</v>
      </c>
      <c r="B1196" s="232" t="s">
        <v>2779</v>
      </c>
      <c r="C1196" s="232">
        <v>360.0</v>
      </c>
      <c r="D1196" s="232">
        <v>571.81</v>
      </c>
      <c r="E1196" s="232">
        <v>1.5884</v>
      </c>
      <c r="F1196" t="s">
        <v>7702</v>
      </c>
      <c r="G1196" t="s">
        <v>330</v>
      </c>
      <c r="H1196" t="s">
        <v>45</v>
      </c>
      <c r="I1196" t="s">
        <v>7742</v>
      </c>
    </row>
    <row r="1197">
      <c r="A1197" t="s">
        <v>2782</v>
      </c>
      <c r="B1197" s="232" t="s">
        <v>2781</v>
      </c>
      <c r="C1197" s="232">
        <v>52.0</v>
      </c>
      <c r="D1197" s="232">
        <v>93.09</v>
      </c>
      <c r="E1197" s="232">
        <v>1.7902</v>
      </c>
      <c r="F1197" t="s">
        <v>7702</v>
      </c>
      <c r="G1197" t="s">
        <v>330</v>
      </c>
      <c r="H1197" t="s">
        <v>45</v>
      </c>
      <c r="I1197" t="s">
        <v>7742</v>
      </c>
    </row>
    <row r="1198">
      <c r="A1198" t="s">
        <v>2784</v>
      </c>
      <c r="B1198" s="232" t="s">
        <v>2783</v>
      </c>
      <c r="C1198" s="232">
        <v>3.0</v>
      </c>
      <c r="D1198" s="232">
        <v>166.36</v>
      </c>
      <c r="E1198" s="232">
        <v>55.4533</v>
      </c>
      <c r="F1198" t="s">
        <v>7702</v>
      </c>
      <c r="G1198" t="s">
        <v>330</v>
      </c>
      <c r="H1198" t="s">
        <v>150</v>
      </c>
      <c r="I1198" t="s">
        <v>7742</v>
      </c>
    </row>
    <row r="1199">
      <c r="A1199" t="s">
        <v>2786</v>
      </c>
      <c r="B1199" s="232" t="s">
        <v>2785</v>
      </c>
      <c r="C1199" s="232">
        <v>0.0</v>
      </c>
      <c r="D1199" s="232">
        <v>0.0</v>
      </c>
      <c r="F1199" t="s">
        <v>7702</v>
      </c>
      <c r="G1199" t="s">
        <v>310</v>
      </c>
      <c r="H1199" t="s">
        <v>7703</v>
      </c>
      <c r="I1199" t="s">
        <v>7803</v>
      </c>
    </row>
    <row r="1200">
      <c r="A1200" t="s">
        <v>2788</v>
      </c>
      <c r="B1200" s="232" t="s">
        <v>2787</v>
      </c>
      <c r="C1200" s="232">
        <v>0.0</v>
      </c>
      <c r="D1200" s="232">
        <v>0.0</v>
      </c>
      <c r="F1200" t="s">
        <v>7702</v>
      </c>
      <c r="G1200" t="s">
        <v>310</v>
      </c>
      <c r="H1200" t="s">
        <v>7703</v>
      </c>
      <c r="I1200" t="s">
        <v>7803</v>
      </c>
    </row>
    <row r="1201">
      <c r="A1201" t="s">
        <v>2790</v>
      </c>
      <c r="B1201" s="232" t="s">
        <v>2789</v>
      </c>
      <c r="C1201" s="232">
        <v>0.0</v>
      </c>
      <c r="D1201" s="232">
        <v>0.0</v>
      </c>
      <c r="F1201" t="s">
        <v>7702</v>
      </c>
      <c r="G1201" t="s">
        <v>310</v>
      </c>
      <c r="H1201" t="s">
        <v>7703</v>
      </c>
      <c r="I1201" t="s">
        <v>7803</v>
      </c>
    </row>
    <row r="1202">
      <c r="A1202" t="s">
        <v>2792</v>
      </c>
      <c r="B1202" s="232" t="s">
        <v>2791</v>
      </c>
      <c r="C1202" s="232">
        <v>0.0</v>
      </c>
      <c r="D1202" s="232">
        <v>0.0</v>
      </c>
      <c r="F1202" t="s">
        <v>7702</v>
      </c>
      <c r="G1202" t="s">
        <v>310</v>
      </c>
      <c r="H1202" t="s">
        <v>7703</v>
      </c>
      <c r="I1202" t="s">
        <v>7803</v>
      </c>
    </row>
    <row r="1203">
      <c r="A1203" t="s">
        <v>2794</v>
      </c>
      <c r="B1203" s="232" t="s">
        <v>2793</v>
      </c>
      <c r="C1203" s="232">
        <v>0.0</v>
      </c>
      <c r="D1203" s="232">
        <v>0.0</v>
      </c>
      <c r="F1203" t="s">
        <v>7702</v>
      </c>
      <c r="G1203" t="s">
        <v>310</v>
      </c>
      <c r="H1203" t="s">
        <v>7703</v>
      </c>
      <c r="I1203" t="s">
        <v>7803</v>
      </c>
    </row>
    <row r="1204">
      <c r="A1204" t="s">
        <v>2796</v>
      </c>
      <c r="B1204" s="232" t="s">
        <v>2795</v>
      </c>
      <c r="C1204" s="232">
        <v>0.0</v>
      </c>
      <c r="D1204" s="232">
        <v>0.0</v>
      </c>
      <c r="F1204" t="s">
        <v>7702</v>
      </c>
      <c r="G1204" t="s">
        <v>310</v>
      </c>
      <c r="H1204" t="s">
        <v>7703</v>
      </c>
      <c r="I1204" t="s">
        <v>7803</v>
      </c>
    </row>
    <row r="1205">
      <c r="A1205" t="s">
        <v>2798</v>
      </c>
      <c r="B1205" s="232" t="s">
        <v>2797</v>
      </c>
      <c r="C1205" s="232">
        <v>0.0</v>
      </c>
      <c r="D1205" s="232">
        <v>0.0</v>
      </c>
      <c r="F1205" t="s">
        <v>7702</v>
      </c>
      <c r="G1205" t="s">
        <v>310</v>
      </c>
      <c r="H1205" t="s">
        <v>7703</v>
      </c>
      <c r="I1205" t="s">
        <v>151</v>
      </c>
    </row>
    <row r="1206">
      <c r="A1206" t="s">
        <v>2800</v>
      </c>
      <c r="B1206" s="232" t="s">
        <v>2799</v>
      </c>
      <c r="C1206" s="232">
        <v>0.0</v>
      </c>
      <c r="D1206" s="232">
        <v>0.0</v>
      </c>
      <c r="F1206" t="s">
        <v>7702</v>
      </c>
      <c r="G1206" t="s">
        <v>310</v>
      </c>
      <c r="H1206" t="s">
        <v>7703</v>
      </c>
      <c r="I1206" t="s">
        <v>170</v>
      </c>
    </row>
    <row r="1207">
      <c r="A1207" t="s">
        <v>2802</v>
      </c>
      <c r="B1207" s="232" t="s">
        <v>2801</v>
      </c>
      <c r="C1207" s="232">
        <v>1.0</v>
      </c>
      <c r="D1207" s="232">
        <v>244.56</v>
      </c>
      <c r="E1207" s="232">
        <v>244.56</v>
      </c>
      <c r="F1207" t="s">
        <v>7702</v>
      </c>
      <c r="G1207" t="s">
        <v>330</v>
      </c>
      <c r="H1207" t="s">
        <v>45</v>
      </c>
      <c r="I1207" t="s">
        <v>7713</v>
      </c>
    </row>
    <row r="1208">
      <c r="A1208" t="s">
        <v>2806</v>
      </c>
      <c r="B1208" s="232" t="s">
        <v>2805</v>
      </c>
      <c r="C1208" s="232">
        <v>0.0</v>
      </c>
      <c r="D1208" s="232">
        <v>0.0</v>
      </c>
      <c r="F1208" t="s">
        <v>7702</v>
      </c>
      <c r="G1208" t="s">
        <v>310</v>
      </c>
      <c r="H1208" t="s">
        <v>7703</v>
      </c>
      <c r="I1208" t="s">
        <v>170</v>
      </c>
    </row>
    <row r="1209">
      <c r="A1209" t="s">
        <v>2810</v>
      </c>
      <c r="B1209" s="232" t="s">
        <v>2809</v>
      </c>
      <c r="C1209" s="232">
        <v>0.0</v>
      </c>
      <c r="D1209" s="232">
        <v>0.0</v>
      </c>
      <c r="F1209" t="s">
        <v>7702</v>
      </c>
      <c r="G1209" t="s">
        <v>310</v>
      </c>
      <c r="H1209" t="s">
        <v>7703</v>
      </c>
      <c r="I1209" t="s">
        <v>170</v>
      </c>
    </row>
    <row r="1210">
      <c r="A1210" t="s">
        <v>171</v>
      </c>
      <c r="B1210" s="232" t="s">
        <v>172</v>
      </c>
      <c r="C1210" s="232">
        <v>713.0</v>
      </c>
      <c r="D1210" s="232">
        <v>4595.6</v>
      </c>
      <c r="E1210" s="232">
        <v>6.4454</v>
      </c>
      <c r="F1210" t="s">
        <v>7702</v>
      </c>
      <c r="G1210" t="s">
        <v>330</v>
      </c>
      <c r="H1210" t="s">
        <v>214</v>
      </c>
      <c r="I1210" t="s">
        <v>170</v>
      </c>
    </row>
    <row r="1211">
      <c r="A1211" t="s">
        <v>2814</v>
      </c>
      <c r="B1211" s="232" t="s">
        <v>2813</v>
      </c>
      <c r="C1211" s="232">
        <v>0.0</v>
      </c>
      <c r="D1211" s="232">
        <v>0.0</v>
      </c>
      <c r="F1211" t="s">
        <v>7702</v>
      </c>
      <c r="G1211" t="s">
        <v>310</v>
      </c>
      <c r="H1211" t="s">
        <v>7703</v>
      </c>
      <c r="I1211" t="s">
        <v>170</v>
      </c>
    </row>
    <row r="1212">
      <c r="A1212" t="s">
        <v>2816</v>
      </c>
      <c r="B1212" s="232" t="s">
        <v>2815</v>
      </c>
      <c r="C1212" s="232">
        <v>279.0</v>
      </c>
      <c r="D1212" s="232">
        <v>1217.49</v>
      </c>
      <c r="E1212" s="232">
        <v>4.3638</v>
      </c>
      <c r="F1212" t="s">
        <v>7702</v>
      </c>
      <c r="G1212" t="s">
        <v>330</v>
      </c>
      <c r="H1212" t="s">
        <v>214</v>
      </c>
      <c r="I1212" t="s">
        <v>7712</v>
      </c>
    </row>
    <row r="1213">
      <c r="A1213" t="s">
        <v>2818</v>
      </c>
      <c r="B1213" s="232" t="s">
        <v>2817</v>
      </c>
      <c r="C1213" s="232">
        <v>323.0</v>
      </c>
      <c r="D1213" s="232">
        <v>1448.31</v>
      </c>
      <c r="E1213" s="232">
        <v>4.4839</v>
      </c>
      <c r="F1213" t="s">
        <v>7702</v>
      </c>
      <c r="G1213" t="s">
        <v>330</v>
      </c>
      <c r="H1213" t="s">
        <v>214</v>
      </c>
      <c r="I1213" t="s">
        <v>7712</v>
      </c>
    </row>
    <row r="1214">
      <c r="A1214" t="s">
        <v>173</v>
      </c>
      <c r="B1214" s="232" t="s">
        <v>174</v>
      </c>
      <c r="C1214" s="232">
        <v>370.0</v>
      </c>
      <c r="D1214" s="232">
        <v>2255.47</v>
      </c>
      <c r="E1214" s="232">
        <v>6.0959</v>
      </c>
      <c r="F1214" t="s">
        <v>7702</v>
      </c>
      <c r="G1214" t="s">
        <v>330</v>
      </c>
      <c r="H1214" t="s">
        <v>214</v>
      </c>
      <c r="I1214" t="s">
        <v>170</v>
      </c>
    </row>
    <row r="1215">
      <c r="A1215" t="s">
        <v>2822</v>
      </c>
      <c r="B1215" s="232" t="s">
        <v>2821</v>
      </c>
      <c r="C1215" s="232">
        <v>0.0</v>
      </c>
      <c r="D1215" s="232">
        <v>0.0</v>
      </c>
      <c r="F1215" t="s">
        <v>7702</v>
      </c>
      <c r="G1215" t="s">
        <v>310</v>
      </c>
      <c r="H1215" t="s">
        <v>7703</v>
      </c>
      <c r="I1215" t="s">
        <v>170</v>
      </c>
    </row>
    <row r="1216">
      <c r="A1216" t="s">
        <v>175</v>
      </c>
      <c r="B1216" s="232" t="s">
        <v>176</v>
      </c>
      <c r="C1216" s="232">
        <v>800.0</v>
      </c>
      <c r="D1216" s="232">
        <v>5043.47</v>
      </c>
      <c r="E1216" s="232">
        <v>6.3043</v>
      </c>
      <c r="F1216" t="s">
        <v>7702</v>
      </c>
      <c r="G1216" t="s">
        <v>330</v>
      </c>
      <c r="H1216" t="s">
        <v>214</v>
      </c>
      <c r="I1216" t="s">
        <v>170</v>
      </c>
    </row>
    <row r="1217">
      <c r="A1217" t="s">
        <v>2824</v>
      </c>
      <c r="B1217" s="232" t="s">
        <v>2823</v>
      </c>
      <c r="C1217" s="232">
        <v>0.0</v>
      </c>
      <c r="D1217" s="232">
        <v>0.0</v>
      </c>
      <c r="F1217" t="s">
        <v>7702</v>
      </c>
      <c r="G1217" t="s">
        <v>310</v>
      </c>
      <c r="H1217" t="s">
        <v>7703</v>
      </c>
      <c r="I1217" t="s">
        <v>170</v>
      </c>
    </row>
    <row r="1218">
      <c r="A1218" t="s">
        <v>177</v>
      </c>
      <c r="B1218" s="232" t="s">
        <v>178</v>
      </c>
      <c r="C1218" s="232">
        <v>948.0</v>
      </c>
      <c r="D1218" s="232">
        <v>5999.64</v>
      </c>
      <c r="E1218" s="232">
        <v>6.3287</v>
      </c>
      <c r="F1218" t="s">
        <v>7702</v>
      </c>
      <c r="G1218" t="s">
        <v>330</v>
      </c>
      <c r="H1218" t="s">
        <v>214</v>
      </c>
      <c r="I1218" t="s">
        <v>170</v>
      </c>
    </row>
    <row r="1219">
      <c r="A1219" t="s">
        <v>2826</v>
      </c>
      <c r="B1219" s="232" t="s">
        <v>2825</v>
      </c>
      <c r="C1219" s="232">
        <v>0.0</v>
      </c>
      <c r="D1219" s="232">
        <v>0.0</v>
      </c>
      <c r="F1219" t="s">
        <v>7702</v>
      </c>
      <c r="G1219" t="s">
        <v>310</v>
      </c>
      <c r="H1219" t="s">
        <v>7703</v>
      </c>
      <c r="I1219" t="s">
        <v>170</v>
      </c>
    </row>
    <row r="1220">
      <c r="A1220" t="s">
        <v>2828</v>
      </c>
      <c r="B1220" s="232" t="s">
        <v>2827</v>
      </c>
      <c r="C1220" s="232">
        <v>171.0</v>
      </c>
      <c r="D1220" s="232">
        <v>734.9</v>
      </c>
      <c r="E1220" s="232">
        <v>4.2977</v>
      </c>
      <c r="F1220" t="s">
        <v>7702</v>
      </c>
      <c r="G1220" t="s">
        <v>330</v>
      </c>
      <c r="H1220" t="s">
        <v>214</v>
      </c>
      <c r="I1220" t="s">
        <v>7712</v>
      </c>
    </row>
    <row r="1221">
      <c r="A1221" t="s">
        <v>2830</v>
      </c>
      <c r="B1221" s="232" t="s">
        <v>2829</v>
      </c>
      <c r="C1221" s="232">
        <v>289.0</v>
      </c>
      <c r="D1221" s="232">
        <v>1242.17</v>
      </c>
      <c r="E1221" s="232">
        <v>4.2982</v>
      </c>
      <c r="F1221" t="s">
        <v>7702</v>
      </c>
      <c r="G1221" t="s">
        <v>330</v>
      </c>
      <c r="H1221" t="s">
        <v>214</v>
      </c>
      <c r="I1221" t="s">
        <v>7712</v>
      </c>
    </row>
    <row r="1222">
      <c r="A1222" t="s">
        <v>2836</v>
      </c>
      <c r="B1222" s="232" t="s">
        <v>2835</v>
      </c>
      <c r="C1222" s="232">
        <v>0.0</v>
      </c>
      <c r="D1222" s="232">
        <v>0.0</v>
      </c>
      <c r="F1222" t="s">
        <v>7702</v>
      </c>
      <c r="G1222" t="s">
        <v>310</v>
      </c>
      <c r="H1222" t="s">
        <v>7703</v>
      </c>
    </row>
    <row r="1223">
      <c r="A1223" t="s">
        <v>2840</v>
      </c>
      <c r="B1223" s="232" t="s">
        <v>2839</v>
      </c>
      <c r="C1223" s="232">
        <v>0.0</v>
      </c>
      <c r="D1223" s="232">
        <v>0.0</v>
      </c>
      <c r="F1223" t="s">
        <v>7702</v>
      </c>
      <c r="G1223" t="s">
        <v>310</v>
      </c>
      <c r="H1223" t="s">
        <v>7703</v>
      </c>
      <c r="I1223" t="s">
        <v>7804</v>
      </c>
    </row>
    <row r="1224">
      <c r="A1224" t="s">
        <v>2846</v>
      </c>
      <c r="B1224" s="232" t="s">
        <v>2845</v>
      </c>
      <c r="C1224" s="232">
        <v>856.0</v>
      </c>
      <c r="D1224" s="232">
        <v>358.2</v>
      </c>
      <c r="E1224" s="232">
        <v>0.4185</v>
      </c>
      <c r="F1224" t="s">
        <v>7732</v>
      </c>
      <c r="G1224" t="s">
        <v>330</v>
      </c>
      <c r="H1224" t="s">
        <v>7747</v>
      </c>
    </row>
    <row r="1225">
      <c r="A1225" t="s">
        <v>2849</v>
      </c>
      <c r="B1225" s="232" t="s">
        <v>2848</v>
      </c>
      <c r="C1225" s="232">
        <v>0.0</v>
      </c>
      <c r="D1225" s="232">
        <v>0.0</v>
      </c>
      <c r="F1225" t="s">
        <v>7702</v>
      </c>
      <c r="G1225" t="s">
        <v>310</v>
      </c>
      <c r="H1225" t="s">
        <v>7703</v>
      </c>
      <c r="I1225" t="s">
        <v>7714</v>
      </c>
    </row>
    <row r="1226">
      <c r="A1226" t="s">
        <v>2851</v>
      </c>
      <c r="B1226" s="232" t="s">
        <v>2850</v>
      </c>
      <c r="C1226" s="232">
        <v>0.0</v>
      </c>
      <c r="D1226" s="232">
        <v>0.0</v>
      </c>
      <c r="F1226" t="s">
        <v>7702</v>
      </c>
      <c r="G1226" t="s">
        <v>310</v>
      </c>
      <c r="H1226" t="s">
        <v>7703</v>
      </c>
      <c r="I1226" t="s">
        <v>7714</v>
      </c>
    </row>
    <row r="1227">
      <c r="A1227" t="s">
        <v>2852</v>
      </c>
      <c r="B1227" s="232">
        <v>37406.0</v>
      </c>
      <c r="C1227" s="232">
        <v>0.0</v>
      </c>
      <c r="D1227" s="232">
        <v>0.0</v>
      </c>
      <c r="F1227" t="s">
        <v>7702</v>
      </c>
      <c r="G1227" t="s">
        <v>310</v>
      </c>
      <c r="H1227" t="s">
        <v>7703</v>
      </c>
      <c r="I1227" t="s">
        <v>98</v>
      </c>
    </row>
    <row r="1228">
      <c r="A1228" t="s">
        <v>2853</v>
      </c>
      <c r="B1228" s="232">
        <v>37404.0</v>
      </c>
      <c r="C1228" s="232">
        <v>0.0</v>
      </c>
      <c r="D1228" s="232">
        <v>0.0</v>
      </c>
      <c r="F1228" t="s">
        <v>7702</v>
      </c>
      <c r="G1228" t="s">
        <v>310</v>
      </c>
      <c r="H1228" t="s">
        <v>7703</v>
      </c>
      <c r="I1228" t="s">
        <v>98</v>
      </c>
    </row>
    <row r="1229">
      <c r="A1229" t="s">
        <v>2854</v>
      </c>
      <c r="B1229" s="232">
        <v>37403.0</v>
      </c>
      <c r="C1229" s="232">
        <v>0.0</v>
      </c>
      <c r="D1229" s="232">
        <v>0.0</v>
      </c>
      <c r="F1229" t="s">
        <v>7702</v>
      </c>
      <c r="G1229" t="s">
        <v>310</v>
      </c>
      <c r="H1229" t="s">
        <v>7703</v>
      </c>
      <c r="I1229" t="s">
        <v>98</v>
      </c>
    </row>
    <row r="1230">
      <c r="A1230" t="s">
        <v>2855</v>
      </c>
      <c r="B1230" s="232">
        <v>37401.0</v>
      </c>
      <c r="C1230" s="232">
        <v>0.0</v>
      </c>
      <c r="D1230" s="232">
        <v>0.0</v>
      </c>
      <c r="F1230" t="s">
        <v>7702</v>
      </c>
      <c r="G1230" t="s">
        <v>310</v>
      </c>
      <c r="H1230" t="s">
        <v>7703</v>
      </c>
      <c r="I1230" t="s">
        <v>98</v>
      </c>
    </row>
    <row r="1231">
      <c r="A1231" t="s">
        <v>2856</v>
      </c>
      <c r="B1231" s="232">
        <v>37402.0</v>
      </c>
      <c r="C1231" s="232">
        <v>0.0</v>
      </c>
      <c r="D1231" s="232">
        <v>0.0</v>
      </c>
      <c r="F1231" t="s">
        <v>7702</v>
      </c>
      <c r="G1231" t="s">
        <v>310</v>
      </c>
      <c r="H1231" t="s">
        <v>7703</v>
      </c>
      <c r="I1231" t="s">
        <v>98</v>
      </c>
    </row>
    <row r="1232">
      <c r="A1232" t="s">
        <v>2857</v>
      </c>
      <c r="B1232" s="232">
        <v>37405.0</v>
      </c>
      <c r="C1232" s="232">
        <v>0.0</v>
      </c>
      <c r="D1232" s="232">
        <v>0.0</v>
      </c>
      <c r="F1232" t="s">
        <v>7702</v>
      </c>
      <c r="G1232" t="s">
        <v>310</v>
      </c>
      <c r="H1232" t="s">
        <v>7703</v>
      </c>
      <c r="I1232" t="s">
        <v>98</v>
      </c>
    </row>
    <row r="1233">
      <c r="A1233" t="s">
        <v>2861</v>
      </c>
      <c r="B1233" s="232" t="s">
        <v>2860</v>
      </c>
      <c r="C1233" s="232">
        <v>0.0</v>
      </c>
      <c r="D1233" s="232">
        <v>0.0</v>
      </c>
      <c r="F1233" t="s">
        <v>7702</v>
      </c>
      <c r="G1233" t="s">
        <v>310</v>
      </c>
      <c r="H1233" t="s">
        <v>7703</v>
      </c>
      <c r="I1233" t="s">
        <v>7773</v>
      </c>
    </row>
    <row r="1234">
      <c r="A1234" t="s">
        <v>2863</v>
      </c>
      <c r="B1234" s="232" t="s">
        <v>2862</v>
      </c>
      <c r="C1234" s="232">
        <v>1.0</v>
      </c>
      <c r="D1234" s="232">
        <v>8.67</v>
      </c>
      <c r="E1234" s="232">
        <v>8.67</v>
      </c>
      <c r="F1234" t="s">
        <v>7702</v>
      </c>
      <c r="G1234" t="s">
        <v>330</v>
      </c>
      <c r="I1234" t="s">
        <v>7714</v>
      </c>
    </row>
    <row r="1235">
      <c r="A1235" t="s">
        <v>2867</v>
      </c>
      <c r="B1235" s="232" t="s">
        <v>2866</v>
      </c>
      <c r="C1235" s="232">
        <v>30.0</v>
      </c>
      <c r="D1235" s="232">
        <v>388.16</v>
      </c>
      <c r="E1235" s="232">
        <v>12.9387</v>
      </c>
      <c r="F1235" t="s">
        <v>7732</v>
      </c>
      <c r="G1235" t="s">
        <v>330</v>
      </c>
      <c r="H1235" t="s">
        <v>7734</v>
      </c>
    </row>
    <row r="1236">
      <c r="A1236" t="s">
        <v>2869</v>
      </c>
      <c r="B1236" s="232" t="s">
        <v>2868</v>
      </c>
      <c r="C1236" s="232">
        <v>20.0</v>
      </c>
      <c r="D1236" s="232">
        <v>1293.87</v>
      </c>
      <c r="E1236" s="232">
        <v>64.6935</v>
      </c>
      <c r="F1236" t="s">
        <v>7732</v>
      </c>
      <c r="G1236" t="s">
        <v>330</v>
      </c>
      <c r="H1236" t="s">
        <v>7734</v>
      </c>
    </row>
    <row r="1237">
      <c r="A1237" t="s">
        <v>2871</v>
      </c>
      <c r="B1237" s="232" t="s">
        <v>2870</v>
      </c>
      <c r="C1237" s="232">
        <v>5.0</v>
      </c>
      <c r="D1237" s="232">
        <v>129.38</v>
      </c>
      <c r="E1237" s="232">
        <v>25.876</v>
      </c>
      <c r="F1237" t="s">
        <v>7732</v>
      </c>
      <c r="G1237" t="s">
        <v>330</v>
      </c>
      <c r="H1237" t="s">
        <v>7734</v>
      </c>
    </row>
    <row r="1238">
      <c r="A1238" t="s">
        <v>2873</v>
      </c>
      <c r="B1238" s="232" t="s">
        <v>2872</v>
      </c>
      <c r="C1238" s="232">
        <v>5.0</v>
      </c>
      <c r="D1238" s="232">
        <v>129.38</v>
      </c>
      <c r="E1238" s="232">
        <v>25.876</v>
      </c>
      <c r="F1238" t="s">
        <v>7732</v>
      </c>
      <c r="G1238" t="s">
        <v>330</v>
      </c>
      <c r="H1238" t="s">
        <v>7734</v>
      </c>
    </row>
    <row r="1239">
      <c r="A1239" t="s">
        <v>2875</v>
      </c>
      <c r="B1239" s="232" t="s">
        <v>2874</v>
      </c>
      <c r="C1239" s="232">
        <v>5.0</v>
      </c>
      <c r="D1239" s="232">
        <v>129.38</v>
      </c>
      <c r="E1239" s="232">
        <v>25.876</v>
      </c>
      <c r="F1239" t="s">
        <v>7732</v>
      </c>
      <c r="G1239" t="s">
        <v>330</v>
      </c>
      <c r="H1239" t="s">
        <v>7734</v>
      </c>
    </row>
    <row r="1240">
      <c r="A1240" t="s">
        <v>2877</v>
      </c>
      <c r="B1240" s="232" t="s">
        <v>2876</v>
      </c>
      <c r="C1240" s="232">
        <v>20.0</v>
      </c>
      <c r="D1240" s="232">
        <v>517.53</v>
      </c>
      <c r="E1240" s="232">
        <v>25.8765</v>
      </c>
      <c r="F1240" t="s">
        <v>7732</v>
      </c>
      <c r="G1240" t="s">
        <v>330</v>
      </c>
      <c r="H1240" t="s">
        <v>7734</v>
      </c>
    </row>
    <row r="1241">
      <c r="A1241" t="s">
        <v>2879</v>
      </c>
      <c r="B1241" s="232" t="s">
        <v>2878</v>
      </c>
      <c r="C1241" s="232">
        <v>5.0</v>
      </c>
      <c r="D1241" s="232">
        <v>129.38</v>
      </c>
      <c r="E1241" s="232">
        <v>25.876</v>
      </c>
      <c r="F1241" t="s">
        <v>7732</v>
      </c>
      <c r="G1241" t="s">
        <v>330</v>
      </c>
      <c r="H1241" t="s">
        <v>7734</v>
      </c>
    </row>
    <row r="1242">
      <c r="A1242" t="s">
        <v>2883</v>
      </c>
      <c r="B1242" s="232" t="s">
        <v>2882</v>
      </c>
      <c r="C1242" s="232">
        <v>0.0</v>
      </c>
      <c r="D1242" s="232">
        <v>0.0</v>
      </c>
      <c r="F1242" t="s">
        <v>7702</v>
      </c>
      <c r="G1242" t="s">
        <v>310</v>
      </c>
      <c r="H1242" t="s">
        <v>7703</v>
      </c>
      <c r="I1242" t="s">
        <v>7805</v>
      </c>
    </row>
    <row r="1243">
      <c r="A1243" t="s">
        <v>2887</v>
      </c>
      <c r="B1243" s="232" t="s">
        <v>2886</v>
      </c>
      <c r="C1243" s="232">
        <v>0.0</v>
      </c>
      <c r="D1243" s="232">
        <v>0.0</v>
      </c>
      <c r="F1243" t="s">
        <v>7702</v>
      </c>
      <c r="G1243" t="s">
        <v>310</v>
      </c>
      <c r="H1243" t="s">
        <v>45</v>
      </c>
      <c r="I1243" t="s">
        <v>7805</v>
      </c>
    </row>
    <row r="1244">
      <c r="A1244" t="s">
        <v>2889</v>
      </c>
      <c r="B1244" s="232" t="s">
        <v>2888</v>
      </c>
      <c r="C1244" s="232">
        <v>0.0</v>
      </c>
      <c r="D1244" s="232">
        <v>0.0</v>
      </c>
      <c r="F1244" t="s">
        <v>7702</v>
      </c>
      <c r="G1244" t="s">
        <v>310</v>
      </c>
      <c r="H1244" t="s">
        <v>45</v>
      </c>
      <c r="I1244" t="s">
        <v>7795</v>
      </c>
    </row>
    <row r="1245">
      <c r="A1245" t="s">
        <v>2891</v>
      </c>
      <c r="B1245" s="232" t="s">
        <v>2890</v>
      </c>
      <c r="C1245" s="232">
        <v>0.0</v>
      </c>
      <c r="D1245" s="232">
        <v>0.0</v>
      </c>
      <c r="F1245" t="s">
        <v>7702</v>
      </c>
      <c r="G1245" t="s">
        <v>310</v>
      </c>
      <c r="H1245" t="s">
        <v>45</v>
      </c>
      <c r="I1245" t="s">
        <v>7795</v>
      </c>
    </row>
    <row r="1246">
      <c r="A1246" t="s">
        <v>2893</v>
      </c>
      <c r="B1246" s="232" t="s">
        <v>2892</v>
      </c>
      <c r="C1246" s="232">
        <v>0.0</v>
      </c>
      <c r="D1246" s="232">
        <v>0.0</v>
      </c>
      <c r="F1246" t="s">
        <v>7702</v>
      </c>
      <c r="G1246" t="s">
        <v>310</v>
      </c>
      <c r="H1246" t="s">
        <v>45</v>
      </c>
      <c r="I1246" t="s">
        <v>7795</v>
      </c>
    </row>
    <row r="1247">
      <c r="A1247" t="s">
        <v>2895</v>
      </c>
      <c r="B1247" s="232" t="s">
        <v>2894</v>
      </c>
      <c r="C1247" s="232">
        <v>0.0</v>
      </c>
      <c r="D1247" s="232">
        <v>0.0</v>
      </c>
      <c r="F1247" t="s">
        <v>7702</v>
      </c>
      <c r="G1247" t="s">
        <v>310</v>
      </c>
      <c r="H1247" t="s">
        <v>45</v>
      </c>
      <c r="I1247" t="s">
        <v>7795</v>
      </c>
    </row>
    <row r="1248">
      <c r="A1248" t="s">
        <v>2897</v>
      </c>
      <c r="B1248" s="232" t="s">
        <v>2896</v>
      </c>
      <c r="C1248" s="232">
        <v>0.0</v>
      </c>
      <c r="D1248" s="232">
        <v>0.0</v>
      </c>
      <c r="F1248" t="s">
        <v>7702</v>
      </c>
      <c r="G1248" t="s">
        <v>310</v>
      </c>
      <c r="H1248" t="s">
        <v>45</v>
      </c>
      <c r="I1248" t="s">
        <v>7795</v>
      </c>
    </row>
    <row r="1249">
      <c r="A1249" t="s">
        <v>2899</v>
      </c>
      <c r="B1249" s="232" t="s">
        <v>2898</v>
      </c>
      <c r="C1249" s="232">
        <v>0.0</v>
      </c>
      <c r="D1249" s="232">
        <v>0.0</v>
      </c>
      <c r="F1249" t="s">
        <v>7702</v>
      </c>
      <c r="G1249" t="s">
        <v>310</v>
      </c>
      <c r="H1249" t="s">
        <v>45</v>
      </c>
      <c r="I1249" t="s">
        <v>7805</v>
      </c>
    </row>
    <row r="1250">
      <c r="A1250" t="s">
        <v>2901</v>
      </c>
      <c r="B1250" s="232" t="s">
        <v>2900</v>
      </c>
      <c r="C1250" s="232">
        <v>0.0</v>
      </c>
      <c r="D1250" s="232">
        <v>0.0</v>
      </c>
      <c r="F1250" t="s">
        <v>7702</v>
      </c>
      <c r="G1250" t="s">
        <v>310</v>
      </c>
      <c r="H1250" t="s">
        <v>45</v>
      </c>
      <c r="I1250" t="s">
        <v>7805</v>
      </c>
    </row>
    <row r="1251">
      <c r="A1251" t="s">
        <v>2903</v>
      </c>
      <c r="B1251" s="232" t="s">
        <v>2902</v>
      </c>
      <c r="C1251" s="232">
        <v>0.0</v>
      </c>
      <c r="D1251" s="232">
        <v>0.0</v>
      </c>
      <c r="F1251" t="s">
        <v>7702</v>
      </c>
      <c r="G1251" t="s">
        <v>310</v>
      </c>
      <c r="H1251" t="s">
        <v>45</v>
      </c>
      <c r="I1251" t="s">
        <v>7795</v>
      </c>
    </row>
    <row r="1252">
      <c r="A1252" t="s">
        <v>2905</v>
      </c>
      <c r="B1252" s="232" t="s">
        <v>2904</v>
      </c>
      <c r="C1252" s="232">
        <v>0.0</v>
      </c>
      <c r="D1252" s="232">
        <v>0.0</v>
      </c>
      <c r="F1252" t="s">
        <v>7702</v>
      </c>
      <c r="G1252" t="s">
        <v>310</v>
      </c>
      <c r="H1252" t="s">
        <v>45</v>
      </c>
      <c r="I1252" t="s">
        <v>7795</v>
      </c>
    </row>
    <row r="1253">
      <c r="A1253" t="s">
        <v>2907</v>
      </c>
      <c r="B1253" s="232" t="s">
        <v>2906</v>
      </c>
      <c r="C1253" s="232">
        <v>0.0</v>
      </c>
      <c r="D1253" s="232">
        <v>0.0</v>
      </c>
      <c r="F1253" t="s">
        <v>7702</v>
      </c>
      <c r="G1253" t="s">
        <v>310</v>
      </c>
      <c r="H1253" t="s">
        <v>45</v>
      </c>
      <c r="I1253" t="s">
        <v>7795</v>
      </c>
    </row>
    <row r="1254">
      <c r="A1254" t="s">
        <v>2909</v>
      </c>
      <c r="B1254" s="232" t="s">
        <v>2908</v>
      </c>
      <c r="C1254" s="232">
        <v>0.0</v>
      </c>
      <c r="D1254" s="232">
        <v>0.0</v>
      </c>
      <c r="F1254" t="s">
        <v>7702</v>
      </c>
      <c r="G1254" t="s">
        <v>310</v>
      </c>
      <c r="H1254" t="s">
        <v>45</v>
      </c>
      <c r="I1254" t="s">
        <v>7795</v>
      </c>
    </row>
    <row r="1255">
      <c r="A1255" t="s">
        <v>2911</v>
      </c>
      <c r="B1255" s="232" t="s">
        <v>2910</v>
      </c>
      <c r="C1255" s="232">
        <v>0.0</v>
      </c>
      <c r="D1255" s="232">
        <v>0.0</v>
      </c>
      <c r="F1255" t="s">
        <v>7702</v>
      </c>
      <c r="G1255" t="s">
        <v>310</v>
      </c>
      <c r="H1255" t="s">
        <v>45</v>
      </c>
      <c r="I1255" t="s">
        <v>7795</v>
      </c>
    </row>
    <row r="1256">
      <c r="A1256" t="s">
        <v>2913</v>
      </c>
      <c r="B1256" s="232" t="s">
        <v>2912</v>
      </c>
      <c r="C1256" s="232">
        <v>9.0</v>
      </c>
      <c r="D1256" s="232">
        <v>0.01</v>
      </c>
      <c r="E1256" s="232">
        <v>0.0011</v>
      </c>
      <c r="F1256" t="s">
        <v>7702</v>
      </c>
      <c r="G1256" t="s">
        <v>330</v>
      </c>
      <c r="H1256" t="s">
        <v>45</v>
      </c>
      <c r="I1256" t="s">
        <v>7795</v>
      </c>
    </row>
    <row r="1257">
      <c r="A1257" t="s">
        <v>2915</v>
      </c>
      <c r="B1257" s="232" t="s">
        <v>2914</v>
      </c>
      <c r="C1257" s="232">
        <v>23.0</v>
      </c>
      <c r="D1257" s="232">
        <v>0.01</v>
      </c>
      <c r="E1257" s="232">
        <v>4.0E-4</v>
      </c>
      <c r="F1257" t="s">
        <v>7702</v>
      </c>
      <c r="G1257" t="s">
        <v>330</v>
      </c>
      <c r="H1257" t="s">
        <v>45</v>
      </c>
      <c r="I1257" t="s">
        <v>7795</v>
      </c>
    </row>
    <row r="1258">
      <c r="A1258" t="s">
        <v>2917</v>
      </c>
      <c r="B1258" s="232" t="s">
        <v>2916</v>
      </c>
      <c r="C1258" s="232">
        <v>0.0</v>
      </c>
      <c r="D1258" s="232">
        <v>0.0</v>
      </c>
      <c r="F1258" t="s">
        <v>7702</v>
      </c>
      <c r="G1258" t="s">
        <v>310</v>
      </c>
      <c r="H1258" t="s">
        <v>45</v>
      </c>
      <c r="I1258" t="s">
        <v>7795</v>
      </c>
    </row>
    <row r="1259">
      <c r="A1259" t="s">
        <v>2919</v>
      </c>
      <c r="B1259" s="232" t="s">
        <v>2918</v>
      </c>
      <c r="C1259" s="232">
        <v>4.0</v>
      </c>
      <c r="D1259" s="232">
        <v>0.01</v>
      </c>
      <c r="E1259" s="232">
        <v>0.0025</v>
      </c>
      <c r="F1259" t="s">
        <v>7702</v>
      </c>
      <c r="G1259" t="s">
        <v>330</v>
      </c>
      <c r="H1259" t="s">
        <v>45</v>
      </c>
      <c r="I1259" t="s">
        <v>7795</v>
      </c>
    </row>
    <row r="1260">
      <c r="A1260" t="s">
        <v>2921</v>
      </c>
      <c r="B1260" s="232" t="s">
        <v>2920</v>
      </c>
      <c r="C1260" s="232">
        <v>0.0</v>
      </c>
      <c r="D1260" s="232">
        <v>0.0</v>
      </c>
      <c r="F1260" t="s">
        <v>7702</v>
      </c>
      <c r="G1260" t="s">
        <v>310</v>
      </c>
      <c r="H1260" t="s">
        <v>45</v>
      </c>
      <c r="I1260" t="s">
        <v>7795</v>
      </c>
    </row>
    <row r="1261">
      <c r="A1261" t="s">
        <v>2923</v>
      </c>
      <c r="B1261" s="232" t="s">
        <v>2922</v>
      </c>
      <c r="C1261" s="232">
        <v>2.0</v>
      </c>
      <c r="D1261" s="232">
        <v>0.01</v>
      </c>
      <c r="E1261" s="232">
        <v>0.005</v>
      </c>
      <c r="F1261" t="s">
        <v>7702</v>
      </c>
      <c r="G1261" t="s">
        <v>330</v>
      </c>
      <c r="H1261" t="s">
        <v>45</v>
      </c>
      <c r="I1261" t="s">
        <v>7795</v>
      </c>
    </row>
    <row r="1262">
      <c r="A1262" t="s">
        <v>2925</v>
      </c>
      <c r="B1262" s="232" t="s">
        <v>2924</v>
      </c>
      <c r="C1262" s="232">
        <v>9.0</v>
      </c>
      <c r="D1262" s="232">
        <v>0.01</v>
      </c>
      <c r="E1262" s="232">
        <v>0.0011</v>
      </c>
      <c r="F1262" t="s">
        <v>7702</v>
      </c>
      <c r="G1262" t="s">
        <v>330</v>
      </c>
      <c r="H1262" t="s">
        <v>45</v>
      </c>
      <c r="I1262" t="s">
        <v>7795</v>
      </c>
    </row>
    <row r="1263">
      <c r="A1263" t="s">
        <v>2927</v>
      </c>
      <c r="B1263" s="232" t="s">
        <v>2926</v>
      </c>
      <c r="C1263" s="232">
        <v>2.0</v>
      </c>
      <c r="D1263" s="232">
        <v>0.01</v>
      </c>
      <c r="E1263" s="232">
        <v>0.005</v>
      </c>
      <c r="F1263" t="s">
        <v>7702</v>
      </c>
      <c r="G1263" t="s">
        <v>330</v>
      </c>
      <c r="H1263" t="s">
        <v>45</v>
      </c>
      <c r="I1263" t="s">
        <v>7795</v>
      </c>
    </row>
    <row r="1264">
      <c r="A1264" t="s">
        <v>2929</v>
      </c>
      <c r="B1264" s="232" t="s">
        <v>2928</v>
      </c>
      <c r="C1264" s="232">
        <v>7.0</v>
      </c>
      <c r="D1264" s="232">
        <v>0.01</v>
      </c>
      <c r="E1264" s="232">
        <v>0.0014</v>
      </c>
      <c r="F1264" t="s">
        <v>7702</v>
      </c>
      <c r="G1264" t="s">
        <v>330</v>
      </c>
      <c r="H1264" t="s">
        <v>45</v>
      </c>
      <c r="I1264" t="s">
        <v>7795</v>
      </c>
    </row>
    <row r="1265">
      <c r="A1265" t="s">
        <v>2931</v>
      </c>
      <c r="B1265" s="232" t="s">
        <v>2930</v>
      </c>
      <c r="C1265" s="232">
        <v>1.0</v>
      </c>
      <c r="D1265" s="232">
        <v>0.01</v>
      </c>
      <c r="E1265" s="232">
        <v>0.01</v>
      </c>
      <c r="F1265" t="s">
        <v>7702</v>
      </c>
      <c r="G1265" t="s">
        <v>330</v>
      </c>
      <c r="H1265" t="s">
        <v>45</v>
      </c>
      <c r="I1265" t="s">
        <v>7795</v>
      </c>
    </row>
    <row r="1266">
      <c r="A1266" t="s">
        <v>2933</v>
      </c>
      <c r="B1266" s="232" t="s">
        <v>2932</v>
      </c>
      <c r="C1266" s="232">
        <v>30.0</v>
      </c>
      <c r="D1266" s="232">
        <v>0.01</v>
      </c>
      <c r="E1266" s="232">
        <v>3.0E-4</v>
      </c>
      <c r="F1266" t="s">
        <v>7702</v>
      </c>
      <c r="G1266" t="s">
        <v>330</v>
      </c>
      <c r="H1266" t="s">
        <v>45</v>
      </c>
      <c r="I1266" t="s">
        <v>7795</v>
      </c>
    </row>
    <row r="1267">
      <c r="A1267" t="s">
        <v>2935</v>
      </c>
      <c r="B1267" s="232" t="s">
        <v>2934</v>
      </c>
      <c r="C1267" s="232">
        <v>19.0</v>
      </c>
      <c r="D1267" s="232">
        <v>0.01</v>
      </c>
      <c r="E1267" s="232">
        <v>5.0E-4</v>
      </c>
      <c r="F1267" t="s">
        <v>7702</v>
      </c>
      <c r="G1267" t="s">
        <v>330</v>
      </c>
      <c r="H1267" t="s">
        <v>45</v>
      </c>
      <c r="I1267" t="s">
        <v>7795</v>
      </c>
    </row>
    <row r="1268">
      <c r="A1268" t="s">
        <v>2937</v>
      </c>
      <c r="B1268" s="232" t="s">
        <v>2936</v>
      </c>
      <c r="C1268" s="232">
        <v>0.0</v>
      </c>
      <c r="D1268" s="232">
        <v>0.0</v>
      </c>
      <c r="F1268" t="s">
        <v>7702</v>
      </c>
      <c r="G1268" t="s">
        <v>310</v>
      </c>
      <c r="H1268" t="s">
        <v>45</v>
      </c>
      <c r="I1268" t="s">
        <v>7795</v>
      </c>
    </row>
    <row r="1269">
      <c r="A1269" t="s">
        <v>2939</v>
      </c>
      <c r="B1269" s="232" t="s">
        <v>2938</v>
      </c>
      <c r="C1269" s="232">
        <v>5.0</v>
      </c>
      <c r="D1269" s="232">
        <v>0.01</v>
      </c>
      <c r="E1269" s="232">
        <v>0.002</v>
      </c>
      <c r="F1269" t="s">
        <v>7702</v>
      </c>
      <c r="G1269" t="s">
        <v>330</v>
      </c>
      <c r="H1269" t="s">
        <v>45</v>
      </c>
      <c r="I1269" t="s">
        <v>7795</v>
      </c>
    </row>
    <row r="1270">
      <c r="A1270" t="s">
        <v>2941</v>
      </c>
      <c r="B1270" s="232" t="s">
        <v>2940</v>
      </c>
      <c r="C1270" s="232">
        <v>4.0</v>
      </c>
      <c r="D1270" s="232">
        <v>0.01</v>
      </c>
      <c r="E1270" s="232">
        <v>0.0025</v>
      </c>
      <c r="F1270" t="s">
        <v>7702</v>
      </c>
      <c r="G1270" t="s">
        <v>330</v>
      </c>
      <c r="H1270" t="s">
        <v>45</v>
      </c>
      <c r="I1270" t="s">
        <v>7795</v>
      </c>
    </row>
    <row r="1271">
      <c r="A1271" t="s">
        <v>2943</v>
      </c>
      <c r="B1271" s="232" t="s">
        <v>2942</v>
      </c>
      <c r="C1271" s="232">
        <v>4.0</v>
      </c>
      <c r="D1271" s="232">
        <v>0.01</v>
      </c>
      <c r="E1271" s="232">
        <v>0.0025</v>
      </c>
      <c r="F1271" t="s">
        <v>7702</v>
      </c>
      <c r="G1271" t="s">
        <v>330</v>
      </c>
      <c r="H1271" t="s">
        <v>45</v>
      </c>
      <c r="I1271" t="s">
        <v>7795</v>
      </c>
    </row>
    <row r="1272">
      <c r="A1272" t="s">
        <v>2945</v>
      </c>
      <c r="B1272" s="232" t="s">
        <v>2944</v>
      </c>
      <c r="C1272" s="232">
        <v>7.0</v>
      </c>
      <c r="D1272" s="232">
        <v>0.01</v>
      </c>
      <c r="E1272" s="232">
        <v>0.0014</v>
      </c>
      <c r="F1272" t="s">
        <v>7702</v>
      </c>
      <c r="G1272" t="s">
        <v>330</v>
      </c>
      <c r="H1272" t="s">
        <v>45</v>
      </c>
      <c r="I1272" t="s">
        <v>7795</v>
      </c>
    </row>
    <row r="1273">
      <c r="A1273" t="s">
        <v>2947</v>
      </c>
      <c r="B1273" s="232" t="s">
        <v>2946</v>
      </c>
      <c r="C1273" s="232">
        <v>4.0</v>
      </c>
      <c r="D1273" s="232">
        <v>0.01</v>
      </c>
      <c r="E1273" s="232">
        <v>0.0025</v>
      </c>
      <c r="F1273" t="s">
        <v>7702</v>
      </c>
      <c r="G1273" t="s">
        <v>330</v>
      </c>
      <c r="H1273" t="s">
        <v>45</v>
      </c>
      <c r="I1273" t="s">
        <v>7795</v>
      </c>
    </row>
    <row r="1274">
      <c r="A1274" t="s">
        <v>2949</v>
      </c>
      <c r="B1274" s="232" t="s">
        <v>2948</v>
      </c>
      <c r="C1274" s="232">
        <v>8.0</v>
      </c>
      <c r="D1274" s="232">
        <v>0.01</v>
      </c>
      <c r="E1274" s="232">
        <v>0.0013</v>
      </c>
      <c r="F1274" t="s">
        <v>7702</v>
      </c>
      <c r="G1274" t="s">
        <v>330</v>
      </c>
      <c r="H1274" t="s">
        <v>45</v>
      </c>
      <c r="I1274" t="s">
        <v>7795</v>
      </c>
    </row>
    <row r="1275">
      <c r="A1275" t="s">
        <v>2951</v>
      </c>
      <c r="B1275" s="232" t="s">
        <v>2950</v>
      </c>
      <c r="C1275" s="232">
        <v>7.0</v>
      </c>
      <c r="D1275" s="232">
        <v>0.01</v>
      </c>
      <c r="E1275" s="232">
        <v>0.0014</v>
      </c>
      <c r="F1275" t="s">
        <v>7702</v>
      </c>
      <c r="G1275" t="s">
        <v>330</v>
      </c>
      <c r="H1275" t="s">
        <v>45</v>
      </c>
      <c r="I1275" t="s">
        <v>7795</v>
      </c>
    </row>
    <row r="1276">
      <c r="A1276" t="s">
        <v>2953</v>
      </c>
      <c r="B1276" s="232" t="s">
        <v>2952</v>
      </c>
      <c r="C1276" s="232">
        <v>15.0</v>
      </c>
      <c r="D1276" s="232">
        <v>0.01</v>
      </c>
      <c r="E1276" s="232">
        <v>7.0E-4</v>
      </c>
      <c r="F1276" t="s">
        <v>7702</v>
      </c>
      <c r="G1276" t="s">
        <v>330</v>
      </c>
      <c r="H1276" t="s">
        <v>45</v>
      </c>
      <c r="I1276" t="s">
        <v>7795</v>
      </c>
    </row>
    <row r="1277">
      <c r="A1277" t="s">
        <v>2955</v>
      </c>
      <c r="B1277" s="232" t="s">
        <v>2954</v>
      </c>
      <c r="C1277" s="232">
        <v>20.0</v>
      </c>
      <c r="D1277" s="232">
        <v>0.01</v>
      </c>
      <c r="E1277" s="232">
        <v>5.0E-4</v>
      </c>
      <c r="F1277" t="s">
        <v>7702</v>
      </c>
      <c r="G1277" t="s">
        <v>330</v>
      </c>
      <c r="H1277" t="s">
        <v>45</v>
      </c>
      <c r="I1277" t="s">
        <v>7795</v>
      </c>
    </row>
    <row r="1278">
      <c r="A1278" t="s">
        <v>2957</v>
      </c>
      <c r="B1278" s="232" t="s">
        <v>2956</v>
      </c>
      <c r="C1278" s="232">
        <v>0.0</v>
      </c>
      <c r="D1278" s="232">
        <v>0.0</v>
      </c>
      <c r="F1278" t="s">
        <v>7702</v>
      </c>
      <c r="G1278" t="s">
        <v>310</v>
      </c>
      <c r="H1278" t="s">
        <v>45</v>
      </c>
      <c r="I1278" t="s">
        <v>7795</v>
      </c>
    </row>
    <row r="1279">
      <c r="A1279" t="s">
        <v>2959</v>
      </c>
      <c r="B1279" s="232" t="s">
        <v>2958</v>
      </c>
      <c r="C1279" s="232">
        <v>1.0</v>
      </c>
      <c r="D1279" s="232">
        <v>0.01</v>
      </c>
      <c r="E1279" s="232">
        <v>0.01</v>
      </c>
      <c r="F1279" t="s">
        <v>7702</v>
      </c>
      <c r="G1279" t="s">
        <v>330</v>
      </c>
      <c r="H1279" t="s">
        <v>45</v>
      </c>
      <c r="I1279" t="s">
        <v>7795</v>
      </c>
    </row>
    <row r="1280">
      <c r="A1280" t="s">
        <v>2961</v>
      </c>
      <c r="B1280" s="232" t="s">
        <v>2960</v>
      </c>
      <c r="C1280" s="232">
        <v>5.0</v>
      </c>
      <c r="D1280" s="232">
        <v>0.01</v>
      </c>
      <c r="E1280" s="232">
        <v>0.002</v>
      </c>
      <c r="F1280" t="s">
        <v>7702</v>
      </c>
      <c r="G1280" t="s">
        <v>330</v>
      </c>
      <c r="H1280" t="s">
        <v>45</v>
      </c>
      <c r="I1280" t="s">
        <v>7795</v>
      </c>
    </row>
    <row r="1281">
      <c r="A1281" t="s">
        <v>2963</v>
      </c>
      <c r="B1281" s="232" t="s">
        <v>2962</v>
      </c>
      <c r="C1281" s="232">
        <v>3.0</v>
      </c>
      <c r="D1281" s="232">
        <v>0.01</v>
      </c>
      <c r="E1281" s="232">
        <v>0.0033</v>
      </c>
      <c r="F1281" t="s">
        <v>7702</v>
      </c>
      <c r="G1281" t="s">
        <v>330</v>
      </c>
      <c r="H1281" t="s">
        <v>45</v>
      </c>
      <c r="I1281" t="s">
        <v>7795</v>
      </c>
    </row>
    <row r="1282">
      <c r="A1282" t="s">
        <v>2965</v>
      </c>
      <c r="B1282" s="232" t="s">
        <v>2964</v>
      </c>
      <c r="C1282" s="232">
        <v>0.0</v>
      </c>
      <c r="D1282" s="232">
        <v>0.0</v>
      </c>
      <c r="F1282" t="s">
        <v>7702</v>
      </c>
      <c r="G1282" t="s">
        <v>310</v>
      </c>
      <c r="H1282" t="s">
        <v>45</v>
      </c>
      <c r="I1282" t="s">
        <v>7795</v>
      </c>
    </row>
    <row r="1283">
      <c r="A1283" t="s">
        <v>2967</v>
      </c>
      <c r="B1283" s="232" t="s">
        <v>2966</v>
      </c>
      <c r="C1283" s="232">
        <v>9.0</v>
      </c>
      <c r="D1283" s="232">
        <v>0.01</v>
      </c>
      <c r="E1283" s="232">
        <v>0.0011</v>
      </c>
      <c r="F1283" t="s">
        <v>7702</v>
      </c>
      <c r="G1283" t="s">
        <v>330</v>
      </c>
      <c r="H1283" t="s">
        <v>45</v>
      </c>
      <c r="I1283" t="s">
        <v>7795</v>
      </c>
    </row>
    <row r="1284">
      <c r="A1284" t="s">
        <v>2969</v>
      </c>
      <c r="B1284" s="232" t="s">
        <v>2968</v>
      </c>
      <c r="C1284" s="232">
        <v>5.0</v>
      </c>
      <c r="D1284" s="232">
        <v>0.01</v>
      </c>
      <c r="E1284" s="232">
        <v>0.002</v>
      </c>
      <c r="F1284" t="s">
        <v>7702</v>
      </c>
      <c r="G1284" t="s">
        <v>330</v>
      </c>
      <c r="H1284" t="s">
        <v>45</v>
      </c>
      <c r="I1284" t="s">
        <v>7795</v>
      </c>
    </row>
    <row r="1285">
      <c r="A1285" t="s">
        <v>2971</v>
      </c>
      <c r="B1285" s="232" t="s">
        <v>2970</v>
      </c>
      <c r="C1285" s="232">
        <v>6.0</v>
      </c>
      <c r="D1285" s="232">
        <v>0.01</v>
      </c>
      <c r="E1285" s="232">
        <v>0.0017</v>
      </c>
      <c r="F1285" t="s">
        <v>7702</v>
      </c>
      <c r="G1285" t="s">
        <v>330</v>
      </c>
      <c r="H1285" t="s">
        <v>45</v>
      </c>
      <c r="I1285" t="s">
        <v>7795</v>
      </c>
    </row>
    <row r="1286">
      <c r="A1286" t="s">
        <v>2973</v>
      </c>
      <c r="B1286" s="232" t="s">
        <v>2972</v>
      </c>
      <c r="C1286" s="232">
        <v>49.0</v>
      </c>
      <c r="D1286" s="232">
        <v>0.01</v>
      </c>
      <c r="E1286" s="232">
        <v>2.0E-4</v>
      </c>
      <c r="F1286" t="s">
        <v>7702</v>
      </c>
      <c r="G1286" t="s">
        <v>330</v>
      </c>
      <c r="H1286" t="s">
        <v>45</v>
      </c>
      <c r="I1286" t="s">
        <v>7795</v>
      </c>
    </row>
    <row r="1287">
      <c r="A1287" t="s">
        <v>2975</v>
      </c>
      <c r="B1287" s="232" t="s">
        <v>2974</v>
      </c>
      <c r="C1287" s="232">
        <v>13.0</v>
      </c>
      <c r="D1287" s="232">
        <v>0.01</v>
      </c>
      <c r="E1287" s="232">
        <v>8.0E-4</v>
      </c>
      <c r="F1287" t="s">
        <v>7702</v>
      </c>
      <c r="G1287" t="s">
        <v>330</v>
      </c>
      <c r="H1287" t="s">
        <v>45</v>
      </c>
      <c r="I1287" t="s">
        <v>7795</v>
      </c>
    </row>
    <row r="1288">
      <c r="A1288" t="s">
        <v>2977</v>
      </c>
      <c r="B1288" s="232" t="s">
        <v>2976</v>
      </c>
      <c r="C1288" s="232">
        <v>0.0</v>
      </c>
      <c r="D1288" s="232">
        <v>0.0</v>
      </c>
      <c r="F1288" t="s">
        <v>7702</v>
      </c>
      <c r="G1288" t="s">
        <v>310</v>
      </c>
      <c r="H1288" t="s">
        <v>45</v>
      </c>
      <c r="I1288" t="s">
        <v>7795</v>
      </c>
    </row>
    <row r="1289">
      <c r="A1289" t="s">
        <v>2979</v>
      </c>
      <c r="B1289" s="232" t="s">
        <v>2978</v>
      </c>
      <c r="C1289" s="232">
        <v>0.0</v>
      </c>
      <c r="D1289" s="232">
        <v>0.0</v>
      </c>
      <c r="F1289" t="s">
        <v>7702</v>
      </c>
      <c r="G1289" t="s">
        <v>330</v>
      </c>
      <c r="H1289" t="s">
        <v>45</v>
      </c>
      <c r="I1289" t="s">
        <v>7795</v>
      </c>
    </row>
    <row r="1290">
      <c r="A1290" t="s">
        <v>2981</v>
      </c>
      <c r="B1290" s="232" t="s">
        <v>2980</v>
      </c>
      <c r="C1290" s="232">
        <v>3.0</v>
      </c>
      <c r="D1290" s="232">
        <v>0.01</v>
      </c>
      <c r="E1290" s="232">
        <v>0.0033</v>
      </c>
      <c r="F1290" t="s">
        <v>7702</v>
      </c>
      <c r="G1290" t="s">
        <v>330</v>
      </c>
      <c r="H1290" t="s">
        <v>45</v>
      </c>
      <c r="I1290" t="s">
        <v>7795</v>
      </c>
    </row>
    <row r="1291">
      <c r="A1291" t="s">
        <v>2983</v>
      </c>
      <c r="B1291" s="232" t="s">
        <v>2982</v>
      </c>
      <c r="C1291" s="232">
        <v>7.0</v>
      </c>
      <c r="D1291" s="232">
        <v>0.01</v>
      </c>
      <c r="E1291" s="232">
        <v>0.0014</v>
      </c>
      <c r="F1291" t="s">
        <v>7702</v>
      </c>
      <c r="G1291" t="s">
        <v>330</v>
      </c>
      <c r="H1291" t="s">
        <v>45</v>
      </c>
      <c r="I1291" t="s">
        <v>7795</v>
      </c>
    </row>
    <row r="1292">
      <c r="A1292" t="s">
        <v>2985</v>
      </c>
      <c r="B1292" s="232" t="s">
        <v>2984</v>
      </c>
      <c r="C1292" s="232">
        <v>5.0</v>
      </c>
      <c r="D1292" s="232">
        <v>0.01</v>
      </c>
      <c r="E1292" s="232">
        <v>0.002</v>
      </c>
      <c r="F1292" t="s">
        <v>7702</v>
      </c>
      <c r="G1292" t="s">
        <v>330</v>
      </c>
      <c r="H1292" t="s">
        <v>45</v>
      </c>
      <c r="I1292" t="s">
        <v>7795</v>
      </c>
    </row>
    <row r="1293">
      <c r="A1293" t="s">
        <v>2987</v>
      </c>
      <c r="B1293" s="232" t="s">
        <v>2986</v>
      </c>
      <c r="C1293" s="232">
        <v>11.0</v>
      </c>
      <c r="D1293" s="232">
        <v>0.01</v>
      </c>
      <c r="E1293" s="232">
        <v>9.0E-4</v>
      </c>
      <c r="F1293" t="s">
        <v>7702</v>
      </c>
      <c r="G1293" t="s">
        <v>330</v>
      </c>
      <c r="H1293" t="s">
        <v>45</v>
      </c>
      <c r="I1293" t="s">
        <v>7795</v>
      </c>
    </row>
    <row r="1294">
      <c r="A1294" t="s">
        <v>2989</v>
      </c>
      <c r="B1294" s="232" t="s">
        <v>2988</v>
      </c>
      <c r="C1294" s="232">
        <v>11.0</v>
      </c>
      <c r="D1294" s="232">
        <v>0.01</v>
      </c>
      <c r="E1294" s="232">
        <v>9.0E-4</v>
      </c>
      <c r="F1294" t="s">
        <v>7702</v>
      </c>
      <c r="G1294" t="s">
        <v>330</v>
      </c>
      <c r="H1294" t="s">
        <v>45</v>
      </c>
      <c r="I1294" t="s">
        <v>7795</v>
      </c>
    </row>
    <row r="1295">
      <c r="A1295" t="s">
        <v>2991</v>
      </c>
      <c r="B1295" s="232" t="s">
        <v>2990</v>
      </c>
      <c r="C1295" s="232">
        <v>10.0</v>
      </c>
      <c r="D1295" s="232">
        <v>0.01</v>
      </c>
      <c r="E1295" s="232">
        <v>0.001</v>
      </c>
      <c r="F1295" t="s">
        <v>7702</v>
      </c>
      <c r="G1295" t="s">
        <v>330</v>
      </c>
      <c r="H1295" t="s">
        <v>45</v>
      </c>
      <c r="I1295" t="s">
        <v>7795</v>
      </c>
    </row>
    <row r="1296">
      <c r="A1296" t="s">
        <v>2993</v>
      </c>
      <c r="B1296" s="232" t="s">
        <v>2992</v>
      </c>
      <c r="C1296" s="232">
        <v>20.0</v>
      </c>
      <c r="D1296" s="232">
        <v>0.01</v>
      </c>
      <c r="E1296" s="232">
        <v>5.0E-4</v>
      </c>
      <c r="F1296" t="s">
        <v>7702</v>
      </c>
      <c r="G1296" t="s">
        <v>330</v>
      </c>
      <c r="H1296" t="s">
        <v>45</v>
      </c>
      <c r="I1296" t="s">
        <v>7795</v>
      </c>
    </row>
    <row r="1297">
      <c r="A1297" t="s">
        <v>2995</v>
      </c>
      <c r="B1297" s="232" t="s">
        <v>2994</v>
      </c>
      <c r="C1297" s="232">
        <v>12.0</v>
      </c>
      <c r="D1297" s="232">
        <v>0.01</v>
      </c>
      <c r="E1297" s="232">
        <v>8.0E-4</v>
      </c>
      <c r="F1297" t="s">
        <v>7702</v>
      </c>
      <c r="G1297" t="s">
        <v>330</v>
      </c>
      <c r="H1297" t="s">
        <v>45</v>
      </c>
      <c r="I1297" t="s">
        <v>7795</v>
      </c>
    </row>
    <row r="1298">
      <c r="A1298" t="s">
        <v>2997</v>
      </c>
      <c r="B1298" s="232" t="s">
        <v>2996</v>
      </c>
      <c r="C1298" s="232">
        <v>0.0</v>
      </c>
      <c r="D1298" s="232">
        <v>0.0</v>
      </c>
      <c r="F1298" t="s">
        <v>7702</v>
      </c>
      <c r="G1298" t="s">
        <v>310</v>
      </c>
      <c r="H1298" t="s">
        <v>45</v>
      </c>
      <c r="I1298" t="s">
        <v>7795</v>
      </c>
    </row>
    <row r="1299">
      <c r="A1299" t="s">
        <v>2999</v>
      </c>
      <c r="B1299" s="232" t="s">
        <v>2998</v>
      </c>
      <c r="C1299" s="232">
        <v>7.0</v>
      </c>
      <c r="D1299" s="232">
        <v>0.01</v>
      </c>
      <c r="E1299" s="232">
        <v>0.0014</v>
      </c>
      <c r="F1299" t="s">
        <v>7702</v>
      </c>
      <c r="G1299" t="s">
        <v>330</v>
      </c>
      <c r="H1299" t="s">
        <v>45</v>
      </c>
      <c r="I1299" t="s">
        <v>7795</v>
      </c>
    </row>
    <row r="1300">
      <c r="A1300" t="s">
        <v>3001</v>
      </c>
      <c r="B1300" s="232" t="s">
        <v>3000</v>
      </c>
      <c r="C1300" s="232">
        <v>3.0</v>
      </c>
      <c r="D1300" s="232">
        <v>0.01</v>
      </c>
      <c r="E1300" s="232">
        <v>0.0033</v>
      </c>
      <c r="F1300" t="s">
        <v>7702</v>
      </c>
      <c r="G1300" t="s">
        <v>330</v>
      </c>
      <c r="H1300" t="s">
        <v>45</v>
      </c>
      <c r="I1300" t="s">
        <v>7795</v>
      </c>
    </row>
    <row r="1301">
      <c r="A1301" t="s">
        <v>3003</v>
      </c>
      <c r="B1301" s="232" t="s">
        <v>3002</v>
      </c>
      <c r="C1301" s="232">
        <v>5.0</v>
      </c>
      <c r="D1301" s="232">
        <v>0.01</v>
      </c>
      <c r="E1301" s="232">
        <v>0.002</v>
      </c>
      <c r="F1301" t="s">
        <v>7702</v>
      </c>
      <c r="G1301" t="s">
        <v>330</v>
      </c>
      <c r="H1301" t="s">
        <v>45</v>
      </c>
      <c r="I1301" t="s">
        <v>7795</v>
      </c>
    </row>
    <row r="1302">
      <c r="A1302" t="s">
        <v>3005</v>
      </c>
      <c r="B1302" s="232" t="s">
        <v>3004</v>
      </c>
      <c r="C1302" s="232">
        <v>3.0</v>
      </c>
      <c r="D1302" s="232">
        <v>0.01</v>
      </c>
      <c r="E1302" s="232">
        <v>0.0033</v>
      </c>
      <c r="F1302" t="s">
        <v>7702</v>
      </c>
      <c r="G1302" t="s">
        <v>330</v>
      </c>
      <c r="H1302" t="s">
        <v>45</v>
      </c>
      <c r="I1302" t="s">
        <v>7795</v>
      </c>
    </row>
    <row r="1303">
      <c r="A1303" t="s">
        <v>3007</v>
      </c>
      <c r="B1303" s="232" t="s">
        <v>3006</v>
      </c>
      <c r="C1303" s="232">
        <v>3.0</v>
      </c>
      <c r="D1303" s="232">
        <v>0.01</v>
      </c>
      <c r="E1303" s="232">
        <v>0.0033</v>
      </c>
      <c r="F1303" t="s">
        <v>7702</v>
      </c>
      <c r="G1303" t="s">
        <v>330</v>
      </c>
      <c r="H1303" t="s">
        <v>45</v>
      </c>
      <c r="I1303" t="s">
        <v>7795</v>
      </c>
    </row>
    <row r="1304">
      <c r="A1304" t="s">
        <v>3009</v>
      </c>
      <c r="B1304" s="232" t="s">
        <v>3008</v>
      </c>
      <c r="C1304" s="232">
        <v>0.0</v>
      </c>
      <c r="D1304" s="232">
        <v>0.0</v>
      </c>
      <c r="F1304" t="s">
        <v>7702</v>
      </c>
      <c r="G1304" t="s">
        <v>310</v>
      </c>
      <c r="H1304" t="s">
        <v>45</v>
      </c>
      <c r="I1304" t="s">
        <v>7795</v>
      </c>
    </row>
    <row r="1305">
      <c r="A1305" t="s">
        <v>3011</v>
      </c>
      <c r="B1305" s="232" t="s">
        <v>3010</v>
      </c>
      <c r="C1305" s="232">
        <v>5.0</v>
      </c>
      <c r="D1305" s="232">
        <v>0.01</v>
      </c>
      <c r="E1305" s="232">
        <v>0.002</v>
      </c>
      <c r="F1305" t="s">
        <v>7702</v>
      </c>
      <c r="G1305" t="s">
        <v>330</v>
      </c>
      <c r="H1305" t="s">
        <v>45</v>
      </c>
      <c r="I1305" t="s">
        <v>7795</v>
      </c>
    </row>
    <row r="1306">
      <c r="A1306" t="s">
        <v>3013</v>
      </c>
      <c r="B1306" s="232" t="s">
        <v>3012</v>
      </c>
      <c r="C1306" s="232">
        <v>19.0</v>
      </c>
      <c r="D1306" s="232">
        <v>0.01</v>
      </c>
      <c r="E1306" s="232">
        <v>5.0E-4</v>
      </c>
      <c r="F1306" t="s">
        <v>7702</v>
      </c>
      <c r="G1306" t="s">
        <v>330</v>
      </c>
      <c r="H1306" t="s">
        <v>45</v>
      </c>
      <c r="I1306" t="s">
        <v>7795</v>
      </c>
    </row>
    <row r="1307">
      <c r="A1307" t="s">
        <v>3015</v>
      </c>
      <c r="B1307" s="232" t="s">
        <v>3014</v>
      </c>
      <c r="C1307" s="232">
        <v>23.0</v>
      </c>
      <c r="D1307" s="232">
        <v>0.01</v>
      </c>
      <c r="E1307" s="232">
        <v>4.0E-4</v>
      </c>
      <c r="F1307" t="s">
        <v>7702</v>
      </c>
      <c r="G1307" t="s">
        <v>330</v>
      </c>
      <c r="H1307" t="s">
        <v>45</v>
      </c>
      <c r="I1307" t="s">
        <v>7795</v>
      </c>
    </row>
    <row r="1308">
      <c r="A1308" t="s">
        <v>3017</v>
      </c>
      <c r="B1308" s="232" t="s">
        <v>3016</v>
      </c>
      <c r="C1308" s="232">
        <v>0.0</v>
      </c>
      <c r="D1308" s="232">
        <v>0.0</v>
      </c>
      <c r="F1308" t="s">
        <v>7702</v>
      </c>
      <c r="G1308" t="s">
        <v>310</v>
      </c>
      <c r="H1308" t="s">
        <v>45</v>
      </c>
      <c r="I1308" t="s">
        <v>7795</v>
      </c>
    </row>
    <row r="1309">
      <c r="A1309" t="s">
        <v>3019</v>
      </c>
      <c r="B1309" s="232" t="s">
        <v>3018</v>
      </c>
      <c r="C1309" s="232">
        <v>0.0</v>
      </c>
      <c r="D1309" s="232">
        <v>0.0</v>
      </c>
      <c r="F1309" t="s">
        <v>7702</v>
      </c>
      <c r="G1309" t="s">
        <v>310</v>
      </c>
      <c r="H1309" t="s">
        <v>7703</v>
      </c>
      <c r="I1309" t="s">
        <v>7805</v>
      </c>
    </row>
    <row r="1310">
      <c r="A1310" t="s">
        <v>3021</v>
      </c>
      <c r="B1310" s="232" t="s">
        <v>3020</v>
      </c>
      <c r="C1310" s="232">
        <v>0.0</v>
      </c>
      <c r="D1310" s="232">
        <v>0.0</v>
      </c>
      <c r="F1310" t="s">
        <v>7702</v>
      </c>
      <c r="G1310" t="s">
        <v>310</v>
      </c>
      <c r="H1310" t="s">
        <v>7703</v>
      </c>
      <c r="I1310" t="s">
        <v>7805</v>
      </c>
    </row>
    <row r="1311">
      <c r="A1311" t="s">
        <v>3023</v>
      </c>
      <c r="B1311" s="232" t="s">
        <v>3022</v>
      </c>
      <c r="C1311" s="232">
        <v>0.0</v>
      </c>
      <c r="D1311" s="232">
        <v>0.0</v>
      </c>
      <c r="F1311" t="s">
        <v>7702</v>
      </c>
      <c r="G1311" t="s">
        <v>310</v>
      </c>
      <c r="H1311" t="s">
        <v>7703</v>
      </c>
      <c r="I1311" t="s">
        <v>7805</v>
      </c>
    </row>
    <row r="1312">
      <c r="A1312" t="s">
        <v>3025</v>
      </c>
      <c r="B1312" s="232" t="s">
        <v>3024</v>
      </c>
      <c r="C1312" s="232">
        <v>0.0</v>
      </c>
      <c r="D1312" s="232">
        <v>0.0</v>
      </c>
      <c r="F1312" t="s">
        <v>7702</v>
      </c>
      <c r="G1312" t="s">
        <v>310</v>
      </c>
      <c r="H1312" t="s">
        <v>7703</v>
      </c>
      <c r="I1312" t="s">
        <v>7805</v>
      </c>
    </row>
    <row r="1313">
      <c r="A1313" t="s">
        <v>3029</v>
      </c>
      <c r="B1313" s="232" t="s">
        <v>3028</v>
      </c>
      <c r="C1313" s="232">
        <v>50.0</v>
      </c>
      <c r="D1313" s="232">
        <v>315.39</v>
      </c>
      <c r="E1313" s="232">
        <v>6.3078</v>
      </c>
      <c r="F1313" t="s">
        <v>7702</v>
      </c>
      <c r="G1313" t="s">
        <v>330</v>
      </c>
      <c r="H1313" t="s">
        <v>214</v>
      </c>
      <c r="I1313" t="s">
        <v>7788</v>
      </c>
    </row>
    <row r="1314">
      <c r="A1314" t="s">
        <v>3033</v>
      </c>
      <c r="B1314" s="232" t="s">
        <v>3032</v>
      </c>
      <c r="C1314" s="232">
        <v>912.0</v>
      </c>
      <c r="D1314" s="232">
        <v>501.69</v>
      </c>
      <c r="E1314" s="232">
        <v>0.5501</v>
      </c>
      <c r="F1314" t="s">
        <v>7702</v>
      </c>
      <c r="G1314" t="s">
        <v>330</v>
      </c>
      <c r="H1314" t="s">
        <v>7725</v>
      </c>
      <c r="I1314" t="s">
        <v>7727</v>
      </c>
    </row>
    <row r="1315">
      <c r="A1315" t="s">
        <v>3035</v>
      </c>
      <c r="B1315" s="232" t="s">
        <v>3034</v>
      </c>
      <c r="C1315" s="232">
        <v>318.0</v>
      </c>
      <c r="D1315" s="232">
        <v>159.0</v>
      </c>
      <c r="E1315" s="232">
        <v>0.5</v>
      </c>
      <c r="F1315" t="s">
        <v>7702</v>
      </c>
      <c r="G1315" t="s">
        <v>330</v>
      </c>
      <c r="H1315" t="s">
        <v>7725</v>
      </c>
      <c r="I1315" t="s">
        <v>7745</v>
      </c>
    </row>
    <row r="1316">
      <c r="A1316" t="s">
        <v>3037</v>
      </c>
      <c r="B1316" s="232" t="s">
        <v>3036</v>
      </c>
      <c r="C1316" s="232">
        <v>36.0</v>
      </c>
      <c r="D1316" s="232">
        <v>19.44</v>
      </c>
      <c r="E1316" s="232">
        <v>0.54</v>
      </c>
      <c r="F1316" t="s">
        <v>7702</v>
      </c>
      <c r="G1316" t="s">
        <v>330</v>
      </c>
      <c r="H1316" t="s">
        <v>7725</v>
      </c>
      <c r="I1316" t="s">
        <v>7739</v>
      </c>
    </row>
    <row r="1317">
      <c r="A1317" t="s">
        <v>3039</v>
      </c>
      <c r="B1317" s="232" t="s">
        <v>3038</v>
      </c>
      <c r="C1317" s="232">
        <v>77.0</v>
      </c>
      <c r="D1317" s="232">
        <v>11520.81</v>
      </c>
      <c r="E1317" s="232">
        <v>149.6209</v>
      </c>
      <c r="F1317" t="s">
        <v>7702</v>
      </c>
      <c r="G1317" t="s">
        <v>330</v>
      </c>
      <c r="H1317" t="s">
        <v>7774</v>
      </c>
      <c r="I1317" t="s">
        <v>7710</v>
      </c>
    </row>
    <row r="1318">
      <c r="A1318" t="s">
        <v>3041</v>
      </c>
      <c r="B1318" s="232" t="s">
        <v>3040</v>
      </c>
      <c r="C1318" s="232">
        <v>61.0</v>
      </c>
      <c r="D1318" s="232">
        <v>9.8</v>
      </c>
      <c r="E1318" s="232">
        <v>0.1607</v>
      </c>
      <c r="F1318" t="s">
        <v>7702</v>
      </c>
      <c r="G1318" t="s">
        <v>330</v>
      </c>
      <c r="H1318" t="s">
        <v>7774</v>
      </c>
      <c r="I1318" t="s">
        <v>7713</v>
      </c>
    </row>
    <row r="1319">
      <c r="A1319" t="s">
        <v>3042</v>
      </c>
      <c r="B1319" s="232">
        <v>37601.0</v>
      </c>
      <c r="C1319" s="232">
        <v>0.0</v>
      </c>
      <c r="D1319" s="232">
        <v>0.0</v>
      </c>
      <c r="F1319" t="s">
        <v>7702</v>
      </c>
      <c r="G1319" t="s">
        <v>330</v>
      </c>
      <c r="H1319" t="s">
        <v>7774</v>
      </c>
      <c r="I1319" t="s">
        <v>7713</v>
      </c>
    </row>
    <row r="1320">
      <c r="A1320" t="s">
        <v>3043</v>
      </c>
      <c r="B1320" s="232">
        <v>37602.0</v>
      </c>
      <c r="C1320" s="232">
        <v>3.0</v>
      </c>
      <c r="D1320" s="232">
        <v>10.4</v>
      </c>
      <c r="E1320" s="232">
        <v>3.4667</v>
      </c>
      <c r="F1320" t="s">
        <v>7702</v>
      </c>
      <c r="G1320" t="s">
        <v>330</v>
      </c>
      <c r="H1320" t="s">
        <v>7774</v>
      </c>
      <c r="I1320" t="s">
        <v>7713</v>
      </c>
    </row>
    <row r="1321">
      <c r="A1321" t="s">
        <v>3044</v>
      </c>
      <c r="B1321" s="232">
        <v>37603.0</v>
      </c>
      <c r="C1321" s="232">
        <v>425.0</v>
      </c>
      <c r="D1321" s="232">
        <v>1450.73</v>
      </c>
      <c r="E1321" s="232">
        <v>3.4135</v>
      </c>
      <c r="F1321" t="s">
        <v>7702</v>
      </c>
      <c r="G1321" t="s">
        <v>330</v>
      </c>
      <c r="H1321" t="s">
        <v>7774</v>
      </c>
      <c r="I1321" t="s">
        <v>7713</v>
      </c>
    </row>
    <row r="1322">
      <c r="A1322" t="s">
        <v>3045</v>
      </c>
      <c r="B1322" s="232">
        <v>37604.0</v>
      </c>
      <c r="C1322" s="232">
        <v>485.0</v>
      </c>
      <c r="D1322" s="232">
        <v>1669.57</v>
      </c>
      <c r="E1322" s="232">
        <v>3.4424</v>
      </c>
      <c r="F1322" t="s">
        <v>7702</v>
      </c>
      <c r="G1322" t="s">
        <v>330</v>
      </c>
      <c r="H1322" t="s">
        <v>7774</v>
      </c>
      <c r="I1322" t="s">
        <v>7713</v>
      </c>
    </row>
    <row r="1323">
      <c r="A1323" t="s">
        <v>3047</v>
      </c>
      <c r="B1323" s="232" t="s">
        <v>3046</v>
      </c>
      <c r="C1323" s="232">
        <v>0.0</v>
      </c>
      <c r="D1323" s="232">
        <v>0.0</v>
      </c>
      <c r="F1323" t="s">
        <v>7702</v>
      </c>
      <c r="G1323" t="s">
        <v>330</v>
      </c>
      <c r="H1323" t="s">
        <v>7774</v>
      </c>
      <c r="I1323" t="s">
        <v>7713</v>
      </c>
    </row>
    <row r="1324">
      <c r="A1324" t="s">
        <v>3052</v>
      </c>
      <c r="B1324" s="232">
        <v>45202.0</v>
      </c>
      <c r="C1324" s="232">
        <v>0.0</v>
      </c>
      <c r="D1324" s="232">
        <v>0.0</v>
      </c>
      <c r="F1324" t="s">
        <v>7702</v>
      </c>
      <c r="G1324" t="s">
        <v>310</v>
      </c>
      <c r="H1324" t="s">
        <v>7703</v>
      </c>
      <c r="I1324" t="s">
        <v>7772</v>
      </c>
    </row>
    <row r="1325">
      <c r="A1325" t="s">
        <v>3053</v>
      </c>
      <c r="B1325" s="232">
        <v>45203.0</v>
      </c>
      <c r="C1325" s="232">
        <v>0.0</v>
      </c>
      <c r="D1325" s="232">
        <v>0.0</v>
      </c>
      <c r="F1325" t="s">
        <v>7702</v>
      </c>
      <c r="G1325" t="s">
        <v>310</v>
      </c>
      <c r="H1325" t="s">
        <v>7703</v>
      </c>
      <c r="I1325" t="s">
        <v>7772</v>
      </c>
    </row>
    <row r="1326">
      <c r="A1326" t="s">
        <v>3054</v>
      </c>
      <c r="B1326" s="232">
        <v>45201.0</v>
      </c>
      <c r="C1326" s="232">
        <v>0.0</v>
      </c>
      <c r="D1326" s="232">
        <v>0.0</v>
      </c>
      <c r="F1326" t="s">
        <v>7702</v>
      </c>
      <c r="G1326" t="s">
        <v>310</v>
      </c>
      <c r="H1326" t="s">
        <v>7703</v>
      </c>
      <c r="I1326" t="s">
        <v>7772</v>
      </c>
    </row>
    <row r="1327">
      <c r="A1327" t="s">
        <v>3066</v>
      </c>
      <c r="B1327" s="232" t="s">
        <v>3065</v>
      </c>
      <c r="C1327" s="232">
        <v>300.0</v>
      </c>
      <c r="D1327" s="232">
        <v>165.0</v>
      </c>
      <c r="E1327" s="232">
        <v>0.55</v>
      </c>
      <c r="F1327" t="s">
        <v>7702</v>
      </c>
      <c r="G1327" t="s">
        <v>330</v>
      </c>
      <c r="H1327" t="s">
        <v>7725</v>
      </c>
      <c r="I1327" t="s">
        <v>7727</v>
      </c>
    </row>
    <row r="1328">
      <c r="A1328" t="s">
        <v>3068</v>
      </c>
      <c r="B1328" s="232" t="s">
        <v>3067</v>
      </c>
      <c r="C1328" s="232">
        <v>664.0</v>
      </c>
      <c r="D1328" s="232">
        <v>332.0</v>
      </c>
      <c r="E1328" s="232">
        <v>0.5</v>
      </c>
      <c r="F1328" t="s">
        <v>7702</v>
      </c>
      <c r="G1328" t="s">
        <v>330</v>
      </c>
      <c r="H1328" t="s">
        <v>7725</v>
      </c>
      <c r="I1328" t="s">
        <v>7745</v>
      </c>
    </row>
    <row r="1329">
      <c r="A1329" t="s">
        <v>3070</v>
      </c>
      <c r="B1329" s="232" t="s">
        <v>3069</v>
      </c>
      <c r="C1329" s="232">
        <v>270.0</v>
      </c>
      <c r="D1329" s="232">
        <v>129.6</v>
      </c>
      <c r="E1329" s="232">
        <v>0.48</v>
      </c>
      <c r="F1329" t="s">
        <v>7702</v>
      </c>
      <c r="G1329" t="s">
        <v>330</v>
      </c>
      <c r="H1329" t="s">
        <v>7725</v>
      </c>
      <c r="I1329" t="s">
        <v>7739</v>
      </c>
    </row>
    <row r="1330">
      <c r="A1330" t="s">
        <v>3072</v>
      </c>
      <c r="B1330" s="232" t="s">
        <v>3071</v>
      </c>
      <c r="C1330" s="232">
        <v>0.0</v>
      </c>
      <c r="D1330" s="232">
        <v>0.0</v>
      </c>
      <c r="F1330" t="s">
        <v>7702</v>
      </c>
      <c r="G1330" t="s">
        <v>310</v>
      </c>
      <c r="H1330" t="s">
        <v>7703</v>
      </c>
      <c r="I1330" t="s">
        <v>7767</v>
      </c>
    </row>
    <row r="1331">
      <c r="A1331" t="s">
        <v>3074</v>
      </c>
      <c r="B1331" s="232" t="s">
        <v>3073</v>
      </c>
      <c r="C1331" s="232">
        <v>186.0</v>
      </c>
      <c r="D1331" s="232">
        <v>1044.99</v>
      </c>
      <c r="E1331" s="232">
        <v>5.6182</v>
      </c>
      <c r="F1331" t="s">
        <v>7702</v>
      </c>
      <c r="G1331" t="s">
        <v>330</v>
      </c>
      <c r="H1331" t="s">
        <v>214</v>
      </c>
      <c r="I1331" t="s">
        <v>7712</v>
      </c>
    </row>
    <row r="1332">
      <c r="A1332" t="s">
        <v>3092</v>
      </c>
      <c r="B1332" s="232" t="s">
        <v>3091</v>
      </c>
      <c r="C1332" s="232">
        <v>310.0</v>
      </c>
      <c r="D1332" s="232">
        <v>1542.14</v>
      </c>
      <c r="E1332" s="232">
        <v>4.9746</v>
      </c>
      <c r="F1332" t="s">
        <v>7702</v>
      </c>
      <c r="G1332" t="s">
        <v>330</v>
      </c>
      <c r="H1332" t="s">
        <v>7709</v>
      </c>
      <c r="I1332" t="s">
        <v>7806</v>
      </c>
    </row>
    <row r="1333">
      <c r="A1333" t="s">
        <v>3096</v>
      </c>
      <c r="B1333" s="232" t="s">
        <v>3095</v>
      </c>
      <c r="C1333" s="232">
        <v>248.0</v>
      </c>
      <c r="D1333" s="232">
        <v>1233.79</v>
      </c>
      <c r="E1333" s="232">
        <v>4.975</v>
      </c>
      <c r="F1333" t="s">
        <v>7702</v>
      </c>
      <c r="G1333" t="s">
        <v>330</v>
      </c>
      <c r="H1333" t="s">
        <v>7709</v>
      </c>
      <c r="I1333" t="s">
        <v>7806</v>
      </c>
    </row>
    <row r="1334">
      <c r="A1334" t="s">
        <v>3098</v>
      </c>
      <c r="B1334" s="232" t="s">
        <v>3097</v>
      </c>
      <c r="C1334" s="232">
        <v>73.0</v>
      </c>
      <c r="D1334" s="232">
        <v>363.46</v>
      </c>
      <c r="E1334" s="232">
        <v>4.9789</v>
      </c>
      <c r="F1334" t="s">
        <v>7702</v>
      </c>
      <c r="G1334" t="s">
        <v>330</v>
      </c>
      <c r="H1334" t="s">
        <v>7709</v>
      </c>
      <c r="I1334" t="s">
        <v>7806</v>
      </c>
    </row>
    <row r="1335">
      <c r="A1335" t="s">
        <v>3100</v>
      </c>
      <c r="B1335" s="232" t="s">
        <v>3099</v>
      </c>
      <c r="C1335" s="232">
        <v>233.0</v>
      </c>
      <c r="D1335" s="232">
        <v>1159.19</v>
      </c>
      <c r="E1335" s="232">
        <v>4.9751</v>
      </c>
      <c r="F1335" t="s">
        <v>7702</v>
      </c>
      <c r="G1335" t="s">
        <v>330</v>
      </c>
      <c r="H1335" t="s">
        <v>7709</v>
      </c>
      <c r="I1335" t="s">
        <v>7806</v>
      </c>
    </row>
    <row r="1336">
      <c r="A1336" t="s">
        <v>3104</v>
      </c>
      <c r="B1336" s="232" t="s">
        <v>3103</v>
      </c>
      <c r="C1336" s="232">
        <v>3.0</v>
      </c>
      <c r="D1336" s="232">
        <v>144.37</v>
      </c>
      <c r="E1336" s="232">
        <v>48.1233</v>
      </c>
      <c r="F1336" t="s">
        <v>7702</v>
      </c>
      <c r="G1336" t="s">
        <v>330</v>
      </c>
      <c r="H1336" t="s">
        <v>45</v>
      </c>
      <c r="I1336" t="s">
        <v>7807</v>
      </c>
    </row>
    <row r="1337">
      <c r="A1337" t="s">
        <v>3106</v>
      </c>
      <c r="B1337" s="232" t="s">
        <v>3105</v>
      </c>
      <c r="C1337" s="232">
        <v>5.0</v>
      </c>
      <c r="D1337" s="232">
        <v>57.7</v>
      </c>
      <c r="E1337" s="232">
        <v>11.54</v>
      </c>
      <c r="F1337" t="s">
        <v>7702</v>
      </c>
      <c r="G1337" t="s">
        <v>330</v>
      </c>
      <c r="I1337" t="s">
        <v>7714</v>
      </c>
    </row>
    <row r="1338">
      <c r="A1338" t="s">
        <v>3110</v>
      </c>
      <c r="B1338" s="232" t="s">
        <v>3109</v>
      </c>
      <c r="C1338" s="232">
        <v>0.0</v>
      </c>
      <c r="D1338" s="232">
        <v>0.0</v>
      </c>
      <c r="F1338" t="s">
        <v>7702</v>
      </c>
      <c r="G1338" t="s">
        <v>310</v>
      </c>
      <c r="H1338" t="s">
        <v>7747</v>
      </c>
      <c r="I1338" t="s">
        <v>7755</v>
      </c>
    </row>
    <row r="1339">
      <c r="A1339" t="s">
        <v>3112</v>
      </c>
      <c r="B1339" s="232" t="s">
        <v>3111</v>
      </c>
      <c r="C1339" s="232">
        <v>0.0</v>
      </c>
      <c r="D1339" s="232">
        <v>0.0</v>
      </c>
      <c r="F1339" t="s">
        <v>7732</v>
      </c>
      <c r="G1339" t="s">
        <v>330</v>
      </c>
      <c r="H1339" t="s">
        <v>7747</v>
      </c>
      <c r="I1339" t="s">
        <v>7755</v>
      </c>
    </row>
    <row r="1340">
      <c r="A1340" t="s">
        <v>3114</v>
      </c>
      <c r="B1340" s="232" t="s">
        <v>3113</v>
      </c>
      <c r="C1340" s="232">
        <v>0.0</v>
      </c>
      <c r="D1340" s="232">
        <v>0.0</v>
      </c>
      <c r="F1340" t="s">
        <v>7732</v>
      </c>
      <c r="G1340" t="s">
        <v>330</v>
      </c>
      <c r="H1340" t="s">
        <v>7747</v>
      </c>
      <c r="I1340" t="s">
        <v>7755</v>
      </c>
    </row>
    <row r="1341">
      <c r="A1341" t="s">
        <v>3116</v>
      </c>
      <c r="B1341" s="232" t="s">
        <v>3115</v>
      </c>
      <c r="C1341" s="232">
        <v>0.0</v>
      </c>
      <c r="D1341" s="232">
        <v>0.0</v>
      </c>
      <c r="F1341" t="s">
        <v>7732</v>
      </c>
      <c r="G1341" t="s">
        <v>310</v>
      </c>
      <c r="H1341" t="s">
        <v>7747</v>
      </c>
      <c r="I1341" t="s">
        <v>7755</v>
      </c>
    </row>
    <row r="1342">
      <c r="A1342" t="s">
        <v>3118</v>
      </c>
      <c r="B1342" s="232" t="s">
        <v>3117</v>
      </c>
      <c r="C1342" s="232">
        <v>0.0</v>
      </c>
      <c r="D1342" s="232">
        <v>0.0</v>
      </c>
      <c r="F1342" t="s">
        <v>7732</v>
      </c>
      <c r="G1342" t="s">
        <v>310</v>
      </c>
      <c r="H1342" t="s">
        <v>7747</v>
      </c>
      <c r="I1342" t="s">
        <v>7755</v>
      </c>
    </row>
    <row r="1343">
      <c r="A1343" t="s">
        <v>3120</v>
      </c>
      <c r="B1343" s="232" t="s">
        <v>3119</v>
      </c>
      <c r="C1343" s="232">
        <v>71.0</v>
      </c>
      <c r="D1343" s="232">
        <v>850.9</v>
      </c>
      <c r="E1343" s="232">
        <v>11.9845</v>
      </c>
      <c r="F1343" t="s">
        <v>7702</v>
      </c>
      <c r="G1343" t="s">
        <v>330</v>
      </c>
      <c r="H1343" t="s">
        <v>7774</v>
      </c>
      <c r="I1343" t="s">
        <v>7710</v>
      </c>
    </row>
    <row r="1344">
      <c r="A1344" t="s">
        <v>3122</v>
      </c>
      <c r="B1344" s="232" t="s">
        <v>3121</v>
      </c>
      <c r="C1344" s="232">
        <v>2.0</v>
      </c>
      <c r="D1344" s="232">
        <v>127.26</v>
      </c>
      <c r="E1344" s="232">
        <v>63.63</v>
      </c>
      <c r="F1344" t="s">
        <v>7702</v>
      </c>
      <c r="G1344" t="s">
        <v>330</v>
      </c>
      <c r="H1344" t="s">
        <v>150</v>
      </c>
      <c r="I1344" t="s">
        <v>7713</v>
      </c>
    </row>
    <row r="1345">
      <c r="A1345" t="s">
        <v>3123</v>
      </c>
      <c r="B1345" s="232">
        <v>34101.0</v>
      </c>
      <c r="C1345" s="232">
        <v>1828.0</v>
      </c>
      <c r="D1345" s="232">
        <v>8865.07</v>
      </c>
      <c r="E1345" s="232">
        <v>4.8496</v>
      </c>
      <c r="F1345" t="s">
        <v>7702</v>
      </c>
      <c r="G1345" t="s">
        <v>330</v>
      </c>
      <c r="H1345" t="s">
        <v>7774</v>
      </c>
      <c r="I1345" t="s">
        <v>7710</v>
      </c>
    </row>
    <row r="1346">
      <c r="A1346" t="s">
        <v>3125</v>
      </c>
      <c r="B1346" s="232" t="s">
        <v>3124</v>
      </c>
      <c r="C1346" s="232">
        <v>3.0</v>
      </c>
      <c r="D1346" s="232">
        <v>198.12</v>
      </c>
      <c r="E1346" s="232">
        <v>66.04</v>
      </c>
      <c r="F1346" t="s">
        <v>7711</v>
      </c>
      <c r="G1346" t="s">
        <v>330</v>
      </c>
      <c r="H1346" t="s">
        <v>7774</v>
      </c>
      <c r="I1346" t="s">
        <v>7710</v>
      </c>
    </row>
    <row r="1347">
      <c r="A1347" t="s">
        <v>3131</v>
      </c>
      <c r="B1347" s="232" t="s">
        <v>3130</v>
      </c>
      <c r="C1347" s="232">
        <v>906.0</v>
      </c>
      <c r="D1347" s="232">
        <v>376.53</v>
      </c>
      <c r="E1347" s="232">
        <v>0.4156</v>
      </c>
      <c r="F1347" t="s">
        <v>7732</v>
      </c>
      <c r="G1347" t="s">
        <v>330</v>
      </c>
      <c r="H1347" t="s">
        <v>7747</v>
      </c>
    </row>
    <row r="1348">
      <c r="A1348" t="s">
        <v>3133</v>
      </c>
      <c r="B1348" s="232" t="s">
        <v>3132</v>
      </c>
      <c r="C1348" s="232">
        <v>270.0</v>
      </c>
      <c r="D1348" s="232">
        <v>148.75</v>
      </c>
      <c r="E1348" s="232">
        <v>0.5509</v>
      </c>
      <c r="F1348" t="s">
        <v>7702</v>
      </c>
      <c r="G1348" t="s">
        <v>330</v>
      </c>
      <c r="H1348" t="s">
        <v>7725</v>
      </c>
      <c r="I1348" t="s">
        <v>7727</v>
      </c>
    </row>
    <row r="1349">
      <c r="A1349" t="s">
        <v>3135</v>
      </c>
      <c r="B1349" s="232" t="s">
        <v>3134</v>
      </c>
      <c r="C1349" s="232">
        <v>474.0</v>
      </c>
      <c r="D1349" s="232">
        <v>237.0</v>
      </c>
      <c r="E1349" s="232">
        <v>0.5</v>
      </c>
      <c r="F1349" t="s">
        <v>7702</v>
      </c>
      <c r="G1349" t="s">
        <v>330</v>
      </c>
      <c r="H1349" t="s">
        <v>7725</v>
      </c>
      <c r="I1349" t="s">
        <v>7745</v>
      </c>
    </row>
    <row r="1350">
      <c r="A1350" t="s">
        <v>3139</v>
      </c>
      <c r="B1350" s="232" t="s">
        <v>3138</v>
      </c>
      <c r="C1350" s="232">
        <v>0.0</v>
      </c>
      <c r="D1350" s="232">
        <v>0.0</v>
      </c>
      <c r="F1350" t="s">
        <v>7702</v>
      </c>
      <c r="G1350" t="s">
        <v>330</v>
      </c>
      <c r="H1350" t="s">
        <v>150</v>
      </c>
      <c r="I1350" t="s">
        <v>166</v>
      </c>
    </row>
    <row r="1351">
      <c r="A1351" t="s">
        <v>3141</v>
      </c>
      <c r="B1351" s="232" t="s">
        <v>3140</v>
      </c>
      <c r="C1351" s="232">
        <v>0.0</v>
      </c>
      <c r="D1351" s="232">
        <v>0.0</v>
      </c>
      <c r="F1351" t="s">
        <v>7702</v>
      </c>
      <c r="G1351" t="s">
        <v>330</v>
      </c>
      <c r="H1351" t="s">
        <v>150</v>
      </c>
      <c r="I1351" t="s">
        <v>166</v>
      </c>
    </row>
    <row r="1352">
      <c r="A1352" t="s">
        <v>3143</v>
      </c>
      <c r="B1352" s="232" t="s">
        <v>3142</v>
      </c>
      <c r="C1352" s="232">
        <v>0.0</v>
      </c>
      <c r="D1352" s="232">
        <v>0.0</v>
      </c>
      <c r="F1352" t="s">
        <v>7702</v>
      </c>
      <c r="G1352" t="s">
        <v>330</v>
      </c>
      <c r="H1352" t="s">
        <v>150</v>
      </c>
      <c r="I1352" t="s">
        <v>166</v>
      </c>
    </row>
    <row r="1353">
      <c r="A1353" t="s">
        <v>200</v>
      </c>
      <c r="B1353" s="232" t="s">
        <v>201</v>
      </c>
      <c r="C1353" s="232">
        <v>0.0</v>
      </c>
      <c r="D1353" s="232">
        <v>0.0</v>
      </c>
      <c r="F1353" t="s">
        <v>7711</v>
      </c>
      <c r="G1353" t="s">
        <v>330</v>
      </c>
      <c r="H1353" t="s">
        <v>28</v>
      </c>
      <c r="I1353" t="s">
        <v>29</v>
      </c>
    </row>
    <row r="1354">
      <c r="A1354" t="s">
        <v>58</v>
      </c>
      <c r="B1354" s="232" t="s">
        <v>59</v>
      </c>
      <c r="C1354" s="232">
        <v>0.0</v>
      </c>
      <c r="D1354" s="232">
        <v>0.0</v>
      </c>
      <c r="F1354" t="s">
        <v>7711</v>
      </c>
      <c r="G1354" t="s">
        <v>310</v>
      </c>
      <c r="H1354" t="s">
        <v>45</v>
      </c>
      <c r="I1354" t="s">
        <v>29</v>
      </c>
    </row>
    <row r="1355">
      <c r="A1355" t="s">
        <v>190</v>
      </c>
      <c r="B1355" s="232" t="s">
        <v>191</v>
      </c>
      <c r="C1355" s="232">
        <v>3.0</v>
      </c>
      <c r="D1355" s="232">
        <v>274.59</v>
      </c>
      <c r="E1355" s="232">
        <v>91.53</v>
      </c>
      <c r="F1355" t="s">
        <v>7711</v>
      </c>
      <c r="G1355" t="s">
        <v>330</v>
      </c>
      <c r="H1355" t="s">
        <v>28</v>
      </c>
      <c r="I1355" t="s">
        <v>29</v>
      </c>
    </row>
    <row r="1356">
      <c r="A1356" t="s">
        <v>3145</v>
      </c>
      <c r="B1356" s="232" t="s">
        <v>3144</v>
      </c>
      <c r="C1356" s="232">
        <v>0.0</v>
      </c>
      <c r="D1356" s="232">
        <v>0.0</v>
      </c>
      <c r="F1356" t="s">
        <v>7711</v>
      </c>
      <c r="G1356" t="s">
        <v>330</v>
      </c>
      <c r="H1356" t="s">
        <v>7725</v>
      </c>
      <c r="I1356" t="s">
        <v>98</v>
      </c>
    </row>
    <row r="1357">
      <c r="A1357" t="s">
        <v>3147</v>
      </c>
      <c r="B1357" s="232" t="s">
        <v>3146</v>
      </c>
      <c r="C1357" s="232">
        <v>2.0</v>
      </c>
      <c r="D1357" s="232">
        <v>144.0</v>
      </c>
      <c r="E1357" s="232">
        <v>72.0</v>
      </c>
      <c r="F1357" t="s">
        <v>7711</v>
      </c>
      <c r="G1357" t="s">
        <v>330</v>
      </c>
      <c r="H1357" t="s">
        <v>7725</v>
      </c>
      <c r="I1357" t="s">
        <v>7726</v>
      </c>
    </row>
    <row r="1358">
      <c r="A1358" t="s">
        <v>3149</v>
      </c>
      <c r="B1358" s="232" t="s">
        <v>3148</v>
      </c>
      <c r="C1358" s="232">
        <v>3.0</v>
      </c>
      <c r="D1358" s="232">
        <v>334.14</v>
      </c>
      <c r="E1358" s="232">
        <v>111.38</v>
      </c>
      <c r="F1358" t="s">
        <v>7711</v>
      </c>
      <c r="G1358" t="s">
        <v>330</v>
      </c>
      <c r="H1358" t="s">
        <v>7725</v>
      </c>
      <c r="I1358" t="s">
        <v>7727</v>
      </c>
    </row>
    <row r="1359">
      <c r="A1359" t="s">
        <v>3157</v>
      </c>
      <c r="B1359" s="232" t="s">
        <v>3156</v>
      </c>
      <c r="C1359" s="232">
        <v>3.0</v>
      </c>
      <c r="D1359" s="232">
        <v>114.89</v>
      </c>
      <c r="E1359" s="232">
        <v>38.2967</v>
      </c>
      <c r="F1359" t="s">
        <v>7711</v>
      </c>
      <c r="G1359" t="s">
        <v>330</v>
      </c>
      <c r="H1359" t="s">
        <v>7725</v>
      </c>
      <c r="I1359" t="s">
        <v>7720</v>
      </c>
    </row>
    <row r="1360">
      <c r="A1360" t="s">
        <v>3159</v>
      </c>
      <c r="B1360" s="232" t="s">
        <v>3158</v>
      </c>
      <c r="C1360" s="232">
        <v>0.0</v>
      </c>
      <c r="D1360" s="232">
        <v>0.0</v>
      </c>
      <c r="F1360" t="s">
        <v>7702</v>
      </c>
      <c r="G1360" t="s">
        <v>310</v>
      </c>
      <c r="H1360" t="s">
        <v>45</v>
      </c>
      <c r="I1360" t="s">
        <v>7744</v>
      </c>
    </row>
    <row r="1361">
      <c r="A1361" t="s">
        <v>3161</v>
      </c>
      <c r="B1361" s="232" t="s">
        <v>3160</v>
      </c>
      <c r="C1361" s="232">
        <v>0.0</v>
      </c>
      <c r="D1361" s="232">
        <v>0.0</v>
      </c>
      <c r="F1361" t="s">
        <v>7702</v>
      </c>
      <c r="G1361" t="s">
        <v>310</v>
      </c>
      <c r="H1361" t="s">
        <v>45</v>
      </c>
      <c r="I1361" t="s">
        <v>7744</v>
      </c>
    </row>
    <row r="1362">
      <c r="A1362" t="s">
        <v>3163</v>
      </c>
      <c r="B1362" s="232" t="s">
        <v>3162</v>
      </c>
      <c r="C1362" s="232">
        <v>0.0</v>
      </c>
      <c r="D1362" s="232">
        <v>0.0</v>
      </c>
      <c r="F1362" t="s">
        <v>7702</v>
      </c>
      <c r="G1362" t="s">
        <v>310</v>
      </c>
      <c r="H1362" t="s">
        <v>45</v>
      </c>
      <c r="I1362" t="s">
        <v>7744</v>
      </c>
    </row>
    <row r="1363">
      <c r="A1363" t="s">
        <v>3165</v>
      </c>
      <c r="B1363" s="232" t="s">
        <v>3164</v>
      </c>
      <c r="C1363" s="232">
        <v>0.0</v>
      </c>
      <c r="D1363" s="232">
        <v>0.0</v>
      </c>
      <c r="F1363" t="s">
        <v>7702</v>
      </c>
      <c r="G1363" t="s">
        <v>310</v>
      </c>
      <c r="H1363" t="s">
        <v>45</v>
      </c>
      <c r="I1363" t="s">
        <v>7744</v>
      </c>
    </row>
    <row r="1364">
      <c r="A1364" t="s">
        <v>3167</v>
      </c>
      <c r="B1364" s="232" t="s">
        <v>3166</v>
      </c>
      <c r="C1364" s="232">
        <v>0.0</v>
      </c>
      <c r="D1364" s="232">
        <v>0.0</v>
      </c>
      <c r="F1364" t="s">
        <v>7702</v>
      </c>
      <c r="G1364" t="s">
        <v>310</v>
      </c>
      <c r="H1364" t="s">
        <v>7703</v>
      </c>
      <c r="I1364" t="s">
        <v>7744</v>
      </c>
    </row>
    <row r="1365">
      <c r="A1365" t="s">
        <v>3169</v>
      </c>
      <c r="B1365" s="232" t="s">
        <v>3168</v>
      </c>
      <c r="C1365" s="232">
        <v>5.0</v>
      </c>
      <c r="D1365" s="232">
        <v>57.45</v>
      </c>
      <c r="E1365" s="232">
        <v>11.49</v>
      </c>
      <c r="F1365" t="s">
        <v>7702</v>
      </c>
      <c r="G1365" t="s">
        <v>330</v>
      </c>
      <c r="I1365" t="s">
        <v>7714</v>
      </c>
    </row>
    <row r="1366">
      <c r="A1366" t="s">
        <v>3171</v>
      </c>
      <c r="B1366" s="232" t="s">
        <v>3170</v>
      </c>
      <c r="C1366" s="232">
        <v>2.0</v>
      </c>
      <c r="D1366" s="232">
        <v>354.09</v>
      </c>
      <c r="E1366" s="232">
        <v>177.045</v>
      </c>
      <c r="F1366" t="s">
        <v>7702</v>
      </c>
      <c r="G1366" t="s">
        <v>330</v>
      </c>
      <c r="H1366" t="s">
        <v>150</v>
      </c>
      <c r="I1366" t="s">
        <v>7742</v>
      </c>
    </row>
    <row r="1367">
      <c r="A1367" t="s">
        <v>3173</v>
      </c>
      <c r="B1367" s="232" t="s">
        <v>3172</v>
      </c>
      <c r="C1367" s="232">
        <v>601.0</v>
      </c>
      <c r="D1367" s="232">
        <v>1185.31</v>
      </c>
      <c r="E1367" s="232">
        <v>1.9722</v>
      </c>
      <c r="F1367" t="s">
        <v>7702</v>
      </c>
      <c r="G1367" t="s">
        <v>330</v>
      </c>
      <c r="H1367" t="s">
        <v>150</v>
      </c>
      <c r="I1367" t="s">
        <v>7742</v>
      </c>
    </row>
    <row r="1368">
      <c r="A1368" t="s">
        <v>3175</v>
      </c>
      <c r="B1368" s="232" t="s">
        <v>3174</v>
      </c>
      <c r="C1368" s="232">
        <v>1081.0</v>
      </c>
      <c r="D1368" s="232">
        <v>2276.01</v>
      </c>
      <c r="E1368" s="232">
        <v>2.1055</v>
      </c>
      <c r="F1368" t="s">
        <v>7702</v>
      </c>
      <c r="G1368" t="s">
        <v>330</v>
      </c>
      <c r="H1368" t="s">
        <v>150</v>
      </c>
      <c r="I1368" t="s">
        <v>7742</v>
      </c>
    </row>
    <row r="1369">
      <c r="A1369" t="s">
        <v>3177</v>
      </c>
      <c r="B1369" s="232" t="s">
        <v>3176</v>
      </c>
      <c r="C1369" s="232">
        <v>1292.0</v>
      </c>
      <c r="D1369" s="232">
        <v>2507.29</v>
      </c>
      <c r="E1369" s="232">
        <v>1.9406</v>
      </c>
      <c r="F1369" t="s">
        <v>7702</v>
      </c>
      <c r="G1369" t="s">
        <v>330</v>
      </c>
      <c r="H1369" t="s">
        <v>150</v>
      </c>
      <c r="I1369" t="s">
        <v>7742</v>
      </c>
    </row>
    <row r="1370">
      <c r="A1370" t="s">
        <v>3179</v>
      </c>
      <c r="B1370" s="232" t="s">
        <v>3178</v>
      </c>
      <c r="C1370" s="232">
        <v>654.0</v>
      </c>
      <c r="D1370" s="232">
        <v>1330.99</v>
      </c>
      <c r="E1370" s="232">
        <v>2.0352</v>
      </c>
      <c r="F1370" t="s">
        <v>7702</v>
      </c>
      <c r="G1370" t="s">
        <v>330</v>
      </c>
      <c r="H1370" t="s">
        <v>150</v>
      </c>
      <c r="I1370" t="s">
        <v>7742</v>
      </c>
    </row>
    <row r="1371">
      <c r="A1371" t="s">
        <v>3181</v>
      </c>
      <c r="B1371" s="232" t="s">
        <v>3180</v>
      </c>
      <c r="C1371" s="232">
        <v>836.0</v>
      </c>
      <c r="D1371" s="232">
        <v>1727.75</v>
      </c>
      <c r="E1371" s="232">
        <v>2.0667</v>
      </c>
      <c r="F1371" t="s">
        <v>7702</v>
      </c>
      <c r="G1371" t="s">
        <v>330</v>
      </c>
      <c r="H1371" t="s">
        <v>150</v>
      </c>
      <c r="I1371" t="s">
        <v>7742</v>
      </c>
    </row>
    <row r="1372">
      <c r="A1372" t="s">
        <v>3183</v>
      </c>
      <c r="B1372" s="232" t="s">
        <v>3182</v>
      </c>
      <c r="C1372" s="232">
        <v>1062.0</v>
      </c>
      <c r="D1372" s="232">
        <v>2225.05</v>
      </c>
      <c r="E1372" s="232">
        <v>2.0952</v>
      </c>
      <c r="F1372" t="s">
        <v>7702</v>
      </c>
      <c r="G1372" t="s">
        <v>330</v>
      </c>
      <c r="H1372" t="s">
        <v>150</v>
      </c>
      <c r="I1372" t="s">
        <v>7742</v>
      </c>
    </row>
    <row r="1373">
      <c r="A1373" t="s">
        <v>3185</v>
      </c>
      <c r="B1373" s="232" t="s">
        <v>3184</v>
      </c>
      <c r="C1373" s="232">
        <v>957.0</v>
      </c>
      <c r="D1373" s="232">
        <v>1917.41</v>
      </c>
      <c r="E1373" s="232">
        <v>2.0036</v>
      </c>
      <c r="F1373" t="s">
        <v>7702</v>
      </c>
      <c r="G1373" t="s">
        <v>330</v>
      </c>
      <c r="H1373" t="s">
        <v>150</v>
      </c>
      <c r="I1373" t="s">
        <v>7742</v>
      </c>
    </row>
    <row r="1374">
      <c r="A1374" t="s">
        <v>3187</v>
      </c>
      <c r="B1374" s="232" t="s">
        <v>3186</v>
      </c>
      <c r="C1374" s="232">
        <v>1281.0</v>
      </c>
      <c r="D1374" s="232">
        <v>2758.4</v>
      </c>
      <c r="E1374" s="232">
        <v>2.1533</v>
      </c>
      <c r="F1374" t="s">
        <v>7702</v>
      </c>
      <c r="G1374" t="s">
        <v>330</v>
      </c>
      <c r="H1374" t="s">
        <v>150</v>
      </c>
      <c r="I1374" t="s">
        <v>7742</v>
      </c>
    </row>
    <row r="1375">
      <c r="A1375" t="s">
        <v>3189</v>
      </c>
      <c r="B1375" s="232" t="s">
        <v>3188</v>
      </c>
      <c r="C1375" s="232">
        <v>1458.0</v>
      </c>
      <c r="D1375" s="232">
        <v>3296.81</v>
      </c>
      <c r="E1375" s="232">
        <v>2.2612</v>
      </c>
      <c r="F1375" t="s">
        <v>7702</v>
      </c>
      <c r="G1375" t="s">
        <v>330</v>
      </c>
      <c r="H1375" t="s">
        <v>150</v>
      </c>
      <c r="I1375" t="s">
        <v>7742</v>
      </c>
    </row>
    <row r="1376">
      <c r="A1376" t="s">
        <v>3193</v>
      </c>
      <c r="B1376" s="232" t="s">
        <v>3192</v>
      </c>
      <c r="C1376" s="232">
        <v>99.0</v>
      </c>
      <c r="D1376" s="232">
        <v>333.31</v>
      </c>
      <c r="E1376" s="232">
        <v>3.3668</v>
      </c>
      <c r="F1376" t="s">
        <v>7702</v>
      </c>
      <c r="G1376" t="s">
        <v>330</v>
      </c>
      <c r="H1376" t="s">
        <v>150</v>
      </c>
      <c r="I1376" t="s">
        <v>7748</v>
      </c>
    </row>
    <row r="1377">
      <c r="A1377" t="s">
        <v>3195</v>
      </c>
      <c r="B1377" s="232" t="s">
        <v>3194</v>
      </c>
      <c r="C1377" s="232">
        <v>816.0</v>
      </c>
      <c r="D1377" s="232">
        <v>2739.33</v>
      </c>
      <c r="E1377" s="232">
        <v>3.357</v>
      </c>
      <c r="F1377" t="s">
        <v>7702</v>
      </c>
      <c r="G1377" t="s">
        <v>330</v>
      </c>
      <c r="H1377" t="s">
        <v>150</v>
      </c>
      <c r="I1377" t="s">
        <v>7748</v>
      </c>
    </row>
    <row r="1378">
      <c r="A1378" t="s">
        <v>3197</v>
      </c>
      <c r="B1378" s="232" t="s">
        <v>3196</v>
      </c>
      <c r="C1378" s="232">
        <v>0.0</v>
      </c>
      <c r="D1378" s="232">
        <v>0.0</v>
      </c>
      <c r="F1378" t="s">
        <v>7702</v>
      </c>
      <c r="G1378" t="s">
        <v>330</v>
      </c>
      <c r="H1378" t="s">
        <v>150</v>
      </c>
      <c r="I1378" t="s">
        <v>7808</v>
      </c>
    </row>
    <row r="1379">
      <c r="A1379" t="s">
        <v>3199</v>
      </c>
      <c r="B1379" s="232" t="s">
        <v>3198</v>
      </c>
      <c r="C1379" s="232">
        <v>0.0</v>
      </c>
      <c r="D1379" s="232">
        <v>0.0</v>
      </c>
      <c r="F1379" t="s">
        <v>7702</v>
      </c>
      <c r="G1379" t="s">
        <v>330</v>
      </c>
      <c r="H1379" t="s">
        <v>150</v>
      </c>
      <c r="I1379" t="s">
        <v>7808</v>
      </c>
    </row>
    <row r="1380">
      <c r="A1380" t="s">
        <v>3201</v>
      </c>
      <c r="B1380" s="232" t="s">
        <v>3200</v>
      </c>
      <c r="C1380" s="232">
        <v>2.0</v>
      </c>
      <c r="D1380" s="232">
        <v>157.73</v>
      </c>
      <c r="E1380" s="232">
        <v>78.865</v>
      </c>
      <c r="F1380" t="s">
        <v>7702</v>
      </c>
      <c r="G1380" t="s">
        <v>330</v>
      </c>
      <c r="H1380" t="s">
        <v>150</v>
      </c>
      <c r="I1380" t="s">
        <v>7808</v>
      </c>
    </row>
    <row r="1381">
      <c r="A1381" t="s">
        <v>3203</v>
      </c>
      <c r="B1381" s="232" t="s">
        <v>3202</v>
      </c>
      <c r="C1381" s="232">
        <v>1.0</v>
      </c>
      <c r="D1381" s="232">
        <v>81.43</v>
      </c>
      <c r="E1381" s="232">
        <v>81.43</v>
      </c>
      <c r="F1381" t="s">
        <v>7702</v>
      </c>
      <c r="G1381" t="s">
        <v>330</v>
      </c>
      <c r="H1381" t="s">
        <v>150</v>
      </c>
      <c r="I1381" t="s">
        <v>7808</v>
      </c>
    </row>
    <row r="1382">
      <c r="A1382" t="s">
        <v>3205</v>
      </c>
      <c r="B1382" s="232" t="s">
        <v>3204</v>
      </c>
      <c r="C1382" s="232">
        <v>0.0</v>
      </c>
      <c r="D1382" s="232">
        <v>0.0</v>
      </c>
      <c r="F1382" t="s">
        <v>7702</v>
      </c>
      <c r="G1382" t="s">
        <v>330</v>
      </c>
      <c r="H1382" t="s">
        <v>150</v>
      </c>
      <c r="I1382" t="s">
        <v>7808</v>
      </c>
    </row>
    <row r="1383">
      <c r="A1383" t="s">
        <v>3207</v>
      </c>
      <c r="B1383" s="232" t="s">
        <v>3206</v>
      </c>
      <c r="C1383" s="232">
        <v>0.0</v>
      </c>
      <c r="D1383" s="232">
        <v>0.0</v>
      </c>
      <c r="F1383" t="s">
        <v>7702</v>
      </c>
      <c r="G1383" t="s">
        <v>330</v>
      </c>
      <c r="H1383" t="s">
        <v>150</v>
      </c>
      <c r="I1383" t="s">
        <v>7808</v>
      </c>
    </row>
    <row r="1384">
      <c r="A1384" t="s">
        <v>3209</v>
      </c>
      <c r="B1384" s="232" t="s">
        <v>3208</v>
      </c>
      <c r="C1384" s="232">
        <v>1.0</v>
      </c>
      <c r="D1384" s="232">
        <v>105.25</v>
      </c>
      <c r="E1384" s="232">
        <v>105.25</v>
      </c>
      <c r="F1384" t="s">
        <v>7702</v>
      </c>
      <c r="G1384" t="s">
        <v>330</v>
      </c>
      <c r="H1384" t="s">
        <v>150</v>
      </c>
      <c r="I1384" t="s">
        <v>7808</v>
      </c>
    </row>
    <row r="1385">
      <c r="A1385" t="s">
        <v>3211</v>
      </c>
      <c r="B1385" s="232" t="s">
        <v>3210</v>
      </c>
      <c r="C1385" s="232">
        <v>1.0</v>
      </c>
      <c r="D1385" s="232">
        <v>104.84</v>
      </c>
      <c r="E1385" s="232">
        <v>104.84</v>
      </c>
      <c r="F1385" t="s">
        <v>7702</v>
      </c>
      <c r="G1385" t="s">
        <v>330</v>
      </c>
      <c r="H1385" t="s">
        <v>150</v>
      </c>
      <c r="I1385" t="s">
        <v>7808</v>
      </c>
    </row>
    <row r="1386">
      <c r="A1386" t="s">
        <v>3213</v>
      </c>
      <c r="B1386" s="232" t="s">
        <v>3212</v>
      </c>
      <c r="C1386" s="232">
        <v>1.0</v>
      </c>
      <c r="D1386" s="232">
        <v>106.17</v>
      </c>
      <c r="E1386" s="232">
        <v>106.17</v>
      </c>
      <c r="F1386" t="s">
        <v>7702</v>
      </c>
      <c r="G1386" t="s">
        <v>330</v>
      </c>
      <c r="H1386" t="s">
        <v>150</v>
      </c>
      <c r="I1386" t="s">
        <v>7808</v>
      </c>
    </row>
    <row r="1387">
      <c r="A1387" t="s">
        <v>3215</v>
      </c>
      <c r="B1387" s="232" t="s">
        <v>3214</v>
      </c>
      <c r="C1387" s="232">
        <v>1.0</v>
      </c>
      <c r="D1387" s="232">
        <v>104.58</v>
      </c>
      <c r="E1387" s="232">
        <v>104.58</v>
      </c>
      <c r="F1387" t="s">
        <v>7702</v>
      </c>
      <c r="G1387" t="s">
        <v>330</v>
      </c>
      <c r="H1387" t="s">
        <v>150</v>
      </c>
      <c r="I1387" t="s">
        <v>7808</v>
      </c>
    </row>
    <row r="1388">
      <c r="A1388" t="s">
        <v>3217</v>
      </c>
      <c r="B1388" s="232" t="s">
        <v>3216</v>
      </c>
      <c r="C1388" s="232">
        <v>201.0</v>
      </c>
      <c r="D1388" s="232">
        <v>97.64</v>
      </c>
      <c r="E1388" s="232">
        <v>0.4858</v>
      </c>
      <c r="F1388" t="s">
        <v>7732</v>
      </c>
      <c r="G1388" t="s">
        <v>330</v>
      </c>
      <c r="H1388" t="s">
        <v>7747</v>
      </c>
    </row>
    <row r="1389">
      <c r="A1389" t="s">
        <v>3219</v>
      </c>
      <c r="B1389" s="232" t="s">
        <v>3218</v>
      </c>
      <c r="C1389" s="232">
        <v>277.0</v>
      </c>
      <c r="D1389" s="232">
        <v>134.12</v>
      </c>
      <c r="E1389" s="232">
        <v>0.4842</v>
      </c>
      <c r="F1389" t="s">
        <v>7732</v>
      </c>
      <c r="G1389" t="s">
        <v>330</v>
      </c>
      <c r="H1389" t="s">
        <v>7747</v>
      </c>
    </row>
    <row r="1390">
      <c r="A1390" t="s">
        <v>3221</v>
      </c>
      <c r="B1390" s="232" t="s">
        <v>3220</v>
      </c>
      <c r="C1390" s="232">
        <v>280.0</v>
      </c>
      <c r="D1390" s="232">
        <v>135.56</v>
      </c>
      <c r="E1390" s="232">
        <v>0.4841</v>
      </c>
      <c r="F1390" t="s">
        <v>7732</v>
      </c>
      <c r="G1390" t="s">
        <v>330</v>
      </c>
      <c r="H1390" t="s">
        <v>7747</v>
      </c>
    </row>
    <row r="1391">
      <c r="A1391" t="s">
        <v>3223</v>
      </c>
      <c r="B1391" s="232" t="s">
        <v>3222</v>
      </c>
      <c r="C1391" s="232">
        <v>239.0</v>
      </c>
      <c r="D1391" s="232">
        <v>115.88</v>
      </c>
      <c r="E1391" s="232">
        <v>0.4849</v>
      </c>
      <c r="F1391" t="s">
        <v>7732</v>
      </c>
      <c r="G1391" t="s">
        <v>330</v>
      </c>
      <c r="H1391" t="s">
        <v>7747</v>
      </c>
    </row>
    <row r="1392">
      <c r="A1392" t="s">
        <v>3225</v>
      </c>
      <c r="B1392" s="232" t="s">
        <v>3224</v>
      </c>
      <c r="C1392" s="232">
        <v>0.0</v>
      </c>
      <c r="D1392" s="232">
        <v>0.0</v>
      </c>
      <c r="F1392" t="s">
        <v>7702</v>
      </c>
      <c r="G1392" t="s">
        <v>310</v>
      </c>
      <c r="H1392" t="s">
        <v>7703</v>
      </c>
      <c r="I1392" t="s">
        <v>7714</v>
      </c>
    </row>
    <row r="1393">
      <c r="A1393" t="s">
        <v>3227</v>
      </c>
      <c r="B1393" s="232" t="s">
        <v>3226</v>
      </c>
      <c r="C1393" s="232">
        <v>0.0</v>
      </c>
      <c r="D1393" s="232">
        <v>0.0</v>
      </c>
      <c r="F1393" t="s">
        <v>7702</v>
      </c>
      <c r="G1393" t="s">
        <v>310</v>
      </c>
      <c r="H1393" t="s">
        <v>7703</v>
      </c>
      <c r="I1393" t="s">
        <v>7714</v>
      </c>
    </row>
    <row r="1394">
      <c r="A1394" t="s">
        <v>3229</v>
      </c>
      <c r="B1394" s="232" t="s">
        <v>3228</v>
      </c>
      <c r="C1394" s="232">
        <v>0.0</v>
      </c>
      <c r="D1394" s="232">
        <v>0.0</v>
      </c>
      <c r="F1394" t="s">
        <v>7702</v>
      </c>
      <c r="G1394" t="s">
        <v>310</v>
      </c>
      <c r="H1394" t="s">
        <v>7703</v>
      </c>
      <c r="I1394" t="s">
        <v>7809</v>
      </c>
    </row>
    <row r="1395">
      <c r="A1395" t="s">
        <v>3231</v>
      </c>
      <c r="B1395" s="232" t="s">
        <v>3230</v>
      </c>
      <c r="C1395" s="232">
        <v>4.0</v>
      </c>
      <c r="D1395" s="232">
        <v>0.13</v>
      </c>
      <c r="E1395" s="232">
        <v>0.0325</v>
      </c>
      <c r="F1395" t="s">
        <v>7702</v>
      </c>
      <c r="G1395" t="s">
        <v>330</v>
      </c>
      <c r="H1395" t="s">
        <v>7725</v>
      </c>
    </row>
    <row r="1396">
      <c r="A1396" t="s">
        <v>3237</v>
      </c>
      <c r="B1396" s="232" t="s">
        <v>3236</v>
      </c>
      <c r="C1396" s="232">
        <v>180.0</v>
      </c>
      <c r="D1396" s="232">
        <v>99.0</v>
      </c>
      <c r="E1396" s="232">
        <v>0.55</v>
      </c>
      <c r="F1396" t="s">
        <v>7702</v>
      </c>
      <c r="G1396" t="s">
        <v>330</v>
      </c>
      <c r="H1396" t="s">
        <v>7725</v>
      </c>
      <c r="I1396" t="s">
        <v>7727</v>
      </c>
    </row>
    <row r="1397">
      <c r="A1397" t="s">
        <v>3239</v>
      </c>
      <c r="B1397" s="232" t="s">
        <v>3238</v>
      </c>
      <c r="C1397" s="232">
        <v>451.0</v>
      </c>
      <c r="D1397" s="232">
        <v>225.5</v>
      </c>
      <c r="E1397" s="232">
        <v>0.5</v>
      </c>
      <c r="F1397" t="s">
        <v>7702</v>
      </c>
      <c r="G1397" t="s">
        <v>330</v>
      </c>
      <c r="H1397" t="s">
        <v>7725</v>
      </c>
      <c r="I1397" t="s">
        <v>7745</v>
      </c>
    </row>
    <row r="1398">
      <c r="A1398" t="s">
        <v>3243</v>
      </c>
      <c r="B1398" s="232" t="s">
        <v>3242</v>
      </c>
      <c r="C1398" s="232">
        <v>0.0</v>
      </c>
      <c r="D1398" s="232">
        <v>0.0</v>
      </c>
      <c r="F1398" t="s">
        <v>7702</v>
      </c>
      <c r="G1398" t="s">
        <v>310</v>
      </c>
      <c r="H1398" t="s">
        <v>7703</v>
      </c>
      <c r="I1398" t="s">
        <v>7810</v>
      </c>
    </row>
    <row r="1399">
      <c r="A1399" t="s">
        <v>3245</v>
      </c>
      <c r="B1399" s="232" t="s">
        <v>3244</v>
      </c>
      <c r="C1399" s="232">
        <v>0.0</v>
      </c>
      <c r="D1399" s="232">
        <v>0.0</v>
      </c>
      <c r="F1399" t="s">
        <v>7702</v>
      </c>
      <c r="G1399" t="s">
        <v>310</v>
      </c>
      <c r="H1399" t="s">
        <v>7703</v>
      </c>
      <c r="I1399" t="s">
        <v>166</v>
      </c>
    </row>
    <row r="1400">
      <c r="A1400" t="s">
        <v>3247</v>
      </c>
      <c r="B1400" s="232" t="s">
        <v>3246</v>
      </c>
      <c r="C1400" s="232">
        <v>0.0</v>
      </c>
      <c r="D1400" s="232">
        <v>0.0</v>
      </c>
      <c r="F1400" t="s">
        <v>7702</v>
      </c>
      <c r="G1400" t="s">
        <v>310</v>
      </c>
      <c r="H1400" t="s">
        <v>7703</v>
      </c>
      <c r="I1400" t="s">
        <v>151</v>
      </c>
    </row>
    <row r="1401">
      <c r="A1401" t="s">
        <v>3249</v>
      </c>
      <c r="B1401" s="232">
        <v>92402.0</v>
      </c>
      <c r="C1401" s="232">
        <v>0.0</v>
      </c>
      <c r="D1401" s="232">
        <v>0.0</v>
      </c>
      <c r="F1401" t="s">
        <v>7702</v>
      </c>
      <c r="G1401" t="s">
        <v>310</v>
      </c>
      <c r="H1401" t="s">
        <v>7703</v>
      </c>
      <c r="I1401" t="s">
        <v>7751</v>
      </c>
    </row>
    <row r="1402">
      <c r="A1402" t="s">
        <v>3251</v>
      </c>
      <c r="B1402" s="232">
        <v>92404.0</v>
      </c>
      <c r="C1402" s="232">
        <v>0.0</v>
      </c>
      <c r="D1402" s="232">
        <v>0.0</v>
      </c>
      <c r="F1402" t="s">
        <v>7702</v>
      </c>
      <c r="G1402" t="s">
        <v>310</v>
      </c>
      <c r="H1402" t="s">
        <v>7703</v>
      </c>
      <c r="I1402" t="s">
        <v>7751</v>
      </c>
    </row>
    <row r="1403">
      <c r="A1403" t="s">
        <v>3263</v>
      </c>
      <c r="B1403" s="232" t="s">
        <v>3262</v>
      </c>
      <c r="C1403" s="232">
        <v>0.0</v>
      </c>
      <c r="D1403" s="232">
        <v>0.0</v>
      </c>
      <c r="F1403" t="s">
        <v>7702</v>
      </c>
      <c r="G1403" t="s">
        <v>310</v>
      </c>
      <c r="H1403" t="s">
        <v>7703</v>
      </c>
      <c r="I1403" t="s">
        <v>7746</v>
      </c>
    </row>
    <row r="1404">
      <c r="A1404" t="s">
        <v>3265</v>
      </c>
      <c r="B1404" s="232" t="s">
        <v>3264</v>
      </c>
      <c r="C1404" s="232">
        <v>0.0</v>
      </c>
      <c r="D1404" s="232">
        <v>0.0</v>
      </c>
      <c r="F1404" t="s">
        <v>7702</v>
      </c>
      <c r="G1404" t="s">
        <v>310</v>
      </c>
      <c r="H1404" t="s">
        <v>7703</v>
      </c>
      <c r="I1404" t="s">
        <v>7746</v>
      </c>
    </row>
    <row r="1405">
      <c r="A1405" t="s">
        <v>3267</v>
      </c>
      <c r="B1405" s="232" t="s">
        <v>3266</v>
      </c>
      <c r="C1405" s="232">
        <v>0.0</v>
      </c>
      <c r="D1405" s="232">
        <v>0.0</v>
      </c>
      <c r="F1405" t="s">
        <v>7702</v>
      </c>
      <c r="G1405" t="s">
        <v>310</v>
      </c>
      <c r="H1405" t="s">
        <v>7703</v>
      </c>
      <c r="I1405" t="s">
        <v>7716</v>
      </c>
    </row>
    <row r="1406">
      <c r="A1406" t="s">
        <v>3269</v>
      </c>
      <c r="B1406" s="232" t="s">
        <v>3268</v>
      </c>
      <c r="C1406" s="232">
        <v>0.0</v>
      </c>
      <c r="D1406" s="232">
        <v>0.0</v>
      </c>
      <c r="F1406" t="s">
        <v>7702</v>
      </c>
      <c r="G1406" t="s">
        <v>310</v>
      </c>
      <c r="H1406" t="s">
        <v>7703</v>
      </c>
      <c r="I1406" t="s">
        <v>7746</v>
      </c>
    </row>
    <row r="1407">
      <c r="A1407" t="s">
        <v>3271</v>
      </c>
      <c r="B1407" s="232" t="s">
        <v>3270</v>
      </c>
      <c r="C1407" s="232">
        <v>0.0</v>
      </c>
      <c r="D1407" s="232">
        <v>0.0</v>
      </c>
      <c r="F1407" t="s">
        <v>7702</v>
      </c>
      <c r="G1407" t="s">
        <v>310</v>
      </c>
      <c r="H1407" t="s">
        <v>7703</v>
      </c>
      <c r="I1407" t="s">
        <v>7746</v>
      </c>
    </row>
    <row r="1408">
      <c r="A1408" t="s">
        <v>3273</v>
      </c>
      <c r="B1408" s="232" t="s">
        <v>3272</v>
      </c>
      <c r="C1408" s="232">
        <v>0.0</v>
      </c>
      <c r="D1408" s="232">
        <v>0.0</v>
      </c>
      <c r="F1408" t="s">
        <v>7702</v>
      </c>
      <c r="G1408" t="s">
        <v>310</v>
      </c>
      <c r="H1408" t="s">
        <v>7703</v>
      </c>
      <c r="I1408" t="s">
        <v>7746</v>
      </c>
    </row>
    <row r="1409">
      <c r="A1409" t="s">
        <v>3275</v>
      </c>
      <c r="B1409" s="232" t="s">
        <v>3274</v>
      </c>
      <c r="C1409" s="232">
        <v>0.0</v>
      </c>
      <c r="D1409" s="232">
        <v>0.0</v>
      </c>
      <c r="F1409" t="s">
        <v>7702</v>
      </c>
      <c r="G1409" t="s">
        <v>310</v>
      </c>
      <c r="H1409" t="s">
        <v>7703</v>
      </c>
      <c r="I1409" t="s">
        <v>7746</v>
      </c>
    </row>
    <row r="1410">
      <c r="A1410" t="s">
        <v>3277</v>
      </c>
      <c r="B1410" s="232" t="s">
        <v>3276</v>
      </c>
      <c r="C1410" s="232">
        <v>0.0</v>
      </c>
      <c r="D1410" s="232">
        <v>0.0</v>
      </c>
      <c r="F1410" t="s">
        <v>7702</v>
      </c>
      <c r="G1410" t="s">
        <v>310</v>
      </c>
      <c r="H1410" t="s">
        <v>7703</v>
      </c>
      <c r="I1410" t="s">
        <v>7746</v>
      </c>
    </row>
    <row r="1411">
      <c r="A1411" t="s">
        <v>3279</v>
      </c>
      <c r="B1411" s="232" t="s">
        <v>3278</v>
      </c>
      <c r="C1411" s="232">
        <v>0.0</v>
      </c>
      <c r="D1411" s="232">
        <v>0.0</v>
      </c>
      <c r="F1411" t="s">
        <v>7702</v>
      </c>
      <c r="G1411" t="s">
        <v>310</v>
      </c>
      <c r="H1411" t="s">
        <v>7703</v>
      </c>
      <c r="I1411" t="s">
        <v>7746</v>
      </c>
    </row>
    <row r="1412">
      <c r="A1412" t="s">
        <v>3281</v>
      </c>
      <c r="B1412" s="232" t="s">
        <v>3280</v>
      </c>
      <c r="C1412" s="232">
        <v>0.0</v>
      </c>
      <c r="D1412" s="232">
        <v>0.0</v>
      </c>
      <c r="F1412" t="s">
        <v>7702</v>
      </c>
      <c r="G1412" t="s">
        <v>310</v>
      </c>
      <c r="H1412" t="s">
        <v>7703</v>
      </c>
      <c r="I1412" t="s">
        <v>7746</v>
      </c>
    </row>
    <row r="1413">
      <c r="A1413" t="s">
        <v>3283</v>
      </c>
      <c r="B1413" s="232" t="s">
        <v>3282</v>
      </c>
      <c r="C1413" s="232">
        <v>0.0</v>
      </c>
      <c r="D1413" s="232">
        <v>0.0</v>
      </c>
      <c r="F1413" t="s">
        <v>7702</v>
      </c>
      <c r="G1413" t="s">
        <v>310</v>
      </c>
      <c r="H1413" t="s">
        <v>7703</v>
      </c>
      <c r="I1413" t="s">
        <v>7746</v>
      </c>
    </row>
    <row r="1414">
      <c r="A1414" t="s">
        <v>3285</v>
      </c>
      <c r="B1414" s="232" t="s">
        <v>3284</v>
      </c>
      <c r="C1414" s="232">
        <v>0.0</v>
      </c>
      <c r="D1414" s="232">
        <v>0.0</v>
      </c>
      <c r="F1414" t="s">
        <v>7702</v>
      </c>
      <c r="G1414" t="s">
        <v>310</v>
      </c>
      <c r="H1414" t="s">
        <v>7703</v>
      </c>
      <c r="I1414" t="s">
        <v>170</v>
      </c>
    </row>
    <row r="1415">
      <c r="A1415" t="s">
        <v>3287</v>
      </c>
      <c r="B1415" s="232" t="s">
        <v>3286</v>
      </c>
      <c r="C1415" s="232">
        <v>0.0</v>
      </c>
      <c r="D1415" s="232">
        <v>0.0</v>
      </c>
      <c r="F1415" t="s">
        <v>7702</v>
      </c>
      <c r="G1415" t="s">
        <v>310</v>
      </c>
      <c r="H1415" t="s">
        <v>45</v>
      </c>
      <c r="I1415" t="s">
        <v>170</v>
      </c>
    </row>
    <row r="1416">
      <c r="A1416" t="s">
        <v>3289</v>
      </c>
      <c r="B1416" s="232" t="s">
        <v>3288</v>
      </c>
      <c r="C1416" s="232">
        <v>0.0</v>
      </c>
      <c r="D1416" s="232">
        <v>0.0</v>
      </c>
      <c r="F1416" t="s">
        <v>7702</v>
      </c>
      <c r="G1416" t="s">
        <v>310</v>
      </c>
      <c r="H1416" t="s">
        <v>45</v>
      </c>
      <c r="I1416" t="s">
        <v>170</v>
      </c>
    </row>
    <row r="1417">
      <c r="A1417" t="s">
        <v>3291</v>
      </c>
      <c r="B1417" s="232" t="s">
        <v>3290</v>
      </c>
      <c r="C1417" s="232">
        <v>0.0</v>
      </c>
      <c r="D1417" s="232">
        <v>0.0</v>
      </c>
      <c r="F1417" t="s">
        <v>7702</v>
      </c>
      <c r="G1417" t="s">
        <v>310</v>
      </c>
      <c r="H1417" t="s">
        <v>7703</v>
      </c>
      <c r="I1417" t="s">
        <v>7746</v>
      </c>
    </row>
    <row r="1418">
      <c r="A1418" t="s">
        <v>3293</v>
      </c>
      <c r="B1418" s="232" t="s">
        <v>3292</v>
      </c>
      <c r="C1418" s="232">
        <v>0.0</v>
      </c>
      <c r="D1418" s="232">
        <v>0.0</v>
      </c>
      <c r="F1418" t="s">
        <v>7702</v>
      </c>
      <c r="G1418" t="s">
        <v>310</v>
      </c>
      <c r="H1418" t="s">
        <v>7703</v>
      </c>
      <c r="I1418" t="s">
        <v>7746</v>
      </c>
    </row>
    <row r="1419">
      <c r="A1419" t="s">
        <v>3297</v>
      </c>
      <c r="B1419" s="232" t="s">
        <v>3296</v>
      </c>
      <c r="C1419" s="232">
        <v>0.0</v>
      </c>
      <c r="D1419" s="232">
        <v>0.0</v>
      </c>
      <c r="F1419" t="s">
        <v>7702</v>
      </c>
      <c r="G1419" t="s">
        <v>310</v>
      </c>
      <c r="H1419" t="s">
        <v>7703</v>
      </c>
      <c r="I1419" t="s">
        <v>7746</v>
      </c>
    </row>
    <row r="1420">
      <c r="A1420" t="s">
        <v>3299</v>
      </c>
      <c r="B1420" s="232" t="s">
        <v>3298</v>
      </c>
      <c r="C1420" s="232">
        <v>0.0</v>
      </c>
      <c r="D1420" s="232">
        <v>0.0</v>
      </c>
      <c r="F1420" t="s">
        <v>7702</v>
      </c>
      <c r="G1420" t="s">
        <v>310</v>
      </c>
      <c r="H1420" t="s">
        <v>7703</v>
      </c>
      <c r="I1420" t="s">
        <v>7746</v>
      </c>
    </row>
    <row r="1421">
      <c r="A1421" t="s">
        <v>3301</v>
      </c>
      <c r="B1421" s="232" t="s">
        <v>3300</v>
      </c>
      <c r="C1421" s="232">
        <v>0.0</v>
      </c>
      <c r="D1421" s="232">
        <v>0.0</v>
      </c>
      <c r="F1421" t="s">
        <v>7702</v>
      </c>
      <c r="G1421" t="s">
        <v>310</v>
      </c>
      <c r="H1421" t="s">
        <v>7703</v>
      </c>
      <c r="I1421" t="s">
        <v>7746</v>
      </c>
    </row>
    <row r="1422">
      <c r="A1422" t="s">
        <v>3305</v>
      </c>
      <c r="B1422" s="232" t="s">
        <v>3304</v>
      </c>
      <c r="C1422" s="232">
        <v>0.0</v>
      </c>
      <c r="D1422" s="232">
        <v>0.0</v>
      </c>
      <c r="F1422" t="s">
        <v>7702</v>
      </c>
      <c r="G1422" t="s">
        <v>310</v>
      </c>
      <c r="H1422" t="s">
        <v>7703</v>
      </c>
      <c r="I1422" t="s">
        <v>7746</v>
      </c>
    </row>
    <row r="1423">
      <c r="A1423" t="s">
        <v>3307</v>
      </c>
      <c r="B1423" s="232" t="s">
        <v>3306</v>
      </c>
      <c r="C1423" s="232">
        <v>0.0</v>
      </c>
      <c r="D1423" s="232">
        <v>0.0</v>
      </c>
      <c r="F1423" t="s">
        <v>7702</v>
      </c>
      <c r="G1423" t="s">
        <v>310</v>
      </c>
      <c r="H1423" t="s">
        <v>7703</v>
      </c>
      <c r="I1423" t="s">
        <v>7746</v>
      </c>
    </row>
    <row r="1424">
      <c r="A1424" t="s">
        <v>3309</v>
      </c>
      <c r="B1424" s="232" t="s">
        <v>3308</v>
      </c>
      <c r="C1424" s="232">
        <v>0.0</v>
      </c>
      <c r="D1424" s="232">
        <v>0.0</v>
      </c>
      <c r="F1424" t="s">
        <v>7702</v>
      </c>
      <c r="G1424" t="s">
        <v>310</v>
      </c>
      <c r="H1424" t="s">
        <v>7703</v>
      </c>
      <c r="I1424" t="s">
        <v>7716</v>
      </c>
    </row>
    <row r="1425">
      <c r="A1425" t="s">
        <v>3311</v>
      </c>
      <c r="B1425" s="232" t="s">
        <v>3310</v>
      </c>
      <c r="C1425" s="232">
        <v>0.0</v>
      </c>
      <c r="D1425" s="232">
        <v>0.0</v>
      </c>
      <c r="F1425" t="s">
        <v>7702</v>
      </c>
      <c r="G1425" t="s">
        <v>310</v>
      </c>
      <c r="H1425" t="s">
        <v>7703</v>
      </c>
      <c r="I1425" t="s">
        <v>7746</v>
      </c>
    </row>
    <row r="1426">
      <c r="A1426" t="s">
        <v>3313</v>
      </c>
      <c r="B1426" s="232" t="s">
        <v>3312</v>
      </c>
      <c r="C1426" s="232">
        <v>0.0</v>
      </c>
      <c r="D1426" s="232">
        <v>0.0</v>
      </c>
      <c r="F1426" t="s">
        <v>7702</v>
      </c>
      <c r="G1426" t="s">
        <v>310</v>
      </c>
      <c r="H1426" t="s">
        <v>7703</v>
      </c>
      <c r="I1426" t="s">
        <v>7746</v>
      </c>
    </row>
    <row r="1427">
      <c r="A1427" t="s">
        <v>3317</v>
      </c>
      <c r="B1427" s="232" t="s">
        <v>3316</v>
      </c>
      <c r="C1427" s="232">
        <v>0.0</v>
      </c>
      <c r="D1427" s="232">
        <v>0.0</v>
      </c>
      <c r="F1427" t="s">
        <v>7702</v>
      </c>
      <c r="G1427" t="s">
        <v>310</v>
      </c>
      <c r="H1427" t="s">
        <v>7703</v>
      </c>
      <c r="I1427" t="s">
        <v>7746</v>
      </c>
    </row>
    <row r="1428">
      <c r="A1428" t="s">
        <v>3319</v>
      </c>
      <c r="B1428" s="232" t="s">
        <v>3318</v>
      </c>
      <c r="C1428" s="232">
        <v>0.0</v>
      </c>
      <c r="D1428" s="232">
        <v>0.0</v>
      </c>
      <c r="F1428" t="s">
        <v>7702</v>
      </c>
      <c r="G1428" t="s">
        <v>310</v>
      </c>
      <c r="H1428" t="s">
        <v>7703</v>
      </c>
      <c r="I1428" t="s">
        <v>7746</v>
      </c>
    </row>
    <row r="1429">
      <c r="A1429" t="s">
        <v>3321</v>
      </c>
      <c r="B1429" s="232" t="s">
        <v>3320</v>
      </c>
      <c r="C1429" s="232">
        <v>0.0</v>
      </c>
      <c r="D1429" s="232">
        <v>0.0</v>
      </c>
      <c r="F1429" t="s">
        <v>7702</v>
      </c>
      <c r="G1429" t="s">
        <v>310</v>
      </c>
      <c r="H1429" t="s">
        <v>7703</v>
      </c>
      <c r="I1429" t="s">
        <v>7716</v>
      </c>
    </row>
    <row r="1430">
      <c r="A1430" t="s">
        <v>3323</v>
      </c>
      <c r="B1430" s="232" t="s">
        <v>3322</v>
      </c>
      <c r="C1430" s="232">
        <v>0.0</v>
      </c>
      <c r="D1430" s="232">
        <v>0.0</v>
      </c>
      <c r="F1430" t="s">
        <v>7702</v>
      </c>
      <c r="G1430" t="s">
        <v>310</v>
      </c>
      <c r="H1430" t="s">
        <v>7703</v>
      </c>
      <c r="I1430" t="s">
        <v>7746</v>
      </c>
    </row>
    <row r="1431">
      <c r="A1431" t="s">
        <v>3325</v>
      </c>
      <c r="B1431" s="232" t="s">
        <v>3324</v>
      </c>
      <c r="C1431" s="232">
        <v>0.0</v>
      </c>
      <c r="D1431" s="232">
        <v>0.0</v>
      </c>
      <c r="F1431" t="s">
        <v>7702</v>
      </c>
      <c r="G1431" t="s">
        <v>310</v>
      </c>
      <c r="H1431" t="s">
        <v>7703</v>
      </c>
      <c r="I1431" t="s">
        <v>7767</v>
      </c>
    </row>
    <row r="1432">
      <c r="A1432" t="s">
        <v>3327</v>
      </c>
      <c r="B1432" s="232" t="s">
        <v>3326</v>
      </c>
      <c r="C1432" s="232">
        <v>0.0</v>
      </c>
      <c r="D1432" s="232">
        <v>0.0</v>
      </c>
      <c r="F1432" t="s">
        <v>7702</v>
      </c>
      <c r="G1432" t="s">
        <v>310</v>
      </c>
      <c r="H1432" t="s">
        <v>7703</v>
      </c>
      <c r="I1432" t="s">
        <v>7767</v>
      </c>
    </row>
    <row r="1433">
      <c r="A1433" t="s">
        <v>3329</v>
      </c>
      <c r="B1433" s="232" t="s">
        <v>3328</v>
      </c>
      <c r="C1433" s="232">
        <v>84.0</v>
      </c>
      <c r="D1433" s="232">
        <v>778.8</v>
      </c>
      <c r="E1433" s="232">
        <v>9.2714</v>
      </c>
      <c r="F1433" t="s">
        <v>7702</v>
      </c>
      <c r="G1433" t="s">
        <v>330</v>
      </c>
      <c r="H1433" t="s">
        <v>45</v>
      </c>
      <c r="I1433" t="s">
        <v>7767</v>
      </c>
    </row>
    <row r="1434">
      <c r="A1434" t="s">
        <v>3331</v>
      </c>
      <c r="B1434" s="232" t="s">
        <v>3330</v>
      </c>
      <c r="C1434" s="232">
        <v>0.0</v>
      </c>
      <c r="D1434" s="232">
        <v>0.0</v>
      </c>
      <c r="F1434" t="s">
        <v>7702</v>
      </c>
      <c r="G1434" t="s">
        <v>310</v>
      </c>
      <c r="H1434" t="s">
        <v>7703</v>
      </c>
      <c r="I1434" t="s">
        <v>7767</v>
      </c>
    </row>
    <row r="1435">
      <c r="A1435" t="s">
        <v>3333</v>
      </c>
      <c r="B1435" s="232" t="s">
        <v>3332</v>
      </c>
      <c r="C1435" s="232">
        <v>0.0</v>
      </c>
      <c r="D1435" s="232">
        <v>0.0</v>
      </c>
      <c r="F1435" t="s">
        <v>7702</v>
      </c>
      <c r="G1435" t="s">
        <v>310</v>
      </c>
      <c r="H1435" t="s">
        <v>7703</v>
      </c>
      <c r="I1435" t="s">
        <v>7767</v>
      </c>
    </row>
    <row r="1436">
      <c r="A1436" t="s">
        <v>3335</v>
      </c>
      <c r="B1436" s="232" t="s">
        <v>3334</v>
      </c>
      <c r="C1436" s="232">
        <v>0.0</v>
      </c>
      <c r="D1436" s="232">
        <v>0.0</v>
      </c>
      <c r="F1436" t="s">
        <v>7702</v>
      </c>
      <c r="G1436" t="s">
        <v>310</v>
      </c>
      <c r="H1436" t="s">
        <v>7703</v>
      </c>
      <c r="I1436" t="s">
        <v>7767</v>
      </c>
    </row>
    <row r="1437">
      <c r="A1437" t="s">
        <v>3337</v>
      </c>
      <c r="B1437" s="232" t="s">
        <v>3336</v>
      </c>
      <c r="C1437" s="232">
        <v>0.0</v>
      </c>
      <c r="D1437" s="232">
        <v>0.0</v>
      </c>
      <c r="F1437" t="s">
        <v>7702</v>
      </c>
      <c r="G1437" t="s">
        <v>310</v>
      </c>
      <c r="H1437" t="s">
        <v>7703</v>
      </c>
      <c r="I1437" t="s">
        <v>7767</v>
      </c>
    </row>
    <row r="1438">
      <c r="A1438" t="s">
        <v>3338</v>
      </c>
      <c r="B1438" s="232">
        <v>36804.0</v>
      </c>
      <c r="C1438" s="232">
        <v>48.0</v>
      </c>
      <c r="D1438" s="232">
        <v>299.3</v>
      </c>
      <c r="E1438" s="232">
        <v>6.2354</v>
      </c>
      <c r="F1438" t="s">
        <v>7702</v>
      </c>
      <c r="G1438" t="s">
        <v>330</v>
      </c>
      <c r="H1438" t="s">
        <v>7774</v>
      </c>
      <c r="I1438" t="s">
        <v>7744</v>
      </c>
    </row>
    <row r="1439">
      <c r="A1439" t="s">
        <v>3339</v>
      </c>
      <c r="B1439" s="232">
        <v>36806.0</v>
      </c>
      <c r="C1439" s="232">
        <v>48.0</v>
      </c>
      <c r="D1439" s="232">
        <v>299.3</v>
      </c>
      <c r="E1439" s="232">
        <v>6.2354</v>
      </c>
      <c r="F1439" t="s">
        <v>7702</v>
      </c>
      <c r="G1439" t="s">
        <v>330</v>
      </c>
      <c r="H1439" t="s">
        <v>7774</v>
      </c>
      <c r="I1439" t="s">
        <v>7744</v>
      </c>
    </row>
    <row r="1440">
      <c r="A1440" t="s">
        <v>3340</v>
      </c>
      <c r="B1440" s="232">
        <v>36805.0</v>
      </c>
      <c r="C1440" s="232">
        <v>87.0</v>
      </c>
      <c r="D1440" s="232">
        <v>542.51</v>
      </c>
      <c r="E1440" s="232">
        <v>6.2357</v>
      </c>
      <c r="F1440" t="s">
        <v>7702</v>
      </c>
      <c r="G1440" t="s">
        <v>330</v>
      </c>
      <c r="H1440" t="s">
        <v>7774</v>
      </c>
      <c r="I1440" t="s">
        <v>7744</v>
      </c>
    </row>
    <row r="1441">
      <c r="A1441" t="s">
        <v>3341</v>
      </c>
      <c r="B1441" s="232">
        <v>36801.0</v>
      </c>
      <c r="C1441" s="232">
        <v>112.0</v>
      </c>
      <c r="D1441" s="232">
        <v>698.41</v>
      </c>
      <c r="E1441" s="232">
        <v>6.2358</v>
      </c>
      <c r="F1441" t="s">
        <v>7702</v>
      </c>
      <c r="G1441" t="s">
        <v>330</v>
      </c>
      <c r="H1441" t="s">
        <v>7774</v>
      </c>
      <c r="I1441" t="s">
        <v>7744</v>
      </c>
    </row>
    <row r="1442">
      <c r="A1442" t="s">
        <v>3342</v>
      </c>
      <c r="B1442" s="232">
        <v>36803.0</v>
      </c>
      <c r="C1442" s="232">
        <v>63.0</v>
      </c>
      <c r="D1442" s="232">
        <v>392.84</v>
      </c>
      <c r="E1442" s="232">
        <v>6.2356</v>
      </c>
      <c r="F1442" t="s">
        <v>7702</v>
      </c>
      <c r="G1442" t="s">
        <v>330</v>
      </c>
      <c r="H1442" t="s">
        <v>7774</v>
      </c>
      <c r="I1442" t="s">
        <v>7744</v>
      </c>
    </row>
    <row r="1443">
      <c r="A1443" t="s">
        <v>3343</v>
      </c>
      <c r="B1443" s="232">
        <v>36802.0</v>
      </c>
      <c r="C1443" s="232">
        <v>0.0</v>
      </c>
      <c r="D1443" s="232">
        <v>0.0</v>
      </c>
      <c r="F1443" t="s">
        <v>7702</v>
      </c>
      <c r="G1443" t="s">
        <v>310</v>
      </c>
      <c r="H1443" t="s">
        <v>7703</v>
      </c>
      <c r="I1443" t="s">
        <v>7744</v>
      </c>
    </row>
    <row r="1444">
      <c r="A1444" t="s">
        <v>3345</v>
      </c>
      <c r="B1444" s="232" t="s">
        <v>3344</v>
      </c>
      <c r="C1444" s="232">
        <v>32.0</v>
      </c>
      <c r="D1444" s="232">
        <v>371.12</v>
      </c>
      <c r="E1444" s="232">
        <v>11.5975</v>
      </c>
      <c r="F1444" t="s">
        <v>7702</v>
      </c>
      <c r="G1444" t="s">
        <v>330</v>
      </c>
      <c r="H1444" t="s">
        <v>7774</v>
      </c>
      <c r="I1444" t="s">
        <v>7714</v>
      </c>
    </row>
    <row r="1445">
      <c r="A1445" t="s">
        <v>3347</v>
      </c>
      <c r="B1445" s="232" t="s">
        <v>3346</v>
      </c>
      <c r="C1445" s="232">
        <v>3.0</v>
      </c>
      <c r="D1445" s="232">
        <v>313.54</v>
      </c>
      <c r="E1445" s="232">
        <v>104.5133</v>
      </c>
      <c r="F1445" t="s">
        <v>7711</v>
      </c>
      <c r="G1445" t="s">
        <v>330</v>
      </c>
      <c r="H1445" t="s">
        <v>7774</v>
      </c>
      <c r="I1445" t="s">
        <v>7744</v>
      </c>
    </row>
    <row r="1446">
      <c r="A1446" t="s">
        <v>3348</v>
      </c>
      <c r="B1446" s="232">
        <v>90403.0</v>
      </c>
      <c r="C1446" s="232">
        <v>0.0</v>
      </c>
      <c r="D1446" s="232">
        <v>0.0</v>
      </c>
      <c r="F1446" t="s">
        <v>7702</v>
      </c>
      <c r="G1446" t="s">
        <v>310</v>
      </c>
      <c r="H1446" t="s">
        <v>7703</v>
      </c>
      <c r="I1446" t="s">
        <v>7744</v>
      </c>
    </row>
    <row r="1447">
      <c r="A1447" t="s">
        <v>3349</v>
      </c>
      <c r="B1447" s="232">
        <v>87307.0</v>
      </c>
      <c r="C1447" s="232">
        <v>0.0</v>
      </c>
      <c r="D1447" s="232">
        <v>0.0</v>
      </c>
      <c r="F1447" t="s">
        <v>7702</v>
      </c>
      <c r="G1447" t="s">
        <v>310</v>
      </c>
      <c r="H1447" t="s">
        <v>7703</v>
      </c>
      <c r="I1447" t="s">
        <v>7786</v>
      </c>
    </row>
    <row r="1448">
      <c r="A1448" t="s">
        <v>3351</v>
      </c>
      <c r="B1448" s="232" t="s">
        <v>3350</v>
      </c>
      <c r="C1448" s="232">
        <v>0.0</v>
      </c>
      <c r="D1448" s="232">
        <v>0.0</v>
      </c>
      <c r="F1448" t="s">
        <v>7702</v>
      </c>
      <c r="G1448" t="s">
        <v>330</v>
      </c>
      <c r="H1448" t="s">
        <v>7709</v>
      </c>
      <c r="I1448" t="s">
        <v>7776</v>
      </c>
    </row>
    <row r="1449">
      <c r="A1449" t="s">
        <v>3355</v>
      </c>
      <c r="B1449" s="232" t="s">
        <v>3354</v>
      </c>
      <c r="C1449" s="232">
        <v>14.0</v>
      </c>
      <c r="D1449" s="232">
        <v>21.8</v>
      </c>
      <c r="E1449" s="232">
        <v>1.5571</v>
      </c>
      <c r="F1449" t="s">
        <v>7702</v>
      </c>
      <c r="G1449" t="s">
        <v>330</v>
      </c>
      <c r="H1449" t="s">
        <v>45</v>
      </c>
      <c r="I1449" t="s">
        <v>7776</v>
      </c>
    </row>
    <row r="1450">
      <c r="A1450" t="s">
        <v>3357</v>
      </c>
      <c r="B1450" s="232" t="s">
        <v>3356</v>
      </c>
      <c r="C1450" s="232">
        <v>226.0</v>
      </c>
      <c r="D1450" s="232">
        <v>359.39</v>
      </c>
      <c r="E1450" s="232">
        <v>1.5902</v>
      </c>
      <c r="F1450" t="s">
        <v>7702</v>
      </c>
      <c r="G1450" t="s">
        <v>330</v>
      </c>
      <c r="H1450" t="s">
        <v>45</v>
      </c>
      <c r="I1450" t="s">
        <v>7776</v>
      </c>
    </row>
    <row r="1451">
      <c r="A1451" t="s">
        <v>3359</v>
      </c>
      <c r="B1451" s="232" t="s">
        <v>3358</v>
      </c>
      <c r="C1451" s="232">
        <v>294.0</v>
      </c>
      <c r="D1451" s="232">
        <v>457.53</v>
      </c>
      <c r="E1451" s="232">
        <v>1.5562</v>
      </c>
      <c r="F1451" t="s">
        <v>7702</v>
      </c>
      <c r="G1451" t="s">
        <v>330</v>
      </c>
      <c r="H1451" t="s">
        <v>7709</v>
      </c>
      <c r="I1451" t="s">
        <v>7776</v>
      </c>
    </row>
    <row r="1452">
      <c r="A1452" t="s">
        <v>3361</v>
      </c>
      <c r="B1452" s="232" t="s">
        <v>3360</v>
      </c>
      <c r="C1452" s="232">
        <v>448.0</v>
      </c>
      <c r="D1452" s="232">
        <v>661.29</v>
      </c>
      <c r="E1452" s="232">
        <v>1.4761</v>
      </c>
      <c r="F1452" t="s">
        <v>7702</v>
      </c>
      <c r="G1452" t="s">
        <v>330</v>
      </c>
      <c r="H1452" t="s">
        <v>150</v>
      </c>
      <c r="I1452" t="s">
        <v>7776</v>
      </c>
    </row>
    <row r="1453">
      <c r="A1453" t="s">
        <v>3363</v>
      </c>
      <c r="B1453" s="232" t="s">
        <v>3362</v>
      </c>
      <c r="C1453" s="232">
        <v>0.0</v>
      </c>
      <c r="D1453" s="232">
        <v>0.0</v>
      </c>
      <c r="F1453" t="s">
        <v>7702</v>
      </c>
      <c r="G1453" t="s">
        <v>310</v>
      </c>
      <c r="H1453" t="s">
        <v>45</v>
      </c>
      <c r="I1453" t="s">
        <v>7776</v>
      </c>
    </row>
    <row r="1454">
      <c r="A1454" t="s">
        <v>3365</v>
      </c>
      <c r="B1454" s="232" t="s">
        <v>3364</v>
      </c>
      <c r="C1454" s="232">
        <v>15.0</v>
      </c>
      <c r="D1454" s="232">
        <v>21.55</v>
      </c>
      <c r="E1454" s="232">
        <v>1.4367</v>
      </c>
      <c r="F1454" t="s">
        <v>7702</v>
      </c>
      <c r="G1454" t="s">
        <v>330</v>
      </c>
      <c r="H1454" t="s">
        <v>45</v>
      </c>
      <c r="I1454" t="s">
        <v>7776</v>
      </c>
    </row>
    <row r="1455">
      <c r="A1455" t="s">
        <v>3367</v>
      </c>
      <c r="B1455" s="232" t="s">
        <v>3366</v>
      </c>
      <c r="C1455" s="232">
        <v>0.0</v>
      </c>
      <c r="D1455" s="232">
        <v>0.0</v>
      </c>
      <c r="F1455" t="s">
        <v>7702</v>
      </c>
      <c r="G1455" t="s">
        <v>310</v>
      </c>
      <c r="H1455" t="s">
        <v>45</v>
      </c>
      <c r="I1455" t="s">
        <v>7776</v>
      </c>
    </row>
    <row r="1456">
      <c r="A1456" t="s">
        <v>3369</v>
      </c>
      <c r="B1456" s="232" t="s">
        <v>3368</v>
      </c>
      <c r="C1456" s="232">
        <v>0.0</v>
      </c>
      <c r="D1456" s="232">
        <v>0.0</v>
      </c>
      <c r="F1456" t="s">
        <v>7702</v>
      </c>
      <c r="G1456" t="s">
        <v>330</v>
      </c>
      <c r="H1456" t="s">
        <v>45</v>
      </c>
      <c r="I1456" t="s">
        <v>7776</v>
      </c>
    </row>
    <row r="1457">
      <c r="A1457" t="s">
        <v>3371</v>
      </c>
      <c r="B1457" s="232" t="s">
        <v>3370</v>
      </c>
      <c r="C1457" s="232">
        <v>0.0</v>
      </c>
      <c r="D1457" s="232">
        <v>0.0</v>
      </c>
      <c r="F1457" t="s">
        <v>7702</v>
      </c>
      <c r="G1457" t="s">
        <v>330</v>
      </c>
      <c r="H1457" t="s">
        <v>45</v>
      </c>
      <c r="I1457" t="s">
        <v>7776</v>
      </c>
    </row>
    <row r="1458">
      <c r="A1458" t="s">
        <v>3373</v>
      </c>
      <c r="B1458" s="232" t="s">
        <v>3372</v>
      </c>
      <c r="C1458" s="232">
        <v>0.0</v>
      </c>
      <c r="D1458" s="232">
        <v>0.0</v>
      </c>
      <c r="F1458" t="s">
        <v>7702</v>
      </c>
      <c r="G1458" t="s">
        <v>310</v>
      </c>
      <c r="H1458" t="s">
        <v>45</v>
      </c>
      <c r="I1458" t="s">
        <v>7776</v>
      </c>
    </row>
    <row r="1459">
      <c r="A1459" t="s">
        <v>3375</v>
      </c>
      <c r="B1459" s="232" t="s">
        <v>3374</v>
      </c>
      <c r="C1459" s="232">
        <v>0.0</v>
      </c>
      <c r="D1459" s="232">
        <v>0.0</v>
      </c>
      <c r="F1459" t="s">
        <v>7702</v>
      </c>
      <c r="G1459" t="s">
        <v>310</v>
      </c>
      <c r="H1459" t="s">
        <v>7703</v>
      </c>
      <c r="I1459" t="s">
        <v>7716</v>
      </c>
    </row>
    <row r="1460">
      <c r="A1460" t="s">
        <v>3381</v>
      </c>
      <c r="B1460" s="232" t="s">
        <v>3380</v>
      </c>
      <c r="C1460" s="232">
        <v>0.0</v>
      </c>
      <c r="D1460" s="232">
        <v>0.0</v>
      </c>
      <c r="F1460" t="s">
        <v>7702</v>
      </c>
      <c r="G1460" t="s">
        <v>330</v>
      </c>
      <c r="H1460" t="s">
        <v>150</v>
      </c>
      <c r="I1460" t="s">
        <v>7776</v>
      </c>
    </row>
    <row r="1461">
      <c r="A1461" t="s">
        <v>3383</v>
      </c>
      <c r="B1461" s="232" t="s">
        <v>3382</v>
      </c>
      <c r="C1461" s="232">
        <v>188.0</v>
      </c>
      <c r="D1461" s="232">
        <v>292.52</v>
      </c>
      <c r="E1461" s="232">
        <v>1.556</v>
      </c>
      <c r="F1461" t="s">
        <v>7702</v>
      </c>
      <c r="G1461" t="s">
        <v>330</v>
      </c>
      <c r="H1461" t="s">
        <v>7709</v>
      </c>
      <c r="I1461" t="s">
        <v>7776</v>
      </c>
    </row>
    <row r="1462">
      <c r="A1462" t="s">
        <v>3385</v>
      </c>
      <c r="B1462" s="232" t="s">
        <v>3384</v>
      </c>
      <c r="C1462" s="232">
        <v>0.0</v>
      </c>
      <c r="D1462" s="232">
        <v>0.0</v>
      </c>
      <c r="F1462" t="s">
        <v>7702</v>
      </c>
      <c r="G1462" t="s">
        <v>330</v>
      </c>
      <c r="H1462" t="s">
        <v>45</v>
      </c>
      <c r="I1462" t="s">
        <v>7776</v>
      </c>
    </row>
    <row r="1463">
      <c r="A1463" t="s">
        <v>3387</v>
      </c>
      <c r="B1463" s="232" t="s">
        <v>3386</v>
      </c>
      <c r="C1463" s="232">
        <v>0.0</v>
      </c>
      <c r="D1463" s="232">
        <v>0.0</v>
      </c>
      <c r="F1463" t="s">
        <v>7702</v>
      </c>
      <c r="G1463" t="s">
        <v>310</v>
      </c>
      <c r="H1463" t="s">
        <v>45</v>
      </c>
      <c r="I1463" t="s">
        <v>7776</v>
      </c>
    </row>
    <row r="1464">
      <c r="A1464" t="s">
        <v>3389</v>
      </c>
      <c r="B1464" s="232" t="s">
        <v>3388</v>
      </c>
      <c r="C1464" s="232">
        <v>0.0</v>
      </c>
      <c r="D1464" s="232">
        <v>0.0</v>
      </c>
      <c r="F1464" t="s">
        <v>7702</v>
      </c>
      <c r="G1464" t="s">
        <v>310</v>
      </c>
      <c r="H1464" t="s">
        <v>7703</v>
      </c>
      <c r="I1464" t="s">
        <v>7717</v>
      </c>
    </row>
    <row r="1465">
      <c r="A1465" t="s">
        <v>3391</v>
      </c>
      <c r="B1465" s="232" t="s">
        <v>3390</v>
      </c>
      <c r="C1465" s="232">
        <v>0.0</v>
      </c>
      <c r="D1465" s="232">
        <v>0.0</v>
      </c>
      <c r="F1465" t="s">
        <v>7702</v>
      </c>
      <c r="G1465" t="s">
        <v>310</v>
      </c>
      <c r="H1465" t="s">
        <v>7703</v>
      </c>
      <c r="I1465" t="s">
        <v>7717</v>
      </c>
    </row>
    <row r="1466">
      <c r="A1466" t="s">
        <v>3393</v>
      </c>
      <c r="B1466" s="232" t="s">
        <v>3392</v>
      </c>
      <c r="C1466" s="232">
        <v>0.0</v>
      </c>
      <c r="D1466" s="232">
        <v>0.0</v>
      </c>
      <c r="F1466" t="s">
        <v>7702</v>
      </c>
      <c r="G1466" t="s">
        <v>330</v>
      </c>
      <c r="H1466" t="s">
        <v>150</v>
      </c>
      <c r="I1466" t="s">
        <v>7776</v>
      </c>
    </row>
    <row r="1467">
      <c r="A1467" t="s">
        <v>3395</v>
      </c>
      <c r="B1467" s="232" t="s">
        <v>3394</v>
      </c>
      <c r="C1467" s="232">
        <v>8.0</v>
      </c>
      <c r="D1467" s="232">
        <v>69.36</v>
      </c>
      <c r="E1467" s="232">
        <v>8.67</v>
      </c>
      <c r="F1467" t="s">
        <v>7702</v>
      </c>
      <c r="G1467" t="s">
        <v>330</v>
      </c>
      <c r="I1467" t="s">
        <v>7714</v>
      </c>
    </row>
    <row r="1468">
      <c r="A1468" t="s">
        <v>3397</v>
      </c>
      <c r="B1468" s="232" t="s">
        <v>3396</v>
      </c>
      <c r="C1468" s="232">
        <v>50.0</v>
      </c>
      <c r="D1468" s="232">
        <v>0.01</v>
      </c>
      <c r="E1468" s="232">
        <v>2.0E-4</v>
      </c>
      <c r="F1468" t="s">
        <v>7702</v>
      </c>
      <c r="G1468" t="s">
        <v>330</v>
      </c>
      <c r="H1468" t="s">
        <v>7811</v>
      </c>
      <c r="I1468" t="s">
        <v>7812</v>
      </c>
    </row>
    <row r="1469">
      <c r="A1469" t="s">
        <v>3401</v>
      </c>
      <c r="B1469" s="232" t="s">
        <v>3400</v>
      </c>
      <c r="C1469" s="232">
        <v>55.0</v>
      </c>
      <c r="D1469" s="232">
        <v>0.01</v>
      </c>
      <c r="E1469" s="232">
        <v>2.0E-4</v>
      </c>
      <c r="F1469" t="s">
        <v>7702</v>
      </c>
      <c r="G1469" t="s">
        <v>330</v>
      </c>
      <c r="H1469" t="s">
        <v>7811</v>
      </c>
      <c r="I1469" t="s">
        <v>7812</v>
      </c>
    </row>
    <row r="1470">
      <c r="A1470" t="s">
        <v>3403</v>
      </c>
      <c r="B1470" s="232" t="s">
        <v>3402</v>
      </c>
      <c r="C1470" s="232">
        <v>1.0</v>
      </c>
      <c r="D1470" s="232">
        <v>1138.57</v>
      </c>
      <c r="E1470" s="232">
        <v>1138.57</v>
      </c>
      <c r="F1470" t="s">
        <v>7702</v>
      </c>
      <c r="G1470" t="s">
        <v>330</v>
      </c>
      <c r="H1470" t="s">
        <v>7811</v>
      </c>
      <c r="I1470" t="s">
        <v>7812</v>
      </c>
    </row>
    <row r="1471">
      <c r="A1471" t="s">
        <v>3405</v>
      </c>
      <c r="B1471" s="232" t="s">
        <v>3404</v>
      </c>
      <c r="C1471" s="232">
        <v>50.0</v>
      </c>
      <c r="D1471" s="232">
        <v>0.01</v>
      </c>
      <c r="E1471" s="232">
        <v>2.0E-4</v>
      </c>
      <c r="F1471" t="s">
        <v>7702</v>
      </c>
      <c r="G1471" t="s">
        <v>330</v>
      </c>
      <c r="H1471" t="s">
        <v>7811</v>
      </c>
      <c r="I1471" t="s">
        <v>7812</v>
      </c>
    </row>
    <row r="1472">
      <c r="A1472" t="s">
        <v>3407</v>
      </c>
      <c r="B1472" s="232" t="s">
        <v>3406</v>
      </c>
      <c r="C1472" s="232">
        <v>0.0</v>
      </c>
      <c r="D1472" s="232">
        <v>0.0</v>
      </c>
      <c r="F1472" t="s">
        <v>7702</v>
      </c>
      <c r="G1472" t="s">
        <v>330</v>
      </c>
      <c r="H1472" t="s">
        <v>7811</v>
      </c>
      <c r="I1472" t="s">
        <v>7812</v>
      </c>
    </row>
    <row r="1473">
      <c r="A1473" t="s">
        <v>3409</v>
      </c>
      <c r="B1473" s="232" t="s">
        <v>3408</v>
      </c>
      <c r="C1473" s="232">
        <v>50.0</v>
      </c>
      <c r="D1473" s="232">
        <v>0.01</v>
      </c>
      <c r="E1473" s="232">
        <v>2.0E-4</v>
      </c>
      <c r="F1473" t="s">
        <v>7702</v>
      </c>
      <c r="G1473" t="s">
        <v>330</v>
      </c>
      <c r="H1473" t="s">
        <v>7811</v>
      </c>
      <c r="I1473" t="s">
        <v>7812</v>
      </c>
    </row>
    <row r="1474">
      <c r="A1474" t="s">
        <v>3411</v>
      </c>
      <c r="B1474" s="232" t="s">
        <v>3410</v>
      </c>
      <c r="C1474" s="232">
        <v>0.0</v>
      </c>
      <c r="D1474" s="232">
        <v>0.0</v>
      </c>
      <c r="F1474" t="s">
        <v>7702</v>
      </c>
      <c r="G1474" t="s">
        <v>310</v>
      </c>
      <c r="H1474" t="s">
        <v>7703</v>
      </c>
      <c r="I1474" t="s">
        <v>7812</v>
      </c>
    </row>
    <row r="1475">
      <c r="A1475" t="s">
        <v>3413</v>
      </c>
      <c r="B1475" s="232" t="s">
        <v>3412</v>
      </c>
      <c r="C1475" s="232">
        <v>50.0</v>
      </c>
      <c r="D1475" s="232">
        <v>0.01</v>
      </c>
      <c r="E1475" s="232">
        <v>2.0E-4</v>
      </c>
      <c r="F1475" t="s">
        <v>7702</v>
      </c>
      <c r="G1475" t="s">
        <v>330</v>
      </c>
      <c r="H1475" t="s">
        <v>7811</v>
      </c>
      <c r="I1475" t="s">
        <v>7812</v>
      </c>
    </row>
    <row r="1476">
      <c r="A1476" t="s">
        <v>3415</v>
      </c>
      <c r="B1476" s="232" t="s">
        <v>3414</v>
      </c>
      <c r="C1476" s="232">
        <v>0.0</v>
      </c>
      <c r="D1476" s="232">
        <v>0.0</v>
      </c>
      <c r="F1476" t="s">
        <v>7702</v>
      </c>
      <c r="G1476" t="s">
        <v>330</v>
      </c>
      <c r="H1476" t="s">
        <v>7811</v>
      </c>
      <c r="I1476" t="s">
        <v>7812</v>
      </c>
    </row>
    <row r="1477">
      <c r="A1477" t="s">
        <v>3419</v>
      </c>
      <c r="B1477" s="232" t="s">
        <v>3418</v>
      </c>
      <c r="C1477" s="232">
        <v>43.0</v>
      </c>
      <c r="D1477" s="232">
        <v>119.97</v>
      </c>
      <c r="E1477" s="232">
        <v>2.79</v>
      </c>
      <c r="F1477" t="s">
        <v>7702</v>
      </c>
      <c r="G1477" t="s">
        <v>330</v>
      </c>
      <c r="H1477" t="s">
        <v>7811</v>
      </c>
      <c r="I1477" t="s">
        <v>7812</v>
      </c>
    </row>
    <row r="1478">
      <c r="A1478" t="s">
        <v>3423</v>
      </c>
      <c r="B1478" s="232" t="s">
        <v>3422</v>
      </c>
      <c r="C1478" s="232">
        <v>0.0</v>
      </c>
      <c r="D1478" s="232">
        <v>0.0</v>
      </c>
      <c r="F1478" t="s">
        <v>7702</v>
      </c>
      <c r="G1478" t="s">
        <v>310</v>
      </c>
      <c r="H1478" t="s">
        <v>7703</v>
      </c>
      <c r="I1478" t="s">
        <v>7812</v>
      </c>
    </row>
    <row r="1479">
      <c r="A1479" t="s">
        <v>3425</v>
      </c>
      <c r="B1479" s="232" t="s">
        <v>3424</v>
      </c>
      <c r="C1479" s="232">
        <v>50.0</v>
      </c>
      <c r="D1479" s="232">
        <v>0.01</v>
      </c>
      <c r="E1479" s="232">
        <v>2.0E-4</v>
      </c>
      <c r="F1479" t="s">
        <v>7702</v>
      </c>
      <c r="G1479" t="s">
        <v>330</v>
      </c>
      <c r="H1479" t="s">
        <v>7811</v>
      </c>
      <c r="I1479" t="s">
        <v>7812</v>
      </c>
    </row>
    <row r="1480">
      <c r="A1480" t="s">
        <v>3427</v>
      </c>
      <c r="B1480" s="232" t="s">
        <v>3426</v>
      </c>
      <c r="C1480" s="232">
        <v>0.0</v>
      </c>
      <c r="D1480" s="232">
        <v>0.0</v>
      </c>
      <c r="F1480" t="s">
        <v>7702</v>
      </c>
      <c r="G1480" t="s">
        <v>310</v>
      </c>
      <c r="H1480" t="s">
        <v>7703</v>
      </c>
      <c r="I1480" t="s">
        <v>7812</v>
      </c>
    </row>
    <row r="1481">
      <c r="A1481" t="s">
        <v>3429</v>
      </c>
      <c r="B1481" s="232" t="s">
        <v>3428</v>
      </c>
      <c r="C1481" s="232">
        <v>0.0</v>
      </c>
      <c r="D1481" s="232">
        <v>0.0</v>
      </c>
      <c r="F1481" t="s">
        <v>7702</v>
      </c>
      <c r="G1481" t="s">
        <v>310</v>
      </c>
      <c r="H1481" t="s">
        <v>7703</v>
      </c>
      <c r="I1481" t="s">
        <v>7810</v>
      </c>
    </row>
    <row r="1482">
      <c r="A1482" t="s">
        <v>3431</v>
      </c>
      <c r="B1482" s="232" t="s">
        <v>3430</v>
      </c>
      <c r="C1482" s="232">
        <v>0.0</v>
      </c>
      <c r="D1482" s="232">
        <v>0.0</v>
      </c>
      <c r="F1482" t="s">
        <v>7702</v>
      </c>
      <c r="G1482" t="s">
        <v>310</v>
      </c>
      <c r="H1482" t="s">
        <v>7703</v>
      </c>
      <c r="I1482" t="s">
        <v>7810</v>
      </c>
    </row>
    <row r="1483">
      <c r="A1483" t="s">
        <v>3433</v>
      </c>
      <c r="B1483" s="232" t="s">
        <v>3432</v>
      </c>
      <c r="C1483" s="232">
        <v>23310.0</v>
      </c>
      <c r="D1483" s="232">
        <v>780.35</v>
      </c>
      <c r="E1483" s="232">
        <v>0.0335</v>
      </c>
      <c r="F1483" t="s">
        <v>7732</v>
      </c>
      <c r="G1483" t="s">
        <v>330</v>
      </c>
      <c r="H1483" t="s">
        <v>7747</v>
      </c>
    </row>
    <row r="1484">
      <c r="A1484" t="s">
        <v>3435</v>
      </c>
      <c r="B1484" s="232" t="s">
        <v>3434</v>
      </c>
      <c r="C1484" s="232">
        <v>528.0</v>
      </c>
      <c r="D1484" s="232">
        <v>290.4</v>
      </c>
      <c r="E1484" s="232">
        <v>0.55</v>
      </c>
      <c r="F1484" t="s">
        <v>7702</v>
      </c>
      <c r="G1484" t="s">
        <v>330</v>
      </c>
      <c r="H1484" t="s">
        <v>7725</v>
      </c>
      <c r="I1484" t="s">
        <v>7727</v>
      </c>
    </row>
    <row r="1485">
      <c r="A1485" t="s">
        <v>3437</v>
      </c>
      <c r="B1485" s="232" t="s">
        <v>3436</v>
      </c>
      <c r="C1485" s="232">
        <v>420.0</v>
      </c>
      <c r="D1485" s="232">
        <v>210.0</v>
      </c>
      <c r="E1485" s="232">
        <v>0.5</v>
      </c>
      <c r="F1485" t="s">
        <v>7702</v>
      </c>
      <c r="G1485" t="s">
        <v>330</v>
      </c>
      <c r="H1485" t="s">
        <v>7725</v>
      </c>
      <c r="I1485" t="s">
        <v>7745</v>
      </c>
    </row>
    <row r="1486">
      <c r="A1486" t="s">
        <v>3439</v>
      </c>
      <c r="B1486" s="232" t="s">
        <v>3438</v>
      </c>
      <c r="C1486" s="232">
        <v>0.0</v>
      </c>
      <c r="D1486" s="232">
        <v>0.0</v>
      </c>
      <c r="F1486" t="s">
        <v>7702</v>
      </c>
      <c r="G1486" t="s">
        <v>310</v>
      </c>
      <c r="H1486" t="s">
        <v>7703</v>
      </c>
      <c r="I1486" t="s">
        <v>170</v>
      </c>
    </row>
    <row r="1487">
      <c r="A1487" t="s">
        <v>3441</v>
      </c>
      <c r="B1487" s="232" t="s">
        <v>3440</v>
      </c>
      <c r="C1487" s="232">
        <v>0.0</v>
      </c>
      <c r="D1487" s="232">
        <v>0.0</v>
      </c>
      <c r="F1487" t="s">
        <v>7702</v>
      </c>
      <c r="G1487" t="s">
        <v>310</v>
      </c>
      <c r="H1487" t="s">
        <v>7703</v>
      </c>
      <c r="I1487" t="s">
        <v>170</v>
      </c>
    </row>
    <row r="1488">
      <c r="A1488" t="s">
        <v>3443</v>
      </c>
      <c r="B1488" s="232" t="s">
        <v>3442</v>
      </c>
      <c r="C1488" s="232">
        <v>0.0</v>
      </c>
      <c r="D1488" s="232">
        <v>0.0</v>
      </c>
      <c r="F1488" t="s">
        <v>7702</v>
      </c>
      <c r="G1488" t="s">
        <v>310</v>
      </c>
      <c r="H1488" t="s">
        <v>7703</v>
      </c>
      <c r="I1488" t="s">
        <v>7724</v>
      </c>
    </row>
    <row r="1489">
      <c r="A1489" t="s">
        <v>3445</v>
      </c>
      <c r="B1489" s="232" t="s">
        <v>3444</v>
      </c>
      <c r="C1489" s="232">
        <v>0.0</v>
      </c>
      <c r="D1489" s="232">
        <v>0.0</v>
      </c>
      <c r="F1489" t="s">
        <v>7702</v>
      </c>
      <c r="G1489" t="s">
        <v>330</v>
      </c>
      <c r="I1489" t="s">
        <v>7714</v>
      </c>
    </row>
    <row r="1490">
      <c r="A1490" t="s">
        <v>3447</v>
      </c>
      <c r="B1490" s="232" t="s">
        <v>3446</v>
      </c>
      <c r="C1490" s="232">
        <v>0.0</v>
      </c>
      <c r="D1490" s="232">
        <v>0.0</v>
      </c>
      <c r="F1490" t="s">
        <v>7702</v>
      </c>
      <c r="G1490" t="s">
        <v>330</v>
      </c>
      <c r="I1490" t="s">
        <v>7714</v>
      </c>
    </row>
    <row r="1491">
      <c r="A1491" t="s">
        <v>3449</v>
      </c>
      <c r="B1491" s="232" t="s">
        <v>3448</v>
      </c>
      <c r="C1491" s="232">
        <v>24.0</v>
      </c>
      <c r="D1491" s="232">
        <v>18.24</v>
      </c>
      <c r="E1491" s="232">
        <v>0.76</v>
      </c>
      <c r="F1491" t="s">
        <v>7702</v>
      </c>
      <c r="G1491" t="s">
        <v>330</v>
      </c>
      <c r="H1491" t="s">
        <v>7725</v>
      </c>
      <c r="I1491" t="s">
        <v>98</v>
      </c>
    </row>
    <row r="1492">
      <c r="A1492" t="s">
        <v>3451</v>
      </c>
      <c r="B1492" s="232" t="s">
        <v>3450</v>
      </c>
      <c r="C1492" s="232">
        <v>30.0</v>
      </c>
      <c r="D1492" s="232">
        <v>22.8</v>
      </c>
      <c r="E1492" s="232">
        <v>0.76</v>
      </c>
      <c r="F1492" t="s">
        <v>7702</v>
      </c>
      <c r="G1492" t="s">
        <v>330</v>
      </c>
      <c r="H1492" t="s">
        <v>7725</v>
      </c>
      <c r="I1492" t="s">
        <v>98</v>
      </c>
    </row>
    <row r="1493">
      <c r="A1493" t="s">
        <v>3453</v>
      </c>
      <c r="B1493" s="232" t="s">
        <v>3452</v>
      </c>
      <c r="C1493" s="232">
        <v>18.0</v>
      </c>
      <c r="D1493" s="232">
        <v>13.68</v>
      </c>
      <c r="E1493" s="232">
        <v>0.76</v>
      </c>
      <c r="F1493" t="s">
        <v>7702</v>
      </c>
      <c r="G1493" t="s">
        <v>330</v>
      </c>
      <c r="H1493" t="s">
        <v>7725</v>
      </c>
      <c r="I1493" t="s">
        <v>98</v>
      </c>
    </row>
    <row r="1494">
      <c r="A1494" t="s">
        <v>3455</v>
      </c>
      <c r="B1494" s="232" t="s">
        <v>3454</v>
      </c>
      <c r="C1494" s="232">
        <v>30.0</v>
      </c>
      <c r="D1494" s="232">
        <v>22.8</v>
      </c>
      <c r="E1494" s="232">
        <v>0.76</v>
      </c>
      <c r="F1494" t="s">
        <v>7702</v>
      </c>
      <c r="G1494" t="s">
        <v>330</v>
      </c>
      <c r="H1494" t="s">
        <v>7725</v>
      </c>
      <c r="I1494" t="s">
        <v>98</v>
      </c>
    </row>
    <row r="1495">
      <c r="A1495" t="s">
        <v>3457</v>
      </c>
      <c r="B1495" s="232" t="s">
        <v>3456</v>
      </c>
      <c r="C1495" s="232">
        <v>30.0</v>
      </c>
      <c r="D1495" s="232">
        <v>22.8</v>
      </c>
      <c r="E1495" s="232">
        <v>0.76</v>
      </c>
      <c r="F1495" t="s">
        <v>7702</v>
      </c>
      <c r="G1495" t="s">
        <v>330</v>
      </c>
      <c r="H1495" t="s">
        <v>7725</v>
      </c>
      <c r="I1495" t="s">
        <v>98</v>
      </c>
    </row>
    <row r="1496">
      <c r="A1496" t="s">
        <v>3459</v>
      </c>
      <c r="B1496" s="232" t="s">
        <v>3458</v>
      </c>
      <c r="C1496" s="232">
        <v>150.0</v>
      </c>
      <c r="D1496" s="232">
        <v>114.0</v>
      </c>
      <c r="E1496" s="232">
        <v>0.76</v>
      </c>
      <c r="F1496" t="s">
        <v>7702</v>
      </c>
      <c r="G1496" t="s">
        <v>330</v>
      </c>
      <c r="H1496" t="s">
        <v>7725</v>
      </c>
      <c r="I1496" t="s">
        <v>98</v>
      </c>
    </row>
    <row r="1497">
      <c r="A1497" t="s">
        <v>3461</v>
      </c>
      <c r="B1497" s="232" t="s">
        <v>3460</v>
      </c>
      <c r="C1497" s="232">
        <v>0.0</v>
      </c>
      <c r="D1497" s="232">
        <v>0.0</v>
      </c>
      <c r="F1497" t="s">
        <v>7702</v>
      </c>
      <c r="G1497" t="s">
        <v>310</v>
      </c>
      <c r="H1497" t="s">
        <v>7703</v>
      </c>
      <c r="I1497" t="s">
        <v>7773</v>
      </c>
    </row>
    <row r="1498">
      <c r="A1498" t="s">
        <v>3463</v>
      </c>
      <c r="B1498" s="232" t="s">
        <v>3462</v>
      </c>
      <c r="C1498" s="232">
        <v>0.0</v>
      </c>
      <c r="D1498" s="232">
        <v>0.0</v>
      </c>
      <c r="F1498" t="s">
        <v>7702</v>
      </c>
      <c r="G1498" t="s">
        <v>310</v>
      </c>
      <c r="H1498" t="s">
        <v>7703</v>
      </c>
      <c r="I1498" t="s">
        <v>7715</v>
      </c>
    </row>
    <row r="1499">
      <c r="A1499" t="s">
        <v>3465</v>
      </c>
      <c r="B1499" s="232" t="s">
        <v>3464</v>
      </c>
      <c r="C1499" s="232">
        <v>0.0</v>
      </c>
      <c r="D1499" s="232">
        <v>0.0</v>
      </c>
      <c r="F1499" t="s">
        <v>7702</v>
      </c>
      <c r="G1499" t="s">
        <v>310</v>
      </c>
      <c r="H1499" t="s">
        <v>7703</v>
      </c>
      <c r="I1499" t="s">
        <v>7767</v>
      </c>
    </row>
    <row r="1500">
      <c r="A1500" t="s">
        <v>3467</v>
      </c>
      <c r="B1500" s="232" t="s">
        <v>3466</v>
      </c>
      <c r="C1500" s="232">
        <v>0.0</v>
      </c>
      <c r="D1500" s="232">
        <v>0.0</v>
      </c>
      <c r="F1500" t="s">
        <v>7702</v>
      </c>
      <c r="G1500" t="s">
        <v>310</v>
      </c>
      <c r="H1500" t="s">
        <v>7703</v>
      </c>
      <c r="I1500" t="s">
        <v>7731</v>
      </c>
    </row>
    <row r="1501">
      <c r="A1501" t="s">
        <v>3471</v>
      </c>
      <c r="B1501" s="232" t="s">
        <v>3470</v>
      </c>
      <c r="C1501" s="232">
        <v>340.0</v>
      </c>
      <c r="D1501" s="232">
        <v>876.86</v>
      </c>
      <c r="E1501" s="232">
        <v>2.579</v>
      </c>
      <c r="F1501" t="s">
        <v>7702</v>
      </c>
      <c r="G1501" t="s">
        <v>330</v>
      </c>
      <c r="H1501" t="s">
        <v>150</v>
      </c>
      <c r="I1501" t="s">
        <v>7752</v>
      </c>
    </row>
    <row r="1502">
      <c r="A1502" t="s">
        <v>3473</v>
      </c>
      <c r="B1502" s="232" t="s">
        <v>3472</v>
      </c>
      <c r="C1502" s="232">
        <v>320.0</v>
      </c>
      <c r="D1502" s="232">
        <v>825.3</v>
      </c>
      <c r="E1502" s="232">
        <v>2.5791</v>
      </c>
      <c r="F1502" t="s">
        <v>7702</v>
      </c>
      <c r="G1502" t="s">
        <v>330</v>
      </c>
      <c r="H1502" t="s">
        <v>150</v>
      </c>
      <c r="I1502" t="s">
        <v>7752</v>
      </c>
    </row>
    <row r="1503">
      <c r="A1503" t="s">
        <v>3475</v>
      </c>
      <c r="B1503" s="232" t="s">
        <v>3474</v>
      </c>
      <c r="C1503" s="232">
        <v>124.0</v>
      </c>
      <c r="D1503" s="232">
        <v>319.61</v>
      </c>
      <c r="E1503" s="232">
        <v>2.5775</v>
      </c>
      <c r="F1503" t="s">
        <v>7702</v>
      </c>
      <c r="G1503" t="s">
        <v>330</v>
      </c>
      <c r="H1503" t="s">
        <v>45</v>
      </c>
      <c r="I1503" t="s">
        <v>7752</v>
      </c>
    </row>
    <row r="1504">
      <c r="A1504" t="s">
        <v>3477</v>
      </c>
      <c r="B1504" s="232" t="s">
        <v>3476</v>
      </c>
      <c r="C1504" s="232">
        <v>60.0</v>
      </c>
      <c r="D1504" s="232">
        <v>154.53</v>
      </c>
      <c r="E1504" s="232">
        <v>2.5755</v>
      </c>
      <c r="F1504" t="s">
        <v>7702</v>
      </c>
      <c r="G1504" t="s">
        <v>330</v>
      </c>
      <c r="H1504" t="s">
        <v>45</v>
      </c>
      <c r="I1504" t="s">
        <v>7752</v>
      </c>
    </row>
    <row r="1505">
      <c r="A1505" t="s">
        <v>3479</v>
      </c>
      <c r="B1505" s="232" t="s">
        <v>3478</v>
      </c>
      <c r="C1505" s="232">
        <v>83.0</v>
      </c>
      <c r="D1505" s="232">
        <v>219.27</v>
      </c>
      <c r="E1505" s="232">
        <v>2.6418</v>
      </c>
      <c r="F1505" t="s">
        <v>7702</v>
      </c>
      <c r="G1505" t="s">
        <v>330</v>
      </c>
      <c r="H1505" t="s">
        <v>45</v>
      </c>
      <c r="I1505" t="s">
        <v>7752</v>
      </c>
    </row>
    <row r="1506">
      <c r="A1506" t="s">
        <v>3481</v>
      </c>
      <c r="B1506" s="232" t="s">
        <v>3480</v>
      </c>
      <c r="C1506" s="232">
        <v>351.0</v>
      </c>
      <c r="D1506" s="232">
        <v>905.28</v>
      </c>
      <c r="E1506" s="232">
        <v>2.5791</v>
      </c>
      <c r="F1506" t="s">
        <v>7702</v>
      </c>
      <c r="G1506" t="s">
        <v>330</v>
      </c>
      <c r="H1506" t="s">
        <v>45</v>
      </c>
      <c r="I1506" t="s">
        <v>7752</v>
      </c>
    </row>
    <row r="1507">
      <c r="A1507" t="s">
        <v>3483</v>
      </c>
      <c r="B1507" s="232" t="s">
        <v>3482</v>
      </c>
      <c r="C1507" s="232">
        <v>11.0</v>
      </c>
      <c r="D1507" s="232">
        <v>28.05</v>
      </c>
      <c r="E1507" s="232">
        <v>2.55</v>
      </c>
      <c r="F1507" t="s">
        <v>7702</v>
      </c>
      <c r="G1507" t="s">
        <v>330</v>
      </c>
      <c r="H1507" t="s">
        <v>150</v>
      </c>
      <c r="I1507" t="s">
        <v>7752</v>
      </c>
    </row>
    <row r="1508">
      <c r="A1508" t="s">
        <v>3485</v>
      </c>
      <c r="B1508" s="232" t="s">
        <v>3484</v>
      </c>
      <c r="C1508" s="232">
        <v>347.0</v>
      </c>
      <c r="D1508" s="232">
        <v>894.96</v>
      </c>
      <c r="E1508" s="232">
        <v>2.5791</v>
      </c>
      <c r="F1508" t="s">
        <v>7702</v>
      </c>
      <c r="G1508" t="s">
        <v>330</v>
      </c>
      <c r="H1508" t="s">
        <v>45</v>
      </c>
      <c r="I1508" t="s">
        <v>7752</v>
      </c>
    </row>
    <row r="1509">
      <c r="A1509" t="s">
        <v>3487</v>
      </c>
      <c r="B1509" s="232" t="s">
        <v>3486</v>
      </c>
      <c r="C1509" s="232">
        <v>170.0</v>
      </c>
      <c r="D1509" s="232">
        <v>449.38</v>
      </c>
      <c r="E1509" s="232">
        <v>2.6434</v>
      </c>
      <c r="F1509" t="s">
        <v>7702</v>
      </c>
      <c r="G1509" t="s">
        <v>330</v>
      </c>
      <c r="H1509" t="s">
        <v>45</v>
      </c>
      <c r="I1509" t="s">
        <v>7752</v>
      </c>
    </row>
    <row r="1510">
      <c r="A1510" t="s">
        <v>3489</v>
      </c>
      <c r="B1510" s="232" t="s">
        <v>3488</v>
      </c>
      <c r="C1510" s="232">
        <v>0.0</v>
      </c>
      <c r="D1510" s="232">
        <v>0.0</v>
      </c>
      <c r="F1510" t="s">
        <v>7702</v>
      </c>
      <c r="G1510" t="s">
        <v>310</v>
      </c>
      <c r="H1510" t="s">
        <v>7703</v>
      </c>
      <c r="I1510" t="s">
        <v>7752</v>
      </c>
    </row>
    <row r="1511">
      <c r="A1511" t="s">
        <v>3491</v>
      </c>
      <c r="B1511" s="232" t="s">
        <v>3490</v>
      </c>
      <c r="C1511" s="232">
        <v>0.0</v>
      </c>
      <c r="D1511" s="232">
        <v>0.0</v>
      </c>
      <c r="F1511" t="s">
        <v>7702</v>
      </c>
      <c r="G1511" t="s">
        <v>310</v>
      </c>
      <c r="H1511" t="s">
        <v>7725</v>
      </c>
      <c r="I1511" t="s">
        <v>7714</v>
      </c>
    </row>
    <row r="1512">
      <c r="A1512" t="s">
        <v>3493</v>
      </c>
      <c r="B1512" s="232" t="s">
        <v>3492</v>
      </c>
      <c r="C1512" s="232">
        <v>1060.0</v>
      </c>
      <c r="D1512" s="232">
        <v>2790.46</v>
      </c>
      <c r="E1512" s="232">
        <v>2.6325</v>
      </c>
      <c r="F1512" t="s">
        <v>7702</v>
      </c>
      <c r="G1512" t="s">
        <v>330</v>
      </c>
      <c r="H1512" t="s">
        <v>7709</v>
      </c>
      <c r="I1512" t="s">
        <v>7748</v>
      </c>
    </row>
    <row r="1513">
      <c r="A1513" t="s">
        <v>3497</v>
      </c>
      <c r="B1513" s="232" t="s">
        <v>3496</v>
      </c>
      <c r="C1513" s="232">
        <v>4.0</v>
      </c>
      <c r="D1513" s="232">
        <v>10.8</v>
      </c>
      <c r="E1513" s="232">
        <v>2.7</v>
      </c>
      <c r="F1513" t="s">
        <v>7702</v>
      </c>
      <c r="G1513" t="s">
        <v>330</v>
      </c>
      <c r="H1513" t="s">
        <v>45</v>
      </c>
      <c r="I1513" t="s">
        <v>7748</v>
      </c>
    </row>
    <row r="1514">
      <c r="A1514" t="s">
        <v>3499</v>
      </c>
      <c r="B1514" s="232" t="s">
        <v>3498</v>
      </c>
      <c r="C1514" s="232">
        <v>1416.0</v>
      </c>
      <c r="D1514" s="232">
        <v>3727.62</v>
      </c>
      <c r="E1514" s="232">
        <v>2.6325</v>
      </c>
      <c r="F1514" t="s">
        <v>7702</v>
      </c>
      <c r="G1514" t="s">
        <v>330</v>
      </c>
      <c r="H1514" t="s">
        <v>7709</v>
      </c>
      <c r="I1514" t="s">
        <v>7748</v>
      </c>
    </row>
    <row r="1515">
      <c r="A1515" t="s">
        <v>3503</v>
      </c>
      <c r="B1515" s="232" t="s">
        <v>3502</v>
      </c>
      <c r="C1515" s="232">
        <v>965.0</v>
      </c>
      <c r="D1515" s="232">
        <v>2730.89</v>
      </c>
      <c r="E1515" s="232">
        <v>2.8299</v>
      </c>
      <c r="F1515" t="s">
        <v>7702</v>
      </c>
      <c r="G1515" t="s">
        <v>330</v>
      </c>
      <c r="H1515" t="s">
        <v>150</v>
      </c>
      <c r="I1515" t="s">
        <v>7748</v>
      </c>
    </row>
    <row r="1516">
      <c r="A1516" t="s">
        <v>3509</v>
      </c>
      <c r="B1516" s="232" t="s">
        <v>3508</v>
      </c>
      <c r="C1516" s="232">
        <v>47.0</v>
      </c>
      <c r="D1516" s="232">
        <v>132.95</v>
      </c>
      <c r="E1516" s="232">
        <v>2.8287</v>
      </c>
      <c r="F1516" t="s">
        <v>7702</v>
      </c>
      <c r="G1516" t="s">
        <v>330</v>
      </c>
      <c r="H1516" t="s">
        <v>150</v>
      </c>
      <c r="I1516" t="s">
        <v>7748</v>
      </c>
    </row>
    <row r="1517">
      <c r="A1517" t="s">
        <v>3511</v>
      </c>
      <c r="B1517" s="232" t="s">
        <v>3510</v>
      </c>
      <c r="C1517" s="232">
        <v>1595.0</v>
      </c>
      <c r="D1517" s="232">
        <v>4198.84</v>
      </c>
      <c r="E1517" s="232">
        <v>2.6325</v>
      </c>
      <c r="F1517" t="s">
        <v>7702</v>
      </c>
      <c r="G1517" t="s">
        <v>330</v>
      </c>
      <c r="H1517" t="s">
        <v>7709</v>
      </c>
      <c r="I1517" t="s">
        <v>7748</v>
      </c>
    </row>
    <row r="1518">
      <c r="A1518" t="s">
        <v>3513</v>
      </c>
      <c r="B1518" s="232" t="s">
        <v>3512</v>
      </c>
      <c r="C1518" s="232">
        <v>861.0</v>
      </c>
      <c r="D1518" s="232">
        <v>2436.57</v>
      </c>
      <c r="E1518" s="232">
        <v>2.8299</v>
      </c>
      <c r="F1518" t="s">
        <v>7702</v>
      </c>
      <c r="G1518" t="s">
        <v>330</v>
      </c>
      <c r="H1518" t="s">
        <v>45</v>
      </c>
      <c r="I1518" t="s">
        <v>7748</v>
      </c>
    </row>
    <row r="1519">
      <c r="A1519" t="s">
        <v>3515</v>
      </c>
      <c r="B1519" s="232" t="s">
        <v>3514</v>
      </c>
      <c r="C1519" s="232">
        <v>2.0</v>
      </c>
      <c r="D1519" s="232">
        <v>2.44</v>
      </c>
      <c r="E1519" s="232">
        <v>1.22</v>
      </c>
      <c r="F1519" t="s">
        <v>7702</v>
      </c>
      <c r="G1519" t="s">
        <v>330</v>
      </c>
      <c r="H1519" t="s">
        <v>150</v>
      </c>
      <c r="I1519" t="s">
        <v>7748</v>
      </c>
    </row>
    <row r="1520">
      <c r="A1520" t="s">
        <v>3517</v>
      </c>
      <c r="B1520" s="232" t="s">
        <v>3516</v>
      </c>
      <c r="C1520" s="232">
        <v>1.0</v>
      </c>
      <c r="D1520" s="232">
        <v>1.22</v>
      </c>
      <c r="E1520" s="232">
        <v>1.22</v>
      </c>
      <c r="F1520" t="s">
        <v>7702</v>
      </c>
      <c r="G1520" t="s">
        <v>330</v>
      </c>
      <c r="H1520" t="s">
        <v>150</v>
      </c>
      <c r="I1520" t="s">
        <v>7748</v>
      </c>
    </row>
    <row r="1521">
      <c r="A1521" t="s">
        <v>3519</v>
      </c>
      <c r="B1521" s="232" t="s">
        <v>3518</v>
      </c>
      <c r="C1521" s="232">
        <v>1.0</v>
      </c>
      <c r="D1521" s="232">
        <v>1.22</v>
      </c>
      <c r="E1521" s="232">
        <v>1.22</v>
      </c>
      <c r="F1521" t="s">
        <v>7702</v>
      </c>
      <c r="G1521" t="s">
        <v>330</v>
      </c>
      <c r="H1521" t="s">
        <v>150</v>
      </c>
      <c r="I1521" t="s">
        <v>7748</v>
      </c>
    </row>
    <row r="1522">
      <c r="A1522" t="s">
        <v>3521</v>
      </c>
      <c r="B1522" s="232" t="s">
        <v>3520</v>
      </c>
      <c r="C1522" s="232">
        <v>2.0</v>
      </c>
      <c r="D1522" s="232">
        <v>2.44</v>
      </c>
      <c r="E1522" s="232">
        <v>1.22</v>
      </c>
      <c r="F1522" t="s">
        <v>7702</v>
      </c>
      <c r="G1522" t="s">
        <v>330</v>
      </c>
      <c r="H1522" t="s">
        <v>150</v>
      </c>
      <c r="I1522" t="s">
        <v>7748</v>
      </c>
    </row>
    <row r="1523">
      <c r="A1523" t="s">
        <v>3523</v>
      </c>
      <c r="B1523" s="232" t="s">
        <v>3522</v>
      </c>
      <c r="C1523" s="232">
        <v>0.0</v>
      </c>
      <c r="D1523" s="232">
        <v>0.0</v>
      </c>
      <c r="F1523" t="s">
        <v>7702</v>
      </c>
      <c r="G1523" t="s">
        <v>330</v>
      </c>
      <c r="H1523" t="s">
        <v>150</v>
      </c>
      <c r="I1523" t="s">
        <v>7748</v>
      </c>
    </row>
    <row r="1524">
      <c r="A1524" t="s">
        <v>3527</v>
      </c>
      <c r="B1524" s="232" t="s">
        <v>3526</v>
      </c>
      <c r="C1524" s="232">
        <v>0.0</v>
      </c>
      <c r="D1524" s="232">
        <v>0.0</v>
      </c>
      <c r="F1524" t="s">
        <v>7702</v>
      </c>
      <c r="G1524" t="s">
        <v>330</v>
      </c>
      <c r="H1524" t="s">
        <v>150</v>
      </c>
      <c r="I1524" t="s">
        <v>7748</v>
      </c>
    </row>
    <row r="1525">
      <c r="A1525" t="s">
        <v>3529</v>
      </c>
      <c r="B1525" s="232" t="s">
        <v>3528</v>
      </c>
      <c r="C1525" s="232">
        <v>1.0</v>
      </c>
      <c r="D1525" s="232">
        <v>1.22</v>
      </c>
      <c r="E1525" s="232">
        <v>1.22</v>
      </c>
      <c r="F1525" t="s">
        <v>7702</v>
      </c>
      <c r="G1525" t="s">
        <v>330</v>
      </c>
      <c r="H1525" t="s">
        <v>150</v>
      </c>
      <c r="I1525" t="s">
        <v>7748</v>
      </c>
    </row>
    <row r="1526">
      <c r="A1526" t="s">
        <v>3531</v>
      </c>
      <c r="B1526" s="232" t="s">
        <v>3530</v>
      </c>
      <c r="C1526" s="232">
        <v>0.0</v>
      </c>
      <c r="D1526" s="232">
        <v>0.0</v>
      </c>
      <c r="F1526" t="s">
        <v>7702</v>
      </c>
      <c r="G1526" t="s">
        <v>330</v>
      </c>
      <c r="H1526" t="s">
        <v>150</v>
      </c>
      <c r="I1526" t="s">
        <v>7748</v>
      </c>
    </row>
    <row r="1527">
      <c r="A1527" t="s">
        <v>3539</v>
      </c>
      <c r="B1527" s="232" t="s">
        <v>3538</v>
      </c>
      <c r="C1527" s="232">
        <v>0.0</v>
      </c>
      <c r="D1527" s="232">
        <v>0.0</v>
      </c>
      <c r="F1527" t="s">
        <v>7702</v>
      </c>
      <c r="G1527" t="s">
        <v>310</v>
      </c>
      <c r="H1527" t="s">
        <v>7703</v>
      </c>
      <c r="I1527" t="s">
        <v>7729</v>
      </c>
    </row>
    <row r="1528">
      <c r="A1528" t="s">
        <v>3541</v>
      </c>
      <c r="B1528" s="232" t="s">
        <v>3540</v>
      </c>
      <c r="C1528" s="232">
        <v>0.0</v>
      </c>
      <c r="D1528" s="232">
        <v>0.0</v>
      </c>
      <c r="F1528" t="s">
        <v>7702</v>
      </c>
      <c r="G1528" t="s">
        <v>310</v>
      </c>
      <c r="H1528" t="s">
        <v>7703</v>
      </c>
      <c r="I1528" t="s">
        <v>7729</v>
      </c>
    </row>
    <row r="1529">
      <c r="A1529" t="s">
        <v>3543</v>
      </c>
      <c r="B1529" s="232" t="s">
        <v>3542</v>
      </c>
      <c r="C1529" s="232">
        <v>0.0</v>
      </c>
      <c r="D1529" s="232">
        <v>0.0</v>
      </c>
      <c r="F1529" t="s">
        <v>7711</v>
      </c>
      <c r="G1529" t="s">
        <v>310</v>
      </c>
      <c r="H1529" t="s">
        <v>7703</v>
      </c>
    </row>
    <row r="1530">
      <c r="A1530" t="s">
        <v>3545</v>
      </c>
      <c r="B1530" s="232" t="s">
        <v>3544</v>
      </c>
      <c r="C1530" s="232">
        <v>325.0</v>
      </c>
      <c r="D1530" s="232">
        <v>390.3</v>
      </c>
      <c r="E1530" s="232">
        <v>1.2009</v>
      </c>
      <c r="F1530" t="s">
        <v>7702</v>
      </c>
      <c r="G1530" t="s">
        <v>330</v>
      </c>
      <c r="H1530" t="s">
        <v>150</v>
      </c>
      <c r="I1530" t="s">
        <v>151</v>
      </c>
    </row>
    <row r="1531">
      <c r="A1531" t="s">
        <v>3547</v>
      </c>
      <c r="B1531" s="232" t="s">
        <v>3546</v>
      </c>
      <c r="C1531" s="232">
        <v>0.0</v>
      </c>
      <c r="D1531" s="232">
        <v>0.0</v>
      </c>
      <c r="F1531" t="s">
        <v>7702</v>
      </c>
      <c r="G1531" t="s">
        <v>310</v>
      </c>
      <c r="H1531" t="s">
        <v>7703</v>
      </c>
      <c r="I1531" t="s">
        <v>7804</v>
      </c>
    </row>
    <row r="1532">
      <c r="A1532" t="s">
        <v>3549</v>
      </c>
      <c r="B1532" s="232" t="s">
        <v>3548</v>
      </c>
      <c r="C1532" s="232">
        <v>54.0</v>
      </c>
      <c r="D1532" s="232">
        <v>211.68</v>
      </c>
      <c r="E1532" s="232">
        <v>3.92</v>
      </c>
      <c r="F1532" t="s">
        <v>7702</v>
      </c>
      <c r="G1532" t="s">
        <v>330</v>
      </c>
      <c r="H1532" t="s">
        <v>45</v>
      </c>
      <c r="I1532" t="s">
        <v>151</v>
      </c>
    </row>
    <row r="1533">
      <c r="A1533" t="s">
        <v>154</v>
      </c>
      <c r="B1533" s="232" t="s">
        <v>155</v>
      </c>
      <c r="C1533" s="232">
        <v>0.0</v>
      </c>
      <c r="D1533" s="232">
        <v>0.0</v>
      </c>
      <c r="F1533" t="s">
        <v>7702</v>
      </c>
      <c r="G1533" t="s">
        <v>310</v>
      </c>
      <c r="H1533" t="s">
        <v>45</v>
      </c>
      <c r="I1533" t="s">
        <v>151</v>
      </c>
    </row>
    <row r="1534">
      <c r="A1534" t="s">
        <v>3551</v>
      </c>
      <c r="B1534" s="232" t="s">
        <v>3550</v>
      </c>
      <c r="C1534" s="232">
        <v>684.0</v>
      </c>
      <c r="D1534" s="232">
        <v>5120.62</v>
      </c>
      <c r="E1534" s="232">
        <v>7.4863</v>
      </c>
      <c r="F1534" t="s">
        <v>7702</v>
      </c>
      <c r="G1534" t="s">
        <v>330</v>
      </c>
      <c r="H1534" t="s">
        <v>150</v>
      </c>
      <c r="I1534" t="s">
        <v>151</v>
      </c>
    </row>
    <row r="1535">
      <c r="A1535" t="s">
        <v>3553</v>
      </c>
      <c r="B1535" s="232" t="s">
        <v>3552</v>
      </c>
      <c r="C1535" s="232">
        <v>150.0</v>
      </c>
      <c r="D1535" s="232">
        <v>991.05</v>
      </c>
      <c r="E1535" s="232">
        <v>6.607</v>
      </c>
      <c r="F1535" t="s">
        <v>7702</v>
      </c>
      <c r="G1535" t="s">
        <v>330</v>
      </c>
      <c r="H1535" t="s">
        <v>150</v>
      </c>
      <c r="I1535" t="s">
        <v>151</v>
      </c>
    </row>
    <row r="1536">
      <c r="A1536" t="s">
        <v>164</v>
      </c>
      <c r="B1536" s="232" t="s">
        <v>165</v>
      </c>
      <c r="C1536" s="232">
        <v>102.0</v>
      </c>
      <c r="D1536" s="232">
        <v>734.46</v>
      </c>
      <c r="E1536" s="232">
        <v>7.2006</v>
      </c>
      <c r="F1536" t="s">
        <v>7702</v>
      </c>
      <c r="G1536" t="s">
        <v>330</v>
      </c>
      <c r="H1536" t="s">
        <v>45</v>
      </c>
      <c r="I1536" t="s">
        <v>151</v>
      </c>
    </row>
    <row r="1537">
      <c r="A1537" t="s">
        <v>160</v>
      </c>
      <c r="B1537" s="232" t="s">
        <v>161</v>
      </c>
      <c r="C1537" s="232">
        <v>0.0</v>
      </c>
      <c r="D1537" s="232">
        <v>0.0</v>
      </c>
      <c r="F1537" t="s">
        <v>7702</v>
      </c>
      <c r="G1537" t="s">
        <v>310</v>
      </c>
      <c r="H1537" t="s">
        <v>45</v>
      </c>
      <c r="I1537" t="s">
        <v>151</v>
      </c>
    </row>
    <row r="1538">
      <c r="A1538" t="s">
        <v>3555</v>
      </c>
      <c r="B1538" s="232" t="s">
        <v>3554</v>
      </c>
      <c r="C1538" s="232">
        <v>250.0</v>
      </c>
      <c r="D1538" s="232">
        <v>315.85</v>
      </c>
      <c r="E1538" s="232">
        <v>1.2634</v>
      </c>
      <c r="F1538" t="s">
        <v>7702</v>
      </c>
      <c r="G1538" t="s">
        <v>330</v>
      </c>
      <c r="H1538" t="s">
        <v>150</v>
      </c>
      <c r="I1538" t="s">
        <v>151</v>
      </c>
    </row>
    <row r="1539">
      <c r="A1539" t="s">
        <v>152</v>
      </c>
      <c r="B1539" s="232" t="s">
        <v>153</v>
      </c>
      <c r="C1539" s="232">
        <v>0.0</v>
      </c>
      <c r="D1539" s="232">
        <v>0.0</v>
      </c>
      <c r="F1539" t="s">
        <v>7702</v>
      </c>
      <c r="G1539" t="s">
        <v>310</v>
      </c>
      <c r="H1539" t="s">
        <v>150</v>
      </c>
      <c r="I1539" t="s">
        <v>151</v>
      </c>
    </row>
    <row r="1540">
      <c r="A1540" t="s">
        <v>3557</v>
      </c>
      <c r="B1540" s="232" t="s">
        <v>3556</v>
      </c>
      <c r="C1540" s="232">
        <v>302.0</v>
      </c>
      <c r="D1540" s="232">
        <v>424.91</v>
      </c>
      <c r="E1540" s="232">
        <v>1.407</v>
      </c>
      <c r="F1540" t="s">
        <v>7702</v>
      </c>
      <c r="G1540" t="s">
        <v>330</v>
      </c>
      <c r="H1540" t="s">
        <v>150</v>
      </c>
      <c r="I1540" t="s">
        <v>151</v>
      </c>
    </row>
    <row r="1541">
      <c r="A1541" t="s">
        <v>3559</v>
      </c>
      <c r="B1541" s="232" t="s">
        <v>3558</v>
      </c>
      <c r="C1541" s="232">
        <v>757.0</v>
      </c>
      <c r="D1541" s="232">
        <v>1639.03</v>
      </c>
      <c r="E1541" s="232">
        <v>2.1652</v>
      </c>
      <c r="F1541" t="s">
        <v>7702</v>
      </c>
      <c r="G1541" t="s">
        <v>330</v>
      </c>
      <c r="H1541" t="s">
        <v>150</v>
      </c>
      <c r="I1541" t="s">
        <v>151</v>
      </c>
    </row>
    <row r="1542">
      <c r="A1542" t="s">
        <v>3561</v>
      </c>
      <c r="B1542" s="232" t="s">
        <v>3560</v>
      </c>
      <c r="C1542" s="232">
        <v>761.0</v>
      </c>
      <c r="D1542" s="232">
        <v>1140.66</v>
      </c>
      <c r="E1542" s="232">
        <v>1.4989</v>
      </c>
      <c r="F1542" t="s">
        <v>7702</v>
      </c>
      <c r="G1542" t="s">
        <v>330</v>
      </c>
      <c r="H1542" t="s">
        <v>150</v>
      </c>
      <c r="I1542" t="s">
        <v>151</v>
      </c>
    </row>
    <row r="1543">
      <c r="A1543" t="s">
        <v>3563</v>
      </c>
      <c r="B1543" s="232" t="s">
        <v>3562</v>
      </c>
      <c r="C1543" s="232">
        <v>44.0</v>
      </c>
      <c r="D1543" s="232">
        <v>120.71</v>
      </c>
      <c r="E1543" s="232">
        <v>2.7434</v>
      </c>
      <c r="F1543" t="s">
        <v>7702</v>
      </c>
      <c r="G1543" t="s">
        <v>330</v>
      </c>
      <c r="H1543" t="s">
        <v>45</v>
      </c>
      <c r="I1543" t="s">
        <v>151</v>
      </c>
    </row>
    <row r="1544">
      <c r="A1544" t="s">
        <v>162</v>
      </c>
      <c r="B1544" s="232" t="s">
        <v>163</v>
      </c>
      <c r="C1544" s="232">
        <v>877.0</v>
      </c>
      <c r="D1544" s="232">
        <v>4882.78</v>
      </c>
      <c r="E1544" s="232">
        <v>5.5676</v>
      </c>
      <c r="F1544" t="s">
        <v>7702</v>
      </c>
      <c r="G1544" t="s">
        <v>330</v>
      </c>
      <c r="H1544" t="s">
        <v>150</v>
      </c>
      <c r="I1544" t="s">
        <v>151</v>
      </c>
    </row>
    <row r="1545">
      <c r="A1545" t="s">
        <v>3565</v>
      </c>
      <c r="B1545" s="232" t="s">
        <v>3564</v>
      </c>
      <c r="C1545" s="232">
        <v>126.0</v>
      </c>
      <c r="D1545" s="232">
        <v>213.98</v>
      </c>
      <c r="E1545" s="232">
        <v>1.6983</v>
      </c>
      <c r="F1545" t="s">
        <v>7702</v>
      </c>
      <c r="G1545" t="s">
        <v>330</v>
      </c>
      <c r="H1545" t="s">
        <v>150</v>
      </c>
      <c r="I1545" t="s">
        <v>151</v>
      </c>
    </row>
    <row r="1546">
      <c r="A1546" t="s">
        <v>3567</v>
      </c>
      <c r="B1546" s="232" t="s">
        <v>3566</v>
      </c>
      <c r="C1546" s="232">
        <v>527.0</v>
      </c>
      <c r="D1546" s="232">
        <v>921.41</v>
      </c>
      <c r="E1546" s="232">
        <v>1.7484</v>
      </c>
      <c r="F1546" t="s">
        <v>7702</v>
      </c>
      <c r="G1546" t="s">
        <v>330</v>
      </c>
      <c r="H1546" t="s">
        <v>150</v>
      </c>
      <c r="I1546" t="s">
        <v>151</v>
      </c>
    </row>
    <row r="1547">
      <c r="A1547" t="s">
        <v>3569</v>
      </c>
      <c r="B1547" s="232" t="s">
        <v>3568</v>
      </c>
      <c r="C1547" s="232">
        <v>859.0</v>
      </c>
      <c r="D1547" s="232">
        <v>3905.58</v>
      </c>
      <c r="E1547" s="232">
        <v>4.5467</v>
      </c>
      <c r="F1547" t="s">
        <v>7702</v>
      </c>
      <c r="G1547" t="s">
        <v>330</v>
      </c>
      <c r="H1547" t="s">
        <v>150</v>
      </c>
      <c r="I1547" t="s">
        <v>151</v>
      </c>
    </row>
    <row r="1548">
      <c r="A1548" t="s">
        <v>3571</v>
      </c>
      <c r="B1548" s="232" t="s">
        <v>3570</v>
      </c>
      <c r="C1548" s="232">
        <v>595.0</v>
      </c>
      <c r="D1548" s="232">
        <v>1134.64</v>
      </c>
      <c r="E1548" s="232">
        <v>1.907</v>
      </c>
      <c r="F1548" t="s">
        <v>7702</v>
      </c>
      <c r="G1548" t="s">
        <v>330</v>
      </c>
      <c r="H1548" t="s">
        <v>150</v>
      </c>
      <c r="I1548" t="s">
        <v>151</v>
      </c>
    </row>
    <row r="1549">
      <c r="A1549" t="s">
        <v>3573</v>
      </c>
      <c r="B1549" s="232" t="s">
        <v>3572</v>
      </c>
      <c r="C1549" s="232">
        <v>0.0</v>
      </c>
      <c r="D1549" s="232">
        <v>0.0</v>
      </c>
      <c r="F1549" t="s">
        <v>7702</v>
      </c>
      <c r="G1549" t="s">
        <v>310</v>
      </c>
      <c r="H1549" t="s">
        <v>45</v>
      </c>
      <c r="I1549" t="s">
        <v>151</v>
      </c>
    </row>
    <row r="1550">
      <c r="A1550" t="s">
        <v>3575</v>
      </c>
      <c r="B1550" s="232" t="s">
        <v>3574</v>
      </c>
      <c r="C1550" s="232">
        <v>383.0</v>
      </c>
      <c r="D1550" s="232">
        <v>605.83</v>
      </c>
      <c r="E1550" s="232">
        <v>1.5818</v>
      </c>
      <c r="F1550" t="s">
        <v>7702</v>
      </c>
      <c r="G1550" t="s">
        <v>330</v>
      </c>
      <c r="H1550" t="s">
        <v>150</v>
      </c>
      <c r="I1550" t="s">
        <v>151</v>
      </c>
    </row>
    <row r="1551">
      <c r="A1551" t="s">
        <v>3577</v>
      </c>
      <c r="B1551" s="232" t="s">
        <v>3576</v>
      </c>
      <c r="C1551" s="232">
        <v>439.0</v>
      </c>
      <c r="D1551" s="232">
        <v>419.05</v>
      </c>
      <c r="E1551" s="232">
        <v>0.9546</v>
      </c>
      <c r="F1551" t="s">
        <v>7702</v>
      </c>
      <c r="G1551" t="s">
        <v>330</v>
      </c>
      <c r="H1551" t="s">
        <v>150</v>
      </c>
      <c r="I1551" t="s">
        <v>151</v>
      </c>
    </row>
    <row r="1552">
      <c r="A1552" t="s">
        <v>156</v>
      </c>
      <c r="B1552" s="232" t="s">
        <v>157</v>
      </c>
      <c r="C1552" s="232">
        <v>0.0</v>
      </c>
      <c r="D1552" s="232">
        <v>0.0</v>
      </c>
      <c r="F1552" t="s">
        <v>7702</v>
      </c>
      <c r="G1552" t="s">
        <v>310</v>
      </c>
      <c r="H1552" t="s">
        <v>45</v>
      </c>
      <c r="I1552" t="s">
        <v>151</v>
      </c>
    </row>
    <row r="1553">
      <c r="A1553" t="s">
        <v>3579</v>
      </c>
      <c r="B1553" s="232" t="s">
        <v>3578</v>
      </c>
      <c r="C1553" s="232">
        <v>50.0</v>
      </c>
      <c r="D1553" s="232">
        <v>201.23</v>
      </c>
      <c r="E1553" s="232">
        <v>4.0246</v>
      </c>
      <c r="F1553" t="s">
        <v>7702</v>
      </c>
      <c r="G1553" t="s">
        <v>330</v>
      </c>
      <c r="H1553" t="s">
        <v>150</v>
      </c>
      <c r="I1553" t="s">
        <v>151</v>
      </c>
    </row>
    <row r="1554">
      <c r="A1554" t="s">
        <v>3581</v>
      </c>
      <c r="B1554" s="232" t="s">
        <v>3580</v>
      </c>
      <c r="C1554" s="232">
        <v>1.0</v>
      </c>
      <c r="D1554" s="232">
        <v>312.68</v>
      </c>
      <c r="E1554" s="232">
        <v>312.68</v>
      </c>
      <c r="F1554" t="s">
        <v>7702</v>
      </c>
      <c r="G1554" t="s">
        <v>330</v>
      </c>
      <c r="H1554" t="s">
        <v>150</v>
      </c>
      <c r="I1554" t="s">
        <v>151</v>
      </c>
    </row>
    <row r="1555">
      <c r="A1555" t="s">
        <v>3583</v>
      </c>
      <c r="B1555" s="232" t="s">
        <v>3582</v>
      </c>
      <c r="C1555" s="232">
        <v>201.0</v>
      </c>
      <c r="D1555" s="232">
        <v>329.11</v>
      </c>
      <c r="E1555" s="232">
        <v>1.6374</v>
      </c>
      <c r="F1555" t="s">
        <v>7702</v>
      </c>
      <c r="G1555" t="s">
        <v>330</v>
      </c>
      <c r="H1555" t="s">
        <v>150</v>
      </c>
      <c r="I1555" t="s">
        <v>151</v>
      </c>
    </row>
    <row r="1556">
      <c r="A1556" t="s">
        <v>3585</v>
      </c>
      <c r="B1556" s="232" t="s">
        <v>3584</v>
      </c>
      <c r="C1556" s="232">
        <v>0.0</v>
      </c>
      <c r="D1556" s="232">
        <v>0.0</v>
      </c>
      <c r="F1556" t="s">
        <v>7702</v>
      </c>
      <c r="G1556" t="s">
        <v>310</v>
      </c>
      <c r="H1556" t="s">
        <v>7703</v>
      </c>
    </row>
    <row r="1557">
      <c r="A1557" t="s">
        <v>3587</v>
      </c>
      <c r="B1557" s="232" t="s">
        <v>3586</v>
      </c>
      <c r="C1557" s="232">
        <v>0.0</v>
      </c>
      <c r="D1557" s="232">
        <v>0.0</v>
      </c>
      <c r="F1557" t="s">
        <v>7702</v>
      </c>
      <c r="G1557" t="s">
        <v>310</v>
      </c>
      <c r="H1557" t="s">
        <v>7703</v>
      </c>
    </row>
    <row r="1558">
      <c r="A1558" t="s">
        <v>158</v>
      </c>
      <c r="B1558" s="232" t="s">
        <v>159</v>
      </c>
      <c r="C1558" s="232">
        <v>0.0</v>
      </c>
      <c r="D1558" s="232">
        <v>0.0</v>
      </c>
      <c r="F1558" t="s">
        <v>7702</v>
      </c>
      <c r="G1558" t="s">
        <v>310</v>
      </c>
      <c r="H1558" t="s">
        <v>45</v>
      </c>
      <c r="I1558" t="s">
        <v>151</v>
      </c>
    </row>
    <row r="1559">
      <c r="A1559" t="s">
        <v>3591</v>
      </c>
      <c r="B1559" s="232" t="s">
        <v>3590</v>
      </c>
      <c r="C1559" s="232">
        <v>0.0</v>
      </c>
      <c r="D1559" s="232">
        <v>0.0</v>
      </c>
      <c r="F1559" t="s">
        <v>7702</v>
      </c>
      <c r="G1559" t="s">
        <v>310</v>
      </c>
      <c r="H1559" t="s">
        <v>45</v>
      </c>
      <c r="I1559" t="s">
        <v>151</v>
      </c>
    </row>
    <row r="1560">
      <c r="A1560" t="s">
        <v>3593</v>
      </c>
      <c r="B1560" s="232" t="s">
        <v>3592</v>
      </c>
      <c r="C1560" s="232">
        <v>708.0</v>
      </c>
      <c r="D1560" s="232">
        <v>1379.7</v>
      </c>
      <c r="E1560" s="232">
        <v>1.9487</v>
      </c>
      <c r="F1560" t="s">
        <v>7702</v>
      </c>
      <c r="G1560" t="s">
        <v>330</v>
      </c>
      <c r="H1560" t="s">
        <v>150</v>
      </c>
      <c r="I1560" t="s">
        <v>151</v>
      </c>
    </row>
    <row r="1561">
      <c r="A1561" t="s">
        <v>3595</v>
      </c>
      <c r="B1561" s="232" t="s">
        <v>3594</v>
      </c>
      <c r="C1561" s="232">
        <v>1.0</v>
      </c>
      <c r="D1561" s="232">
        <v>30.81</v>
      </c>
      <c r="E1561" s="232">
        <v>30.81</v>
      </c>
      <c r="F1561" t="s">
        <v>7702</v>
      </c>
      <c r="G1561" t="s">
        <v>330</v>
      </c>
      <c r="H1561" t="s">
        <v>45</v>
      </c>
      <c r="I1561" t="s">
        <v>7753</v>
      </c>
    </row>
    <row r="1562">
      <c r="A1562" t="s">
        <v>3597</v>
      </c>
      <c r="B1562" s="232" t="s">
        <v>3596</v>
      </c>
      <c r="C1562" s="232">
        <v>0.0</v>
      </c>
      <c r="D1562" s="232">
        <v>0.0</v>
      </c>
      <c r="F1562" t="s">
        <v>7702</v>
      </c>
      <c r="G1562" t="s">
        <v>310</v>
      </c>
      <c r="H1562" t="s">
        <v>45</v>
      </c>
      <c r="I1562" t="s">
        <v>7753</v>
      </c>
    </row>
    <row r="1563">
      <c r="A1563" t="s">
        <v>3599</v>
      </c>
      <c r="B1563" s="232" t="s">
        <v>3598</v>
      </c>
      <c r="C1563" s="232">
        <v>6.0</v>
      </c>
      <c r="D1563" s="232">
        <v>29.76</v>
      </c>
      <c r="E1563" s="232">
        <v>4.96</v>
      </c>
      <c r="F1563" t="s">
        <v>7702</v>
      </c>
      <c r="G1563" t="s">
        <v>330</v>
      </c>
      <c r="I1563" t="s">
        <v>7714</v>
      </c>
    </row>
    <row r="1564">
      <c r="A1564" t="s">
        <v>3601</v>
      </c>
      <c r="B1564" s="232" t="s">
        <v>3600</v>
      </c>
      <c r="C1564" s="232">
        <v>0.0</v>
      </c>
      <c r="D1564" s="232">
        <v>0.0</v>
      </c>
      <c r="F1564" t="s">
        <v>7702</v>
      </c>
      <c r="G1564" t="s">
        <v>310</v>
      </c>
      <c r="H1564" t="s">
        <v>7703</v>
      </c>
      <c r="I1564" t="s">
        <v>7714</v>
      </c>
    </row>
    <row r="1565">
      <c r="A1565" t="s">
        <v>3603</v>
      </c>
      <c r="B1565" s="232" t="s">
        <v>3602</v>
      </c>
      <c r="C1565" s="232">
        <v>0.0</v>
      </c>
      <c r="D1565" s="232">
        <v>0.0</v>
      </c>
      <c r="F1565" t="s">
        <v>7702</v>
      </c>
      <c r="G1565" t="s">
        <v>310</v>
      </c>
      <c r="H1565" t="s">
        <v>7703</v>
      </c>
    </row>
    <row r="1566">
      <c r="A1566" t="s">
        <v>3605</v>
      </c>
      <c r="B1566" s="232" t="s">
        <v>3604</v>
      </c>
      <c r="C1566" s="232">
        <v>0.0</v>
      </c>
      <c r="D1566" s="232">
        <v>0.0</v>
      </c>
      <c r="F1566" t="s">
        <v>7711</v>
      </c>
      <c r="G1566" t="s">
        <v>310</v>
      </c>
      <c r="H1566" t="s">
        <v>7703</v>
      </c>
    </row>
    <row r="1567">
      <c r="A1567" t="s">
        <v>3607</v>
      </c>
      <c r="B1567" s="232" t="s">
        <v>3606</v>
      </c>
      <c r="C1567" s="232">
        <v>0.0</v>
      </c>
      <c r="D1567" s="232">
        <v>0.0</v>
      </c>
      <c r="F1567" t="s">
        <v>7711</v>
      </c>
      <c r="G1567" t="s">
        <v>310</v>
      </c>
      <c r="H1567" t="s">
        <v>7703</v>
      </c>
    </row>
    <row r="1568">
      <c r="A1568" t="s">
        <v>3608</v>
      </c>
      <c r="B1568" s="232">
        <v>92901.0</v>
      </c>
      <c r="C1568" s="232">
        <v>0.0</v>
      </c>
      <c r="D1568" s="232">
        <v>0.0</v>
      </c>
      <c r="F1568" t="s">
        <v>7702</v>
      </c>
      <c r="G1568" t="s">
        <v>310</v>
      </c>
      <c r="H1568" t="s">
        <v>7703</v>
      </c>
      <c r="I1568" t="s">
        <v>98</v>
      </c>
    </row>
    <row r="1569">
      <c r="A1569" t="s">
        <v>3609</v>
      </c>
      <c r="B1569" s="232">
        <v>92902.0</v>
      </c>
      <c r="C1569" s="232">
        <v>0.0</v>
      </c>
      <c r="D1569" s="232">
        <v>0.0</v>
      </c>
      <c r="F1569" t="s">
        <v>7702</v>
      </c>
      <c r="G1569" t="s">
        <v>310</v>
      </c>
      <c r="H1569" t="s">
        <v>7703</v>
      </c>
      <c r="I1569" t="s">
        <v>98</v>
      </c>
    </row>
    <row r="1570">
      <c r="A1570" t="s">
        <v>3610</v>
      </c>
      <c r="B1570" s="232">
        <v>92903.0</v>
      </c>
      <c r="C1570" s="232">
        <v>0.0</v>
      </c>
      <c r="D1570" s="232">
        <v>0.0</v>
      </c>
      <c r="F1570" t="s">
        <v>7702</v>
      </c>
      <c r="G1570" t="s">
        <v>310</v>
      </c>
      <c r="H1570" t="s">
        <v>7703</v>
      </c>
      <c r="I1570" t="s">
        <v>98</v>
      </c>
    </row>
    <row r="1571">
      <c r="A1571" t="s">
        <v>3611</v>
      </c>
      <c r="B1571" s="232">
        <v>92904.0</v>
      </c>
      <c r="C1571" s="232">
        <v>0.0</v>
      </c>
      <c r="D1571" s="232">
        <v>0.0</v>
      </c>
      <c r="F1571" t="s">
        <v>7702</v>
      </c>
      <c r="G1571" t="s">
        <v>310</v>
      </c>
      <c r="H1571" t="s">
        <v>7703</v>
      </c>
      <c r="I1571" t="s">
        <v>98</v>
      </c>
    </row>
    <row r="1572">
      <c r="A1572" t="s">
        <v>3612</v>
      </c>
      <c r="B1572" s="232">
        <v>92905.0</v>
      </c>
      <c r="C1572" s="232">
        <v>0.0</v>
      </c>
      <c r="D1572" s="232">
        <v>0.0</v>
      </c>
      <c r="F1572" t="s">
        <v>7702</v>
      </c>
      <c r="G1572" t="s">
        <v>310</v>
      </c>
      <c r="H1572" t="s">
        <v>7703</v>
      </c>
      <c r="I1572" t="s">
        <v>98</v>
      </c>
    </row>
    <row r="1573">
      <c r="A1573" t="s">
        <v>3613</v>
      </c>
      <c r="B1573" s="232">
        <v>92906.0</v>
      </c>
      <c r="C1573" s="232">
        <v>0.0</v>
      </c>
      <c r="D1573" s="232">
        <v>0.0</v>
      </c>
      <c r="F1573" t="s">
        <v>7702</v>
      </c>
      <c r="G1573" t="s">
        <v>310</v>
      </c>
      <c r="H1573" t="s">
        <v>7703</v>
      </c>
      <c r="I1573" t="s">
        <v>98</v>
      </c>
    </row>
    <row r="1574">
      <c r="A1574" t="s">
        <v>3614</v>
      </c>
      <c r="B1574" s="232">
        <v>92907.0</v>
      </c>
      <c r="C1574" s="232">
        <v>0.0</v>
      </c>
      <c r="D1574" s="232">
        <v>0.0</v>
      </c>
      <c r="F1574" t="s">
        <v>7702</v>
      </c>
      <c r="G1574" t="s">
        <v>310</v>
      </c>
      <c r="H1574" t="s">
        <v>7703</v>
      </c>
      <c r="I1574" t="s">
        <v>98</v>
      </c>
    </row>
    <row r="1575">
      <c r="A1575" t="s">
        <v>3615</v>
      </c>
      <c r="B1575" s="232">
        <v>92908.0</v>
      </c>
      <c r="C1575" s="232">
        <v>0.0</v>
      </c>
      <c r="D1575" s="232">
        <v>0.0</v>
      </c>
      <c r="F1575" t="s">
        <v>7702</v>
      </c>
      <c r="G1575" t="s">
        <v>310</v>
      </c>
      <c r="H1575" t="s">
        <v>7703</v>
      </c>
      <c r="I1575" t="s">
        <v>98</v>
      </c>
    </row>
    <row r="1576">
      <c r="A1576" t="s">
        <v>3616</v>
      </c>
      <c r="B1576" s="232">
        <v>92909.0</v>
      </c>
      <c r="C1576" s="232">
        <v>0.0</v>
      </c>
      <c r="D1576" s="232">
        <v>0.0</v>
      </c>
      <c r="F1576" t="s">
        <v>7702</v>
      </c>
      <c r="G1576" t="s">
        <v>310</v>
      </c>
      <c r="H1576" t="s">
        <v>7703</v>
      </c>
      <c r="I1576" t="s">
        <v>98</v>
      </c>
    </row>
    <row r="1577">
      <c r="A1577" t="s">
        <v>3617</v>
      </c>
      <c r="B1577" s="232">
        <v>92910.0</v>
      </c>
      <c r="C1577" s="232">
        <v>0.0</v>
      </c>
      <c r="D1577" s="232">
        <v>0.0</v>
      </c>
      <c r="F1577" t="s">
        <v>7702</v>
      </c>
      <c r="G1577" t="s">
        <v>310</v>
      </c>
      <c r="H1577" t="s">
        <v>7703</v>
      </c>
      <c r="I1577" t="s">
        <v>98</v>
      </c>
    </row>
    <row r="1578">
      <c r="A1578" t="s">
        <v>3618</v>
      </c>
      <c r="B1578" s="232">
        <v>92911.0</v>
      </c>
      <c r="C1578" s="232">
        <v>0.0</v>
      </c>
      <c r="D1578" s="232">
        <v>0.0</v>
      </c>
      <c r="F1578" t="s">
        <v>7702</v>
      </c>
      <c r="G1578" t="s">
        <v>310</v>
      </c>
      <c r="H1578" t="s">
        <v>7703</v>
      </c>
      <c r="I1578" t="s">
        <v>98</v>
      </c>
    </row>
    <row r="1579">
      <c r="A1579" t="s">
        <v>3619</v>
      </c>
      <c r="B1579" s="232">
        <v>92912.0</v>
      </c>
      <c r="C1579" s="232">
        <v>0.0</v>
      </c>
      <c r="D1579" s="232">
        <v>0.0</v>
      </c>
      <c r="F1579" t="s">
        <v>7702</v>
      </c>
      <c r="G1579" t="s">
        <v>310</v>
      </c>
      <c r="H1579" t="s">
        <v>7703</v>
      </c>
      <c r="I1579" t="s">
        <v>98</v>
      </c>
    </row>
    <row r="1580">
      <c r="A1580" t="s">
        <v>3620</v>
      </c>
      <c r="B1580" s="232">
        <v>92913.0</v>
      </c>
      <c r="C1580" s="232">
        <v>0.0</v>
      </c>
      <c r="D1580" s="232">
        <v>0.0</v>
      </c>
      <c r="F1580" t="s">
        <v>7702</v>
      </c>
      <c r="G1580" t="s">
        <v>310</v>
      </c>
      <c r="H1580" t="s">
        <v>7703</v>
      </c>
      <c r="I1580" t="s">
        <v>98</v>
      </c>
    </row>
    <row r="1581">
      <c r="A1581" t="s">
        <v>3621</v>
      </c>
      <c r="B1581" s="232">
        <v>92914.0</v>
      </c>
      <c r="C1581" s="232">
        <v>0.0</v>
      </c>
      <c r="D1581" s="232">
        <v>0.0</v>
      </c>
      <c r="F1581" t="s">
        <v>7702</v>
      </c>
      <c r="G1581" t="s">
        <v>310</v>
      </c>
      <c r="H1581" t="s">
        <v>7703</v>
      </c>
      <c r="I1581" t="s">
        <v>98</v>
      </c>
    </row>
    <row r="1582">
      <c r="A1582" t="s">
        <v>3622</v>
      </c>
      <c r="B1582" s="232">
        <v>92915.0</v>
      </c>
      <c r="C1582" s="232">
        <v>0.0</v>
      </c>
      <c r="D1582" s="232">
        <v>0.0</v>
      </c>
      <c r="F1582" t="s">
        <v>7702</v>
      </c>
      <c r="G1582" t="s">
        <v>310</v>
      </c>
      <c r="H1582" t="s">
        <v>7703</v>
      </c>
      <c r="I1582" t="s">
        <v>98</v>
      </c>
    </row>
    <row r="1583">
      <c r="A1583" t="s">
        <v>3623</v>
      </c>
      <c r="B1583" s="232">
        <v>92916.0</v>
      </c>
      <c r="C1583" s="232">
        <v>0.0</v>
      </c>
      <c r="D1583" s="232">
        <v>0.0</v>
      </c>
      <c r="F1583" t="s">
        <v>7702</v>
      </c>
      <c r="G1583" t="s">
        <v>310</v>
      </c>
      <c r="H1583" t="s">
        <v>7703</v>
      </c>
      <c r="I1583" t="s">
        <v>98</v>
      </c>
    </row>
    <row r="1584">
      <c r="A1584" t="s">
        <v>3624</v>
      </c>
      <c r="B1584" s="232">
        <v>92918.0</v>
      </c>
      <c r="C1584" s="232">
        <v>0.0</v>
      </c>
      <c r="D1584" s="232">
        <v>0.0</v>
      </c>
      <c r="F1584" t="s">
        <v>7702</v>
      </c>
      <c r="G1584" t="s">
        <v>310</v>
      </c>
      <c r="H1584" t="s">
        <v>7703</v>
      </c>
      <c r="I1584" t="s">
        <v>98</v>
      </c>
    </row>
    <row r="1585">
      <c r="A1585" t="s">
        <v>3625</v>
      </c>
      <c r="B1585" s="232">
        <v>92919.0</v>
      </c>
      <c r="C1585" s="232">
        <v>0.0</v>
      </c>
      <c r="D1585" s="232">
        <v>0.0</v>
      </c>
      <c r="F1585" t="s">
        <v>7702</v>
      </c>
      <c r="G1585" t="s">
        <v>310</v>
      </c>
      <c r="H1585" t="s">
        <v>7703</v>
      </c>
      <c r="I1585" t="s">
        <v>98</v>
      </c>
    </row>
    <row r="1586">
      <c r="A1586" t="s">
        <v>3627</v>
      </c>
      <c r="B1586" s="232" t="s">
        <v>3626</v>
      </c>
      <c r="C1586" s="232">
        <v>0.0</v>
      </c>
      <c r="D1586" s="232">
        <v>0.0</v>
      </c>
      <c r="F1586" t="s">
        <v>7702</v>
      </c>
      <c r="G1586" t="s">
        <v>310</v>
      </c>
      <c r="H1586" t="s">
        <v>7703</v>
      </c>
      <c r="I1586" t="s">
        <v>98</v>
      </c>
    </row>
    <row r="1587">
      <c r="A1587" t="s">
        <v>3628</v>
      </c>
      <c r="B1587" s="232">
        <v>92920.0</v>
      </c>
      <c r="C1587" s="232">
        <v>0.0</v>
      </c>
      <c r="D1587" s="232">
        <v>0.0</v>
      </c>
      <c r="F1587" t="s">
        <v>7702</v>
      </c>
      <c r="G1587" t="s">
        <v>310</v>
      </c>
      <c r="H1587" t="s">
        <v>7703</v>
      </c>
      <c r="I1587" t="s">
        <v>98</v>
      </c>
    </row>
    <row r="1588">
      <c r="A1588" t="s">
        <v>3629</v>
      </c>
      <c r="B1588" s="232">
        <v>92921.0</v>
      </c>
      <c r="C1588" s="232">
        <v>0.0</v>
      </c>
      <c r="D1588" s="232">
        <v>0.0</v>
      </c>
      <c r="F1588" t="s">
        <v>7702</v>
      </c>
      <c r="G1588" t="s">
        <v>310</v>
      </c>
      <c r="H1588" t="s">
        <v>7703</v>
      </c>
      <c r="I1588" t="s">
        <v>98</v>
      </c>
    </row>
    <row r="1589">
      <c r="A1589" t="s">
        <v>3630</v>
      </c>
      <c r="B1589" s="232">
        <v>92922.0</v>
      </c>
      <c r="C1589" s="232">
        <v>0.0</v>
      </c>
      <c r="D1589" s="232">
        <v>0.0</v>
      </c>
      <c r="F1589" t="s">
        <v>7702</v>
      </c>
      <c r="G1589" t="s">
        <v>310</v>
      </c>
      <c r="H1589" t="s">
        <v>7703</v>
      </c>
      <c r="I1589" t="s">
        <v>98</v>
      </c>
    </row>
    <row r="1590">
      <c r="A1590" t="s">
        <v>3631</v>
      </c>
      <c r="B1590" s="232">
        <v>92923.0</v>
      </c>
      <c r="C1590" s="232">
        <v>0.0</v>
      </c>
      <c r="D1590" s="232">
        <v>0.0</v>
      </c>
      <c r="F1590" t="s">
        <v>7702</v>
      </c>
      <c r="G1590" t="s">
        <v>310</v>
      </c>
      <c r="H1590" t="s">
        <v>7703</v>
      </c>
      <c r="I1590" t="s">
        <v>98</v>
      </c>
    </row>
    <row r="1591">
      <c r="A1591" t="s">
        <v>3632</v>
      </c>
      <c r="B1591" s="232">
        <v>92925.0</v>
      </c>
      <c r="C1591" s="232">
        <v>0.0</v>
      </c>
      <c r="D1591" s="232">
        <v>0.0</v>
      </c>
      <c r="F1591" t="s">
        <v>7702</v>
      </c>
      <c r="G1591" t="s">
        <v>310</v>
      </c>
      <c r="H1591" t="s">
        <v>7703</v>
      </c>
      <c r="I1591" t="s">
        <v>98</v>
      </c>
    </row>
    <row r="1592">
      <c r="A1592" t="s">
        <v>3633</v>
      </c>
      <c r="B1592" s="232">
        <v>92926.0</v>
      </c>
      <c r="C1592" s="232">
        <v>0.0</v>
      </c>
      <c r="D1592" s="232">
        <v>0.0</v>
      </c>
      <c r="F1592" t="s">
        <v>7702</v>
      </c>
      <c r="G1592" t="s">
        <v>310</v>
      </c>
      <c r="H1592" t="s">
        <v>7703</v>
      </c>
      <c r="I1592" t="s">
        <v>98</v>
      </c>
    </row>
    <row r="1593">
      <c r="A1593" t="s">
        <v>3636</v>
      </c>
      <c r="B1593" s="232" t="s">
        <v>3635</v>
      </c>
      <c r="C1593" s="232">
        <v>0.0</v>
      </c>
      <c r="D1593" s="232">
        <v>0.0</v>
      </c>
      <c r="F1593" t="s">
        <v>7702</v>
      </c>
      <c r="G1593" t="s">
        <v>310</v>
      </c>
      <c r="H1593" t="s">
        <v>7703</v>
      </c>
      <c r="I1593" t="s">
        <v>7809</v>
      </c>
    </row>
    <row r="1594">
      <c r="A1594" t="s">
        <v>3638</v>
      </c>
      <c r="B1594" s="232" t="s">
        <v>3637</v>
      </c>
      <c r="C1594" s="232">
        <v>0.0</v>
      </c>
      <c r="D1594" s="232">
        <v>0.0</v>
      </c>
      <c r="F1594" t="s">
        <v>7702</v>
      </c>
      <c r="G1594" t="s">
        <v>310</v>
      </c>
      <c r="H1594" t="s">
        <v>7703</v>
      </c>
      <c r="I1594" t="s">
        <v>7809</v>
      </c>
    </row>
    <row r="1595">
      <c r="A1595" t="s">
        <v>3640</v>
      </c>
      <c r="B1595" s="232" t="s">
        <v>3639</v>
      </c>
      <c r="C1595" s="232">
        <v>0.0</v>
      </c>
      <c r="D1595" s="232">
        <v>0.0</v>
      </c>
      <c r="F1595" t="s">
        <v>7702</v>
      </c>
      <c r="G1595" t="s">
        <v>310</v>
      </c>
      <c r="H1595" t="s">
        <v>7703</v>
      </c>
      <c r="I1595" t="s">
        <v>7809</v>
      </c>
    </row>
    <row r="1596">
      <c r="A1596" t="s">
        <v>3642</v>
      </c>
      <c r="B1596" s="232" t="s">
        <v>3641</v>
      </c>
      <c r="C1596" s="232">
        <v>0.0</v>
      </c>
      <c r="D1596" s="232">
        <v>0.0</v>
      </c>
      <c r="F1596" t="s">
        <v>7702</v>
      </c>
      <c r="G1596" t="s">
        <v>310</v>
      </c>
      <c r="H1596" t="s">
        <v>7703</v>
      </c>
      <c r="I1596" t="s">
        <v>7809</v>
      </c>
    </row>
    <row r="1597">
      <c r="A1597" t="s">
        <v>3644</v>
      </c>
      <c r="B1597" s="232" t="s">
        <v>3643</v>
      </c>
      <c r="C1597" s="232">
        <v>0.0</v>
      </c>
      <c r="D1597" s="232">
        <v>0.0</v>
      </c>
      <c r="F1597" t="s">
        <v>7702</v>
      </c>
      <c r="G1597" t="s">
        <v>310</v>
      </c>
      <c r="H1597" t="s">
        <v>7703</v>
      </c>
      <c r="I1597" t="s">
        <v>7809</v>
      </c>
    </row>
    <row r="1598">
      <c r="A1598" t="s">
        <v>3646</v>
      </c>
      <c r="B1598" s="232" t="s">
        <v>3645</v>
      </c>
      <c r="C1598" s="232">
        <v>0.0</v>
      </c>
      <c r="D1598" s="232">
        <v>0.0</v>
      </c>
      <c r="F1598" t="s">
        <v>7702</v>
      </c>
      <c r="G1598" t="s">
        <v>310</v>
      </c>
      <c r="H1598" t="s">
        <v>7703</v>
      </c>
      <c r="I1598" t="s">
        <v>7809</v>
      </c>
    </row>
    <row r="1599">
      <c r="A1599" t="s">
        <v>3648</v>
      </c>
      <c r="B1599" s="232" t="s">
        <v>3647</v>
      </c>
      <c r="C1599" s="232">
        <v>0.0</v>
      </c>
      <c r="D1599" s="232">
        <v>0.0</v>
      </c>
      <c r="F1599" t="s">
        <v>7702</v>
      </c>
      <c r="G1599" t="s">
        <v>310</v>
      </c>
      <c r="H1599" t="s">
        <v>7703</v>
      </c>
      <c r="I1599" t="s">
        <v>7809</v>
      </c>
    </row>
    <row r="1600">
      <c r="A1600" t="s">
        <v>3650</v>
      </c>
      <c r="B1600" s="232" t="s">
        <v>3649</v>
      </c>
      <c r="C1600" s="232">
        <v>0.0</v>
      </c>
      <c r="D1600" s="232">
        <v>0.0</v>
      </c>
      <c r="F1600" t="s">
        <v>7702</v>
      </c>
      <c r="G1600" t="s">
        <v>310</v>
      </c>
      <c r="H1600" t="s">
        <v>7703</v>
      </c>
      <c r="I1600" t="s">
        <v>7809</v>
      </c>
    </row>
    <row r="1601">
      <c r="A1601" t="s">
        <v>3652</v>
      </c>
      <c r="B1601" s="232" t="s">
        <v>3651</v>
      </c>
      <c r="C1601" s="232">
        <v>0.0</v>
      </c>
      <c r="D1601" s="232">
        <v>0.0</v>
      </c>
      <c r="F1601" t="s">
        <v>7702</v>
      </c>
      <c r="G1601" t="s">
        <v>310</v>
      </c>
      <c r="H1601" t="s">
        <v>7703</v>
      </c>
      <c r="I1601" t="s">
        <v>7809</v>
      </c>
    </row>
    <row r="1602">
      <c r="A1602" t="s">
        <v>3654</v>
      </c>
      <c r="B1602" s="232" t="s">
        <v>3653</v>
      </c>
      <c r="C1602" s="232">
        <v>0.0</v>
      </c>
      <c r="D1602" s="232">
        <v>0.0</v>
      </c>
      <c r="F1602" t="s">
        <v>7702</v>
      </c>
      <c r="G1602" t="s">
        <v>310</v>
      </c>
      <c r="H1602" t="s">
        <v>7703</v>
      </c>
      <c r="I1602" t="s">
        <v>7809</v>
      </c>
    </row>
    <row r="1603">
      <c r="A1603" t="s">
        <v>3656</v>
      </c>
      <c r="B1603" s="232" t="s">
        <v>3655</v>
      </c>
      <c r="C1603" s="232">
        <v>0.0</v>
      </c>
      <c r="D1603" s="232">
        <v>0.0</v>
      </c>
      <c r="F1603" t="s">
        <v>7702</v>
      </c>
      <c r="G1603" t="s">
        <v>310</v>
      </c>
      <c r="H1603" t="s">
        <v>7703</v>
      </c>
      <c r="I1603" t="s">
        <v>7809</v>
      </c>
    </row>
    <row r="1604">
      <c r="A1604" t="s">
        <v>3658</v>
      </c>
      <c r="B1604" s="232" t="s">
        <v>3657</v>
      </c>
      <c r="C1604" s="232">
        <v>0.0</v>
      </c>
      <c r="D1604" s="232">
        <v>0.0</v>
      </c>
      <c r="F1604" t="s">
        <v>7702</v>
      </c>
      <c r="G1604" t="s">
        <v>310</v>
      </c>
      <c r="H1604" t="s">
        <v>7703</v>
      </c>
      <c r="I1604" t="s">
        <v>7809</v>
      </c>
    </row>
    <row r="1605">
      <c r="A1605" t="s">
        <v>3660</v>
      </c>
      <c r="B1605" s="232" t="s">
        <v>3659</v>
      </c>
      <c r="C1605" s="232">
        <v>0.0</v>
      </c>
      <c r="D1605" s="232">
        <v>0.0</v>
      </c>
      <c r="F1605" t="s">
        <v>7702</v>
      </c>
      <c r="G1605" t="s">
        <v>310</v>
      </c>
      <c r="H1605" t="s">
        <v>7703</v>
      </c>
      <c r="I1605" t="s">
        <v>7809</v>
      </c>
    </row>
    <row r="1606">
      <c r="A1606" t="s">
        <v>3662</v>
      </c>
      <c r="B1606" s="232" t="s">
        <v>3661</v>
      </c>
      <c r="C1606" s="232">
        <v>0.0</v>
      </c>
      <c r="D1606" s="232">
        <v>0.0</v>
      </c>
      <c r="F1606" t="s">
        <v>7702</v>
      </c>
      <c r="G1606" t="s">
        <v>310</v>
      </c>
      <c r="H1606" t="s">
        <v>7703</v>
      </c>
      <c r="I1606" t="s">
        <v>7809</v>
      </c>
    </row>
    <row r="1607">
      <c r="A1607" t="s">
        <v>3664</v>
      </c>
      <c r="B1607" s="232" t="s">
        <v>3663</v>
      </c>
      <c r="C1607" s="232">
        <v>0.0</v>
      </c>
      <c r="D1607" s="232">
        <v>0.0</v>
      </c>
      <c r="F1607" t="s">
        <v>7702</v>
      </c>
      <c r="G1607" t="s">
        <v>310</v>
      </c>
      <c r="H1607" t="s">
        <v>7703</v>
      </c>
      <c r="I1607" t="s">
        <v>7809</v>
      </c>
    </row>
    <row r="1608">
      <c r="A1608" t="s">
        <v>3666</v>
      </c>
      <c r="B1608" s="232" t="s">
        <v>3665</v>
      </c>
      <c r="C1608" s="232">
        <v>0.0</v>
      </c>
      <c r="D1608" s="232">
        <v>0.0</v>
      </c>
      <c r="F1608" t="s">
        <v>7702</v>
      </c>
      <c r="G1608" t="s">
        <v>310</v>
      </c>
      <c r="H1608" t="s">
        <v>7703</v>
      </c>
      <c r="I1608" t="s">
        <v>7809</v>
      </c>
    </row>
    <row r="1609">
      <c r="A1609" t="s">
        <v>3668</v>
      </c>
      <c r="B1609" s="232" t="s">
        <v>3667</v>
      </c>
      <c r="C1609" s="232">
        <v>0.0</v>
      </c>
      <c r="D1609" s="232">
        <v>0.0</v>
      </c>
      <c r="F1609" t="s">
        <v>7702</v>
      </c>
      <c r="G1609" t="s">
        <v>310</v>
      </c>
      <c r="H1609" t="s">
        <v>7703</v>
      </c>
      <c r="I1609" t="s">
        <v>7809</v>
      </c>
    </row>
    <row r="1610">
      <c r="A1610" t="s">
        <v>3670</v>
      </c>
      <c r="B1610" s="232" t="s">
        <v>3669</v>
      </c>
      <c r="C1610" s="232">
        <v>0.0</v>
      </c>
      <c r="D1610" s="232">
        <v>0.0</v>
      </c>
      <c r="F1610" t="s">
        <v>7702</v>
      </c>
      <c r="G1610" t="s">
        <v>310</v>
      </c>
      <c r="H1610" t="s">
        <v>7703</v>
      </c>
      <c r="I1610" t="s">
        <v>7809</v>
      </c>
    </row>
    <row r="1611">
      <c r="A1611" t="s">
        <v>3672</v>
      </c>
      <c r="B1611" s="232" t="s">
        <v>3671</v>
      </c>
      <c r="C1611" s="232">
        <v>0.0</v>
      </c>
      <c r="D1611" s="232">
        <v>0.0</v>
      </c>
      <c r="F1611" t="s">
        <v>7702</v>
      </c>
      <c r="G1611" t="s">
        <v>310</v>
      </c>
      <c r="H1611" t="s">
        <v>7703</v>
      </c>
      <c r="I1611" t="s">
        <v>7809</v>
      </c>
    </row>
    <row r="1612">
      <c r="A1612" t="s">
        <v>3674</v>
      </c>
      <c r="B1612" s="232" t="s">
        <v>3673</v>
      </c>
      <c r="C1612" s="232">
        <v>0.0</v>
      </c>
      <c r="D1612" s="232">
        <v>0.0</v>
      </c>
      <c r="F1612" t="s">
        <v>7702</v>
      </c>
      <c r="G1612" t="s">
        <v>310</v>
      </c>
      <c r="H1612" t="s">
        <v>7703</v>
      </c>
      <c r="I1612" t="s">
        <v>7809</v>
      </c>
    </row>
    <row r="1613">
      <c r="A1613" t="s">
        <v>3676</v>
      </c>
      <c r="B1613" s="232" t="s">
        <v>3675</v>
      </c>
      <c r="C1613" s="232">
        <v>0.0</v>
      </c>
      <c r="D1613" s="232">
        <v>0.0</v>
      </c>
      <c r="F1613" t="s">
        <v>7702</v>
      </c>
      <c r="G1613" t="s">
        <v>310</v>
      </c>
      <c r="H1613" t="s">
        <v>7703</v>
      </c>
      <c r="I1613" t="s">
        <v>7809</v>
      </c>
    </row>
    <row r="1614">
      <c r="A1614" t="s">
        <v>3678</v>
      </c>
      <c r="B1614" s="232" t="s">
        <v>3677</v>
      </c>
      <c r="C1614" s="232">
        <v>0.0</v>
      </c>
      <c r="D1614" s="232">
        <v>0.0</v>
      </c>
      <c r="F1614" t="s">
        <v>7702</v>
      </c>
      <c r="G1614" t="s">
        <v>310</v>
      </c>
      <c r="H1614" t="s">
        <v>7703</v>
      </c>
      <c r="I1614" t="s">
        <v>7809</v>
      </c>
    </row>
    <row r="1615">
      <c r="A1615" t="s">
        <v>3680</v>
      </c>
      <c r="B1615" s="232" t="s">
        <v>3679</v>
      </c>
      <c r="C1615" s="232">
        <v>0.0</v>
      </c>
      <c r="D1615" s="232">
        <v>0.0</v>
      </c>
      <c r="F1615" t="s">
        <v>7702</v>
      </c>
      <c r="G1615" t="s">
        <v>310</v>
      </c>
      <c r="H1615" t="s">
        <v>7703</v>
      </c>
      <c r="I1615" t="s">
        <v>7809</v>
      </c>
    </row>
    <row r="1616">
      <c r="A1616" t="s">
        <v>3682</v>
      </c>
      <c r="B1616" s="232" t="s">
        <v>3681</v>
      </c>
      <c r="C1616" s="232">
        <v>0.0</v>
      </c>
      <c r="D1616" s="232">
        <v>0.0</v>
      </c>
      <c r="F1616" t="s">
        <v>7702</v>
      </c>
      <c r="G1616" t="s">
        <v>310</v>
      </c>
      <c r="H1616" t="s">
        <v>7703</v>
      </c>
      <c r="I1616" t="s">
        <v>7809</v>
      </c>
    </row>
    <row r="1617">
      <c r="A1617" t="s">
        <v>3684</v>
      </c>
      <c r="B1617" s="232" t="s">
        <v>3683</v>
      </c>
      <c r="C1617" s="232">
        <v>0.0</v>
      </c>
      <c r="D1617" s="232">
        <v>0.0</v>
      </c>
      <c r="F1617" t="s">
        <v>7702</v>
      </c>
      <c r="G1617" t="s">
        <v>310</v>
      </c>
      <c r="H1617" t="s">
        <v>7703</v>
      </c>
      <c r="I1617" t="s">
        <v>7809</v>
      </c>
    </row>
    <row r="1618">
      <c r="A1618" t="s">
        <v>3686</v>
      </c>
      <c r="B1618" s="232" t="s">
        <v>3685</v>
      </c>
      <c r="C1618" s="232">
        <v>0.0</v>
      </c>
      <c r="D1618" s="232">
        <v>0.0</v>
      </c>
      <c r="F1618" t="s">
        <v>7702</v>
      </c>
      <c r="G1618" t="s">
        <v>310</v>
      </c>
      <c r="H1618" t="s">
        <v>7703</v>
      </c>
      <c r="I1618" t="s">
        <v>7809</v>
      </c>
    </row>
    <row r="1619">
      <c r="A1619" t="s">
        <v>3688</v>
      </c>
      <c r="B1619" s="232" t="s">
        <v>3687</v>
      </c>
      <c r="C1619" s="232">
        <v>0.0</v>
      </c>
      <c r="D1619" s="232">
        <v>0.0</v>
      </c>
      <c r="F1619" t="s">
        <v>7702</v>
      </c>
      <c r="G1619" t="s">
        <v>310</v>
      </c>
      <c r="H1619" t="s">
        <v>7703</v>
      </c>
      <c r="I1619" t="s">
        <v>7809</v>
      </c>
    </row>
    <row r="1620">
      <c r="A1620" t="s">
        <v>3690</v>
      </c>
      <c r="B1620" s="232" t="s">
        <v>3689</v>
      </c>
      <c r="C1620" s="232">
        <v>0.0</v>
      </c>
      <c r="D1620" s="232">
        <v>0.0</v>
      </c>
      <c r="F1620" t="s">
        <v>7702</v>
      </c>
      <c r="G1620" t="s">
        <v>310</v>
      </c>
      <c r="H1620" t="s">
        <v>7703</v>
      </c>
      <c r="I1620" t="s">
        <v>7809</v>
      </c>
    </row>
    <row r="1621">
      <c r="A1621" t="s">
        <v>3692</v>
      </c>
      <c r="B1621" s="232" t="s">
        <v>3691</v>
      </c>
      <c r="C1621" s="232">
        <v>0.0</v>
      </c>
      <c r="D1621" s="232">
        <v>0.0</v>
      </c>
      <c r="F1621" t="s">
        <v>7702</v>
      </c>
      <c r="G1621" t="s">
        <v>310</v>
      </c>
      <c r="H1621" t="s">
        <v>7703</v>
      </c>
      <c r="I1621" t="s">
        <v>7809</v>
      </c>
    </row>
    <row r="1622">
      <c r="A1622" t="s">
        <v>3694</v>
      </c>
      <c r="B1622" s="232" t="s">
        <v>3693</v>
      </c>
      <c r="C1622" s="232">
        <v>0.0</v>
      </c>
      <c r="D1622" s="232">
        <v>0.0</v>
      </c>
      <c r="F1622" t="s">
        <v>7702</v>
      </c>
      <c r="G1622" t="s">
        <v>310</v>
      </c>
      <c r="H1622" t="s">
        <v>7703</v>
      </c>
      <c r="I1622" t="s">
        <v>7809</v>
      </c>
    </row>
    <row r="1623">
      <c r="A1623" t="s">
        <v>3696</v>
      </c>
      <c r="B1623" s="232" t="s">
        <v>3695</v>
      </c>
      <c r="C1623" s="232">
        <v>0.0</v>
      </c>
      <c r="D1623" s="232">
        <v>0.0</v>
      </c>
      <c r="F1623" t="s">
        <v>7702</v>
      </c>
      <c r="G1623" t="s">
        <v>310</v>
      </c>
      <c r="H1623" t="s">
        <v>7703</v>
      </c>
      <c r="I1623" t="s">
        <v>7809</v>
      </c>
    </row>
    <row r="1624">
      <c r="A1624" t="s">
        <v>3698</v>
      </c>
      <c r="B1624" s="232" t="s">
        <v>3697</v>
      </c>
      <c r="C1624" s="232">
        <v>0.0</v>
      </c>
      <c r="D1624" s="232">
        <v>0.0</v>
      </c>
      <c r="F1624" t="s">
        <v>7702</v>
      </c>
      <c r="G1624" t="s">
        <v>310</v>
      </c>
      <c r="H1624" t="s">
        <v>7703</v>
      </c>
      <c r="I1624" t="s">
        <v>7809</v>
      </c>
    </row>
    <row r="1625">
      <c r="A1625" t="s">
        <v>3700</v>
      </c>
      <c r="B1625" s="232" t="s">
        <v>3699</v>
      </c>
      <c r="C1625" s="232">
        <v>0.0</v>
      </c>
      <c r="D1625" s="232">
        <v>0.0</v>
      </c>
      <c r="F1625" t="s">
        <v>7702</v>
      </c>
      <c r="G1625" t="s">
        <v>310</v>
      </c>
      <c r="H1625" t="s">
        <v>7703</v>
      </c>
      <c r="I1625" t="s">
        <v>7809</v>
      </c>
    </row>
    <row r="1626">
      <c r="A1626" t="s">
        <v>3702</v>
      </c>
      <c r="B1626" s="232" t="s">
        <v>3701</v>
      </c>
      <c r="C1626" s="232">
        <v>0.0</v>
      </c>
      <c r="D1626" s="232">
        <v>0.0</v>
      </c>
      <c r="F1626" t="s">
        <v>7702</v>
      </c>
      <c r="G1626" t="s">
        <v>310</v>
      </c>
      <c r="H1626" t="s">
        <v>7703</v>
      </c>
      <c r="I1626" t="s">
        <v>7809</v>
      </c>
    </row>
    <row r="1627">
      <c r="A1627" t="s">
        <v>3704</v>
      </c>
      <c r="B1627" s="232" t="s">
        <v>3703</v>
      </c>
      <c r="C1627" s="232">
        <v>0.0</v>
      </c>
      <c r="D1627" s="232">
        <v>0.0</v>
      </c>
      <c r="F1627" t="s">
        <v>7702</v>
      </c>
      <c r="G1627" t="s">
        <v>310</v>
      </c>
      <c r="H1627" t="s">
        <v>7703</v>
      </c>
      <c r="I1627" t="s">
        <v>7809</v>
      </c>
    </row>
    <row r="1628">
      <c r="A1628" t="s">
        <v>3706</v>
      </c>
      <c r="B1628" s="232" t="s">
        <v>3705</v>
      </c>
      <c r="C1628" s="232">
        <v>0.0</v>
      </c>
      <c r="D1628" s="232">
        <v>0.0</v>
      </c>
      <c r="F1628" t="s">
        <v>7702</v>
      </c>
      <c r="G1628" t="s">
        <v>310</v>
      </c>
      <c r="H1628" t="s">
        <v>7703</v>
      </c>
      <c r="I1628" t="s">
        <v>7809</v>
      </c>
    </row>
    <row r="1629">
      <c r="A1629" t="s">
        <v>3708</v>
      </c>
      <c r="B1629" s="232" t="s">
        <v>3707</v>
      </c>
      <c r="C1629" s="232">
        <v>0.0</v>
      </c>
      <c r="D1629" s="232">
        <v>0.0</v>
      </c>
      <c r="F1629" t="s">
        <v>7702</v>
      </c>
      <c r="G1629" t="s">
        <v>310</v>
      </c>
      <c r="H1629" t="s">
        <v>7703</v>
      </c>
      <c r="I1629" t="s">
        <v>7809</v>
      </c>
    </row>
    <row r="1630">
      <c r="A1630" t="s">
        <v>3710</v>
      </c>
      <c r="B1630" s="232" t="s">
        <v>3709</v>
      </c>
      <c r="C1630" s="232">
        <v>0.0</v>
      </c>
      <c r="D1630" s="232">
        <v>0.0</v>
      </c>
      <c r="F1630" t="s">
        <v>7702</v>
      </c>
      <c r="G1630" t="s">
        <v>310</v>
      </c>
      <c r="H1630" t="s">
        <v>7703</v>
      </c>
      <c r="I1630" t="s">
        <v>7809</v>
      </c>
    </row>
    <row r="1631">
      <c r="A1631" t="s">
        <v>3712</v>
      </c>
      <c r="B1631" s="232" t="s">
        <v>3711</v>
      </c>
      <c r="C1631" s="232">
        <v>0.0</v>
      </c>
      <c r="D1631" s="232">
        <v>0.0</v>
      </c>
      <c r="F1631" t="s">
        <v>7702</v>
      </c>
      <c r="G1631" t="s">
        <v>310</v>
      </c>
      <c r="H1631" t="s">
        <v>7703</v>
      </c>
      <c r="I1631" t="s">
        <v>7809</v>
      </c>
    </row>
    <row r="1632">
      <c r="A1632" t="s">
        <v>3714</v>
      </c>
      <c r="B1632" s="232" t="s">
        <v>3713</v>
      </c>
      <c r="C1632" s="232">
        <v>0.0</v>
      </c>
      <c r="D1632" s="232">
        <v>0.0</v>
      </c>
      <c r="F1632" t="s">
        <v>7702</v>
      </c>
      <c r="G1632" t="s">
        <v>310</v>
      </c>
      <c r="H1632" t="s">
        <v>7703</v>
      </c>
      <c r="I1632" t="s">
        <v>7809</v>
      </c>
    </row>
    <row r="1633">
      <c r="A1633" t="s">
        <v>3716</v>
      </c>
      <c r="B1633" s="232" t="s">
        <v>3715</v>
      </c>
      <c r="C1633" s="232">
        <v>0.0</v>
      </c>
      <c r="D1633" s="232">
        <v>0.0</v>
      </c>
      <c r="F1633" t="s">
        <v>7702</v>
      </c>
      <c r="G1633" t="s">
        <v>310</v>
      </c>
      <c r="H1633" t="s">
        <v>7703</v>
      </c>
      <c r="I1633" t="s">
        <v>7809</v>
      </c>
    </row>
    <row r="1634">
      <c r="A1634" t="s">
        <v>3718</v>
      </c>
      <c r="B1634" s="232" t="s">
        <v>3717</v>
      </c>
      <c r="C1634" s="232">
        <v>0.0</v>
      </c>
      <c r="D1634" s="232">
        <v>0.0</v>
      </c>
      <c r="F1634" t="s">
        <v>7702</v>
      </c>
      <c r="G1634" t="s">
        <v>310</v>
      </c>
      <c r="H1634" t="s">
        <v>7703</v>
      </c>
      <c r="I1634" t="s">
        <v>7809</v>
      </c>
    </row>
    <row r="1635">
      <c r="A1635" t="s">
        <v>3720</v>
      </c>
      <c r="B1635" s="232" t="s">
        <v>3719</v>
      </c>
      <c r="C1635" s="232">
        <v>0.0</v>
      </c>
      <c r="D1635" s="232">
        <v>0.0</v>
      </c>
      <c r="F1635" t="s">
        <v>7702</v>
      </c>
      <c r="G1635" t="s">
        <v>310</v>
      </c>
      <c r="H1635" t="s">
        <v>7703</v>
      </c>
      <c r="I1635" t="s">
        <v>7809</v>
      </c>
    </row>
    <row r="1636">
      <c r="A1636" t="s">
        <v>3722</v>
      </c>
      <c r="B1636" s="232" t="s">
        <v>3721</v>
      </c>
      <c r="C1636" s="232">
        <v>0.0</v>
      </c>
      <c r="D1636" s="232">
        <v>0.0</v>
      </c>
      <c r="F1636" t="s">
        <v>7702</v>
      </c>
      <c r="G1636" t="s">
        <v>310</v>
      </c>
      <c r="H1636" t="s">
        <v>7703</v>
      </c>
      <c r="I1636" t="s">
        <v>7809</v>
      </c>
    </row>
    <row r="1637">
      <c r="A1637" t="s">
        <v>3724</v>
      </c>
      <c r="B1637" s="232" t="s">
        <v>3723</v>
      </c>
      <c r="C1637" s="232">
        <v>0.0</v>
      </c>
      <c r="D1637" s="232">
        <v>0.0</v>
      </c>
      <c r="F1637" t="s">
        <v>7702</v>
      </c>
      <c r="G1637" t="s">
        <v>310</v>
      </c>
      <c r="H1637" t="s">
        <v>7703</v>
      </c>
      <c r="I1637" t="s">
        <v>7809</v>
      </c>
    </row>
    <row r="1638">
      <c r="A1638" t="s">
        <v>3726</v>
      </c>
      <c r="B1638" s="232" t="s">
        <v>3725</v>
      </c>
      <c r="C1638" s="232">
        <v>0.0</v>
      </c>
      <c r="D1638" s="232">
        <v>0.0</v>
      </c>
      <c r="F1638" t="s">
        <v>7702</v>
      </c>
      <c r="G1638" t="s">
        <v>310</v>
      </c>
      <c r="H1638" t="s">
        <v>7703</v>
      </c>
      <c r="I1638" t="s">
        <v>7809</v>
      </c>
    </row>
    <row r="1639">
      <c r="A1639" t="s">
        <v>3728</v>
      </c>
      <c r="B1639" s="232" t="s">
        <v>3727</v>
      </c>
      <c r="C1639" s="232">
        <v>0.0</v>
      </c>
      <c r="D1639" s="232">
        <v>0.0</v>
      </c>
      <c r="F1639" t="s">
        <v>7702</v>
      </c>
      <c r="G1639" t="s">
        <v>310</v>
      </c>
      <c r="H1639" t="s">
        <v>7703</v>
      </c>
      <c r="I1639" t="s">
        <v>7809</v>
      </c>
    </row>
    <row r="1640">
      <c r="A1640" t="s">
        <v>3730</v>
      </c>
      <c r="B1640" s="232" t="s">
        <v>3729</v>
      </c>
      <c r="C1640" s="232">
        <v>0.0</v>
      </c>
      <c r="D1640" s="232">
        <v>0.0</v>
      </c>
      <c r="F1640" t="s">
        <v>7702</v>
      </c>
      <c r="G1640" t="s">
        <v>310</v>
      </c>
      <c r="H1640" t="s">
        <v>7703</v>
      </c>
      <c r="I1640" t="s">
        <v>7809</v>
      </c>
    </row>
    <row r="1641">
      <c r="A1641" t="s">
        <v>3732</v>
      </c>
      <c r="B1641" s="232" t="s">
        <v>3731</v>
      </c>
      <c r="C1641" s="232">
        <v>0.0</v>
      </c>
      <c r="D1641" s="232">
        <v>0.0</v>
      </c>
      <c r="F1641" t="s">
        <v>7702</v>
      </c>
      <c r="G1641" t="s">
        <v>310</v>
      </c>
      <c r="H1641" t="s">
        <v>7703</v>
      </c>
      <c r="I1641" t="s">
        <v>7809</v>
      </c>
    </row>
    <row r="1642">
      <c r="A1642" t="s">
        <v>3734</v>
      </c>
      <c r="B1642" s="232" t="s">
        <v>3733</v>
      </c>
      <c r="C1642" s="232">
        <v>0.0</v>
      </c>
      <c r="D1642" s="232">
        <v>0.0</v>
      </c>
      <c r="F1642" t="s">
        <v>7702</v>
      </c>
      <c r="G1642" t="s">
        <v>310</v>
      </c>
      <c r="H1642" t="s">
        <v>7703</v>
      </c>
      <c r="I1642" t="s">
        <v>7731</v>
      </c>
    </row>
    <row r="1643">
      <c r="A1643" t="s">
        <v>3736</v>
      </c>
      <c r="B1643" s="232" t="s">
        <v>3735</v>
      </c>
      <c r="C1643" s="232">
        <v>0.0</v>
      </c>
      <c r="D1643" s="232">
        <v>0.0</v>
      </c>
      <c r="F1643" t="s">
        <v>7702</v>
      </c>
      <c r="G1643" t="s">
        <v>330</v>
      </c>
      <c r="H1643" t="s">
        <v>45</v>
      </c>
      <c r="I1643" t="s">
        <v>166</v>
      </c>
    </row>
    <row r="1644">
      <c r="A1644" t="s">
        <v>3738</v>
      </c>
      <c r="B1644" s="232" t="s">
        <v>3737</v>
      </c>
      <c r="C1644" s="232">
        <v>0.0</v>
      </c>
      <c r="D1644" s="232">
        <v>0.0</v>
      </c>
      <c r="F1644" t="s">
        <v>7702</v>
      </c>
      <c r="G1644" t="s">
        <v>310</v>
      </c>
      <c r="H1644" t="s">
        <v>7703</v>
      </c>
      <c r="I1644" t="s">
        <v>166</v>
      </c>
    </row>
    <row r="1645">
      <c r="A1645" t="s">
        <v>3742</v>
      </c>
      <c r="B1645" s="232" t="s">
        <v>3741</v>
      </c>
      <c r="C1645" s="232">
        <v>0.0</v>
      </c>
      <c r="D1645" s="232">
        <v>0.0</v>
      </c>
      <c r="F1645" t="s">
        <v>7702</v>
      </c>
      <c r="G1645" t="s">
        <v>310</v>
      </c>
      <c r="H1645" t="s">
        <v>7703</v>
      </c>
      <c r="I1645" t="s">
        <v>7773</v>
      </c>
    </row>
    <row r="1646">
      <c r="A1646" t="s">
        <v>3744</v>
      </c>
      <c r="B1646" s="232" t="s">
        <v>3743</v>
      </c>
      <c r="C1646" s="232">
        <v>0.0</v>
      </c>
      <c r="D1646" s="232">
        <v>0.0</v>
      </c>
      <c r="F1646" t="s">
        <v>7702</v>
      </c>
      <c r="G1646" t="s">
        <v>310</v>
      </c>
      <c r="H1646" t="s">
        <v>7703</v>
      </c>
      <c r="I1646" t="s">
        <v>7773</v>
      </c>
    </row>
    <row r="1647">
      <c r="A1647" t="s">
        <v>3746</v>
      </c>
      <c r="B1647" s="232" t="s">
        <v>3745</v>
      </c>
      <c r="C1647" s="232">
        <v>0.0</v>
      </c>
      <c r="D1647" s="232">
        <v>0.0</v>
      </c>
      <c r="F1647" t="s">
        <v>7702</v>
      </c>
      <c r="G1647" t="s">
        <v>310</v>
      </c>
      <c r="H1647" t="s">
        <v>7703</v>
      </c>
      <c r="I1647" t="s">
        <v>7773</v>
      </c>
    </row>
    <row r="1648">
      <c r="A1648" t="s">
        <v>3748</v>
      </c>
      <c r="B1648" s="232" t="s">
        <v>3747</v>
      </c>
      <c r="C1648" s="232">
        <v>0.0</v>
      </c>
      <c r="D1648" s="232">
        <v>0.0</v>
      </c>
      <c r="F1648" t="s">
        <v>7702</v>
      </c>
      <c r="G1648" t="s">
        <v>310</v>
      </c>
      <c r="H1648" t="s">
        <v>7703</v>
      </c>
    </row>
    <row r="1649">
      <c r="A1649" t="s">
        <v>3750</v>
      </c>
      <c r="B1649" s="232" t="s">
        <v>3749</v>
      </c>
      <c r="C1649" s="232">
        <v>0.0</v>
      </c>
      <c r="D1649" s="232">
        <v>0.0</v>
      </c>
      <c r="F1649" t="s">
        <v>7702</v>
      </c>
      <c r="G1649" t="s">
        <v>310</v>
      </c>
      <c r="H1649" t="s">
        <v>45</v>
      </c>
      <c r="I1649" t="s">
        <v>7813</v>
      </c>
    </row>
    <row r="1650">
      <c r="A1650" t="s">
        <v>3752</v>
      </c>
      <c r="B1650" s="232" t="s">
        <v>3751</v>
      </c>
      <c r="C1650" s="232">
        <v>0.0</v>
      </c>
      <c r="D1650" s="232">
        <v>0.0</v>
      </c>
      <c r="F1650" t="s">
        <v>7702</v>
      </c>
      <c r="G1650" t="s">
        <v>310</v>
      </c>
      <c r="H1650" t="s">
        <v>45</v>
      </c>
      <c r="I1650" t="s">
        <v>7813</v>
      </c>
    </row>
    <row r="1651">
      <c r="A1651" t="s">
        <v>3754</v>
      </c>
      <c r="B1651" s="232" t="s">
        <v>3753</v>
      </c>
      <c r="C1651" s="232">
        <v>0.0</v>
      </c>
      <c r="D1651" s="232">
        <v>0.0</v>
      </c>
      <c r="F1651" t="s">
        <v>7702</v>
      </c>
      <c r="G1651" t="s">
        <v>310</v>
      </c>
      <c r="H1651" t="s">
        <v>45</v>
      </c>
      <c r="I1651" t="s">
        <v>7813</v>
      </c>
    </row>
    <row r="1652">
      <c r="A1652" t="s">
        <v>3756</v>
      </c>
      <c r="B1652" s="232" t="s">
        <v>3755</v>
      </c>
      <c r="C1652" s="232">
        <v>219.0</v>
      </c>
      <c r="D1652" s="232">
        <v>1052.67</v>
      </c>
      <c r="E1652" s="232">
        <v>4.8067</v>
      </c>
      <c r="F1652" t="s">
        <v>7702</v>
      </c>
      <c r="G1652" t="s">
        <v>330</v>
      </c>
      <c r="H1652" t="s">
        <v>214</v>
      </c>
      <c r="I1652" t="s">
        <v>7712</v>
      </c>
    </row>
    <row r="1653">
      <c r="A1653" t="s">
        <v>3758</v>
      </c>
      <c r="B1653" s="232" t="s">
        <v>3757</v>
      </c>
      <c r="C1653" s="232">
        <v>909.0</v>
      </c>
      <c r="D1653" s="232">
        <v>378.3</v>
      </c>
      <c r="E1653" s="232">
        <v>0.4162</v>
      </c>
      <c r="F1653" t="s">
        <v>7732</v>
      </c>
      <c r="G1653" t="s">
        <v>330</v>
      </c>
      <c r="H1653" t="s">
        <v>7747</v>
      </c>
    </row>
    <row r="1654">
      <c r="A1654" t="s">
        <v>3760</v>
      </c>
      <c r="B1654" s="232" t="s">
        <v>3759</v>
      </c>
      <c r="C1654" s="232">
        <v>546.0</v>
      </c>
      <c r="D1654" s="232">
        <v>300.3</v>
      </c>
      <c r="E1654" s="232">
        <v>0.55</v>
      </c>
      <c r="F1654" t="s">
        <v>7702</v>
      </c>
      <c r="G1654" t="s">
        <v>330</v>
      </c>
      <c r="H1654" t="s">
        <v>7725</v>
      </c>
      <c r="I1654" t="s">
        <v>7727</v>
      </c>
    </row>
    <row r="1655">
      <c r="A1655" t="s">
        <v>3762</v>
      </c>
      <c r="B1655" s="232" t="s">
        <v>3761</v>
      </c>
      <c r="C1655" s="232">
        <v>372.0</v>
      </c>
      <c r="D1655" s="232">
        <v>186.0</v>
      </c>
      <c r="E1655" s="232">
        <v>0.5</v>
      </c>
      <c r="F1655" t="s">
        <v>7702</v>
      </c>
      <c r="G1655" t="s">
        <v>330</v>
      </c>
      <c r="H1655" t="s">
        <v>7725</v>
      </c>
      <c r="I1655" t="s">
        <v>7745</v>
      </c>
    </row>
    <row r="1656">
      <c r="A1656" t="s">
        <v>3764</v>
      </c>
      <c r="B1656" s="232" t="s">
        <v>3763</v>
      </c>
      <c r="C1656" s="232">
        <v>2.0</v>
      </c>
      <c r="D1656" s="232">
        <v>161.5</v>
      </c>
      <c r="E1656" s="232">
        <v>80.75</v>
      </c>
      <c r="F1656" t="s">
        <v>7702</v>
      </c>
      <c r="G1656" t="s">
        <v>330</v>
      </c>
      <c r="H1656" t="s">
        <v>150</v>
      </c>
      <c r="I1656" t="s">
        <v>7748</v>
      </c>
    </row>
    <row r="1657">
      <c r="A1657" t="s">
        <v>3766</v>
      </c>
      <c r="B1657" s="232" t="s">
        <v>3765</v>
      </c>
      <c r="C1657" s="232">
        <v>2.0</v>
      </c>
      <c r="D1657" s="232">
        <v>120.09</v>
      </c>
      <c r="E1657" s="232">
        <v>60.045</v>
      </c>
      <c r="F1657" t="s">
        <v>7702</v>
      </c>
      <c r="G1657" t="s">
        <v>330</v>
      </c>
      <c r="H1657" t="s">
        <v>150</v>
      </c>
      <c r="I1657" t="s">
        <v>7748</v>
      </c>
    </row>
    <row r="1658">
      <c r="A1658" t="s">
        <v>3768</v>
      </c>
      <c r="B1658" s="232" t="s">
        <v>3767</v>
      </c>
      <c r="C1658" s="232">
        <v>1.0</v>
      </c>
      <c r="D1658" s="232">
        <v>83.96</v>
      </c>
      <c r="E1658" s="232">
        <v>83.96</v>
      </c>
      <c r="F1658" t="s">
        <v>7702</v>
      </c>
      <c r="G1658" t="s">
        <v>330</v>
      </c>
      <c r="H1658" t="s">
        <v>150</v>
      </c>
      <c r="I1658" t="s">
        <v>7748</v>
      </c>
    </row>
    <row r="1659">
      <c r="A1659" t="s">
        <v>3770</v>
      </c>
      <c r="B1659" s="232" t="s">
        <v>3769</v>
      </c>
      <c r="C1659" s="232">
        <v>2.0</v>
      </c>
      <c r="D1659" s="232">
        <v>126.24</v>
      </c>
      <c r="E1659" s="232">
        <v>63.12</v>
      </c>
      <c r="F1659" t="s">
        <v>7702</v>
      </c>
      <c r="G1659" t="s">
        <v>330</v>
      </c>
      <c r="H1659" t="s">
        <v>150</v>
      </c>
      <c r="I1659" t="s">
        <v>7748</v>
      </c>
    </row>
    <row r="1660">
      <c r="A1660" t="s">
        <v>3772</v>
      </c>
      <c r="B1660" s="232" t="s">
        <v>3771</v>
      </c>
      <c r="C1660" s="232">
        <v>1.0</v>
      </c>
      <c r="D1660" s="232">
        <v>84.57</v>
      </c>
      <c r="E1660" s="232">
        <v>84.57</v>
      </c>
      <c r="F1660" t="s">
        <v>7702</v>
      </c>
      <c r="G1660" t="s">
        <v>330</v>
      </c>
      <c r="H1660" t="s">
        <v>45</v>
      </c>
      <c r="I1660" t="s">
        <v>7748</v>
      </c>
    </row>
    <row r="1661">
      <c r="A1661" t="s">
        <v>3774</v>
      </c>
      <c r="B1661" s="232" t="s">
        <v>3773</v>
      </c>
      <c r="C1661" s="232">
        <v>15.0</v>
      </c>
      <c r="D1661" s="232">
        <v>260.1</v>
      </c>
      <c r="E1661" s="232">
        <v>17.34</v>
      </c>
      <c r="F1661" t="s">
        <v>7702</v>
      </c>
      <c r="G1661" t="s">
        <v>330</v>
      </c>
      <c r="I1661" t="s">
        <v>7714</v>
      </c>
    </row>
    <row r="1662">
      <c r="A1662" t="s">
        <v>3776</v>
      </c>
      <c r="B1662" s="232" t="s">
        <v>3775</v>
      </c>
      <c r="C1662" s="232">
        <v>109.0</v>
      </c>
      <c r="D1662" s="232">
        <v>468.48</v>
      </c>
      <c r="E1662" s="232">
        <v>4.298</v>
      </c>
      <c r="F1662" t="s">
        <v>7702</v>
      </c>
      <c r="G1662" t="s">
        <v>330</v>
      </c>
      <c r="H1662" t="s">
        <v>214</v>
      </c>
      <c r="I1662" t="s">
        <v>170</v>
      </c>
    </row>
    <row r="1663">
      <c r="A1663" t="s">
        <v>3778</v>
      </c>
      <c r="B1663" s="232" t="s">
        <v>3777</v>
      </c>
      <c r="C1663" s="232">
        <v>0.0</v>
      </c>
      <c r="D1663" s="232">
        <v>0.0</v>
      </c>
      <c r="F1663" t="s">
        <v>7702</v>
      </c>
      <c r="G1663" t="s">
        <v>330</v>
      </c>
      <c r="H1663" t="s">
        <v>7709</v>
      </c>
      <c r="I1663" t="s">
        <v>7814</v>
      </c>
    </row>
    <row r="1664">
      <c r="A1664" t="s">
        <v>3782</v>
      </c>
      <c r="B1664" s="232" t="s">
        <v>3781</v>
      </c>
      <c r="C1664" s="232">
        <v>117.0</v>
      </c>
      <c r="D1664" s="232">
        <v>226.01</v>
      </c>
      <c r="E1664" s="232">
        <v>1.9317</v>
      </c>
      <c r="F1664" t="s">
        <v>7702</v>
      </c>
      <c r="G1664" t="s">
        <v>330</v>
      </c>
      <c r="H1664" t="s">
        <v>7709</v>
      </c>
      <c r="I1664" t="s">
        <v>7814</v>
      </c>
    </row>
    <row r="1665">
      <c r="A1665" t="s">
        <v>3784</v>
      </c>
      <c r="B1665" s="232" t="s">
        <v>3783</v>
      </c>
      <c r="C1665" s="232">
        <v>69.0</v>
      </c>
      <c r="D1665" s="232">
        <v>132.89</v>
      </c>
      <c r="E1665" s="232">
        <v>1.9259</v>
      </c>
      <c r="F1665" t="s">
        <v>7702</v>
      </c>
      <c r="G1665" t="s">
        <v>330</v>
      </c>
      <c r="H1665" t="s">
        <v>7709</v>
      </c>
      <c r="I1665" t="s">
        <v>7814</v>
      </c>
    </row>
    <row r="1666">
      <c r="A1666" t="s">
        <v>3788</v>
      </c>
      <c r="B1666" s="232" t="s">
        <v>3787</v>
      </c>
      <c r="C1666" s="232">
        <v>57.0</v>
      </c>
      <c r="D1666" s="232">
        <v>109.61</v>
      </c>
      <c r="E1666" s="232">
        <v>1.923</v>
      </c>
      <c r="F1666" t="s">
        <v>7702</v>
      </c>
      <c r="G1666" t="s">
        <v>330</v>
      </c>
      <c r="H1666" t="s">
        <v>7709</v>
      </c>
      <c r="I1666" t="s">
        <v>7814</v>
      </c>
    </row>
    <row r="1667">
      <c r="A1667" t="s">
        <v>3790</v>
      </c>
      <c r="B1667" s="232" t="s">
        <v>3789</v>
      </c>
      <c r="C1667" s="232">
        <v>118.0</v>
      </c>
      <c r="D1667" s="232">
        <v>227.95</v>
      </c>
      <c r="E1667" s="232">
        <v>1.9318</v>
      </c>
      <c r="F1667" t="s">
        <v>7702</v>
      </c>
      <c r="G1667" t="s">
        <v>330</v>
      </c>
      <c r="H1667" t="s">
        <v>7709</v>
      </c>
      <c r="I1667" t="s">
        <v>7814</v>
      </c>
    </row>
    <row r="1668">
      <c r="A1668" t="s">
        <v>3792</v>
      </c>
      <c r="B1668" s="232" t="s">
        <v>3791</v>
      </c>
      <c r="C1668" s="232">
        <v>209.0</v>
      </c>
      <c r="D1668" s="232">
        <v>404.49</v>
      </c>
      <c r="E1668" s="232">
        <v>1.9354</v>
      </c>
      <c r="F1668" t="s">
        <v>7702</v>
      </c>
      <c r="G1668" t="s">
        <v>330</v>
      </c>
      <c r="H1668" t="s">
        <v>7709</v>
      </c>
      <c r="I1668" t="s">
        <v>7814</v>
      </c>
    </row>
    <row r="1669">
      <c r="A1669" t="s">
        <v>3794</v>
      </c>
      <c r="B1669" s="232" t="s">
        <v>3793</v>
      </c>
      <c r="C1669" s="232">
        <v>0.0</v>
      </c>
      <c r="D1669" s="232">
        <v>0.0</v>
      </c>
      <c r="F1669" t="s">
        <v>7702</v>
      </c>
      <c r="G1669" t="s">
        <v>310</v>
      </c>
      <c r="H1669" t="s">
        <v>7703</v>
      </c>
      <c r="I1669" t="s">
        <v>7731</v>
      </c>
    </row>
    <row r="1670">
      <c r="A1670" t="s">
        <v>3796</v>
      </c>
      <c r="B1670" s="232" t="s">
        <v>3795</v>
      </c>
      <c r="C1670" s="232">
        <v>0.0</v>
      </c>
      <c r="D1670" s="232">
        <v>0.0</v>
      </c>
      <c r="F1670" t="s">
        <v>7702</v>
      </c>
      <c r="G1670" t="s">
        <v>310</v>
      </c>
      <c r="H1670" t="s">
        <v>7703</v>
      </c>
      <c r="I1670" t="s">
        <v>7731</v>
      </c>
    </row>
    <row r="1671">
      <c r="A1671" t="s">
        <v>3804</v>
      </c>
      <c r="B1671" s="232" t="s">
        <v>3803</v>
      </c>
      <c r="C1671" s="232">
        <v>0.0</v>
      </c>
      <c r="D1671" s="232">
        <v>0.0</v>
      </c>
      <c r="F1671" t="s">
        <v>7702</v>
      </c>
      <c r="G1671" t="s">
        <v>310</v>
      </c>
      <c r="H1671" t="s">
        <v>7703</v>
      </c>
      <c r="I1671" t="s">
        <v>151</v>
      </c>
    </row>
    <row r="1672">
      <c r="A1672" t="s">
        <v>3808</v>
      </c>
      <c r="B1672" s="232" t="s">
        <v>3807</v>
      </c>
      <c r="C1672" s="232">
        <v>0.0</v>
      </c>
      <c r="D1672" s="232">
        <v>0.0</v>
      </c>
      <c r="F1672" t="s">
        <v>7702</v>
      </c>
      <c r="G1672" t="s">
        <v>310</v>
      </c>
      <c r="H1672" t="s">
        <v>7703</v>
      </c>
      <c r="I1672" t="s">
        <v>7731</v>
      </c>
    </row>
    <row r="1673">
      <c r="A1673" t="s">
        <v>3810</v>
      </c>
      <c r="B1673" s="232" t="s">
        <v>3809</v>
      </c>
      <c r="C1673" s="232">
        <v>0.0</v>
      </c>
      <c r="D1673" s="232">
        <v>0.0</v>
      </c>
      <c r="F1673" t="s">
        <v>7702</v>
      </c>
      <c r="G1673" t="s">
        <v>310</v>
      </c>
      <c r="H1673" t="s">
        <v>7703</v>
      </c>
      <c r="I1673" t="s">
        <v>7731</v>
      </c>
    </row>
    <row r="1674">
      <c r="A1674" t="s">
        <v>3812</v>
      </c>
      <c r="B1674" s="232" t="s">
        <v>3811</v>
      </c>
      <c r="C1674" s="232">
        <v>0.0</v>
      </c>
      <c r="D1674" s="232">
        <v>0.0</v>
      </c>
      <c r="F1674" t="s">
        <v>7702</v>
      </c>
      <c r="G1674" t="s">
        <v>310</v>
      </c>
      <c r="H1674" t="s">
        <v>7703</v>
      </c>
      <c r="I1674" t="s">
        <v>7731</v>
      </c>
    </row>
    <row r="1675">
      <c r="A1675" t="s">
        <v>3814</v>
      </c>
      <c r="B1675" s="232" t="s">
        <v>3813</v>
      </c>
      <c r="C1675" s="232">
        <v>0.0</v>
      </c>
      <c r="D1675" s="232">
        <v>0.0</v>
      </c>
      <c r="F1675" t="s">
        <v>7702</v>
      </c>
      <c r="G1675" t="s">
        <v>310</v>
      </c>
      <c r="H1675" t="s">
        <v>7703</v>
      </c>
      <c r="I1675" t="s">
        <v>7731</v>
      </c>
    </row>
    <row r="1676">
      <c r="A1676" t="s">
        <v>3816</v>
      </c>
      <c r="B1676" s="232" t="s">
        <v>3815</v>
      </c>
      <c r="C1676" s="232">
        <v>0.0</v>
      </c>
      <c r="D1676" s="232">
        <v>0.0</v>
      </c>
      <c r="F1676" t="s">
        <v>7702</v>
      </c>
      <c r="G1676" t="s">
        <v>310</v>
      </c>
      <c r="H1676" t="s">
        <v>7703</v>
      </c>
      <c r="I1676" t="s">
        <v>7731</v>
      </c>
    </row>
    <row r="1677">
      <c r="A1677" t="s">
        <v>3818</v>
      </c>
      <c r="B1677" s="232" t="s">
        <v>3817</v>
      </c>
      <c r="C1677" s="232">
        <v>0.0</v>
      </c>
      <c r="D1677" s="232">
        <v>0.0</v>
      </c>
      <c r="F1677" t="s">
        <v>7702</v>
      </c>
      <c r="G1677" t="s">
        <v>310</v>
      </c>
      <c r="H1677" t="s">
        <v>7703</v>
      </c>
      <c r="I1677" t="s">
        <v>7716</v>
      </c>
    </row>
    <row r="1678">
      <c r="A1678" t="s">
        <v>3820</v>
      </c>
      <c r="B1678" s="232" t="s">
        <v>3819</v>
      </c>
      <c r="C1678" s="232">
        <v>9.0</v>
      </c>
      <c r="D1678" s="232">
        <v>38.81</v>
      </c>
      <c r="E1678" s="232">
        <v>4.3122</v>
      </c>
      <c r="F1678" t="s">
        <v>7702</v>
      </c>
      <c r="G1678" t="s">
        <v>330</v>
      </c>
      <c r="H1678" t="s">
        <v>7709</v>
      </c>
      <c r="I1678" t="s">
        <v>7713</v>
      </c>
    </row>
    <row r="1679">
      <c r="A1679" t="s">
        <v>3822</v>
      </c>
      <c r="B1679" s="232" t="s">
        <v>3821</v>
      </c>
      <c r="C1679" s="232">
        <v>333.0</v>
      </c>
      <c r="D1679" s="232">
        <v>1391.3</v>
      </c>
      <c r="E1679" s="232">
        <v>4.1781</v>
      </c>
      <c r="F1679" t="s">
        <v>7702</v>
      </c>
      <c r="G1679" t="s">
        <v>330</v>
      </c>
      <c r="H1679" t="s">
        <v>150</v>
      </c>
      <c r="I1679" t="s">
        <v>7713</v>
      </c>
    </row>
    <row r="1680">
      <c r="A1680" t="s">
        <v>3824</v>
      </c>
      <c r="B1680" s="232" t="s">
        <v>3823</v>
      </c>
      <c r="C1680" s="232">
        <v>375.0</v>
      </c>
      <c r="D1680" s="232">
        <v>1566.74</v>
      </c>
      <c r="E1680" s="232">
        <v>4.178</v>
      </c>
      <c r="F1680" t="s">
        <v>7702</v>
      </c>
      <c r="G1680" t="s">
        <v>330</v>
      </c>
      <c r="H1680" t="s">
        <v>150</v>
      </c>
      <c r="I1680" t="s">
        <v>7713</v>
      </c>
    </row>
    <row r="1681">
      <c r="A1681" t="s">
        <v>3826</v>
      </c>
      <c r="B1681" s="232" t="s">
        <v>3825</v>
      </c>
      <c r="C1681" s="232">
        <v>273.0</v>
      </c>
      <c r="D1681" s="232">
        <v>1407.35</v>
      </c>
      <c r="E1681" s="232">
        <v>5.1551</v>
      </c>
      <c r="F1681" t="s">
        <v>7702</v>
      </c>
      <c r="G1681" t="s">
        <v>330</v>
      </c>
      <c r="H1681" t="s">
        <v>7709</v>
      </c>
      <c r="I1681" t="s">
        <v>7713</v>
      </c>
    </row>
    <row r="1682">
      <c r="A1682" t="s">
        <v>3828</v>
      </c>
      <c r="B1682" s="232" t="s">
        <v>3827</v>
      </c>
      <c r="C1682" s="232">
        <v>140.0</v>
      </c>
      <c r="D1682" s="232">
        <v>721.68</v>
      </c>
      <c r="E1682" s="232">
        <v>5.1549</v>
      </c>
      <c r="F1682" t="s">
        <v>7702</v>
      </c>
      <c r="G1682" t="s">
        <v>330</v>
      </c>
      <c r="H1682" t="s">
        <v>7709</v>
      </c>
      <c r="I1682" t="s">
        <v>7713</v>
      </c>
    </row>
    <row r="1683">
      <c r="A1683" t="s">
        <v>3830</v>
      </c>
      <c r="B1683" s="232" t="s">
        <v>3829</v>
      </c>
      <c r="C1683" s="232">
        <v>241.0</v>
      </c>
      <c r="D1683" s="232">
        <v>1007.0</v>
      </c>
      <c r="E1683" s="232">
        <v>4.1784</v>
      </c>
      <c r="F1683" t="s">
        <v>7702</v>
      </c>
      <c r="G1683" t="s">
        <v>330</v>
      </c>
      <c r="H1683" t="s">
        <v>150</v>
      </c>
      <c r="I1683" t="s">
        <v>7713</v>
      </c>
    </row>
    <row r="1684">
      <c r="A1684" t="s">
        <v>3832</v>
      </c>
      <c r="B1684" s="232" t="s">
        <v>3831</v>
      </c>
      <c r="C1684" s="232">
        <v>0.0</v>
      </c>
      <c r="D1684" s="232">
        <v>0.0</v>
      </c>
      <c r="F1684" t="s">
        <v>7702</v>
      </c>
      <c r="G1684" t="s">
        <v>330</v>
      </c>
      <c r="H1684" t="s">
        <v>45</v>
      </c>
      <c r="I1684" t="s">
        <v>7713</v>
      </c>
    </row>
    <row r="1685">
      <c r="A1685" t="s">
        <v>3834</v>
      </c>
      <c r="B1685" s="232" t="s">
        <v>3833</v>
      </c>
      <c r="C1685" s="232">
        <v>4.0</v>
      </c>
      <c r="D1685" s="232">
        <v>15.62</v>
      </c>
      <c r="E1685" s="232">
        <v>3.905</v>
      </c>
      <c r="F1685" t="s">
        <v>7702</v>
      </c>
      <c r="G1685" t="s">
        <v>330</v>
      </c>
      <c r="H1685" t="s">
        <v>45</v>
      </c>
      <c r="I1685" t="s">
        <v>7713</v>
      </c>
    </row>
    <row r="1686">
      <c r="A1686" t="s">
        <v>3836</v>
      </c>
      <c r="B1686" s="232" t="s">
        <v>3835</v>
      </c>
      <c r="C1686" s="232">
        <v>183.0</v>
      </c>
      <c r="D1686" s="232">
        <v>797.98</v>
      </c>
      <c r="E1686" s="232">
        <v>4.3605</v>
      </c>
      <c r="F1686" t="s">
        <v>7702</v>
      </c>
      <c r="G1686" t="s">
        <v>330</v>
      </c>
      <c r="H1686" t="s">
        <v>7709</v>
      </c>
      <c r="I1686" t="s">
        <v>7713</v>
      </c>
    </row>
    <row r="1687">
      <c r="A1687" t="s">
        <v>3838</v>
      </c>
      <c r="B1687" s="232" t="s">
        <v>3837</v>
      </c>
      <c r="C1687" s="232">
        <v>391.0</v>
      </c>
      <c r="D1687" s="232">
        <v>1527.05</v>
      </c>
      <c r="E1687" s="232">
        <v>3.9055</v>
      </c>
      <c r="F1687" t="s">
        <v>7702</v>
      </c>
      <c r="G1687" t="s">
        <v>330</v>
      </c>
      <c r="H1687" t="s">
        <v>150</v>
      </c>
      <c r="I1687" t="s">
        <v>7713</v>
      </c>
    </row>
    <row r="1688">
      <c r="A1688" t="s">
        <v>3840</v>
      </c>
      <c r="B1688" s="232" t="s">
        <v>3839</v>
      </c>
      <c r="C1688" s="232">
        <v>187.0</v>
      </c>
      <c r="D1688" s="232">
        <v>963.96</v>
      </c>
      <c r="E1688" s="232">
        <v>5.1549</v>
      </c>
      <c r="F1688" t="s">
        <v>7702</v>
      </c>
      <c r="G1688" t="s">
        <v>330</v>
      </c>
      <c r="H1688" t="s">
        <v>7709</v>
      </c>
      <c r="I1688" t="s">
        <v>7713</v>
      </c>
    </row>
    <row r="1689">
      <c r="A1689" t="s">
        <v>3842</v>
      </c>
      <c r="B1689" s="232" t="s">
        <v>3841</v>
      </c>
      <c r="C1689" s="232">
        <v>223.0</v>
      </c>
      <c r="D1689" s="232">
        <v>1149.58</v>
      </c>
      <c r="E1689" s="232">
        <v>5.1551</v>
      </c>
      <c r="F1689" t="s">
        <v>7702</v>
      </c>
      <c r="G1689" t="s">
        <v>330</v>
      </c>
      <c r="H1689" t="s">
        <v>7709</v>
      </c>
      <c r="I1689" t="s">
        <v>7713</v>
      </c>
    </row>
    <row r="1690">
      <c r="A1690" t="s">
        <v>3844</v>
      </c>
      <c r="B1690" s="232" t="s">
        <v>3843</v>
      </c>
      <c r="C1690" s="232">
        <v>79.0</v>
      </c>
      <c r="D1690" s="232">
        <v>309.16</v>
      </c>
      <c r="E1690" s="232">
        <v>3.9134</v>
      </c>
      <c r="F1690" t="s">
        <v>7702</v>
      </c>
      <c r="G1690" t="s">
        <v>330</v>
      </c>
      <c r="H1690" t="s">
        <v>45</v>
      </c>
      <c r="I1690" t="s">
        <v>7713</v>
      </c>
    </row>
    <row r="1691">
      <c r="A1691" t="s">
        <v>3846</v>
      </c>
      <c r="B1691" s="232" t="s">
        <v>3845</v>
      </c>
      <c r="C1691" s="232">
        <v>474.0</v>
      </c>
      <c r="D1691" s="232">
        <v>2279.57</v>
      </c>
      <c r="E1691" s="232">
        <v>4.8092</v>
      </c>
      <c r="F1691" t="s">
        <v>7702</v>
      </c>
      <c r="G1691" t="s">
        <v>330</v>
      </c>
      <c r="H1691" t="s">
        <v>150</v>
      </c>
      <c r="I1691" t="s">
        <v>7713</v>
      </c>
    </row>
    <row r="1692">
      <c r="A1692" t="s">
        <v>3848</v>
      </c>
      <c r="B1692" s="232" t="s">
        <v>3847</v>
      </c>
      <c r="C1692" s="232">
        <v>1.0</v>
      </c>
      <c r="D1692" s="232">
        <v>3.91</v>
      </c>
      <c r="E1692" s="232">
        <v>3.91</v>
      </c>
      <c r="F1692" t="s">
        <v>7702</v>
      </c>
      <c r="G1692" t="s">
        <v>310</v>
      </c>
      <c r="H1692" t="s">
        <v>45</v>
      </c>
      <c r="I1692" t="s">
        <v>7713</v>
      </c>
    </row>
    <row r="1693">
      <c r="A1693" t="s">
        <v>3850</v>
      </c>
      <c r="B1693" s="232" t="s">
        <v>3849</v>
      </c>
      <c r="C1693" s="232">
        <v>356.0</v>
      </c>
      <c r="D1693" s="232">
        <v>1390.35</v>
      </c>
      <c r="E1693" s="232">
        <v>3.9055</v>
      </c>
      <c r="F1693" t="s">
        <v>7702</v>
      </c>
      <c r="G1693" t="s">
        <v>330</v>
      </c>
      <c r="H1693" t="s">
        <v>150</v>
      </c>
      <c r="I1693" t="s">
        <v>7713</v>
      </c>
    </row>
    <row r="1694">
      <c r="A1694" t="s">
        <v>3852</v>
      </c>
      <c r="B1694" s="232" t="s">
        <v>3851</v>
      </c>
      <c r="C1694" s="232">
        <v>250.0</v>
      </c>
      <c r="D1694" s="232">
        <v>1044.58</v>
      </c>
      <c r="E1694" s="232">
        <v>4.1783</v>
      </c>
      <c r="F1694" t="s">
        <v>7702</v>
      </c>
      <c r="G1694" t="s">
        <v>330</v>
      </c>
      <c r="H1694" t="s">
        <v>150</v>
      </c>
      <c r="I1694" t="s">
        <v>7713</v>
      </c>
    </row>
    <row r="1695">
      <c r="A1695" t="s">
        <v>3854</v>
      </c>
      <c r="B1695" s="232" t="s">
        <v>3853</v>
      </c>
      <c r="C1695" s="232">
        <v>178.0</v>
      </c>
      <c r="D1695" s="232">
        <v>917.55</v>
      </c>
      <c r="E1695" s="232">
        <v>5.1548</v>
      </c>
      <c r="F1695" t="s">
        <v>7702</v>
      </c>
      <c r="G1695" t="s">
        <v>330</v>
      </c>
      <c r="H1695" t="s">
        <v>7709</v>
      </c>
      <c r="I1695" t="s">
        <v>7713</v>
      </c>
    </row>
    <row r="1696">
      <c r="A1696" t="s">
        <v>3856</v>
      </c>
      <c r="B1696" s="232" t="s">
        <v>3855</v>
      </c>
      <c r="C1696" s="232">
        <v>178.0</v>
      </c>
      <c r="D1696" s="232">
        <v>695.53</v>
      </c>
      <c r="E1696" s="232">
        <v>3.9075</v>
      </c>
      <c r="F1696" t="s">
        <v>7702</v>
      </c>
      <c r="G1696" t="s">
        <v>330</v>
      </c>
      <c r="H1696" t="s">
        <v>45</v>
      </c>
      <c r="I1696" t="s">
        <v>7713</v>
      </c>
    </row>
    <row r="1697">
      <c r="A1697" t="s">
        <v>3858</v>
      </c>
      <c r="B1697" s="232" t="s">
        <v>3857</v>
      </c>
      <c r="C1697" s="232">
        <v>361.0</v>
      </c>
      <c r="D1697" s="232">
        <v>1544.39</v>
      </c>
      <c r="E1697" s="232">
        <v>4.2781</v>
      </c>
      <c r="F1697" t="s">
        <v>7702</v>
      </c>
      <c r="G1697" t="s">
        <v>330</v>
      </c>
      <c r="H1697" t="s">
        <v>150</v>
      </c>
      <c r="I1697" t="s">
        <v>7713</v>
      </c>
    </row>
    <row r="1698">
      <c r="A1698" t="s">
        <v>3860</v>
      </c>
      <c r="B1698" s="232" t="s">
        <v>3859</v>
      </c>
      <c r="C1698" s="232">
        <v>234.0</v>
      </c>
      <c r="D1698" s="232">
        <v>1206.31</v>
      </c>
      <c r="E1698" s="232">
        <v>5.1552</v>
      </c>
      <c r="F1698" t="s">
        <v>7702</v>
      </c>
      <c r="G1698" t="s">
        <v>330</v>
      </c>
      <c r="H1698" t="s">
        <v>7709</v>
      </c>
      <c r="I1698" t="s">
        <v>7713</v>
      </c>
    </row>
    <row r="1699">
      <c r="A1699" t="s">
        <v>3862</v>
      </c>
      <c r="B1699" s="232" t="s">
        <v>3861</v>
      </c>
      <c r="C1699" s="232">
        <v>252.0</v>
      </c>
      <c r="D1699" s="232">
        <v>1299.14</v>
      </c>
      <c r="E1699" s="232">
        <v>5.1553</v>
      </c>
      <c r="F1699" t="s">
        <v>7702</v>
      </c>
      <c r="G1699" t="s">
        <v>330</v>
      </c>
      <c r="H1699" t="s">
        <v>7709</v>
      </c>
      <c r="I1699" t="s">
        <v>7713</v>
      </c>
    </row>
    <row r="1700">
      <c r="A1700" t="s">
        <v>3864</v>
      </c>
      <c r="B1700" s="232" t="s">
        <v>3863</v>
      </c>
      <c r="C1700" s="232">
        <v>180.0</v>
      </c>
      <c r="D1700" s="232">
        <v>789.39</v>
      </c>
      <c r="E1700" s="232">
        <v>4.3855</v>
      </c>
      <c r="F1700" t="s">
        <v>7702</v>
      </c>
      <c r="G1700" t="s">
        <v>330</v>
      </c>
      <c r="H1700" t="s">
        <v>45</v>
      </c>
      <c r="I1700" t="s">
        <v>7713</v>
      </c>
    </row>
    <row r="1701">
      <c r="A1701" t="s">
        <v>3866</v>
      </c>
      <c r="B1701" s="232" t="s">
        <v>3865</v>
      </c>
      <c r="C1701" s="232">
        <v>0.0</v>
      </c>
      <c r="D1701" s="232">
        <v>0.0</v>
      </c>
      <c r="F1701" t="s">
        <v>7702</v>
      </c>
      <c r="G1701" t="s">
        <v>330</v>
      </c>
      <c r="H1701" t="s">
        <v>150</v>
      </c>
      <c r="I1701" t="s">
        <v>7713</v>
      </c>
    </row>
    <row r="1702">
      <c r="A1702" t="s">
        <v>3868</v>
      </c>
      <c r="B1702" s="232" t="s">
        <v>3867</v>
      </c>
      <c r="C1702" s="232">
        <v>301.0</v>
      </c>
      <c r="D1702" s="232">
        <v>1320.17</v>
      </c>
      <c r="E1702" s="232">
        <v>4.3859</v>
      </c>
      <c r="F1702" t="s">
        <v>7702</v>
      </c>
      <c r="G1702" t="s">
        <v>330</v>
      </c>
      <c r="H1702" t="s">
        <v>45</v>
      </c>
      <c r="I1702" t="s">
        <v>7713</v>
      </c>
    </row>
    <row r="1703">
      <c r="A1703" t="s">
        <v>3870</v>
      </c>
      <c r="B1703" s="232" t="s">
        <v>3869</v>
      </c>
      <c r="C1703" s="232">
        <v>5.0</v>
      </c>
      <c r="D1703" s="232">
        <v>24.05</v>
      </c>
      <c r="E1703" s="232">
        <v>4.81</v>
      </c>
      <c r="F1703" t="s">
        <v>7702</v>
      </c>
      <c r="G1703" t="s">
        <v>330</v>
      </c>
      <c r="H1703" t="s">
        <v>45</v>
      </c>
      <c r="I1703" t="s">
        <v>7713</v>
      </c>
    </row>
    <row r="1704">
      <c r="A1704" t="s">
        <v>3872</v>
      </c>
      <c r="B1704" s="232" t="s">
        <v>3871</v>
      </c>
      <c r="C1704" s="232">
        <v>342.0</v>
      </c>
      <c r="D1704" s="232">
        <v>1491.69</v>
      </c>
      <c r="E1704" s="232">
        <v>4.3617</v>
      </c>
      <c r="F1704" t="s">
        <v>7702</v>
      </c>
      <c r="G1704" t="s">
        <v>330</v>
      </c>
      <c r="H1704" t="s">
        <v>7709</v>
      </c>
      <c r="I1704" t="s">
        <v>7713</v>
      </c>
    </row>
    <row r="1705">
      <c r="A1705" t="s">
        <v>3874</v>
      </c>
      <c r="B1705" s="232" t="s">
        <v>3873</v>
      </c>
      <c r="C1705" s="232">
        <v>104.0</v>
      </c>
      <c r="D1705" s="232">
        <v>444.43</v>
      </c>
      <c r="E1705" s="232">
        <v>4.2734</v>
      </c>
      <c r="F1705" t="s">
        <v>7702</v>
      </c>
      <c r="G1705" t="s">
        <v>330</v>
      </c>
      <c r="H1705" t="s">
        <v>150</v>
      </c>
      <c r="I1705" t="s">
        <v>7713</v>
      </c>
    </row>
    <row r="1706">
      <c r="A1706" t="s">
        <v>3876</v>
      </c>
      <c r="B1706" s="232" t="s">
        <v>3875</v>
      </c>
      <c r="C1706" s="232">
        <v>113.0</v>
      </c>
      <c r="D1706" s="232">
        <v>441.46</v>
      </c>
      <c r="E1706" s="232">
        <v>3.9067</v>
      </c>
      <c r="F1706" t="s">
        <v>7702</v>
      </c>
      <c r="G1706" t="s">
        <v>330</v>
      </c>
      <c r="H1706" t="s">
        <v>45</v>
      </c>
      <c r="I1706" t="s">
        <v>7713</v>
      </c>
    </row>
    <row r="1707">
      <c r="A1707" t="s">
        <v>3878</v>
      </c>
      <c r="B1707" s="232" t="s">
        <v>3877</v>
      </c>
      <c r="C1707" s="232">
        <v>452.0</v>
      </c>
      <c r="D1707" s="232">
        <v>1232.61</v>
      </c>
      <c r="E1707" s="232">
        <v>2.727</v>
      </c>
      <c r="F1707" t="s">
        <v>7702</v>
      </c>
      <c r="G1707" t="s">
        <v>330</v>
      </c>
      <c r="H1707" t="s">
        <v>7709</v>
      </c>
      <c r="I1707" t="s">
        <v>7713</v>
      </c>
    </row>
    <row r="1708">
      <c r="A1708" t="s">
        <v>3880</v>
      </c>
      <c r="B1708" s="232" t="s">
        <v>3879</v>
      </c>
      <c r="C1708" s="232">
        <v>267.0</v>
      </c>
      <c r="D1708" s="232">
        <v>788.94</v>
      </c>
      <c r="E1708" s="232">
        <v>2.9548</v>
      </c>
      <c r="F1708" t="s">
        <v>7702</v>
      </c>
      <c r="G1708" t="s">
        <v>330</v>
      </c>
      <c r="H1708" t="s">
        <v>45</v>
      </c>
      <c r="I1708" t="s">
        <v>7713</v>
      </c>
    </row>
    <row r="1709">
      <c r="A1709" t="s">
        <v>3882</v>
      </c>
      <c r="B1709" s="232" t="s">
        <v>3881</v>
      </c>
      <c r="C1709" s="232">
        <v>530.0</v>
      </c>
      <c r="D1709" s="232">
        <v>1445.62</v>
      </c>
      <c r="E1709" s="232">
        <v>2.7276</v>
      </c>
      <c r="F1709" t="s">
        <v>7702</v>
      </c>
      <c r="G1709" t="s">
        <v>330</v>
      </c>
      <c r="H1709" t="s">
        <v>7709</v>
      </c>
      <c r="I1709" t="s">
        <v>7713</v>
      </c>
    </row>
    <row r="1710">
      <c r="A1710" t="s">
        <v>3884</v>
      </c>
      <c r="B1710" s="232" t="s">
        <v>3883</v>
      </c>
      <c r="C1710" s="232">
        <v>462.0</v>
      </c>
      <c r="D1710" s="232">
        <v>1364.92</v>
      </c>
      <c r="E1710" s="232">
        <v>2.9544</v>
      </c>
      <c r="F1710" t="s">
        <v>7702</v>
      </c>
      <c r="G1710" t="s">
        <v>330</v>
      </c>
      <c r="H1710" t="s">
        <v>45</v>
      </c>
      <c r="I1710" t="s">
        <v>7713</v>
      </c>
    </row>
    <row r="1711">
      <c r="A1711" t="s">
        <v>3886</v>
      </c>
      <c r="B1711" s="232" t="s">
        <v>3885</v>
      </c>
      <c r="C1711" s="232">
        <v>218.0</v>
      </c>
      <c r="D1711" s="232">
        <v>644.24</v>
      </c>
      <c r="E1711" s="232">
        <v>2.9552</v>
      </c>
      <c r="F1711" t="s">
        <v>7702</v>
      </c>
      <c r="G1711" t="s">
        <v>330</v>
      </c>
      <c r="H1711" t="s">
        <v>45</v>
      </c>
      <c r="I1711" t="s">
        <v>7713</v>
      </c>
    </row>
    <row r="1712">
      <c r="A1712" t="s">
        <v>3888</v>
      </c>
      <c r="B1712" s="232" t="s">
        <v>3887</v>
      </c>
      <c r="C1712" s="232">
        <v>0.0</v>
      </c>
      <c r="D1712" s="232">
        <v>0.0</v>
      </c>
      <c r="F1712" t="s">
        <v>7702</v>
      </c>
      <c r="G1712" t="s">
        <v>330</v>
      </c>
      <c r="H1712" t="s">
        <v>150</v>
      </c>
      <c r="I1712" t="s">
        <v>7713</v>
      </c>
    </row>
    <row r="1713">
      <c r="A1713" t="s">
        <v>3890</v>
      </c>
      <c r="B1713" s="232" t="s">
        <v>3889</v>
      </c>
      <c r="C1713" s="232">
        <v>281.0</v>
      </c>
      <c r="D1713" s="232">
        <v>830.28</v>
      </c>
      <c r="E1713" s="232">
        <v>2.9547</v>
      </c>
      <c r="F1713" t="s">
        <v>7702</v>
      </c>
      <c r="G1713" t="s">
        <v>330</v>
      </c>
      <c r="H1713" t="s">
        <v>45</v>
      </c>
      <c r="I1713" t="s">
        <v>7713</v>
      </c>
    </row>
    <row r="1714">
      <c r="A1714" t="s">
        <v>3892</v>
      </c>
      <c r="B1714" s="232" t="s">
        <v>3891</v>
      </c>
      <c r="C1714" s="232">
        <v>304.0</v>
      </c>
      <c r="D1714" s="232">
        <v>898.44</v>
      </c>
      <c r="E1714" s="232">
        <v>2.9554</v>
      </c>
      <c r="F1714" t="s">
        <v>7702</v>
      </c>
      <c r="G1714" t="s">
        <v>330</v>
      </c>
      <c r="H1714" t="s">
        <v>45</v>
      </c>
      <c r="I1714" t="s">
        <v>7713</v>
      </c>
    </row>
    <row r="1715">
      <c r="A1715" t="s">
        <v>3894</v>
      </c>
      <c r="B1715" s="232" t="s">
        <v>3893</v>
      </c>
      <c r="C1715" s="232">
        <v>271.0</v>
      </c>
      <c r="D1715" s="232">
        <v>739.05</v>
      </c>
      <c r="E1715" s="232">
        <v>2.7271</v>
      </c>
      <c r="F1715" t="s">
        <v>7702</v>
      </c>
      <c r="G1715" t="s">
        <v>330</v>
      </c>
      <c r="H1715" t="s">
        <v>7709</v>
      </c>
      <c r="I1715" t="s">
        <v>7713</v>
      </c>
    </row>
    <row r="1716">
      <c r="A1716" t="s">
        <v>3896</v>
      </c>
      <c r="B1716" s="232" t="s">
        <v>3895</v>
      </c>
      <c r="C1716" s="232">
        <v>30.0</v>
      </c>
      <c r="D1716" s="232">
        <v>88.94</v>
      </c>
      <c r="E1716" s="232">
        <v>2.9647</v>
      </c>
      <c r="F1716" t="s">
        <v>7702</v>
      </c>
      <c r="G1716" t="s">
        <v>330</v>
      </c>
      <c r="H1716" t="s">
        <v>45</v>
      </c>
      <c r="I1716" t="s">
        <v>7713</v>
      </c>
    </row>
    <row r="1717">
      <c r="A1717" t="s">
        <v>3898</v>
      </c>
      <c r="B1717" s="232" t="s">
        <v>3897</v>
      </c>
      <c r="C1717" s="232">
        <v>0.0</v>
      </c>
      <c r="D1717" s="232">
        <v>0.0</v>
      </c>
      <c r="F1717" t="s">
        <v>7702</v>
      </c>
      <c r="G1717" t="s">
        <v>330</v>
      </c>
      <c r="H1717" t="s">
        <v>7709</v>
      </c>
      <c r="I1717" t="s">
        <v>7713</v>
      </c>
    </row>
    <row r="1718">
      <c r="A1718" t="s">
        <v>3900</v>
      </c>
      <c r="B1718" s="232" t="s">
        <v>3899</v>
      </c>
      <c r="C1718" s="232">
        <v>0.0</v>
      </c>
      <c r="D1718" s="232">
        <v>0.0</v>
      </c>
      <c r="F1718" t="s">
        <v>7702</v>
      </c>
      <c r="G1718" t="s">
        <v>330</v>
      </c>
      <c r="H1718" t="s">
        <v>7709</v>
      </c>
      <c r="I1718" t="s">
        <v>7713</v>
      </c>
    </row>
    <row r="1719">
      <c r="A1719" t="s">
        <v>3902</v>
      </c>
      <c r="B1719" s="232" t="s">
        <v>3901</v>
      </c>
      <c r="C1719" s="232">
        <v>0.0</v>
      </c>
      <c r="D1719" s="232">
        <v>0.0</v>
      </c>
      <c r="F1719" t="s">
        <v>7702</v>
      </c>
      <c r="G1719" t="s">
        <v>330</v>
      </c>
      <c r="H1719" t="s">
        <v>7709</v>
      </c>
      <c r="I1719" t="s">
        <v>7713</v>
      </c>
    </row>
    <row r="1720">
      <c r="A1720" t="s">
        <v>3904</v>
      </c>
      <c r="B1720" s="232" t="s">
        <v>3903</v>
      </c>
      <c r="C1720" s="232">
        <v>33.0</v>
      </c>
      <c r="D1720" s="232">
        <v>78.59</v>
      </c>
      <c r="E1720" s="232">
        <v>2.3815</v>
      </c>
      <c r="F1720" t="s">
        <v>7702</v>
      </c>
      <c r="G1720" t="s">
        <v>330</v>
      </c>
      <c r="H1720" t="s">
        <v>45</v>
      </c>
      <c r="I1720" t="s">
        <v>7713</v>
      </c>
    </row>
    <row r="1721">
      <c r="A1721" t="s">
        <v>3906</v>
      </c>
      <c r="B1721" s="232" t="s">
        <v>3905</v>
      </c>
      <c r="C1721" s="232">
        <v>0.0</v>
      </c>
      <c r="D1721" s="232">
        <v>0.0</v>
      </c>
      <c r="F1721" t="s">
        <v>7702</v>
      </c>
      <c r="G1721" t="s">
        <v>330</v>
      </c>
      <c r="H1721" t="s">
        <v>7709</v>
      </c>
      <c r="I1721" t="s">
        <v>7713</v>
      </c>
    </row>
    <row r="1722">
      <c r="A1722" t="s">
        <v>3908</v>
      </c>
      <c r="B1722" s="232" t="s">
        <v>3907</v>
      </c>
      <c r="C1722" s="232">
        <v>3.0</v>
      </c>
      <c r="D1722" s="232">
        <v>7.19</v>
      </c>
      <c r="E1722" s="232">
        <v>2.3967</v>
      </c>
      <c r="F1722" t="s">
        <v>7702</v>
      </c>
      <c r="G1722" t="s">
        <v>330</v>
      </c>
      <c r="H1722" t="s">
        <v>7709</v>
      </c>
      <c r="I1722" t="s">
        <v>7713</v>
      </c>
    </row>
    <row r="1723">
      <c r="A1723" t="s">
        <v>3936</v>
      </c>
      <c r="B1723" s="232" t="s">
        <v>3935</v>
      </c>
      <c r="C1723" s="232">
        <v>0.0</v>
      </c>
      <c r="D1723" s="232">
        <v>0.0</v>
      </c>
      <c r="F1723" t="s">
        <v>7702</v>
      </c>
      <c r="G1723" t="s">
        <v>310</v>
      </c>
      <c r="H1723" t="s">
        <v>7703</v>
      </c>
      <c r="I1723" t="s">
        <v>7746</v>
      </c>
    </row>
    <row r="1724">
      <c r="A1724" t="s">
        <v>3938</v>
      </c>
      <c r="B1724" s="232" t="s">
        <v>3937</v>
      </c>
      <c r="C1724" s="232">
        <v>0.0</v>
      </c>
      <c r="D1724" s="232">
        <v>0.0</v>
      </c>
      <c r="F1724" t="s">
        <v>7702</v>
      </c>
      <c r="G1724" t="s">
        <v>310</v>
      </c>
      <c r="H1724" t="s">
        <v>7703</v>
      </c>
      <c r="I1724" t="s">
        <v>7746</v>
      </c>
    </row>
    <row r="1725">
      <c r="A1725" t="s">
        <v>3939</v>
      </c>
      <c r="B1725" s="232">
        <v>71501.0</v>
      </c>
      <c r="C1725" s="232">
        <v>214.0</v>
      </c>
      <c r="D1725" s="232">
        <v>2054.91</v>
      </c>
      <c r="E1725" s="232">
        <v>9.6024</v>
      </c>
      <c r="F1725" t="s">
        <v>7702</v>
      </c>
      <c r="G1725" t="s">
        <v>330</v>
      </c>
      <c r="H1725" t="s">
        <v>7774</v>
      </c>
      <c r="I1725" t="s">
        <v>170</v>
      </c>
    </row>
    <row r="1726">
      <c r="A1726" t="s">
        <v>3940</v>
      </c>
      <c r="B1726" s="232">
        <v>71201.0</v>
      </c>
      <c r="C1726" s="232">
        <v>258.0</v>
      </c>
      <c r="D1726" s="232">
        <v>1859.42</v>
      </c>
      <c r="E1726" s="232">
        <v>7.2071</v>
      </c>
      <c r="F1726" t="s">
        <v>7702</v>
      </c>
      <c r="G1726" t="s">
        <v>330</v>
      </c>
      <c r="H1726" t="s">
        <v>7774</v>
      </c>
      <c r="I1726" t="s">
        <v>170</v>
      </c>
    </row>
    <row r="1727">
      <c r="A1727" t="s">
        <v>3941</v>
      </c>
      <c r="B1727" s="232">
        <v>71301.0</v>
      </c>
      <c r="C1727" s="232">
        <v>65.0</v>
      </c>
      <c r="D1727" s="232">
        <v>572.66</v>
      </c>
      <c r="E1727" s="232">
        <v>8.8102</v>
      </c>
      <c r="F1727" t="s">
        <v>7702</v>
      </c>
      <c r="G1727" t="s">
        <v>330</v>
      </c>
      <c r="H1727" t="s">
        <v>7774</v>
      </c>
      <c r="I1727" t="s">
        <v>170</v>
      </c>
    </row>
    <row r="1728">
      <c r="A1728" t="s">
        <v>3942</v>
      </c>
      <c r="B1728" s="232">
        <v>71101.0</v>
      </c>
      <c r="C1728" s="232">
        <v>127.0</v>
      </c>
      <c r="D1728" s="232">
        <v>1104.73</v>
      </c>
      <c r="E1728" s="232">
        <v>8.6987</v>
      </c>
      <c r="F1728" t="s">
        <v>7702</v>
      </c>
      <c r="G1728" t="s">
        <v>330</v>
      </c>
      <c r="H1728" t="s">
        <v>7774</v>
      </c>
      <c r="I1728" t="s">
        <v>170</v>
      </c>
    </row>
    <row r="1729">
      <c r="A1729" t="s">
        <v>3943</v>
      </c>
      <c r="B1729" s="232">
        <v>71401.0</v>
      </c>
      <c r="C1729" s="232">
        <v>94.0</v>
      </c>
      <c r="D1729" s="232">
        <v>859.68</v>
      </c>
      <c r="E1729" s="232">
        <v>9.1455</v>
      </c>
      <c r="F1729" t="s">
        <v>7702</v>
      </c>
      <c r="G1729" t="s">
        <v>330</v>
      </c>
      <c r="H1729" t="s">
        <v>7774</v>
      </c>
      <c r="I1729" t="s">
        <v>170</v>
      </c>
    </row>
    <row r="1730">
      <c r="A1730" t="s">
        <v>3945</v>
      </c>
      <c r="B1730" s="232" t="s">
        <v>3944</v>
      </c>
      <c r="C1730" s="232">
        <v>105.0</v>
      </c>
      <c r="D1730" s="232">
        <v>100.88</v>
      </c>
      <c r="E1730" s="232">
        <v>0.9608</v>
      </c>
      <c r="F1730" t="s">
        <v>7702</v>
      </c>
      <c r="G1730" t="s">
        <v>330</v>
      </c>
      <c r="H1730" t="s">
        <v>7774</v>
      </c>
    </row>
    <row r="1731">
      <c r="A1731" t="s">
        <v>3947</v>
      </c>
      <c r="B1731" s="232" t="s">
        <v>3946</v>
      </c>
      <c r="C1731" s="232">
        <v>3.0</v>
      </c>
      <c r="D1731" s="232">
        <v>403.62</v>
      </c>
      <c r="E1731" s="232">
        <v>134.54</v>
      </c>
      <c r="F1731" t="s">
        <v>7711</v>
      </c>
      <c r="G1731" t="s">
        <v>330</v>
      </c>
      <c r="H1731" t="s">
        <v>7774</v>
      </c>
      <c r="I1731" t="s">
        <v>170</v>
      </c>
    </row>
    <row r="1732">
      <c r="A1732" t="s">
        <v>3949</v>
      </c>
      <c r="B1732" s="232" t="s">
        <v>3948</v>
      </c>
      <c r="C1732" s="232">
        <v>72.0</v>
      </c>
      <c r="D1732" s="232">
        <v>39.6</v>
      </c>
      <c r="E1732" s="232">
        <v>0.55</v>
      </c>
      <c r="F1732" t="s">
        <v>7702</v>
      </c>
      <c r="G1732" t="s">
        <v>330</v>
      </c>
      <c r="H1732" t="s">
        <v>7725</v>
      </c>
      <c r="I1732" t="s">
        <v>7727</v>
      </c>
    </row>
    <row r="1733">
      <c r="A1733" t="s">
        <v>3951</v>
      </c>
      <c r="B1733" s="232" t="s">
        <v>3950</v>
      </c>
      <c r="C1733" s="232">
        <v>362.0</v>
      </c>
      <c r="D1733" s="232">
        <v>181.0</v>
      </c>
      <c r="E1733" s="232">
        <v>0.5</v>
      </c>
      <c r="F1733" t="s">
        <v>7702</v>
      </c>
      <c r="G1733" t="s">
        <v>330</v>
      </c>
      <c r="H1733" t="s">
        <v>7725</v>
      </c>
      <c r="I1733" t="s">
        <v>7745</v>
      </c>
    </row>
    <row r="1734">
      <c r="A1734" t="s">
        <v>3953</v>
      </c>
      <c r="B1734" s="232" t="s">
        <v>3952</v>
      </c>
      <c r="C1734" s="232">
        <v>18.0</v>
      </c>
      <c r="D1734" s="232">
        <v>8.64</v>
      </c>
      <c r="E1734" s="232">
        <v>0.48</v>
      </c>
      <c r="F1734" t="s">
        <v>7702</v>
      </c>
      <c r="G1734" t="s">
        <v>330</v>
      </c>
      <c r="H1734" t="s">
        <v>7725</v>
      </c>
      <c r="I1734" t="s">
        <v>7739</v>
      </c>
    </row>
    <row r="1735">
      <c r="A1735" t="s">
        <v>3955</v>
      </c>
      <c r="B1735" s="232" t="s">
        <v>3954</v>
      </c>
      <c r="C1735" s="232">
        <v>288.0</v>
      </c>
      <c r="D1735" s="232">
        <v>138.24</v>
      </c>
      <c r="E1735" s="232">
        <v>0.48</v>
      </c>
      <c r="F1735" t="s">
        <v>7702</v>
      </c>
      <c r="G1735" t="s">
        <v>330</v>
      </c>
      <c r="H1735" t="s">
        <v>7725</v>
      </c>
      <c r="I1735" t="s">
        <v>7739</v>
      </c>
    </row>
    <row r="1736">
      <c r="A1736" t="s">
        <v>3957</v>
      </c>
      <c r="B1736" s="232" t="s">
        <v>3956</v>
      </c>
      <c r="C1736" s="232">
        <v>732.0</v>
      </c>
      <c r="D1736" s="232">
        <v>402.6</v>
      </c>
      <c r="E1736" s="232">
        <v>0.55</v>
      </c>
      <c r="F1736" t="s">
        <v>7702</v>
      </c>
      <c r="G1736" t="s">
        <v>330</v>
      </c>
      <c r="H1736" t="s">
        <v>7725</v>
      </c>
      <c r="I1736" t="s">
        <v>7727</v>
      </c>
    </row>
    <row r="1737">
      <c r="A1737" t="s">
        <v>3959</v>
      </c>
      <c r="B1737" s="232" t="s">
        <v>3958</v>
      </c>
      <c r="C1737" s="232">
        <v>462.0</v>
      </c>
      <c r="D1737" s="232">
        <v>231.0</v>
      </c>
      <c r="E1737" s="232">
        <v>0.5</v>
      </c>
      <c r="F1737" t="s">
        <v>7702</v>
      </c>
      <c r="G1737" t="s">
        <v>330</v>
      </c>
      <c r="H1737" t="s">
        <v>7725</v>
      </c>
      <c r="I1737" t="s">
        <v>7745</v>
      </c>
    </row>
    <row r="1738">
      <c r="A1738" t="s">
        <v>3963</v>
      </c>
      <c r="B1738" s="232" t="s">
        <v>3962</v>
      </c>
      <c r="C1738" s="232">
        <v>5.0</v>
      </c>
      <c r="D1738" s="232">
        <v>16.85</v>
      </c>
      <c r="E1738" s="232">
        <v>3.37</v>
      </c>
      <c r="F1738" t="s">
        <v>7702</v>
      </c>
      <c r="G1738" t="s">
        <v>330</v>
      </c>
      <c r="I1738" t="s">
        <v>7714</v>
      </c>
    </row>
    <row r="1739">
      <c r="A1739" t="s">
        <v>3965</v>
      </c>
      <c r="B1739" s="232" t="s">
        <v>3964</v>
      </c>
      <c r="C1739" s="232">
        <v>16440.0</v>
      </c>
      <c r="D1739" s="232">
        <v>3608.59</v>
      </c>
      <c r="E1739" s="232">
        <v>0.2195</v>
      </c>
      <c r="F1739" t="s">
        <v>7732</v>
      </c>
      <c r="G1739" t="s">
        <v>330</v>
      </c>
      <c r="H1739" t="s">
        <v>7747</v>
      </c>
    </row>
    <row r="1740">
      <c r="A1740" t="s">
        <v>3971</v>
      </c>
      <c r="B1740" s="232" t="s">
        <v>3970</v>
      </c>
      <c r="C1740" s="232">
        <v>0.0</v>
      </c>
      <c r="D1740" s="232">
        <v>0.0</v>
      </c>
      <c r="F1740" t="s">
        <v>7702</v>
      </c>
      <c r="G1740" t="s">
        <v>310</v>
      </c>
      <c r="H1740" t="s">
        <v>7703</v>
      </c>
      <c r="I1740" t="s">
        <v>7719</v>
      </c>
    </row>
    <row r="1741">
      <c r="A1741" t="s">
        <v>3975</v>
      </c>
      <c r="B1741" s="232" t="s">
        <v>3974</v>
      </c>
      <c r="C1741" s="232">
        <v>0.0</v>
      </c>
      <c r="D1741" s="232">
        <v>0.0</v>
      </c>
      <c r="F1741" t="s">
        <v>7702</v>
      </c>
      <c r="G1741" t="s">
        <v>310</v>
      </c>
      <c r="H1741" t="s">
        <v>7703</v>
      </c>
      <c r="I1741" t="s">
        <v>7773</v>
      </c>
    </row>
    <row r="1742">
      <c r="A1742" t="s">
        <v>3977</v>
      </c>
      <c r="B1742" s="232" t="s">
        <v>3976</v>
      </c>
      <c r="C1742" s="232">
        <v>0.0</v>
      </c>
      <c r="D1742" s="232">
        <v>0.0</v>
      </c>
      <c r="F1742" t="s">
        <v>7702</v>
      </c>
      <c r="G1742" t="s">
        <v>310</v>
      </c>
      <c r="H1742" t="s">
        <v>7811</v>
      </c>
      <c r="I1742" t="s">
        <v>7773</v>
      </c>
    </row>
    <row r="1743">
      <c r="A1743" t="s">
        <v>3979</v>
      </c>
      <c r="B1743" s="232" t="s">
        <v>3978</v>
      </c>
      <c r="C1743" s="232">
        <v>0.0</v>
      </c>
      <c r="D1743" s="232">
        <v>0.0</v>
      </c>
      <c r="F1743" t="s">
        <v>7702</v>
      </c>
      <c r="G1743" t="s">
        <v>310</v>
      </c>
      <c r="H1743" t="s">
        <v>7703</v>
      </c>
      <c r="I1743" t="s">
        <v>7773</v>
      </c>
    </row>
    <row r="1744">
      <c r="A1744" t="s">
        <v>3981</v>
      </c>
      <c r="B1744" s="232" t="s">
        <v>3980</v>
      </c>
      <c r="C1744" s="232">
        <v>18.0</v>
      </c>
      <c r="D1744" s="232">
        <v>9.72</v>
      </c>
      <c r="E1744" s="232">
        <v>0.54</v>
      </c>
      <c r="F1744" t="s">
        <v>7702</v>
      </c>
      <c r="G1744" t="s">
        <v>330</v>
      </c>
      <c r="H1744" t="s">
        <v>7725</v>
      </c>
      <c r="I1744" t="s">
        <v>7739</v>
      </c>
    </row>
    <row r="1745">
      <c r="A1745" t="s">
        <v>3983</v>
      </c>
      <c r="B1745" s="232" t="s">
        <v>3982</v>
      </c>
      <c r="C1745" s="232">
        <v>204.0</v>
      </c>
      <c r="D1745" s="232">
        <v>112.2</v>
      </c>
      <c r="E1745" s="232">
        <v>0.55</v>
      </c>
      <c r="F1745" t="s">
        <v>7702</v>
      </c>
      <c r="G1745" t="s">
        <v>330</v>
      </c>
      <c r="H1745" t="s">
        <v>7725</v>
      </c>
      <c r="I1745" t="s">
        <v>7727</v>
      </c>
    </row>
    <row r="1746">
      <c r="A1746" t="s">
        <v>3985</v>
      </c>
      <c r="B1746" s="232" t="s">
        <v>3984</v>
      </c>
      <c r="C1746" s="232">
        <v>245.0</v>
      </c>
      <c r="D1746" s="232">
        <v>122.5</v>
      </c>
      <c r="E1746" s="232">
        <v>0.5</v>
      </c>
      <c r="F1746" t="s">
        <v>7702</v>
      </c>
      <c r="G1746" t="s">
        <v>330</v>
      </c>
      <c r="H1746" t="s">
        <v>7725</v>
      </c>
      <c r="I1746" t="s">
        <v>7745</v>
      </c>
    </row>
    <row r="1747">
      <c r="A1747" t="s">
        <v>3989</v>
      </c>
      <c r="B1747" s="232" t="s">
        <v>3988</v>
      </c>
      <c r="C1747" s="232">
        <v>239.0</v>
      </c>
      <c r="D1747" s="232">
        <v>129.06</v>
      </c>
      <c r="E1747" s="232">
        <v>0.54</v>
      </c>
      <c r="F1747" t="s">
        <v>7702</v>
      </c>
      <c r="G1747" t="s">
        <v>330</v>
      </c>
      <c r="H1747" t="s">
        <v>7725</v>
      </c>
      <c r="I1747" t="s">
        <v>7739</v>
      </c>
    </row>
    <row r="1748">
      <c r="A1748" t="s">
        <v>3991</v>
      </c>
      <c r="B1748" s="232" t="s">
        <v>3990</v>
      </c>
      <c r="C1748" s="232">
        <v>6.0</v>
      </c>
      <c r="D1748" s="232">
        <v>3.24</v>
      </c>
      <c r="E1748" s="232">
        <v>0.54</v>
      </c>
      <c r="F1748" t="s">
        <v>7702</v>
      </c>
      <c r="G1748" t="s">
        <v>330</v>
      </c>
      <c r="H1748" t="s">
        <v>7725</v>
      </c>
      <c r="I1748" t="s">
        <v>7739</v>
      </c>
    </row>
    <row r="1749">
      <c r="A1749" t="s">
        <v>3993</v>
      </c>
      <c r="B1749" s="232" t="s">
        <v>3992</v>
      </c>
      <c r="C1749" s="232">
        <v>528.0</v>
      </c>
      <c r="D1749" s="232">
        <v>290.4</v>
      </c>
      <c r="E1749" s="232">
        <v>0.55</v>
      </c>
      <c r="F1749" t="s">
        <v>7702</v>
      </c>
      <c r="G1749" t="s">
        <v>330</v>
      </c>
      <c r="H1749" t="s">
        <v>7725</v>
      </c>
      <c r="I1749" t="s">
        <v>7727</v>
      </c>
    </row>
    <row r="1750">
      <c r="A1750" t="s">
        <v>3995</v>
      </c>
      <c r="B1750" s="232" t="s">
        <v>3994</v>
      </c>
      <c r="C1750" s="232">
        <v>0.0</v>
      </c>
      <c r="D1750" s="232">
        <v>0.0</v>
      </c>
      <c r="F1750" t="s">
        <v>7702</v>
      </c>
      <c r="G1750" t="s">
        <v>310</v>
      </c>
      <c r="H1750" t="s">
        <v>7725</v>
      </c>
      <c r="I1750" t="s">
        <v>7745</v>
      </c>
    </row>
    <row r="1751">
      <c r="A1751" t="s">
        <v>3997</v>
      </c>
      <c r="B1751" s="232" t="s">
        <v>3996</v>
      </c>
      <c r="C1751" s="232">
        <v>12.0</v>
      </c>
      <c r="D1751" s="232">
        <v>6.48</v>
      </c>
      <c r="E1751" s="232">
        <v>0.54</v>
      </c>
      <c r="F1751" t="s">
        <v>7702</v>
      </c>
      <c r="G1751" t="s">
        <v>330</v>
      </c>
      <c r="H1751" t="s">
        <v>7725</v>
      </c>
      <c r="I1751" t="s">
        <v>7739</v>
      </c>
    </row>
    <row r="1752">
      <c r="A1752" t="s">
        <v>3999</v>
      </c>
      <c r="B1752" s="232" t="s">
        <v>3998</v>
      </c>
      <c r="C1752" s="232">
        <v>435.0</v>
      </c>
      <c r="D1752" s="232">
        <v>217.5</v>
      </c>
      <c r="E1752" s="232">
        <v>0.5</v>
      </c>
      <c r="F1752" t="s">
        <v>7702</v>
      </c>
      <c r="G1752" t="s">
        <v>330</v>
      </c>
      <c r="H1752" t="s">
        <v>7725</v>
      </c>
      <c r="I1752" t="s">
        <v>7745</v>
      </c>
    </row>
    <row r="1753">
      <c r="A1753" t="s">
        <v>4001</v>
      </c>
      <c r="B1753" s="232" t="s">
        <v>4000</v>
      </c>
      <c r="C1753" s="232">
        <v>0.0</v>
      </c>
      <c r="D1753" s="232">
        <v>0.0</v>
      </c>
      <c r="F1753" t="s">
        <v>7702</v>
      </c>
      <c r="G1753" t="s">
        <v>330</v>
      </c>
      <c r="H1753" t="s">
        <v>45</v>
      </c>
      <c r="I1753" t="s">
        <v>166</v>
      </c>
    </row>
    <row r="1754">
      <c r="A1754" t="s">
        <v>4003</v>
      </c>
      <c r="B1754" s="232" t="s">
        <v>4002</v>
      </c>
      <c r="C1754" s="232">
        <v>0.0</v>
      </c>
      <c r="D1754" s="232">
        <v>0.0</v>
      </c>
      <c r="F1754" t="s">
        <v>7702</v>
      </c>
      <c r="G1754" t="s">
        <v>330</v>
      </c>
      <c r="H1754" t="s">
        <v>45</v>
      </c>
      <c r="I1754" t="s">
        <v>166</v>
      </c>
    </row>
    <row r="1755">
      <c r="A1755" t="s">
        <v>4005</v>
      </c>
      <c r="B1755" s="232" t="s">
        <v>4004</v>
      </c>
      <c r="C1755" s="232">
        <v>161.0</v>
      </c>
      <c r="D1755" s="232">
        <v>350.11</v>
      </c>
      <c r="E1755" s="232">
        <v>2.1746</v>
      </c>
      <c r="F1755" t="s">
        <v>7702</v>
      </c>
      <c r="G1755" t="s">
        <v>330</v>
      </c>
      <c r="H1755" t="s">
        <v>150</v>
      </c>
      <c r="I1755" t="s">
        <v>166</v>
      </c>
    </row>
    <row r="1756">
      <c r="A1756" t="s">
        <v>4007</v>
      </c>
      <c r="B1756" s="232" t="s">
        <v>4006</v>
      </c>
      <c r="C1756" s="232">
        <v>351.0</v>
      </c>
      <c r="D1756" s="232">
        <v>880.67</v>
      </c>
      <c r="E1756" s="232">
        <v>2.509</v>
      </c>
      <c r="F1756" t="s">
        <v>7702</v>
      </c>
      <c r="G1756" t="s">
        <v>330</v>
      </c>
      <c r="H1756" t="s">
        <v>150</v>
      </c>
      <c r="I1756" t="s">
        <v>166</v>
      </c>
    </row>
    <row r="1757">
      <c r="A1757" t="s">
        <v>4009</v>
      </c>
      <c r="B1757" s="232" t="s">
        <v>4008</v>
      </c>
      <c r="C1757" s="232">
        <v>384.0</v>
      </c>
      <c r="D1757" s="232">
        <v>963.5</v>
      </c>
      <c r="E1757" s="232">
        <v>2.5091</v>
      </c>
      <c r="F1757" t="s">
        <v>7702</v>
      </c>
      <c r="G1757" t="s">
        <v>330</v>
      </c>
      <c r="H1757" t="s">
        <v>150</v>
      </c>
      <c r="I1757" t="s">
        <v>166</v>
      </c>
    </row>
    <row r="1758">
      <c r="A1758" t="s">
        <v>4011</v>
      </c>
      <c r="B1758" s="232" t="s">
        <v>4010</v>
      </c>
      <c r="C1758" s="232">
        <v>364.0</v>
      </c>
      <c r="D1758" s="232">
        <v>913.3</v>
      </c>
      <c r="E1758" s="232">
        <v>2.5091</v>
      </c>
      <c r="F1758" t="s">
        <v>7702</v>
      </c>
      <c r="G1758" t="s">
        <v>330</v>
      </c>
      <c r="H1758" t="s">
        <v>150</v>
      </c>
      <c r="I1758" t="s">
        <v>166</v>
      </c>
    </row>
    <row r="1759">
      <c r="A1759" t="s">
        <v>4013</v>
      </c>
      <c r="B1759" s="232" t="s">
        <v>4012</v>
      </c>
      <c r="C1759" s="232">
        <v>339.0</v>
      </c>
      <c r="D1759" s="232">
        <v>368.57</v>
      </c>
      <c r="E1759" s="232">
        <v>1.0872</v>
      </c>
      <c r="F1759" t="s">
        <v>7702</v>
      </c>
      <c r="G1759" t="s">
        <v>330</v>
      </c>
      <c r="H1759" t="s">
        <v>150</v>
      </c>
      <c r="I1759" t="s">
        <v>166</v>
      </c>
    </row>
    <row r="1760">
      <c r="A1760" t="s">
        <v>4017</v>
      </c>
      <c r="B1760" s="232" t="s">
        <v>4016</v>
      </c>
      <c r="C1760" s="232">
        <v>225.0</v>
      </c>
      <c r="D1760" s="232">
        <v>594.81</v>
      </c>
      <c r="E1760" s="232">
        <v>2.6436</v>
      </c>
      <c r="F1760" t="s">
        <v>7702</v>
      </c>
      <c r="G1760" t="s">
        <v>330</v>
      </c>
      <c r="H1760" t="s">
        <v>150</v>
      </c>
      <c r="I1760" t="s">
        <v>166</v>
      </c>
    </row>
    <row r="1761">
      <c r="A1761" t="s">
        <v>4019</v>
      </c>
      <c r="B1761" s="232" t="s">
        <v>4018</v>
      </c>
      <c r="C1761" s="232">
        <v>280.0</v>
      </c>
      <c r="D1761" s="232">
        <v>740.19</v>
      </c>
      <c r="E1761" s="232">
        <v>2.6435</v>
      </c>
      <c r="F1761" t="s">
        <v>7702</v>
      </c>
      <c r="G1761" t="s">
        <v>330</v>
      </c>
      <c r="H1761" t="s">
        <v>150</v>
      </c>
      <c r="I1761" t="s">
        <v>166</v>
      </c>
    </row>
    <row r="1762">
      <c r="A1762" t="s">
        <v>4021</v>
      </c>
      <c r="B1762" s="232" t="s">
        <v>4020</v>
      </c>
      <c r="C1762" s="232">
        <v>249.0</v>
      </c>
      <c r="D1762" s="232">
        <v>658.25</v>
      </c>
      <c r="E1762" s="232">
        <v>2.6436</v>
      </c>
      <c r="F1762" t="s">
        <v>7702</v>
      </c>
      <c r="G1762" t="s">
        <v>330</v>
      </c>
      <c r="H1762" t="s">
        <v>150</v>
      </c>
      <c r="I1762" t="s">
        <v>166</v>
      </c>
    </row>
    <row r="1763">
      <c r="A1763" t="s">
        <v>4023</v>
      </c>
      <c r="B1763" s="232" t="s">
        <v>4022</v>
      </c>
      <c r="C1763" s="232">
        <v>134.0</v>
      </c>
      <c r="D1763" s="232">
        <v>643.21</v>
      </c>
      <c r="E1763" s="232">
        <v>4.8001</v>
      </c>
      <c r="F1763" t="s">
        <v>7702</v>
      </c>
      <c r="G1763" t="s">
        <v>330</v>
      </c>
      <c r="H1763" t="s">
        <v>150</v>
      </c>
      <c r="I1763" t="s">
        <v>166</v>
      </c>
    </row>
    <row r="1764">
      <c r="A1764" t="s">
        <v>4025</v>
      </c>
      <c r="B1764" s="232" t="s">
        <v>4024</v>
      </c>
      <c r="C1764" s="232">
        <v>313.0</v>
      </c>
      <c r="D1764" s="232">
        <v>1780.85</v>
      </c>
      <c r="E1764" s="232">
        <v>5.6896</v>
      </c>
      <c r="F1764" t="s">
        <v>7702</v>
      </c>
      <c r="G1764" t="s">
        <v>330</v>
      </c>
      <c r="H1764" t="s">
        <v>150</v>
      </c>
      <c r="I1764" t="s">
        <v>166</v>
      </c>
    </row>
    <row r="1765">
      <c r="A1765" t="s">
        <v>4027</v>
      </c>
      <c r="B1765" s="232" t="s">
        <v>4026</v>
      </c>
      <c r="C1765" s="232">
        <v>0.0</v>
      </c>
      <c r="D1765" s="232">
        <v>0.0</v>
      </c>
      <c r="F1765" t="s">
        <v>7702</v>
      </c>
      <c r="G1765" t="s">
        <v>330</v>
      </c>
      <c r="H1765" t="s">
        <v>45</v>
      </c>
      <c r="I1765" t="s">
        <v>166</v>
      </c>
    </row>
    <row r="1766">
      <c r="A1766" t="s">
        <v>167</v>
      </c>
      <c r="B1766" s="232" t="s">
        <v>168</v>
      </c>
      <c r="C1766" s="232">
        <v>34.0</v>
      </c>
      <c r="D1766" s="232">
        <v>127.78</v>
      </c>
      <c r="E1766" s="232">
        <v>3.7582</v>
      </c>
      <c r="F1766" t="s">
        <v>7702</v>
      </c>
      <c r="G1766" t="s">
        <v>330</v>
      </c>
      <c r="H1766" t="s">
        <v>150</v>
      </c>
      <c r="I1766" t="s">
        <v>166</v>
      </c>
    </row>
    <row r="1767">
      <c r="A1767" t="s">
        <v>4029</v>
      </c>
      <c r="B1767" s="232" t="s">
        <v>4028</v>
      </c>
      <c r="C1767" s="232">
        <v>424.0</v>
      </c>
      <c r="D1767" s="232">
        <v>2624.06</v>
      </c>
      <c r="E1767" s="232">
        <v>6.1888</v>
      </c>
      <c r="F1767" t="s">
        <v>7702</v>
      </c>
      <c r="G1767" t="s">
        <v>330</v>
      </c>
      <c r="H1767" t="s">
        <v>150</v>
      </c>
      <c r="I1767" t="s">
        <v>166</v>
      </c>
    </row>
    <row r="1768">
      <c r="A1768" t="s">
        <v>4031</v>
      </c>
      <c r="B1768" s="232" t="s">
        <v>4030</v>
      </c>
      <c r="C1768" s="232">
        <v>0.0</v>
      </c>
      <c r="D1768" s="232">
        <v>0.0</v>
      </c>
      <c r="F1768" t="s">
        <v>7702</v>
      </c>
      <c r="G1768" t="s">
        <v>330</v>
      </c>
      <c r="H1768" t="s">
        <v>7725</v>
      </c>
    </row>
    <row r="1769">
      <c r="A1769" t="s">
        <v>4033</v>
      </c>
      <c r="B1769" s="232" t="s">
        <v>4032</v>
      </c>
      <c r="C1769" s="232">
        <v>0.0</v>
      </c>
      <c r="D1769" s="232">
        <v>0.0</v>
      </c>
      <c r="F1769" t="s">
        <v>7702</v>
      </c>
      <c r="G1769" t="s">
        <v>310</v>
      </c>
      <c r="H1769" t="s">
        <v>150</v>
      </c>
      <c r="I1769" t="s">
        <v>166</v>
      </c>
    </row>
    <row r="1770">
      <c r="A1770" t="s">
        <v>4035</v>
      </c>
      <c r="B1770" s="232" t="s">
        <v>4034</v>
      </c>
      <c r="C1770" s="232">
        <v>10140.0</v>
      </c>
      <c r="D1770" s="232">
        <v>594.19</v>
      </c>
      <c r="E1770" s="232">
        <v>0.0586</v>
      </c>
      <c r="F1770" t="s">
        <v>7732</v>
      </c>
      <c r="G1770" t="s">
        <v>330</v>
      </c>
      <c r="H1770" t="s">
        <v>7734</v>
      </c>
    </row>
    <row r="1771">
      <c r="A1771" t="s">
        <v>4037</v>
      </c>
      <c r="B1771" s="232" t="s">
        <v>4036</v>
      </c>
      <c r="C1771" s="232">
        <v>1.0</v>
      </c>
      <c r="D1771" s="232">
        <v>5.75</v>
      </c>
      <c r="E1771" s="232">
        <v>5.75</v>
      </c>
      <c r="F1771" t="s">
        <v>7732</v>
      </c>
      <c r="G1771" t="s">
        <v>330</v>
      </c>
      <c r="H1771" t="s">
        <v>7734</v>
      </c>
    </row>
    <row r="1772">
      <c r="A1772" t="s">
        <v>4039</v>
      </c>
      <c r="B1772" s="232" t="s">
        <v>4038</v>
      </c>
      <c r="C1772" s="232">
        <v>0.0</v>
      </c>
      <c r="D1772" s="232">
        <v>0.0</v>
      </c>
      <c r="F1772" t="s">
        <v>7732</v>
      </c>
      <c r="G1772" t="s">
        <v>330</v>
      </c>
      <c r="H1772" t="s">
        <v>7734</v>
      </c>
    </row>
    <row r="1773">
      <c r="A1773" t="s">
        <v>4041</v>
      </c>
      <c r="B1773" s="232" t="s">
        <v>4040</v>
      </c>
      <c r="C1773" s="232">
        <v>133.0</v>
      </c>
      <c r="D1773" s="232">
        <v>4650.79</v>
      </c>
      <c r="E1773" s="232">
        <v>34.9683</v>
      </c>
      <c r="F1773" t="s">
        <v>7702</v>
      </c>
      <c r="G1773" t="s">
        <v>330</v>
      </c>
      <c r="H1773" t="s">
        <v>150</v>
      </c>
      <c r="I1773" t="s">
        <v>7714</v>
      </c>
    </row>
    <row r="1774">
      <c r="A1774" t="s">
        <v>4043</v>
      </c>
      <c r="B1774" s="232" t="s">
        <v>4042</v>
      </c>
      <c r="C1774" s="232">
        <v>2.0</v>
      </c>
      <c r="D1774" s="232">
        <v>404.8</v>
      </c>
      <c r="E1774" s="232">
        <v>202.4</v>
      </c>
      <c r="F1774" t="s">
        <v>7711</v>
      </c>
      <c r="G1774" t="s">
        <v>330</v>
      </c>
      <c r="H1774" t="s">
        <v>7725</v>
      </c>
      <c r="I1774" t="s">
        <v>98</v>
      </c>
    </row>
    <row r="1775">
      <c r="A1775" t="s">
        <v>4055</v>
      </c>
      <c r="B1775" s="232" t="s">
        <v>4054</v>
      </c>
      <c r="C1775" s="232">
        <v>1233.0</v>
      </c>
      <c r="D1775" s="232">
        <v>2101.33</v>
      </c>
      <c r="E1775" s="232">
        <v>1.7042</v>
      </c>
      <c r="F1775" t="s">
        <v>7702</v>
      </c>
      <c r="G1775" t="s">
        <v>330</v>
      </c>
      <c r="H1775" t="s">
        <v>7709</v>
      </c>
      <c r="I1775" t="s">
        <v>7748</v>
      </c>
    </row>
    <row r="1776">
      <c r="A1776" t="s">
        <v>4059</v>
      </c>
      <c r="B1776" s="232" t="s">
        <v>4058</v>
      </c>
      <c r="C1776" s="232">
        <v>433.0</v>
      </c>
      <c r="D1776" s="232">
        <v>737.84</v>
      </c>
      <c r="E1776" s="232">
        <v>1.704</v>
      </c>
      <c r="F1776" t="s">
        <v>7702</v>
      </c>
      <c r="G1776" t="s">
        <v>330</v>
      </c>
      <c r="H1776" t="s">
        <v>150</v>
      </c>
      <c r="I1776" t="s">
        <v>7748</v>
      </c>
    </row>
    <row r="1777">
      <c r="A1777" t="s">
        <v>4061</v>
      </c>
      <c r="B1777" s="232" t="s">
        <v>4060</v>
      </c>
      <c r="C1777" s="232">
        <v>1453.0</v>
      </c>
      <c r="D1777" s="232">
        <v>2476.38</v>
      </c>
      <c r="E1777" s="232">
        <v>1.7043</v>
      </c>
      <c r="F1777" t="s">
        <v>7702</v>
      </c>
      <c r="G1777" t="s">
        <v>330</v>
      </c>
      <c r="H1777" t="s">
        <v>7709</v>
      </c>
      <c r="I1777" t="s">
        <v>7748</v>
      </c>
    </row>
    <row r="1778">
      <c r="A1778" t="s">
        <v>4063</v>
      </c>
      <c r="B1778" s="232" t="s">
        <v>4062</v>
      </c>
      <c r="C1778" s="232">
        <v>413.0</v>
      </c>
      <c r="D1778" s="232">
        <v>756.65</v>
      </c>
      <c r="E1778" s="232">
        <v>1.8321</v>
      </c>
      <c r="F1778" t="s">
        <v>7702</v>
      </c>
      <c r="G1778" t="s">
        <v>330</v>
      </c>
      <c r="H1778" t="s">
        <v>150</v>
      </c>
      <c r="I1778" t="s">
        <v>7748</v>
      </c>
    </row>
    <row r="1779">
      <c r="A1779" t="s">
        <v>4067</v>
      </c>
      <c r="B1779" s="232" t="s">
        <v>4066</v>
      </c>
      <c r="C1779" s="232">
        <v>806.0</v>
      </c>
      <c r="D1779" s="232">
        <v>1373.7</v>
      </c>
      <c r="E1779" s="232">
        <v>1.7043</v>
      </c>
      <c r="F1779" t="s">
        <v>7702</v>
      </c>
      <c r="G1779" t="s">
        <v>330</v>
      </c>
      <c r="H1779" t="s">
        <v>150</v>
      </c>
      <c r="I1779" t="s">
        <v>7748</v>
      </c>
    </row>
    <row r="1780">
      <c r="A1780" t="s">
        <v>4069</v>
      </c>
      <c r="B1780" s="232" t="s">
        <v>4068</v>
      </c>
      <c r="C1780" s="232">
        <v>1537.0</v>
      </c>
      <c r="D1780" s="232">
        <v>2619.58</v>
      </c>
      <c r="E1780" s="232">
        <v>1.7043</v>
      </c>
      <c r="F1780" t="s">
        <v>7702</v>
      </c>
      <c r="G1780" t="s">
        <v>330</v>
      </c>
      <c r="H1780" t="s">
        <v>7709</v>
      </c>
      <c r="I1780" t="s">
        <v>7748</v>
      </c>
    </row>
    <row r="1781">
      <c r="A1781" t="s">
        <v>4071</v>
      </c>
      <c r="B1781" s="232" t="s">
        <v>4070</v>
      </c>
      <c r="C1781" s="232">
        <v>327.0</v>
      </c>
      <c r="D1781" s="232">
        <v>599.05</v>
      </c>
      <c r="E1781" s="232">
        <v>1.832</v>
      </c>
      <c r="F1781" t="s">
        <v>7702</v>
      </c>
      <c r="G1781" t="s">
        <v>330</v>
      </c>
      <c r="H1781" t="s">
        <v>45</v>
      </c>
      <c r="I1781" t="s">
        <v>7748</v>
      </c>
    </row>
    <row r="1782">
      <c r="A1782" t="s">
        <v>4073</v>
      </c>
      <c r="B1782" s="232" t="s">
        <v>4072</v>
      </c>
      <c r="C1782" s="232">
        <v>4.0</v>
      </c>
      <c r="D1782" s="232">
        <v>19.44</v>
      </c>
      <c r="E1782" s="232">
        <v>4.86</v>
      </c>
      <c r="F1782" t="s">
        <v>7702</v>
      </c>
      <c r="G1782" t="s">
        <v>330</v>
      </c>
      <c r="I1782" t="s">
        <v>7714</v>
      </c>
    </row>
    <row r="1783">
      <c r="A1783" t="s">
        <v>4075</v>
      </c>
      <c r="B1783" s="232" t="s">
        <v>4074</v>
      </c>
      <c r="C1783" s="232">
        <v>5.0</v>
      </c>
      <c r="D1783" s="232">
        <v>201.11</v>
      </c>
      <c r="E1783" s="232">
        <v>40.222</v>
      </c>
      <c r="F1783" t="s">
        <v>7702</v>
      </c>
      <c r="G1783" t="s">
        <v>330</v>
      </c>
      <c r="H1783" t="s">
        <v>150</v>
      </c>
      <c r="I1783" t="s">
        <v>7748</v>
      </c>
    </row>
    <row r="1784">
      <c r="A1784" t="s">
        <v>4077</v>
      </c>
      <c r="B1784" s="232" t="s">
        <v>4076</v>
      </c>
      <c r="C1784" s="232">
        <v>267.0</v>
      </c>
      <c r="D1784" s="232">
        <v>1350.38</v>
      </c>
      <c r="E1784" s="232">
        <v>5.0576</v>
      </c>
      <c r="F1784" t="s">
        <v>7702</v>
      </c>
      <c r="G1784" t="s">
        <v>330</v>
      </c>
      <c r="H1784" t="s">
        <v>45</v>
      </c>
      <c r="I1784" t="s">
        <v>7775</v>
      </c>
    </row>
    <row r="1785">
      <c r="A1785" t="s">
        <v>4079</v>
      </c>
      <c r="B1785" s="232" t="s">
        <v>4078</v>
      </c>
      <c r="C1785" s="232">
        <v>336.0</v>
      </c>
      <c r="D1785" s="232">
        <v>1699.28</v>
      </c>
      <c r="E1785" s="232">
        <v>5.0574</v>
      </c>
      <c r="F1785" t="s">
        <v>7702</v>
      </c>
      <c r="G1785" t="s">
        <v>330</v>
      </c>
      <c r="H1785" t="s">
        <v>45</v>
      </c>
      <c r="I1785" t="s">
        <v>7775</v>
      </c>
    </row>
    <row r="1786">
      <c r="A1786" t="s">
        <v>4081</v>
      </c>
      <c r="B1786" s="232" t="s">
        <v>4080</v>
      </c>
      <c r="C1786" s="232">
        <v>232.0</v>
      </c>
      <c r="D1786" s="232">
        <v>1173.4</v>
      </c>
      <c r="E1786" s="232">
        <v>5.0578</v>
      </c>
      <c r="F1786" t="s">
        <v>7702</v>
      </c>
      <c r="G1786" t="s">
        <v>330</v>
      </c>
      <c r="H1786" t="s">
        <v>45</v>
      </c>
      <c r="I1786" t="s">
        <v>7775</v>
      </c>
    </row>
    <row r="1787">
      <c r="A1787" t="s">
        <v>4083</v>
      </c>
      <c r="B1787" s="232" t="s">
        <v>4082</v>
      </c>
      <c r="C1787" s="232">
        <v>0.0</v>
      </c>
      <c r="D1787" s="232">
        <v>0.0</v>
      </c>
      <c r="F1787" t="s">
        <v>7702</v>
      </c>
      <c r="G1787" t="s">
        <v>310</v>
      </c>
      <c r="H1787" t="s">
        <v>45</v>
      </c>
      <c r="I1787" t="s">
        <v>7775</v>
      </c>
    </row>
    <row r="1788">
      <c r="A1788" t="s">
        <v>4085</v>
      </c>
      <c r="B1788" s="232" t="s">
        <v>4084</v>
      </c>
      <c r="C1788" s="232">
        <v>82.0</v>
      </c>
      <c r="D1788" s="232">
        <v>414.89</v>
      </c>
      <c r="E1788" s="232">
        <v>5.0596</v>
      </c>
      <c r="F1788" t="s">
        <v>7702</v>
      </c>
      <c r="G1788" t="s">
        <v>330</v>
      </c>
      <c r="H1788" t="s">
        <v>45</v>
      </c>
      <c r="I1788" t="s">
        <v>7775</v>
      </c>
    </row>
    <row r="1789">
      <c r="A1789" t="s">
        <v>4087</v>
      </c>
      <c r="B1789" s="232" t="s">
        <v>4086</v>
      </c>
      <c r="C1789" s="232">
        <v>145.0</v>
      </c>
      <c r="D1789" s="232">
        <v>733.47</v>
      </c>
      <c r="E1789" s="232">
        <v>5.0584</v>
      </c>
      <c r="F1789" t="s">
        <v>7702</v>
      </c>
      <c r="G1789" t="s">
        <v>330</v>
      </c>
      <c r="H1789" t="s">
        <v>45</v>
      </c>
      <c r="I1789" t="s">
        <v>7775</v>
      </c>
    </row>
    <row r="1790">
      <c r="A1790" t="s">
        <v>4089</v>
      </c>
      <c r="B1790" s="232" t="s">
        <v>4088</v>
      </c>
      <c r="C1790" s="232">
        <v>0.0</v>
      </c>
      <c r="D1790" s="232">
        <v>0.0</v>
      </c>
      <c r="F1790" t="s">
        <v>7702</v>
      </c>
      <c r="G1790" t="s">
        <v>310</v>
      </c>
      <c r="H1790" t="s">
        <v>7703</v>
      </c>
      <c r="I1790" t="s">
        <v>7713</v>
      </c>
    </row>
    <row r="1791">
      <c r="A1791" t="s">
        <v>4091</v>
      </c>
      <c r="B1791" s="232" t="s">
        <v>4090</v>
      </c>
      <c r="C1791" s="232">
        <v>0.0</v>
      </c>
      <c r="D1791" s="232">
        <v>0.0</v>
      </c>
      <c r="F1791" t="s">
        <v>7702</v>
      </c>
      <c r="G1791" t="s">
        <v>310</v>
      </c>
      <c r="H1791" t="s">
        <v>7703</v>
      </c>
      <c r="I1791" t="s">
        <v>7713</v>
      </c>
    </row>
    <row r="1792">
      <c r="A1792" t="s">
        <v>4093</v>
      </c>
      <c r="B1792" s="232" t="s">
        <v>4092</v>
      </c>
      <c r="C1792" s="232">
        <v>0.0</v>
      </c>
      <c r="D1792" s="232">
        <v>0.0</v>
      </c>
      <c r="F1792" t="s">
        <v>7702</v>
      </c>
      <c r="G1792" t="s">
        <v>310</v>
      </c>
      <c r="H1792" t="s">
        <v>7703</v>
      </c>
      <c r="I1792" t="s">
        <v>7713</v>
      </c>
    </row>
    <row r="1793">
      <c r="A1793" t="s">
        <v>4095</v>
      </c>
      <c r="B1793" s="232" t="s">
        <v>4094</v>
      </c>
      <c r="C1793" s="232">
        <v>0.0</v>
      </c>
      <c r="D1793" s="232">
        <v>0.0</v>
      </c>
      <c r="F1793" t="s">
        <v>7702</v>
      </c>
      <c r="G1793" t="s">
        <v>310</v>
      </c>
      <c r="H1793" t="s">
        <v>7703</v>
      </c>
      <c r="I1793" t="s">
        <v>7713</v>
      </c>
    </row>
    <row r="1794">
      <c r="A1794" t="s">
        <v>4097</v>
      </c>
      <c r="B1794" s="232" t="s">
        <v>4096</v>
      </c>
      <c r="C1794" s="232">
        <v>0.0</v>
      </c>
      <c r="D1794" s="232">
        <v>0.0</v>
      </c>
      <c r="F1794" t="s">
        <v>7702</v>
      </c>
      <c r="G1794" t="s">
        <v>310</v>
      </c>
      <c r="H1794" t="s">
        <v>7703</v>
      </c>
      <c r="I1794" t="s">
        <v>7713</v>
      </c>
    </row>
    <row r="1795">
      <c r="A1795" t="s">
        <v>4099</v>
      </c>
      <c r="B1795" s="232" t="s">
        <v>4098</v>
      </c>
      <c r="C1795" s="232">
        <v>0.0</v>
      </c>
      <c r="D1795" s="232">
        <v>0.0</v>
      </c>
      <c r="F1795" t="s">
        <v>7702</v>
      </c>
      <c r="G1795" t="s">
        <v>310</v>
      </c>
      <c r="H1795" t="s">
        <v>7703</v>
      </c>
      <c r="I1795" t="s">
        <v>7713</v>
      </c>
    </row>
    <row r="1796">
      <c r="A1796" t="s">
        <v>4101</v>
      </c>
      <c r="B1796" s="232" t="s">
        <v>4100</v>
      </c>
      <c r="C1796" s="232">
        <v>0.0</v>
      </c>
      <c r="D1796" s="232">
        <v>0.0</v>
      </c>
      <c r="F1796" t="s">
        <v>7711</v>
      </c>
      <c r="G1796" t="s">
        <v>310</v>
      </c>
      <c r="H1796" t="s">
        <v>7703</v>
      </c>
      <c r="I1796" t="s">
        <v>7713</v>
      </c>
    </row>
    <row r="1797">
      <c r="A1797" t="s">
        <v>4103</v>
      </c>
      <c r="B1797" s="232" t="s">
        <v>4102</v>
      </c>
      <c r="C1797" s="232">
        <v>202.0</v>
      </c>
      <c r="D1797" s="232">
        <v>1814.06</v>
      </c>
      <c r="E1797" s="232">
        <v>8.9805</v>
      </c>
      <c r="F1797" t="s">
        <v>7702</v>
      </c>
      <c r="G1797" t="s">
        <v>330</v>
      </c>
      <c r="H1797" t="s">
        <v>7709</v>
      </c>
      <c r="I1797" t="s">
        <v>7815</v>
      </c>
    </row>
    <row r="1798">
      <c r="A1798" t="s">
        <v>4107</v>
      </c>
      <c r="B1798" s="232" t="s">
        <v>4106</v>
      </c>
      <c r="C1798" s="232">
        <v>344.0</v>
      </c>
      <c r="D1798" s="232">
        <v>3088.12</v>
      </c>
      <c r="E1798" s="232">
        <v>8.9771</v>
      </c>
      <c r="F1798" t="s">
        <v>7702</v>
      </c>
      <c r="G1798" t="s">
        <v>330</v>
      </c>
      <c r="H1798" t="s">
        <v>7709</v>
      </c>
      <c r="I1798" t="s">
        <v>7815</v>
      </c>
    </row>
    <row r="1799">
      <c r="A1799" t="s">
        <v>4109</v>
      </c>
      <c r="B1799" s="232" t="s">
        <v>4108</v>
      </c>
      <c r="C1799" s="232">
        <v>441.0</v>
      </c>
      <c r="D1799" s="232">
        <v>3959.5</v>
      </c>
      <c r="E1799" s="232">
        <v>8.9785</v>
      </c>
      <c r="F1799" t="s">
        <v>7702</v>
      </c>
      <c r="G1799" t="s">
        <v>330</v>
      </c>
      <c r="H1799" t="s">
        <v>7709</v>
      </c>
      <c r="I1799" t="s">
        <v>7815</v>
      </c>
    </row>
    <row r="1800">
      <c r="A1800" t="s">
        <v>4113</v>
      </c>
      <c r="B1800" s="232" t="s">
        <v>4112</v>
      </c>
      <c r="C1800" s="232">
        <v>370.0</v>
      </c>
      <c r="D1800" s="232">
        <v>3322.14</v>
      </c>
      <c r="E1800" s="232">
        <v>8.9788</v>
      </c>
      <c r="F1800" t="s">
        <v>7702</v>
      </c>
      <c r="G1800" t="s">
        <v>330</v>
      </c>
      <c r="H1800" t="s">
        <v>7709</v>
      </c>
      <c r="I1800" t="s">
        <v>7815</v>
      </c>
    </row>
    <row r="1801">
      <c r="A1801" t="s">
        <v>4117</v>
      </c>
      <c r="B1801" s="232" t="s">
        <v>4116</v>
      </c>
      <c r="C1801" s="232">
        <v>421.0</v>
      </c>
      <c r="D1801" s="232">
        <v>3779.96</v>
      </c>
      <c r="E1801" s="232">
        <v>8.9785</v>
      </c>
      <c r="F1801" t="s">
        <v>7702</v>
      </c>
      <c r="G1801" t="s">
        <v>330</v>
      </c>
      <c r="H1801" t="s">
        <v>45</v>
      </c>
      <c r="I1801" t="s">
        <v>7815</v>
      </c>
    </row>
    <row r="1802">
      <c r="A1802" t="s">
        <v>4119</v>
      </c>
      <c r="B1802" s="232" t="s">
        <v>4118</v>
      </c>
      <c r="C1802" s="232">
        <v>228.0</v>
      </c>
      <c r="D1802" s="232">
        <v>687.22</v>
      </c>
      <c r="E1802" s="232">
        <v>3.0141</v>
      </c>
      <c r="F1802" t="s">
        <v>7702</v>
      </c>
      <c r="G1802" t="s">
        <v>330</v>
      </c>
      <c r="H1802" t="s">
        <v>45</v>
      </c>
      <c r="I1802" t="s">
        <v>7755</v>
      </c>
    </row>
    <row r="1803">
      <c r="A1803" t="s">
        <v>4121</v>
      </c>
      <c r="B1803" s="232" t="s">
        <v>4120</v>
      </c>
      <c r="C1803" s="232">
        <v>420.0</v>
      </c>
      <c r="D1803" s="232">
        <v>1255.22</v>
      </c>
      <c r="E1803" s="232">
        <v>2.9886</v>
      </c>
      <c r="F1803" t="s">
        <v>7702</v>
      </c>
      <c r="G1803" t="s">
        <v>330</v>
      </c>
      <c r="H1803" t="s">
        <v>45</v>
      </c>
      <c r="I1803" t="s">
        <v>7755</v>
      </c>
    </row>
    <row r="1804">
      <c r="A1804" t="s">
        <v>4123</v>
      </c>
      <c r="B1804" s="232" t="s">
        <v>4122</v>
      </c>
      <c r="C1804" s="232">
        <v>172.0</v>
      </c>
      <c r="D1804" s="232">
        <v>514.3</v>
      </c>
      <c r="E1804" s="232">
        <v>2.9901</v>
      </c>
      <c r="F1804" t="s">
        <v>7702</v>
      </c>
      <c r="G1804" t="s">
        <v>330</v>
      </c>
      <c r="H1804" t="s">
        <v>45</v>
      </c>
      <c r="I1804" t="s">
        <v>7755</v>
      </c>
    </row>
    <row r="1805">
      <c r="A1805" t="s">
        <v>4125</v>
      </c>
      <c r="B1805" s="232" t="s">
        <v>4124</v>
      </c>
      <c r="C1805" s="232">
        <v>264.0</v>
      </c>
      <c r="D1805" s="232">
        <v>795.6</v>
      </c>
      <c r="E1805" s="232">
        <v>3.0136</v>
      </c>
      <c r="F1805" t="s">
        <v>7702</v>
      </c>
      <c r="G1805" t="s">
        <v>330</v>
      </c>
      <c r="H1805" t="s">
        <v>45</v>
      </c>
      <c r="I1805" t="s">
        <v>7755</v>
      </c>
    </row>
    <row r="1806">
      <c r="A1806" t="s">
        <v>4127</v>
      </c>
      <c r="B1806" s="232" t="s">
        <v>4126</v>
      </c>
      <c r="C1806" s="232">
        <v>76.0</v>
      </c>
      <c r="D1806" s="232">
        <v>229.34</v>
      </c>
      <c r="E1806" s="232">
        <v>3.0176</v>
      </c>
      <c r="F1806" t="s">
        <v>7702</v>
      </c>
      <c r="G1806" t="s">
        <v>330</v>
      </c>
      <c r="H1806" t="s">
        <v>45</v>
      </c>
      <c r="I1806" t="s">
        <v>7755</v>
      </c>
    </row>
    <row r="1807">
      <c r="A1807" t="s">
        <v>4129</v>
      </c>
      <c r="B1807" s="232" t="s">
        <v>4128</v>
      </c>
      <c r="C1807" s="232">
        <v>80.0</v>
      </c>
      <c r="D1807" s="232">
        <v>241.38</v>
      </c>
      <c r="E1807" s="232">
        <v>3.0173</v>
      </c>
      <c r="F1807" t="s">
        <v>7702</v>
      </c>
      <c r="G1807" t="s">
        <v>330</v>
      </c>
      <c r="H1807" t="s">
        <v>45</v>
      </c>
      <c r="I1807" t="s">
        <v>7755</v>
      </c>
    </row>
    <row r="1808">
      <c r="A1808" t="s">
        <v>4133</v>
      </c>
      <c r="B1808" s="232" t="s">
        <v>4132</v>
      </c>
      <c r="C1808" s="232">
        <v>392.0</v>
      </c>
      <c r="D1808" s="232">
        <v>1181.27</v>
      </c>
      <c r="E1808" s="232">
        <v>3.0134</v>
      </c>
      <c r="F1808" t="s">
        <v>7702</v>
      </c>
      <c r="G1808" t="s">
        <v>330</v>
      </c>
      <c r="H1808" t="s">
        <v>45</v>
      </c>
      <c r="I1808" t="s">
        <v>7755</v>
      </c>
    </row>
    <row r="1809">
      <c r="A1809" t="s">
        <v>4135</v>
      </c>
      <c r="B1809" s="232" t="s">
        <v>4134</v>
      </c>
      <c r="C1809" s="232">
        <v>182.0</v>
      </c>
      <c r="D1809" s="232">
        <v>548.81</v>
      </c>
      <c r="E1809" s="232">
        <v>3.0154</v>
      </c>
      <c r="F1809" t="s">
        <v>7702</v>
      </c>
      <c r="G1809" t="s">
        <v>330</v>
      </c>
      <c r="H1809" t="s">
        <v>45</v>
      </c>
      <c r="I1809" t="s">
        <v>7755</v>
      </c>
    </row>
    <row r="1810">
      <c r="A1810" t="s">
        <v>4137</v>
      </c>
      <c r="B1810" s="232" t="s">
        <v>4136</v>
      </c>
      <c r="C1810" s="232">
        <v>183.0</v>
      </c>
      <c r="D1810" s="232">
        <v>547.14</v>
      </c>
      <c r="E1810" s="232">
        <v>2.9898</v>
      </c>
      <c r="F1810" t="s">
        <v>7702</v>
      </c>
      <c r="G1810" t="s">
        <v>330</v>
      </c>
      <c r="H1810" t="s">
        <v>45</v>
      </c>
      <c r="I1810" t="s">
        <v>7755</v>
      </c>
    </row>
    <row r="1811">
      <c r="A1811" t="s">
        <v>4139</v>
      </c>
      <c r="B1811" s="232" t="s">
        <v>4138</v>
      </c>
      <c r="C1811" s="232">
        <v>235.0</v>
      </c>
      <c r="D1811" s="232">
        <v>708.31</v>
      </c>
      <c r="E1811" s="232">
        <v>3.0141</v>
      </c>
      <c r="F1811" t="s">
        <v>7702</v>
      </c>
      <c r="G1811" t="s">
        <v>330</v>
      </c>
      <c r="H1811" t="s">
        <v>45</v>
      </c>
      <c r="I1811" t="s">
        <v>7755</v>
      </c>
    </row>
    <row r="1812">
      <c r="A1812" t="s">
        <v>4141</v>
      </c>
      <c r="B1812" s="232" t="s">
        <v>4140</v>
      </c>
      <c r="C1812" s="232">
        <v>0.0</v>
      </c>
      <c r="D1812" s="232">
        <v>0.0</v>
      </c>
      <c r="F1812" t="s">
        <v>7702</v>
      </c>
      <c r="G1812" t="s">
        <v>330</v>
      </c>
      <c r="H1812" t="s">
        <v>7725</v>
      </c>
    </row>
    <row r="1813">
      <c r="A1813" t="s">
        <v>4142</v>
      </c>
      <c r="B1813" s="232">
        <v>41501.0</v>
      </c>
      <c r="C1813" s="232">
        <v>0.0</v>
      </c>
      <c r="D1813" s="232">
        <v>0.0</v>
      </c>
      <c r="F1813" t="s">
        <v>7702</v>
      </c>
      <c r="G1813" t="s">
        <v>310</v>
      </c>
      <c r="H1813" t="s">
        <v>7703</v>
      </c>
      <c r="I1813" t="s">
        <v>7772</v>
      </c>
    </row>
    <row r="1814">
      <c r="A1814" t="s">
        <v>4143</v>
      </c>
      <c r="B1814" s="232">
        <v>41502.0</v>
      </c>
      <c r="C1814" s="232">
        <v>0.0</v>
      </c>
      <c r="D1814" s="232">
        <v>0.0</v>
      </c>
      <c r="F1814" t="s">
        <v>7702</v>
      </c>
      <c r="G1814" t="s">
        <v>310</v>
      </c>
      <c r="H1814" t="s">
        <v>7703</v>
      </c>
      <c r="I1814" t="s">
        <v>7772</v>
      </c>
    </row>
    <row r="1815">
      <c r="A1815" t="s">
        <v>4144</v>
      </c>
      <c r="B1815" s="232">
        <v>41503.0</v>
      </c>
      <c r="C1815" s="232">
        <v>0.0</v>
      </c>
      <c r="D1815" s="232">
        <v>0.0</v>
      </c>
      <c r="F1815" t="s">
        <v>7702</v>
      </c>
      <c r="G1815" t="s">
        <v>310</v>
      </c>
      <c r="H1815" t="s">
        <v>7703</v>
      </c>
      <c r="I1815" t="s">
        <v>7772</v>
      </c>
    </row>
    <row r="1816">
      <c r="A1816" t="s">
        <v>4145</v>
      </c>
      <c r="B1816" s="232">
        <v>41504.0</v>
      </c>
      <c r="C1816" s="232">
        <v>0.0</v>
      </c>
      <c r="D1816" s="232">
        <v>0.0</v>
      </c>
      <c r="F1816" t="s">
        <v>7702</v>
      </c>
      <c r="G1816" t="s">
        <v>310</v>
      </c>
      <c r="H1816" t="s">
        <v>7703</v>
      </c>
      <c r="I1816" t="s">
        <v>7772</v>
      </c>
    </row>
    <row r="1817">
      <c r="A1817" t="s">
        <v>4146</v>
      </c>
      <c r="B1817" s="232">
        <v>41505.0</v>
      </c>
      <c r="C1817" s="232">
        <v>0.0</v>
      </c>
      <c r="D1817" s="232">
        <v>0.0</v>
      </c>
      <c r="F1817" t="s">
        <v>7702</v>
      </c>
      <c r="G1817" t="s">
        <v>310</v>
      </c>
      <c r="H1817" t="s">
        <v>7703</v>
      </c>
      <c r="I1817" t="s">
        <v>7772</v>
      </c>
    </row>
    <row r="1818">
      <c r="A1818" t="s">
        <v>4147</v>
      </c>
      <c r="B1818" s="232">
        <v>41508.0</v>
      </c>
      <c r="C1818" s="232">
        <v>0.0</v>
      </c>
      <c r="D1818" s="232">
        <v>0.0</v>
      </c>
      <c r="F1818" t="s">
        <v>7702</v>
      </c>
      <c r="G1818" t="s">
        <v>310</v>
      </c>
      <c r="H1818" t="s">
        <v>7703</v>
      </c>
      <c r="I1818" t="s">
        <v>7772</v>
      </c>
    </row>
    <row r="1819">
      <c r="A1819" t="s">
        <v>4148</v>
      </c>
      <c r="B1819" s="232">
        <v>41510.0</v>
      </c>
      <c r="C1819" s="232">
        <v>0.0</v>
      </c>
      <c r="D1819" s="232">
        <v>0.0</v>
      </c>
      <c r="F1819" t="s">
        <v>7702</v>
      </c>
      <c r="G1819" t="s">
        <v>310</v>
      </c>
      <c r="H1819" t="s">
        <v>7703</v>
      </c>
      <c r="I1819" t="s">
        <v>7772</v>
      </c>
    </row>
    <row r="1820">
      <c r="A1820" t="s">
        <v>4149</v>
      </c>
      <c r="B1820" s="232">
        <v>41511.0</v>
      </c>
      <c r="C1820" s="232">
        <v>0.0</v>
      </c>
      <c r="D1820" s="232">
        <v>0.0</v>
      </c>
      <c r="F1820" t="s">
        <v>7702</v>
      </c>
      <c r="G1820" t="s">
        <v>310</v>
      </c>
      <c r="H1820" t="s">
        <v>7703</v>
      </c>
      <c r="I1820" t="s">
        <v>7772</v>
      </c>
    </row>
    <row r="1821">
      <c r="A1821" t="s">
        <v>4150</v>
      </c>
      <c r="B1821" s="232">
        <v>41512.0</v>
      </c>
      <c r="C1821" s="232">
        <v>0.0</v>
      </c>
      <c r="D1821" s="232">
        <v>0.0</v>
      </c>
      <c r="F1821" t="s">
        <v>7702</v>
      </c>
      <c r="G1821" t="s">
        <v>310</v>
      </c>
      <c r="H1821" t="s">
        <v>7703</v>
      </c>
      <c r="I1821" t="s">
        <v>7772</v>
      </c>
    </row>
    <row r="1822">
      <c r="A1822" t="s">
        <v>4151</v>
      </c>
      <c r="B1822" s="232">
        <v>41513.0</v>
      </c>
      <c r="C1822" s="232">
        <v>0.0</v>
      </c>
      <c r="D1822" s="232">
        <v>0.0</v>
      </c>
      <c r="F1822" t="s">
        <v>7702</v>
      </c>
      <c r="G1822" t="s">
        <v>310</v>
      </c>
      <c r="H1822" t="s">
        <v>7703</v>
      </c>
      <c r="I1822" t="s">
        <v>7772</v>
      </c>
    </row>
    <row r="1823">
      <c r="A1823" t="s">
        <v>4152</v>
      </c>
      <c r="B1823" s="232">
        <v>41518.0</v>
      </c>
      <c r="C1823" s="232">
        <v>0.0</v>
      </c>
      <c r="D1823" s="232">
        <v>0.0</v>
      </c>
      <c r="F1823" t="s">
        <v>7702</v>
      </c>
      <c r="G1823" t="s">
        <v>310</v>
      </c>
      <c r="H1823" t="s">
        <v>7703</v>
      </c>
      <c r="I1823" t="s">
        <v>7772</v>
      </c>
    </row>
    <row r="1824">
      <c r="A1824" t="s">
        <v>4153</v>
      </c>
      <c r="B1824" s="232">
        <v>41519.0</v>
      </c>
      <c r="C1824" s="232">
        <v>0.0</v>
      </c>
      <c r="D1824" s="232">
        <v>0.0</v>
      </c>
      <c r="F1824" t="s">
        <v>7702</v>
      </c>
      <c r="G1824" t="s">
        <v>310</v>
      </c>
      <c r="H1824" t="s">
        <v>7703</v>
      </c>
      <c r="I1824" t="s">
        <v>7772</v>
      </c>
    </row>
    <row r="1825">
      <c r="A1825" t="s">
        <v>4155</v>
      </c>
      <c r="B1825" s="232" t="s">
        <v>4154</v>
      </c>
      <c r="C1825" s="232">
        <v>0.0</v>
      </c>
      <c r="D1825" s="232">
        <v>0.0</v>
      </c>
      <c r="F1825" t="s">
        <v>7702</v>
      </c>
      <c r="G1825" t="s">
        <v>310</v>
      </c>
      <c r="H1825" t="s">
        <v>7703</v>
      </c>
      <c r="I1825" t="s">
        <v>7772</v>
      </c>
    </row>
    <row r="1826">
      <c r="A1826" t="s">
        <v>4157</v>
      </c>
      <c r="B1826" s="232" t="s">
        <v>4156</v>
      </c>
      <c r="C1826" s="232">
        <v>0.0</v>
      </c>
      <c r="D1826" s="232">
        <v>0.0</v>
      </c>
      <c r="F1826" t="s">
        <v>7711</v>
      </c>
      <c r="G1826" t="s">
        <v>310</v>
      </c>
      <c r="H1826" t="s">
        <v>7703</v>
      </c>
      <c r="I1826" t="s">
        <v>7772</v>
      </c>
    </row>
    <row r="1827">
      <c r="A1827" t="s">
        <v>4159</v>
      </c>
      <c r="B1827" s="232">
        <v>7006.0</v>
      </c>
      <c r="C1827" s="232">
        <v>0.0</v>
      </c>
      <c r="D1827" s="232">
        <v>0.0</v>
      </c>
      <c r="F1827" t="s">
        <v>7702</v>
      </c>
      <c r="G1827" t="s">
        <v>310</v>
      </c>
      <c r="H1827" t="s">
        <v>7703</v>
      </c>
      <c r="I1827" t="s">
        <v>7744</v>
      </c>
    </row>
    <row r="1828">
      <c r="A1828" t="s">
        <v>4160</v>
      </c>
      <c r="B1828" s="232">
        <v>7009.0</v>
      </c>
      <c r="C1828" s="232">
        <v>0.0</v>
      </c>
      <c r="D1828" s="232">
        <v>0.0</v>
      </c>
      <c r="F1828" t="s">
        <v>7702</v>
      </c>
      <c r="G1828" t="s">
        <v>310</v>
      </c>
      <c r="H1828" t="s">
        <v>7703</v>
      </c>
      <c r="I1828" t="s">
        <v>7744</v>
      </c>
    </row>
    <row r="1829">
      <c r="A1829" t="s">
        <v>4161</v>
      </c>
      <c r="B1829" s="232">
        <v>7008.0</v>
      </c>
      <c r="C1829" s="232">
        <v>0.0</v>
      </c>
      <c r="D1829" s="232">
        <v>0.0</v>
      </c>
      <c r="F1829" t="s">
        <v>7702</v>
      </c>
      <c r="G1829" t="s">
        <v>310</v>
      </c>
      <c r="H1829" t="s">
        <v>7703</v>
      </c>
      <c r="I1829" t="s">
        <v>7744</v>
      </c>
    </row>
    <row r="1830">
      <c r="A1830" t="s">
        <v>4162</v>
      </c>
      <c r="B1830" s="232">
        <v>7007.0</v>
      </c>
      <c r="C1830" s="232">
        <v>0.0</v>
      </c>
      <c r="D1830" s="232">
        <v>0.0</v>
      </c>
      <c r="F1830" t="s">
        <v>7702</v>
      </c>
      <c r="G1830" t="s">
        <v>310</v>
      </c>
      <c r="H1830" t="s">
        <v>7703</v>
      </c>
      <c r="I1830" t="s">
        <v>7744</v>
      </c>
    </row>
    <row r="1831">
      <c r="A1831" t="s">
        <v>4163</v>
      </c>
      <c r="B1831" s="232">
        <v>7003.0</v>
      </c>
      <c r="C1831" s="232">
        <v>0.0</v>
      </c>
      <c r="D1831" s="232">
        <v>0.0</v>
      </c>
      <c r="F1831" t="s">
        <v>7702</v>
      </c>
      <c r="G1831" t="s">
        <v>310</v>
      </c>
      <c r="H1831" t="s">
        <v>7703</v>
      </c>
      <c r="I1831" t="s">
        <v>7744</v>
      </c>
    </row>
    <row r="1832">
      <c r="A1832" t="s">
        <v>4166</v>
      </c>
      <c r="B1832" s="232" t="s">
        <v>4165</v>
      </c>
      <c r="C1832" s="232">
        <v>0.0</v>
      </c>
      <c r="D1832" s="232">
        <v>0.0</v>
      </c>
      <c r="F1832" t="s">
        <v>7711</v>
      </c>
      <c r="G1832" t="s">
        <v>310</v>
      </c>
      <c r="H1832" t="s">
        <v>7703</v>
      </c>
      <c r="I1832" t="s">
        <v>7744</v>
      </c>
    </row>
    <row r="1833">
      <c r="A1833" t="s">
        <v>4168</v>
      </c>
      <c r="B1833" s="232" t="s">
        <v>4167</v>
      </c>
      <c r="C1833" s="232">
        <v>0.0</v>
      </c>
      <c r="D1833" s="232">
        <v>0.0</v>
      </c>
      <c r="F1833" t="s">
        <v>7702</v>
      </c>
      <c r="G1833" t="s">
        <v>310</v>
      </c>
      <c r="H1833" t="s">
        <v>7703</v>
      </c>
      <c r="I1833" t="s">
        <v>7772</v>
      </c>
    </row>
    <row r="1834">
      <c r="A1834" t="s">
        <v>4170</v>
      </c>
      <c r="B1834" s="232" t="s">
        <v>4169</v>
      </c>
      <c r="C1834" s="232">
        <v>0.0</v>
      </c>
      <c r="D1834" s="232">
        <v>0.0</v>
      </c>
      <c r="F1834" t="s">
        <v>7702</v>
      </c>
      <c r="G1834" t="s">
        <v>310</v>
      </c>
      <c r="H1834" t="s">
        <v>7703</v>
      </c>
      <c r="I1834" t="s">
        <v>7773</v>
      </c>
    </row>
    <row r="1835">
      <c r="A1835" t="s">
        <v>4174</v>
      </c>
      <c r="B1835" s="232" t="s">
        <v>4173</v>
      </c>
      <c r="C1835" s="232">
        <v>394.0</v>
      </c>
      <c r="D1835" s="232">
        <v>732.11</v>
      </c>
      <c r="E1835" s="232">
        <v>1.8581</v>
      </c>
      <c r="F1835" t="s">
        <v>7702</v>
      </c>
      <c r="G1835" t="s">
        <v>330</v>
      </c>
      <c r="H1835" t="s">
        <v>150</v>
      </c>
      <c r="I1835" t="s">
        <v>7720</v>
      </c>
    </row>
    <row r="1836">
      <c r="A1836" t="s">
        <v>4178</v>
      </c>
      <c r="B1836" s="232" t="s">
        <v>4177</v>
      </c>
      <c r="C1836" s="232">
        <v>254.0</v>
      </c>
      <c r="D1836" s="232">
        <v>353.45</v>
      </c>
      <c r="E1836" s="232">
        <v>1.3915</v>
      </c>
      <c r="F1836" t="s">
        <v>7702</v>
      </c>
      <c r="G1836" t="s">
        <v>330</v>
      </c>
      <c r="H1836" t="s">
        <v>150</v>
      </c>
      <c r="I1836" t="s">
        <v>7720</v>
      </c>
    </row>
    <row r="1837">
      <c r="A1837" t="s">
        <v>4182</v>
      </c>
      <c r="B1837" s="232" t="s">
        <v>4181</v>
      </c>
      <c r="C1837" s="232">
        <v>0.0</v>
      </c>
      <c r="D1837" s="232">
        <v>0.0</v>
      </c>
      <c r="F1837" t="s">
        <v>7702</v>
      </c>
      <c r="G1837" t="s">
        <v>330</v>
      </c>
      <c r="H1837" t="s">
        <v>45</v>
      </c>
      <c r="I1837" t="s">
        <v>7720</v>
      </c>
    </row>
    <row r="1838">
      <c r="A1838" t="s">
        <v>4184</v>
      </c>
      <c r="B1838" s="232" t="s">
        <v>4183</v>
      </c>
      <c r="C1838" s="232">
        <v>5.0</v>
      </c>
      <c r="D1838" s="232">
        <v>9.15</v>
      </c>
      <c r="E1838" s="232">
        <v>1.83</v>
      </c>
      <c r="F1838" t="s">
        <v>7702</v>
      </c>
      <c r="G1838" t="s">
        <v>330</v>
      </c>
      <c r="H1838" t="s">
        <v>45</v>
      </c>
      <c r="I1838" t="s">
        <v>7720</v>
      </c>
    </row>
    <row r="1839">
      <c r="A1839" t="s">
        <v>4186</v>
      </c>
      <c r="B1839" s="232" t="s">
        <v>4185</v>
      </c>
      <c r="C1839" s="232">
        <v>425.0</v>
      </c>
      <c r="D1839" s="232">
        <v>789.72</v>
      </c>
      <c r="E1839" s="232">
        <v>1.8582</v>
      </c>
      <c r="F1839" t="s">
        <v>7702</v>
      </c>
      <c r="G1839" t="s">
        <v>330</v>
      </c>
      <c r="H1839" t="s">
        <v>150</v>
      </c>
      <c r="I1839" t="s">
        <v>7720</v>
      </c>
    </row>
    <row r="1840">
      <c r="A1840" t="s">
        <v>4188</v>
      </c>
      <c r="B1840" s="232" t="s">
        <v>4187</v>
      </c>
      <c r="C1840" s="232">
        <v>536.0</v>
      </c>
      <c r="D1840" s="232">
        <v>981.67</v>
      </c>
      <c r="E1840" s="232">
        <v>1.8315</v>
      </c>
      <c r="F1840" t="s">
        <v>7702</v>
      </c>
      <c r="G1840" t="s">
        <v>330</v>
      </c>
      <c r="H1840" t="s">
        <v>150</v>
      </c>
      <c r="I1840" t="s">
        <v>7720</v>
      </c>
    </row>
    <row r="1841">
      <c r="A1841" t="s">
        <v>4190</v>
      </c>
      <c r="B1841" s="232" t="s">
        <v>4189</v>
      </c>
      <c r="C1841" s="232">
        <v>740.0</v>
      </c>
      <c r="D1841" s="232">
        <v>1566.15</v>
      </c>
      <c r="E1841" s="232">
        <v>2.1164</v>
      </c>
      <c r="F1841" t="s">
        <v>7702</v>
      </c>
      <c r="G1841" t="s">
        <v>330</v>
      </c>
      <c r="H1841" t="s">
        <v>150</v>
      </c>
      <c r="I1841" t="s">
        <v>7720</v>
      </c>
    </row>
    <row r="1842">
      <c r="A1842" t="s">
        <v>4192</v>
      </c>
      <c r="B1842" s="232" t="s">
        <v>4191</v>
      </c>
      <c r="C1842" s="232">
        <v>939.0</v>
      </c>
      <c r="D1842" s="232">
        <v>1987.34</v>
      </c>
      <c r="E1842" s="232">
        <v>2.1164</v>
      </c>
      <c r="F1842" t="s">
        <v>7702</v>
      </c>
      <c r="G1842" t="s">
        <v>330</v>
      </c>
      <c r="H1842" t="s">
        <v>150</v>
      </c>
      <c r="I1842" t="s">
        <v>7720</v>
      </c>
    </row>
    <row r="1843">
      <c r="A1843" t="s">
        <v>4194</v>
      </c>
      <c r="B1843" s="232" t="s">
        <v>4193</v>
      </c>
      <c r="C1843" s="232">
        <v>990.0</v>
      </c>
      <c r="D1843" s="232">
        <v>2095.29</v>
      </c>
      <c r="E1843" s="232">
        <v>2.1165</v>
      </c>
      <c r="F1843" t="s">
        <v>7702</v>
      </c>
      <c r="G1843" t="s">
        <v>330</v>
      </c>
      <c r="H1843" t="s">
        <v>150</v>
      </c>
      <c r="I1843" t="s">
        <v>7720</v>
      </c>
    </row>
    <row r="1844">
      <c r="A1844" t="s">
        <v>4196</v>
      </c>
      <c r="B1844" s="232" t="s">
        <v>4195</v>
      </c>
      <c r="C1844" s="232">
        <v>912.0</v>
      </c>
      <c r="D1844" s="232">
        <v>1930.19</v>
      </c>
      <c r="E1844" s="232">
        <v>2.1164</v>
      </c>
      <c r="F1844" t="s">
        <v>7702</v>
      </c>
      <c r="G1844" t="s">
        <v>330</v>
      </c>
      <c r="H1844" t="s">
        <v>150</v>
      </c>
      <c r="I1844" t="s">
        <v>7720</v>
      </c>
    </row>
    <row r="1845">
      <c r="A1845" t="s">
        <v>4198</v>
      </c>
      <c r="B1845" s="232" t="s">
        <v>4197</v>
      </c>
      <c r="C1845" s="232">
        <v>903.0</v>
      </c>
      <c r="D1845" s="232">
        <v>1911.14</v>
      </c>
      <c r="E1845" s="232">
        <v>2.1164</v>
      </c>
      <c r="F1845" t="s">
        <v>7702</v>
      </c>
      <c r="G1845" t="s">
        <v>330</v>
      </c>
      <c r="H1845" t="s">
        <v>150</v>
      </c>
      <c r="I1845" t="s">
        <v>7720</v>
      </c>
    </row>
    <row r="1846">
      <c r="A1846" t="s">
        <v>4200</v>
      </c>
      <c r="B1846" s="232" t="s">
        <v>4199</v>
      </c>
      <c r="C1846" s="232">
        <v>891.0</v>
      </c>
      <c r="D1846" s="232">
        <v>1885.74</v>
      </c>
      <c r="E1846" s="232">
        <v>2.1164</v>
      </c>
      <c r="F1846" t="s">
        <v>7702</v>
      </c>
      <c r="G1846" t="s">
        <v>330</v>
      </c>
      <c r="H1846" t="s">
        <v>150</v>
      </c>
      <c r="I1846" t="s">
        <v>7720</v>
      </c>
    </row>
    <row r="1847">
      <c r="A1847" t="s">
        <v>4202</v>
      </c>
      <c r="B1847" s="232" t="s">
        <v>4201</v>
      </c>
      <c r="C1847" s="232">
        <v>903.0</v>
      </c>
      <c r="D1847" s="232">
        <v>1911.14</v>
      </c>
      <c r="E1847" s="232">
        <v>2.1164</v>
      </c>
      <c r="F1847" t="s">
        <v>7702</v>
      </c>
      <c r="G1847" t="s">
        <v>330</v>
      </c>
      <c r="H1847" t="s">
        <v>150</v>
      </c>
      <c r="I1847" t="s">
        <v>7720</v>
      </c>
    </row>
    <row r="1848">
      <c r="A1848" t="s">
        <v>4204</v>
      </c>
      <c r="B1848" s="232" t="s">
        <v>4203</v>
      </c>
      <c r="C1848" s="232">
        <v>906.0</v>
      </c>
      <c r="D1848" s="232">
        <v>1917.48</v>
      </c>
      <c r="E1848" s="232">
        <v>2.1164</v>
      </c>
      <c r="F1848" t="s">
        <v>7702</v>
      </c>
      <c r="G1848" t="s">
        <v>330</v>
      </c>
      <c r="H1848" t="s">
        <v>150</v>
      </c>
      <c r="I1848" t="s">
        <v>7720</v>
      </c>
    </row>
    <row r="1849">
      <c r="A1849" t="s">
        <v>4206</v>
      </c>
      <c r="B1849" s="232" t="s">
        <v>4205</v>
      </c>
      <c r="C1849" s="232">
        <v>930.0</v>
      </c>
      <c r="D1849" s="232">
        <v>1968.3</v>
      </c>
      <c r="E1849" s="232">
        <v>2.1165</v>
      </c>
      <c r="F1849" t="s">
        <v>7702</v>
      </c>
      <c r="G1849" t="s">
        <v>330</v>
      </c>
      <c r="H1849" t="s">
        <v>150</v>
      </c>
      <c r="I1849" t="s">
        <v>7720</v>
      </c>
    </row>
    <row r="1850">
      <c r="A1850" t="s">
        <v>4208</v>
      </c>
      <c r="B1850" s="232" t="s">
        <v>4207</v>
      </c>
      <c r="C1850" s="232">
        <v>535.0</v>
      </c>
      <c r="D1850" s="232">
        <v>993.95</v>
      </c>
      <c r="E1850" s="232">
        <v>1.8579</v>
      </c>
      <c r="F1850" t="s">
        <v>7702</v>
      </c>
      <c r="G1850" t="s">
        <v>330</v>
      </c>
      <c r="H1850" t="s">
        <v>150</v>
      </c>
      <c r="I1850" t="s">
        <v>7720</v>
      </c>
    </row>
    <row r="1851">
      <c r="A1851" t="s">
        <v>4210</v>
      </c>
      <c r="B1851" s="232" t="s">
        <v>4209</v>
      </c>
      <c r="C1851" s="232">
        <v>499.0</v>
      </c>
      <c r="D1851" s="232">
        <v>913.74</v>
      </c>
      <c r="E1851" s="232">
        <v>1.8311</v>
      </c>
      <c r="F1851" t="s">
        <v>7702</v>
      </c>
      <c r="G1851" t="s">
        <v>330</v>
      </c>
      <c r="H1851" t="s">
        <v>150</v>
      </c>
      <c r="I1851" t="s">
        <v>7720</v>
      </c>
    </row>
    <row r="1852">
      <c r="A1852" t="s">
        <v>4212</v>
      </c>
      <c r="B1852" s="232" t="s">
        <v>4211</v>
      </c>
      <c r="C1852" s="232">
        <v>519.0</v>
      </c>
      <c r="D1852" s="232">
        <v>964.19</v>
      </c>
      <c r="E1852" s="232">
        <v>1.8578</v>
      </c>
      <c r="F1852" t="s">
        <v>7702</v>
      </c>
      <c r="G1852" t="s">
        <v>330</v>
      </c>
      <c r="H1852" t="s">
        <v>150</v>
      </c>
      <c r="I1852" t="s">
        <v>7720</v>
      </c>
    </row>
    <row r="1853">
      <c r="A1853" t="s">
        <v>4214</v>
      </c>
      <c r="B1853" s="232" t="s">
        <v>4213</v>
      </c>
      <c r="C1853" s="232">
        <v>144.0</v>
      </c>
      <c r="D1853" s="232">
        <v>267.75</v>
      </c>
      <c r="E1853" s="232">
        <v>1.8594</v>
      </c>
      <c r="F1853" t="s">
        <v>7702</v>
      </c>
      <c r="G1853" t="s">
        <v>330</v>
      </c>
      <c r="H1853" t="s">
        <v>150</v>
      </c>
      <c r="I1853" t="s">
        <v>7720</v>
      </c>
    </row>
    <row r="1854">
      <c r="A1854" t="s">
        <v>4216</v>
      </c>
      <c r="B1854" s="232" t="s">
        <v>4215</v>
      </c>
      <c r="C1854" s="232">
        <v>0.0</v>
      </c>
      <c r="D1854" s="232">
        <v>0.0</v>
      </c>
      <c r="F1854" t="s">
        <v>7702</v>
      </c>
      <c r="G1854" t="s">
        <v>330</v>
      </c>
      <c r="H1854" t="s">
        <v>45</v>
      </c>
      <c r="I1854" t="s">
        <v>7720</v>
      </c>
    </row>
    <row r="1855">
      <c r="A1855" t="s">
        <v>4218</v>
      </c>
      <c r="B1855" s="232" t="s">
        <v>4217</v>
      </c>
      <c r="C1855" s="232">
        <v>696.0</v>
      </c>
      <c r="D1855" s="232">
        <v>1292.94</v>
      </c>
      <c r="E1855" s="232">
        <v>1.8577</v>
      </c>
      <c r="F1855" t="s">
        <v>7702</v>
      </c>
      <c r="G1855" t="s">
        <v>330</v>
      </c>
      <c r="H1855" t="s">
        <v>150</v>
      </c>
      <c r="I1855" t="s">
        <v>7720</v>
      </c>
    </row>
    <row r="1856">
      <c r="A1856" t="s">
        <v>4220</v>
      </c>
      <c r="B1856" s="232" t="s">
        <v>4219</v>
      </c>
      <c r="C1856" s="232">
        <v>0.0</v>
      </c>
      <c r="D1856" s="232">
        <v>0.0</v>
      </c>
      <c r="F1856" t="s">
        <v>7702</v>
      </c>
      <c r="G1856" t="s">
        <v>330</v>
      </c>
      <c r="H1856" t="s">
        <v>45</v>
      </c>
      <c r="I1856" t="s">
        <v>7720</v>
      </c>
    </row>
    <row r="1857">
      <c r="A1857" t="s">
        <v>4224</v>
      </c>
      <c r="B1857" s="232" t="s">
        <v>4223</v>
      </c>
      <c r="C1857" s="232">
        <v>0.0</v>
      </c>
      <c r="D1857" s="232">
        <v>0.0</v>
      </c>
      <c r="F1857" t="s">
        <v>7702</v>
      </c>
      <c r="G1857" t="s">
        <v>330</v>
      </c>
      <c r="H1857" t="s">
        <v>45</v>
      </c>
      <c r="I1857" t="s">
        <v>7720</v>
      </c>
    </row>
    <row r="1858">
      <c r="A1858" t="s">
        <v>4226</v>
      </c>
      <c r="B1858" s="232" t="s">
        <v>4225</v>
      </c>
      <c r="C1858" s="232">
        <v>0.0</v>
      </c>
      <c r="D1858" s="232">
        <v>0.0</v>
      </c>
      <c r="F1858" t="s">
        <v>7702</v>
      </c>
      <c r="G1858" t="s">
        <v>310</v>
      </c>
      <c r="H1858" t="s">
        <v>7703</v>
      </c>
      <c r="I1858" t="s">
        <v>7816</v>
      </c>
    </row>
    <row r="1859">
      <c r="A1859" t="s">
        <v>4228</v>
      </c>
      <c r="B1859" s="232" t="s">
        <v>4227</v>
      </c>
      <c r="C1859" s="232">
        <v>0.0</v>
      </c>
      <c r="D1859" s="232">
        <v>0.0</v>
      </c>
      <c r="F1859" t="s">
        <v>7702</v>
      </c>
      <c r="G1859" t="s">
        <v>330</v>
      </c>
      <c r="H1859" t="s">
        <v>45</v>
      </c>
      <c r="I1859" t="s">
        <v>7720</v>
      </c>
    </row>
    <row r="1860">
      <c r="A1860" t="s">
        <v>4230</v>
      </c>
      <c r="B1860" s="232" t="s">
        <v>4229</v>
      </c>
      <c r="C1860" s="232">
        <v>559.0</v>
      </c>
      <c r="D1860" s="232">
        <v>1038.56</v>
      </c>
      <c r="E1860" s="232">
        <v>1.8579</v>
      </c>
      <c r="F1860" t="s">
        <v>7702</v>
      </c>
      <c r="G1860" t="s">
        <v>330</v>
      </c>
      <c r="H1860" t="s">
        <v>150</v>
      </c>
      <c r="I1860" t="s">
        <v>7720</v>
      </c>
    </row>
    <row r="1861">
      <c r="A1861" t="s">
        <v>4232</v>
      </c>
      <c r="B1861" s="232" t="s">
        <v>4231</v>
      </c>
      <c r="C1861" s="232">
        <v>483.0</v>
      </c>
      <c r="D1861" s="232">
        <v>897.41</v>
      </c>
      <c r="E1861" s="232">
        <v>1.858</v>
      </c>
      <c r="F1861" t="s">
        <v>7702</v>
      </c>
      <c r="G1861" t="s">
        <v>330</v>
      </c>
      <c r="H1861" t="s">
        <v>150</v>
      </c>
      <c r="I1861" t="s">
        <v>7720</v>
      </c>
    </row>
    <row r="1862">
      <c r="A1862" t="s">
        <v>4234</v>
      </c>
      <c r="B1862" s="232" t="s">
        <v>4233</v>
      </c>
      <c r="C1862" s="232">
        <v>186.0</v>
      </c>
      <c r="D1862" s="232">
        <v>340.33</v>
      </c>
      <c r="E1862" s="232">
        <v>1.8297</v>
      </c>
      <c r="F1862" t="s">
        <v>7702</v>
      </c>
      <c r="G1862" t="s">
        <v>330</v>
      </c>
      <c r="H1862" t="s">
        <v>150</v>
      </c>
      <c r="I1862" t="s">
        <v>7720</v>
      </c>
    </row>
    <row r="1863">
      <c r="A1863" t="s">
        <v>4236</v>
      </c>
      <c r="B1863" s="232" t="s">
        <v>4235</v>
      </c>
      <c r="C1863" s="232">
        <v>0.0</v>
      </c>
      <c r="D1863" s="232">
        <v>0.0</v>
      </c>
      <c r="F1863" t="s">
        <v>7702</v>
      </c>
      <c r="G1863" t="s">
        <v>330</v>
      </c>
      <c r="H1863" t="s">
        <v>45</v>
      </c>
      <c r="I1863" t="s">
        <v>7720</v>
      </c>
    </row>
    <row r="1864">
      <c r="A1864" t="s">
        <v>4238</v>
      </c>
      <c r="B1864" s="232" t="s">
        <v>4237</v>
      </c>
      <c r="C1864" s="232">
        <v>460.0</v>
      </c>
      <c r="D1864" s="232">
        <v>854.71</v>
      </c>
      <c r="E1864" s="232">
        <v>1.8581</v>
      </c>
      <c r="F1864" t="s">
        <v>7702</v>
      </c>
      <c r="G1864" t="s">
        <v>330</v>
      </c>
      <c r="H1864" t="s">
        <v>150</v>
      </c>
      <c r="I1864" t="s">
        <v>7720</v>
      </c>
    </row>
    <row r="1865">
      <c r="A1865" t="s">
        <v>4240</v>
      </c>
      <c r="B1865" s="232" t="s">
        <v>4239</v>
      </c>
      <c r="C1865" s="232">
        <v>0.0</v>
      </c>
      <c r="D1865" s="232">
        <v>0.0</v>
      </c>
      <c r="F1865" t="s">
        <v>7702</v>
      </c>
      <c r="G1865" t="s">
        <v>330</v>
      </c>
      <c r="H1865" t="s">
        <v>45</v>
      </c>
      <c r="I1865" t="s">
        <v>7720</v>
      </c>
    </row>
    <row r="1866">
      <c r="A1866" t="s">
        <v>4242</v>
      </c>
      <c r="B1866" s="232" t="s">
        <v>4241</v>
      </c>
      <c r="C1866" s="232">
        <v>4.0</v>
      </c>
      <c r="D1866" s="232">
        <v>6.11</v>
      </c>
      <c r="E1866" s="232">
        <v>1.5275</v>
      </c>
      <c r="F1866" t="s">
        <v>7702</v>
      </c>
      <c r="G1866" t="s">
        <v>330</v>
      </c>
      <c r="H1866" t="s">
        <v>45</v>
      </c>
      <c r="I1866" t="s">
        <v>7720</v>
      </c>
    </row>
    <row r="1867">
      <c r="A1867" t="s">
        <v>4244</v>
      </c>
      <c r="B1867" s="232" t="s">
        <v>4243</v>
      </c>
      <c r="C1867" s="232">
        <v>0.0</v>
      </c>
      <c r="D1867" s="232">
        <v>0.0</v>
      </c>
      <c r="F1867" t="s">
        <v>7702</v>
      </c>
      <c r="G1867" t="s">
        <v>330</v>
      </c>
      <c r="H1867" t="s">
        <v>45</v>
      </c>
      <c r="I1867" t="s">
        <v>7720</v>
      </c>
    </row>
    <row r="1868">
      <c r="A1868" t="s">
        <v>4246</v>
      </c>
      <c r="B1868" s="232" t="s">
        <v>4245</v>
      </c>
      <c r="C1868" s="232">
        <v>0.0</v>
      </c>
      <c r="D1868" s="232">
        <v>0.0</v>
      </c>
      <c r="F1868" t="s">
        <v>7702</v>
      </c>
      <c r="G1868" t="s">
        <v>330</v>
      </c>
      <c r="H1868" t="s">
        <v>7703</v>
      </c>
      <c r="I1868" t="s">
        <v>7816</v>
      </c>
    </row>
    <row r="1869">
      <c r="A1869" t="s">
        <v>4248</v>
      </c>
      <c r="B1869" s="232" t="s">
        <v>4247</v>
      </c>
      <c r="C1869" s="232">
        <v>1.0</v>
      </c>
      <c r="D1869" s="232">
        <v>1.81</v>
      </c>
      <c r="E1869" s="232">
        <v>1.81</v>
      </c>
      <c r="F1869" t="s">
        <v>7702</v>
      </c>
      <c r="G1869" t="s">
        <v>330</v>
      </c>
      <c r="H1869" t="s">
        <v>45</v>
      </c>
      <c r="I1869" t="s">
        <v>7720</v>
      </c>
    </row>
    <row r="1870">
      <c r="A1870" t="s">
        <v>4250</v>
      </c>
      <c r="B1870" s="232" t="s">
        <v>4249</v>
      </c>
      <c r="C1870" s="232">
        <v>562.0</v>
      </c>
      <c r="D1870" s="232">
        <v>1044.08</v>
      </c>
      <c r="E1870" s="232">
        <v>1.8578</v>
      </c>
      <c r="F1870" t="s">
        <v>7702</v>
      </c>
      <c r="G1870" t="s">
        <v>330</v>
      </c>
      <c r="H1870" t="s">
        <v>150</v>
      </c>
      <c r="I1870" t="s">
        <v>7720</v>
      </c>
    </row>
    <row r="1871">
      <c r="A1871" t="s">
        <v>4252</v>
      </c>
      <c r="B1871" s="232" t="s">
        <v>4251</v>
      </c>
      <c r="C1871" s="232">
        <v>0.0</v>
      </c>
      <c r="D1871" s="232">
        <v>0.0</v>
      </c>
      <c r="F1871" t="s">
        <v>7702</v>
      </c>
      <c r="G1871" t="s">
        <v>330</v>
      </c>
      <c r="H1871" t="s">
        <v>45</v>
      </c>
      <c r="I1871" t="s">
        <v>7720</v>
      </c>
    </row>
    <row r="1872">
      <c r="A1872" t="s">
        <v>4254</v>
      </c>
      <c r="B1872" s="232" t="s">
        <v>4253</v>
      </c>
      <c r="C1872" s="232">
        <v>153.0</v>
      </c>
      <c r="D1872" s="232">
        <v>274.69</v>
      </c>
      <c r="E1872" s="232">
        <v>1.7954</v>
      </c>
      <c r="F1872" t="s">
        <v>7702</v>
      </c>
      <c r="G1872" t="s">
        <v>330</v>
      </c>
      <c r="H1872" t="s">
        <v>150</v>
      </c>
      <c r="I1872" t="s">
        <v>7720</v>
      </c>
    </row>
    <row r="1873">
      <c r="A1873" t="s">
        <v>4256</v>
      </c>
      <c r="B1873" s="232" t="s">
        <v>4255</v>
      </c>
      <c r="C1873" s="232">
        <v>395.0</v>
      </c>
      <c r="D1873" s="232">
        <v>733.81</v>
      </c>
      <c r="E1873" s="232">
        <v>1.8577</v>
      </c>
      <c r="F1873" t="s">
        <v>7702</v>
      </c>
      <c r="G1873" t="s">
        <v>330</v>
      </c>
      <c r="H1873" t="s">
        <v>150</v>
      </c>
      <c r="I1873" t="s">
        <v>7720</v>
      </c>
    </row>
    <row r="1874">
      <c r="A1874" t="s">
        <v>4258</v>
      </c>
      <c r="B1874" s="232" t="s">
        <v>4257</v>
      </c>
      <c r="C1874" s="232">
        <v>489.0</v>
      </c>
      <c r="D1874" s="232">
        <v>895.54</v>
      </c>
      <c r="E1874" s="232">
        <v>1.8314</v>
      </c>
      <c r="F1874" t="s">
        <v>7702</v>
      </c>
      <c r="G1874" t="s">
        <v>330</v>
      </c>
      <c r="H1874" t="s">
        <v>150</v>
      </c>
      <c r="I1874" t="s">
        <v>7720</v>
      </c>
    </row>
    <row r="1875">
      <c r="A1875" t="s">
        <v>4260</v>
      </c>
      <c r="B1875" s="232" t="s">
        <v>4259</v>
      </c>
      <c r="C1875" s="232">
        <v>3.0</v>
      </c>
      <c r="D1875" s="232">
        <v>5.49</v>
      </c>
      <c r="E1875" s="232">
        <v>1.83</v>
      </c>
      <c r="F1875" t="s">
        <v>7702</v>
      </c>
      <c r="G1875" t="s">
        <v>330</v>
      </c>
      <c r="H1875" t="s">
        <v>45</v>
      </c>
      <c r="I1875" t="s">
        <v>7720</v>
      </c>
    </row>
    <row r="1876">
      <c r="A1876" t="s">
        <v>4262</v>
      </c>
      <c r="B1876" s="232" t="s">
        <v>4261</v>
      </c>
      <c r="C1876" s="232">
        <v>40.0</v>
      </c>
      <c r="D1876" s="232">
        <v>73.23</v>
      </c>
      <c r="E1876" s="232">
        <v>1.8308</v>
      </c>
      <c r="F1876" t="s">
        <v>7702</v>
      </c>
      <c r="G1876" t="s">
        <v>330</v>
      </c>
      <c r="H1876" t="s">
        <v>150</v>
      </c>
      <c r="I1876" t="s">
        <v>7720</v>
      </c>
    </row>
    <row r="1877">
      <c r="A1877" t="s">
        <v>4264</v>
      </c>
      <c r="B1877" s="232" t="s">
        <v>4263</v>
      </c>
      <c r="C1877" s="232">
        <v>430.0</v>
      </c>
      <c r="D1877" s="232">
        <v>787.26</v>
      </c>
      <c r="E1877" s="232">
        <v>1.8308</v>
      </c>
      <c r="F1877" t="s">
        <v>7702</v>
      </c>
      <c r="G1877" t="s">
        <v>330</v>
      </c>
      <c r="H1877" t="s">
        <v>150</v>
      </c>
      <c r="I1877" t="s">
        <v>7720</v>
      </c>
    </row>
    <row r="1878">
      <c r="A1878" t="s">
        <v>4266</v>
      </c>
      <c r="B1878" s="232" t="s">
        <v>4265</v>
      </c>
      <c r="C1878" s="232">
        <v>3.0</v>
      </c>
      <c r="D1878" s="232">
        <v>5.44</v>
      </c>
      <c r="E1878" s="232">
        <v>1.8133</v>
      </c>
      <c r="F1878" t="s">
        <v>7702</v>
      </c>
      <c r="G1878" t="s">
        <v>330</v>
      </c>
      <c r="H1878" t="s">
        <v>45</v>
      </c>
      <c r="I1878" t="s">
        <v>7720</v>
      </c>
    </row>
    <row r="1879">
      <c r="A1879" t="s">
        <v>4268</v>
      </c>
      <c r="B1879" s="232" t="s">
        <v>4267</v>
      </c>
      <c r="C1879" s="232">
        <v>713.0</v>
      </c>
      <c r="D1879" s="232">
        <v>1645.07</v>
      </c>
      <c r="E1879" s="232">
        <v>2.3073</v>
      </c>
      <c r="F1879" t="s">
        <v>7702</v>
      </c>
      <c r="G1879" t="s">
        <v>330</v>
      </c>
      <c r="H1879" t="s">
        <v>150</v>
      </c>
      <c r="I1879" t="s">
        <v>7720</v>
      </c>
    </row>
    <row r="1880">
      <c r="A1880" t="s">
        <v>4270</v>
      </c>
      <c r="B1880" s="232" t="s">
        <v>4269</v>
      </c>
      <c r="C1880" s="232">
        <v>1.0</v>
      </c>
      <c r="D1880" s="232">
        <v>309.05</v>
      </c>
      <c r="E1880" s="232">
        <v>309.05</v>
      </c>
      <c r="F1880" t="s">
        <v>7702</v>
      </c>
      <c r="G1880" t="s">
        <v>330</v>
      </c>
      <c r="H1880" t="s">
        <v>150</v>
      </c>
      <c r="I1880" t="s">
        <v>7720</v>
      </c>
    </row>
    <row r="1881">
      <c r="A1881" t="s">
        <v>4272</v>
      </c>
      <c r="B1881" s="232" t="s">
        <v>4271</v>
      </c>
      <c r="C1881" s="232">
        <v>60.0</v>
      </c>
      <c r="D1881" s="232">
        <v>5146.29</v>
      </c>
      <c r="E1881" s="232">
        <v>85.7715</v>
      </c>
      <c r="F1881" t="s">
        <v>7702</v>
      </c>
      <c r="G1881" t="s">
        <v>330</v>
      </c>
      <c r="H1881" t="s">
        <v>150</v>
      </c>
      <c r="I1881" t="s">
        <v>7714</v>
      </c>
    </row>
    <row r="1882">
      <c r="A1882" t="s">
        <v>4274</v>
      </c>
      <c r="B1882" s="232" t="s">
        <v>4273</v>
      </c>
      <c r="C1882" s="232">
        <v>0.0</v>
      </c>
      <c r="D1882" s="232">
        <v>0.0</v>
      </c>
      <c r="F1882" t="s">
        <v>7702</v>
      </c>
      <c r="G1882" t="s">
        <v>310</v>
      </c>
      <c r="H1882" t="s">
        <v>7703</v>
      </c>
      <c r="I1882" t="s">
        <v>170</v>
      </c>
    </row>
    <row r="1883">
      <c r="A1883" t="s">
        <v>4286</v>
      </c>
      <c r="B1883" s="232" t="s">
        <v>4285</v>
      </c>
      <c r="C1883" s="232">
        <v>0.0</v>
      </c>
      <c r="D1883" s="232">
        <v>0.0</v>
      </c>
      <c r="F1883" t="s">
        <v>7702</v>
      </c>
      <c r="G1883" t="s">
        <v>310</v>
      </c>
      <c r="H1883" t="s">
        <v>7703</v>
      </c>
      <c r="I1883" t="s">
        <v>7744</v>
      </c>
    </row>
    <row r="1884">
      <c r="A1884" t="s">
        <v>4288</v>
      </c>
      <c r="B1884" s="232" t="s">
        <v>4287</v>
      </c>
      <c r="C1884" s="232">
        <v>416.0</v>
      </c>
      <c r="D1884" s="232">
        <v>1978.88</v>
      </c>
      <c r="E1884" s="232">
        <v>4.7569</v>
      </c>
      <c r="F1884" t="s">
        <v>7702</v>
      </c>
      <c r="G1884" t="s">
        <v>330</v>
      </c>
      <c r="H1884" t="s">
        <v>7709</v>
      </c>
      <c r="I1884" t="s">
        <v>7766</v>
      </c>
    </row>
    <row r="1885">
      <c r="A1885" t="s">
        <v>4290</v>
      </c>
      <c r="B1885" s="232" t="s">
        <v>4289</v>
      </c>
      <c r="C1885" s="232">
        <v>0.0</v>
      </c>
      <c r="D1885" s="232">
        <v>0.0</v>
      </c>
      <c r="F1885" t="s">
        <v>7702</v>
      </c>
      <c r="G1885" t="s">
        <v>310</v>
      </c>
      <c r="H1885" t="s">
        <v>7703</v>
      </c>
      <c r="I1885" t="s">
        <v>7766</v>
      </c>
    </row>
    <row r="1886">
      <c r="A1886" t="s">
        <v>4292</v>
      </c>
      <c r="B1886" s="232" t="s">
        <v>4291</v>
      </c>
      <c r="C1886" s="232">
        <v>595.0</v>
      </c>
      <c r="D1886" s="232">
        <v>2829.84</v>
      </c>
      <c r="E1886" s="232">
        <v>4.756</v>
      </c>
      <c r="F1886" t="s">
        <v>7702</v>
      </c>
      <c r="G1886" t="s">
        <v>330</v>
      </c>
      <c r="H1886" t="s">
        <v>7709</v>
      </c>
      <c r="I1886" t="s">
        <v>7766</v>
      </c>
    </row>
    <row r="1887">
      <c r="A1887" t="s">
        <v>4294</v>
      </c>
      <c r="B1887" s="232" t="s">
        <v>4293</v>
      </c>
      <c r="C1887" s="232">
        <v>0.0</v>
      </c>
      <c r="D1887" s="232">
        <v>0.0</v>
      </c>
      <c r="F1887" t="s">
        <v>7702</v>
      </c>
      <c r="G1887" t="s">
        <v>310</v>
      </c>
      <c r="H1887" t="s">
        <v>7703</v>
      </c>
      <c r="I1887" t="s">
        <v>7766</v>
      </c>
    </row>
    <row r="1888">
      <c r="A1888" t="s">
        <v>4296</v>
      </c>
      <c r="B1888" s="232" t="s">
        <v>4295</v>
      </c>
      <c r="C1888" s="232">
        <v>115.0</v>
      </c>
      <c r="D1888" s="232">
        <v>554.69</v>
      </c>
      <c r="E1888" s="232">
        <v>4.8234</v>
      </c>
      <c r="F1888" t="s">
        <v>7702</v>
      </c>
      <c r="G1888" t="s">
        <v>330</v>
      </c>
      <c r="H1888" t="s">
        <v>45</v>
      </c>
      <c r="I1888" t="s">
        <v>7766</v>
      </c>
    </row>
    <row r="1889">
      <c r="A1889" t="s">
        <v>4298</v>
      </c>
      <c r="B1889" s="232" t="s">
        <v>4297</v>
      </c>
      <c r="C1889" s="232">
        <v>346.0</v>
      </c>
      <c r="D1889" s="232">
        <v>1848.09</v>
      </c>
      <c r="E1889" s="232">
        <v>5.3413</v>
      </c>
      <c r="F1889" t="s">
        <v>7702</v>
      </c>
      <c r="G1889" t="s">
        <v>330</v>
      </c>
      <c r="H1889" t="s">
        <v>7709</v>
      </c>
      <c r="I1889" t="s">
        <v>7766</v>
      </c>
    </row>
    <row r="1890">
      <c r="A1890" t="s">
        <v>4300</v>
      </c>
      <c r="B1890" s="232" t="s">
        <v>4299</v>
      </c>
      <c r="C1890" s="232">
        <v>0.0</v>
      </c>
      <c r="D1890" s="232">
        <v>0.0</v>
      </c>
      <c r="F1890" t="s">
        <v>7702</v>
      </c>
      <c r="G1890" t="s">
        <v>310</v>
      </c>
      <c r="H1890" t="s">
        <v>45</v>
      </c>
      <c r="I1890" t="s">
        <v>7766</v>
      </c>
    </row>
    <row r="1891">
      <c r="A1891" t="s">
        <v>4302</v>
      </c>
      <c r="B1891" s="232" t="s">
        <v>4301</v>
      </c>
      <c r="C1891" s="232">
        <v>0.0</v>
      </c>
      <c r="D1891" s="232">
        <v>0.0</v>
      </c>
      <c r="F1891" t="s">
        <v>7702</v>
      </c>
      <c r="G1891" t="s">
        <v>310</v>
      </c>
      <c r="H1891" t="s">
        <v>7703</v>
      </c>
      <c r="I1891" t="s">
        <v>7766</v>
      </c>
    </row>
    <row r="1892">
      <c r="A1892" t="s">
        <v>4304</v>
      </c>
      <c r="B1892" s="232" t="s">
        <v>4303</v>
      </c>
      <c r="C1892" s="232">
        <v>253.0</v>
      </c>
      <c r="D1892" s="232">
        <v>1351.26</v>
      </c>
      <c r="E1892" s="232">
        <v>5.3409</v>
      </c>
      <c r="F1892" t="s">
        <v>7702</v>
      </c>
      <c r="G1892" t="s">
        <v>330</v>
      </c>
      <c r="H1892" t="s">
        <v>7709</v>
      </c>
      <c r="I1892" t="s">
        <v>7766</v>
      </c>
    </row>
    <row r="1893">
      <c r="A1893" t="s">
        <v>4306</v>
      </c>
      <c r="B1893" s="232" t="s">
        <v>4305</v>
      </c>
      <c r="C1893" s="232">
        <v>325.0</v>
      </c>
      <c r="D1893" s="232">
        <v>1545.85</v>
      </c>
      <c r="E1893" s="232">
        <v>4.7565</v>
      </c>
      <c r="F1893" t="s">
        <v>7702</v>
      </c>
      <c r="G1893" t="s">
        <v>330</v>
      </c>
      <c r="H1893" t="s">
        <v>7709</v>
      </c>
      <c r="I1893" t="s">
        <v>7766</v>
      </c>
    </row>
    <row r="1894">
      <c r="A1894" t="s">
        <v>4308</v>
      </c>
      <c r="B1894" s="232" t="s">
        <v>4307</v>
      </c>
      <c r="C1894" s="232">
        <v>392.0</v>
      </c>
      <c r="D1894" s="232">
        <v>2093.84</v>
      </c>
      <c r="E1894" s="232">
        <v>5.3414</v>
      </c>
      <c r="F1894" t="s">
        <v>7702</v>
      </c>
      <c r="G1894" t="s">
        <v>330</v>
      </c>
      <c r="H1894" t="s">
        <v>45</v>
      </c>
      <c r="I1894" t="s">
        <v>7766</v>
      </c>
    </row>
    <row r="1895">
      <c r="A1895" t="s">
        <v>4310</v>
      </c>
      <c r="B1895" s="232" t="s">
        <v>4309</v>
      </c>
      <c r="C1895" s="232">
        <v>55.0</v>
      </c>
      <c r="D1895" s="232">
        <v>265.5</v>
      </c>
      <c r="E1895" s="232">
        <v>4.8273</v>
      </c>
      <c r="F1895" t="s">
        <v>7702</v>
      </c>
      <c r="G1895" t="s">
        <v>330</v>
      </c>
      <c r="H1895" t="s">
        <v>45</v>
      </c>
      <c r="I1895" t="s">
        <v>7766</v>
      </c>
    </row>
    <row r="1896">
      <c r="A1896" t="s">
        <v>4312</v>
      </c>
      <c r="B1896" s="232" t="s">
        <v>4311</v>
      </c>
      <c r="C1896" s="232">
        <v>0.0</v>
      </c>
      <c r="D1896" s="232">
        <v>0.0</v>
      </c>
      <c r="F1896" t="s">
        <v>7702</v>
      </c>
      <c r="G1896" t="s">
        <v>310</v>
      </c>
      <c r="H1896" t="s">
        <v>7703</v>
      </c>
      <c r="I1896" t="s">
        <v>7766</v>
      </c>
    </row>
    <row r="1897">
      <c r="A1897" t="s">
        <v>4314</v>
      </c>
      <c r="B1897" s="232" t="s">
        <v>4313</v>
      </c>
      <c r="C1897" s="232">
        <v>0.0</v>
      </c>
      <c r="D1897" s="232">
        <v>0.0</v>
      </c>
      <c r="F1897" t="s">
        <v>7702</v>
      </c>
      <c r="G1897" t="s">
        <v>310</v>
      </c>
      <c r="H1897" t="s">
        <v>7703</v>
      </c>
      <c r="I1897" t="s">
        <v>7766</v>
      </c>
    </row>
    <row r="1898">
      <c r="A1898" t="s">
        <v>4316</v>
      </c>
      <c r="B1898" s="232" t="s">
        <v>4315</v>
      </c>
      <c r="C1898" s="232">
        <v>0.0</v>
      </c>
      <c r="D1898" s="232">
        <v>0.0</v>
      </c>
      <c r="F1898" t="s">
        <v>7702</v>
      </c>
      <c r="G1898" t="s">
        <v>310</v>
      </c>
      <c r="H1898" t="s">
        <v>7703</v>
      </c>
      <c r="I1898" t="s">
        <v>7766</v>
      </c>
    </row>
    <row r="1899">
      <c r="A1899" t="s">
        <v>4318</v>
      </c>
      <c r="B1899" s="232" t="s">
        <v>4317</v>
      </c>
      <c r="C1899" s="232">
        <v>0.0</v>
      </c>
      <c r="D1899" s="232">
        <v>0.0</v>
      </c>
      <c r="F1899" t="s">
        <v>7702</v>
      </c>
      <c r="G1899" t="s">
        <v>310</v>
      </c>
      <c r="H1899" t="s">
        <v>45</v>
      </c>
      <c r="I1899" t="s">
        <v>7766</v>
      </c>
    </row>
    <row r="1900">
      <c r="A1900" t="s">
        <v>4320</v>
      </c>
      <c r="B1900" s="232" t="s">
        <v>4319</v>
      </c>
      <c r="C1900" s="232">
        <v>0.0</v>
      </c>
      <c r="D1900" s="232">
        <v>0.0</v>
      </c>
      <c r="F1900" t="s">
        <v>7702</v>
      </c>
      <c r="G1900" t="s">
        <v>330</v>
      </c>
      <c r="H1900" t="s">
        <v>45</v>
      </c>
      <c r="I1900" t="s">
        <v>7766</v>
      </c>
    </row>
    <row r="1901">
      <c r="A1901" t="s">
        <v>4346</v>
      </c>
      <c r="B1901" s="232" t="s">
        <v>4345</v>
      </c>
      <c r="C1901" s="232">
        <v>0.0</v>
      </c>
      <c r="D1901" s="232">
        <v>0.0</v>
      </c>
      <c r="F1901" t="s">
        <v>7702</v>
      </c>
      <c r="G1901" t="s">
        <v>310</v>
      </c>
      <c r="H1901" t="s">
        <v>7703</v>
      </c>
      <c r="I1901" t="s">
        <v>151</v>
      </c>
    </row>
    <row r="1902">
      <c r="A1902" t="s">
        <v>4348</v>
      </c>
      <c r="B1902" s="232" t="s">
        <v>4347</v>
      </c>
      <c r="C1902" s="232">
        <v>0.0</v>
      </c>
      <c r="D1902" s="232">
        <v>0.0</v>
      </c>
      <c r="F1902" t="s">
        <v>7702</v>
      </c>
      <c r="G1902" t="s">
        <v>310</v>
      </c>
      <c r="H1902" t="s">
        <v>7703</v>
      </c>
      <c r="I1902" t="s">
        <v>151</v>
      </c>
    </row>
    <row r="1903">
      <c r="A1903" t="s">
        <v>4350</v>
      </c>
      <c r="B1903" s="232" t="s">
        <v>4349</v>
      </c>
      <c r="C1903" s="232">
        <v>0.0</v>
      </c>
      <c r="D1903" s="232">
        <v>0.0</v>
      </c>
      <c r="F1903" t="s">
        <v>7702</v>
      </c>
      <c r="G1903" t="s">
        <v>310</v>
      </c>
      <c r="H1903" t="s">
        <v>7703</v>
      </c>
      <c r="I1903" t="s">
        <v>151</v>
      </c>
    </row>
    <row r="1904">
      <c r="A1904" t="s">
        <v>4352</v>
      </c>
      <c r="B1904" s="232" t="s">
        <v>4351</v>
      </c>
      <c r="C1904" s="232">
        <v>0.0</v>
      </c>
      <c r="D1904" s="232">
        <v>0.0</v>
      </c>
      <c r="F1904" t="s">
        <v>7702</v>
      </c>
      <c r="G1904" t="s">
        <v>310</v>
      </c>
      <c r="H1904" t="s">
        <v>7703</v>
      </c>
      <c r="I1904" t="s">
        <v>151</v>
      </c>
    </row>
    <row r="1905">
      <c r="A1905" t="s">
        <v>4354</v>
      </c>
      <c r="B1905" s="232" t="s">
        <v>4353</v>
      </c>
      <c r="C1905" s="232">
        <v>0.0</v>
      </c>
      <c r="D1905" s="232">
        <v>0.0</v>
      </c>
      <c r="F1905" t="s">
        <v>7702</v>
      </c>
      <c r="G1905" t="s">
        <v>310</v>
      </c>
      <c r="H1905" t="s">
        <v>7703</v>
      </c>
      <c r="I1905" t="s">
        <v>151</v>
      </c>
    </row>
    <row r="1906">
      <c r="A1906" t="s">
        <v>4356</v>
      </c>
      <c r="B1906" s="232" t="s">
        <v>4355</v>
      </c>
      <c r="C1906" s="232">
        <v>0.0</v>
      </c>
      <c r="D1906" s="232">
        <v>0.0</v>
      </c>
      <c r="F1906" t="s">
        <v>7702</v>
      </c>
      <c r="G1906" t="s">
        <v>310</v>
      </c>
      <c r="H1906" t="s">
        <v>7703</v>
      </c>
      <c r="I1906" t="s">
        <v>7727</v>
      </c>
    </row>
    <row r="1907">
      <c r="A1907" t="s">
        <v>4358</v>
      </c>
      <c r="B1907" s="232" t="s">
        <v>4357</v>
      </c>
      <c r="C1907" s="232">
        <v>0.0</v>
      </c>
      <c r="D1907" s="232">
        <v>0.0</v>
      </c>
      <c r="F1907" t="s">
        <v>7702</v>
      </c>
      <c r="G1907" t="s">
        <v>310</v>
      </c>
      <c r="H1907" t="s">
        <v>7703</v>
      </c>
      <c r="I1907" t="s">
        <v>7727</v>
      </c>
    </row>
    <row r="1908">
      <c r="A1908" t="s">
        <v>4364</v>
      </c>
      <c r="B1908" s="232" t="s">
        <v>4363</v>
      </c>
      <c r="C1908" s="232">
        <v>0.0</v>
      </c>
      <c r="D1908" s="232">
        <v>0.0</v>
      </c>
      <c r="F1908" t="s">
        <v>7702</v>
      </c>
      <c r="G1908" t="s">
        <v>310</v>
      </c>
      <c r="H1908" t="s">
        <v>7703</v>
      </c>
      <c r="I1908" t="s">
        <v>7727</v>
      </c>
    </row>
    <row r="1909">
      <c r="A1909" t="s">
        <v>4368</v>
      </c>
      <c r="B1909" s="232" t="s">
        <v>4367</v>
      </c>
      <c r="C1909" s="232">
        <v>0.0</v>
      </c>
      <c r="D1909" s="232">
        <v>0.0</v>
      </c>
      <c r="F1909" t="s">
        <v>7702</v>
      </c>
      <c r="G1909" t="s">
        <v>310</v>
      </c>
      <c r="H1909" t="s">
        <v>7703</v>
      </c>
      <c r="I1909" t="s">
        <v>7727</v>
      </c>
    </row>
    <row r="1910">
      <c r="A1910" t="s">
        <v>4370</v>
      </c>
      <c r="B1910" s="232" t="s">
        <v>4369</v>
      </c>
      <c r="C1910" s="232">
        <v>0.0</v>
      </c>
      <c r="D1910" s="232">
        <v>0.0</v>
      </c>
      <c r="F1910" t="s">
        <v>7702</v>
      </c>
      <c r="G1910" t="s">
        <v>310</v>
      </c>
      <c r="H1910" t="s">
        <v>7703</v>
      </c>
      <c r="I1910" t="s">
        <v>7727</v>
      </c>
    </row>
    <row r="1911">
      <c r="A1911" t="s">
        <v>4374</v>
      </c>
      <c r="B1911" s="232" t="s">
        <v>4373</v>
      </c>
      <c r="C1911" s="232">
        <v>0.0</v>
      </c>
      <c r="D1911" s="232">
        <v>0.0</v>
      </c>
      <c r="F1911" t="s">
        <v>7702</v>
      </c>
      <c r="G1911" t="s">
        <v>310</v>
      </c>
      <c r="H1911" t="s">
        <v>7703</v>
      </c>
      <c r="I1911" t="s">
        <v>7727</v>
      </c>
    </row>
    <row r="1912">
      <c r="A1912" t="s">
        <v>4376</v>
      </c>
      <c r="B1912" s="232" t="s">
        <v>4375</v>
      </c>
      <c r="C1912" s="232">
        <v>0.0</v>
      </c>
      <c r="D1912" s="232">
        <v>0.0</v>
      </c>
      <c r="F1912" t="s">
        <v>7702</v>
      </c>
      <c r="G1912" t="s">
        <v>310</v>
      </c>
      <c r="H1912" t="s">
        <v>7703</v>
      </c>
      <c r="I1912" t="s">
        <v>7727</v>
      </c>
    </row>
    <row r="1913">
      <c r="A1913" t="s">
        <v>4378</v>
      </c>
      <c r="B1913" s="232" t="s">
        <v>4377</v>
      </c>
      <c r="C1913" s="232">
        <v>0.0</v>
      </c>
      <c r="D1913" s="232">
        <v>0.0</v>
      </c>
      <c r="F1913" t="s">
        <v>7702</v>
      </c>
      <c r="G1913" t="s">
        <v>310</v>
      </c>
      <c r="H1913" t="s">
        <v>7703</v>
      </c>
      <c r="I1913" t="s">
        <v>7727</v>
      </c>
    </row>
    <row r="1914">
      <c r="A1914" t="s">
        <v>4380</v>
      </c>
      <c r="B1914" s="232" t="s">
        <v>4379</v>
      </c>
      <c r="C1914" s="232">
        <v>0.0</v>
      </c>
      <c r="D1914" s="232">
        <v>0.0</v>
      </c>
      <c r="F1914" t="s">
        <v>7702</v>
      </c>
      <c r="G1914" t="s">
        <v>310</v>
      </c>
      <c r="H1914" t="s">
        <v>7703</v>
      </c>
      <c r="I1914" t="s">
        <v>7727</v>
      </c>
    </row>
    <row r="1915">
      <c r="A1915" t="s">
        <v>4382</v>
      </c>
      <c r="B1915" s="232" t="s">
        <v>4381</v>
      </c>
      <c r="C1915" s="232">
        <v>0.0</v>
      </c>
      <c r="D1915" s="232">
        <v>0.0</v>
      </c>
      <c r="F1915" t="s">
        <v>7702</v>
      </c>
      <c r="G1915" t="s">
        <v>310</v>
      </c>
      <c r="H1915" t="s">
        <v>7703</v>
      </c>
      <c r="I1915" t="s">
        <v>7727</v>
      </c>
    </row>
    <row r="1916">
      <c r="A1916" t="s">
        <v>4384</v>
      </c>
      <c r="B1916" s="232" t="s">
        <v>4383</v>
      </c>
      <c r="C1916" s="232">
        <v>0.0</v>
      </c>
      <c r="D1916" s="232">
        <v>0.0</v>
      </c>
      <c r="F1916" t="s">
        <v>7702</v>
      </c>
      <c r="G1916" t="s">
        <v>310</v>
      </c>
      <c r="H1916" t="s">
        <v>7703</v>
      </c>
      <c r="I1916" t="s">
        <v>7727</v>
      </c>
    </row>
    <row r="1917">
      <c r="A1917" t="s">
        <v>4386</v>
      </c>
      <c r="B1917" s="232" t="s">
        <v>4385</v>
      </c>
      <c r="C1917" s="232">
        <v>0.0</v>
      </c>
      <c r="D1917" s="232">
        <v>0.0</v>
      </c>
      <c r="F1917" t="s">
        <v>7702</v>
      </c>
      <c r="G1917" t="s">
        <v>310</v>
      </c>
      <c r="H1917" t="s">
        <v>7703</v>
      </c>
      <c r="I1917" t="s">
        <v>7727</v>
      </c>
    </row>
    <row r="1918">
      <c r="A1918" t="s">
        <v>4388</v>
      </c>
      <c r="B1918" s="232" t="s">
        <v>4387</v>
      </c>
      <c r="C1918" s="232">
        <v>0.0</v>
      </c>
      <c r="D1918" s="232">
        <v>0.0</v>
      </c>
      <c r="F1918" t="s">
        <v>7702</v>
      </c>
      <c r="G1918" t="s">
        <v>310</v>
      </c>
      <c r="H1918" t="s">
        <v>7703</v>
      </c>
      <c r="I1918" t="s">
        <v>7727</v>
      </c>
    </row>
    <row r="1919">
      <c r="A1919" t="s">
        <v>4392</v>
      </c>
      <c r="B1919" s="232" t="s">
        <v>4391</v>
      </c>
      <c r="C1919" s="232">
        <v>0.0</v>
      </c>
      <c r="D1919" s="232">
        <v>0.0</v>
      </c>
      <c r="F1919" t="s">
        <v>7702</v>
      </c>
      <c r="G1919" t="s">
        <v>310</v>
      </c>
      <c r="H1919" t="s">
        <v>7703</v>
      </c>
      <c r="I1919" t="s">
        <v>7727</v>
      </c>
    </row>
    <row r="1920">
      <c r="A1920" t="s">
        <v>4398</v>
      </c>
      <c r="B1920" s="232" t="s">
        <v>4397</v>
      </c>
      <c r="C1920" s="232">
        <v>0.0</v>
      </c>
      <c r="D1920" s="232">
        <v>0.0</v>
      </c>
      <c r="F1920" t="s">
        <v>7702</v>
      </c>
      <c r="G1920" t="s">
        <v>310</v>
      </c>
      <c r="H1920" t="s">
        <v>7703</v>
      </c>
      <c r="I1920" t="s">
        <v>7727</v>
      </c>
    </row>
    <row r="1921">
      <c r="A1921" t="s">
        <v>4400</v>
      </c>
      <c r="B1921" s="232" t="s">
        <v>4399</v>
      </c>
      <c r="C1921" s="232">
        <v>0.0</v>
      </c>
      <c r="D1921" s="232">
        <v>0.0</v>
      </c>
      <c r="F1921" t="s">
        <v>7702</v>
      </c>
      <c r="G1921" t="s">
        <v>310</v>
      </c>
      <c r="H1921" t="s">
        <v>7703</v>
      </c>
      <c r="I1921" t="s">
        <v>7727</v>
      </c>
    </row>
    <row r="1922">
      <c r="A1922" t="s">
        <v>4402</v>
      </c>
      <c r="B1922" s="232" t="s">
        <v>4401</v>
      </c>
      <c r="C1922" s="232">
        <v>0.0</v>
      </c>
      <c r="D1922" s="232">
        <v>0.0</v>
      </c>
      <c r="F1922" t="s">
        <v>7702</v>
      </c>
      <c r="G1922" t="s">
        <v>310</v>
      </c>
      <c r="H1922" t="s">
        <v>7703</v>
      </c>
      <c r="I1922" t="s">
        <v>7727</v>
      </c>
    </row>
    <row r="1923">
      <c r="A1923" t="s">
        <v>4404</v>
      </c>
      <c r="B1923" s="232" t="s">
        <v>4403</v>
      </c>
      <c r="C1923" s="232">
        <v>0.0</v>
      </c>
      <c r="D1923" s="232">
        <v>0.0</v>
      </c>
      <c r="F1923" t="s">
        <v>7702</v>
      </c>
      <c r="G1923" t="s">
        <v>310</v>
      </c>
      <c r="H1923" t="s">
        <v>7703</v>
      </c>
      <c r="I1923" t="s">
        <v>7727</v>
      </c>
    </row>
    <row r="1924">
      <c r="A1924" t="s">
        <v>4410</v>
      </c>
      <c r="B1924" s="232" t="s">
        <v>4409</v>
      </c>
      <c r="C1924" s="232">
        <v>0.0</v>
      </c>
      <c r="D1924" s="232">
        <v>0.0</v>
      </c>
      <c r="F1924" t="s">
        <v>7702</v>
      </c>
      <c r="G1924" t="s">
        <v>310</v>
      </c>
      <c r="H1924" t="s">
        <v>7703</v>
      </c>
      <c r="I1924" t="s">
        <v>7727</v>
      </c>
    </row>
    <row r="1925">
      <c r="A1925" t="s">
        <v>4412</v>
      </c>
      <c r="B1925" s="232" t="s">
        <v>4411</v>
      </c>
      <c r="C1925" s="232">
        <v>0.0</v>
      </c>
      <c r="D1925" s="232">
        <v>0.0</v>
      </c>
      <c r="F1925" t="s">
        <v>7702</v>
      </c>
      <c r="G1925" t="s">
        <v>310</v>
      </c>
      <c r="H1925" t="s">
        <v>7703</v>
      </c>
      <c r="I1925" t="s">
        <v>7727</v>
      </c>
    </row>
    <row r="1926">
      <c r="A1926" t="s">
        <v>4416</v>
      </c>
      <c r="B1926" s="232" t="s">
        <v>4415</v>
      </c>
      <c r="C1926" s="232">
        <v>0.0</v>
      </c>
      <c r="D1926" s="232">
        <v>0.0</v>
      </c>
      <c r="F1926" t="s">
        <v>7702</v>
      </c>
      <c r="G1926" t="s">
        <v>310</v>
      </c>
      <c r="H1926" t="s">
        <v>7703</v>
      </c>
      <c r="I1926" t="s">
        <v>7727</v>
      </c>
    </row>
    <row r="1927">
      <c r="A1927" t="s">
        <v>4418</v>
      </c>
      <c r="B1927" s="232" t="s">
        <v>4417</v>
      </c>
      <c r="C1927" s="232">
        <v>0.0</v>
      </c>
      <c r="D1927" s="232">
        <v>0.0</v>
      </c>
      <c r="F1927" t="s">
        <v>7702</v>
      </c>
      <c r="G1927" t="s">
        <v>310</v>
      </c>
      <c r="H1927" t="s">
        <v>7703</v>
      </c>
      <c r="I1927" t="s">
        <v>7727</v>
      </c>
    </row>
    <row r="1928">
      <c r="A1928" t="s">
        <v>4420</v>
      </c>
      <c r="B1928" s="232" t="s">
        <v>4419</v>
      </c>
      <c r="C1928" s="232">
        <v>0.0</v>
      </c>
      <c r="D1928" s="232">
        <v>0.0</v>
      </c>
      <c r="F1928" t="s">
        <v>7702</v>
      </c>
      <c r="G1928" t="s">
        <v>310</v>
      </c>
      <c r="H1928" t="s">
        <v>7703</v>
      </c>
      <c r="I1928" t="s">
        <v>7727</v>
      </c>
    </row>
    <row r="1929">
      <c r="A1929" t="s">
        <v>4424</v>
      </c>
      <c r="B1929" s="232" t="s">
        <v>4423</v>
      </c>
      <c r="C1929" s="232">
        <v>0.0</v>
      </c>
      <c r="D1929" s="232">
        <v>0.0</v>
      </c>
      <c r="F1929" t="s">
        <v>7702</v>
      </c>
      <c r="G1929" t="s">
        <v>310</v>
      </c>
      <c r="H1929" t="s">
        <v>7703</v>
      </c>
      <c r="I1929" t="s">
        <v>7727</v>
      </c>
    </row>
    <row r="1930">
      <c r="A1930" t="s">
        <v>4428</v>
      </c>
      <c r="B1930" s="232" t="s">
        <v>4427</v>
      </c>
      <c r="C1930" s="232">
        <v>0.0</v>
      </c>
      <c r="D1930" s="232">
        <v>0.0</v>
      </c>
      <c r="F1930" t="s">
        <v>7702</v>
      </c>
      <c r="G1930" t="s">
        <v>310</v>
      </c>
      <c r="H1930" t="s">
        <v>7703</v>
      </c>
      <c r="I1930" t="s">
        <v>7727</v>
      </c>
    </row>
    <row r="1931">
      <c r="A1931" t="s">
        <v>4432</v>
      </c>
      <c r="B1931" s="232" t="s">
        <v>4431</v>
      </c>
      <c r="C1931" s="232">
        <v>0.0</v>
      </c>
      <c r="D1931" s="232">
        <v>0.0</v>
      </c>
      <c r="F1931" t="s">
        <v>7702</v>
      </c>
      <c r="G1931" t="s">
        <v>310</v>
      </c>
      <c r="H1931" t="s">
        <v>7703</v>
      </c>
      <c r="I1931" t="s">
        <v>7727</v>
      </c>
    </row>
    <row r="1932">
      <c r="A1932" t="s">
        <v>4438</v>
      </c>
      <c r="B1932" s="232" t="s">
        <v>4437</v>
      </c>
      <c r="C1932" s="232">
        <v>20990.0</v>
      </c>
      <c r="D1932" s="232">
        <v>1890.03</v>
      </c>
      <c r="E1932" s="232">
        <v>0.09</v>
      </c>
      <c r="F1932" t="s">
        <v>7732</v>
      </c>
      <c r="G1932" t="s">
        <v>330</v>
      </c>
      <c r="H1932" t="s">
        <v>7747</v>
      </c>
    </row>
    <row r="1933">
      <c r="A1933" t="s">
        <v>4440</v>
      </c>
      <c r="B1933" s="232" t="s">
        <v>4439</v>
      </c>
      <c r="C1933" s="232">
        <v>0.0</v>
      </c>
      <c r="D1933" s="232">
        <v>0.0</v>
      </c>
      <c r="F1933" t="s">
        <v>7702</v>
      </c>
      <c r="G1933" t="s">
        <v>330</v>
      </c>
      <c r="H1933" t="s">
        <v>7725</v>
      </c>
      <c r="I1933" t="s">
        <v>7817</v>
      </c>
    </row>
    <row r="1934">
      <c r="A1934" t="s">
        <v>4444</v>
      </c>
      <c r="B1934" s="232" t="s">
        <v>4443</v>
      </c>
      <c r="C1934" s="232">
        <v>9.0</v>
      </c>
      <c r="D1934" s="232">
        <v>121.41</v>
      </c>
      <c r="E1934" s="232">
        <v>13.49</v>
      </c>
      <c r="F1934" t="s">
        <v>7702</v>
      </c>
      <c r="G1934" t="s">
        <v>330</v>
      </c>
      <c r="I1934" t="s">
        <v>7714</v>
      </c>
    </row>
    <row r="1935">
      <c r="A1935" t="s">
        <v>4452</v>
      </c>
      <c r="B1935" s="232" t="s">
        <v>4451</v>
      </c>
      <c r="C1935" s="232">
        <v>0.0</v>
      </c>
      <c r="D1935" s="232">
        <v>0.0</v>
      </c>
      <c r="F1935" t="s">
        <v>7702</v>
      </c>
      <c r="G1935" t="s">
        <v>310</v>
      </c>
      <c r="H1935" t="s">
        <v>7703</v>
      </c>
      <c r="I1935" t="s">
        <v>7727</v>
      </c>
    </row>
    <row r="1936">
      <c r="A1936" t="s">
        <v>4454</v>
      </c>
      <c r="B1936" s="232" t="s">
        <v>4453</v>
      </c>
      <c r="C1936" s="232">
        <v>0.0</v>
      </c>
      <c r="D1936" s="232">
        <v>0.0</v>
      </c>
      <c r="F1936" t="s">
        <v>7702</v>
      </c>
      <c r="G1936" t="s">
        <v>310</v>
      </c>
      <c r="H1936" t="s">
        <v>7703</v>
      </c>
      <c r="I1936" t="s">
        <v>7727</v>
      </c>
    </row>
    <row r="1937">
      <c r="A1937" t="s">
        <v>4456</v>
      </c>
      <c r="B1937" s="232" t="s">
        <v>4455</v>
      </c>
      <c r="C1937" s="232">
        <v>0.0</v>
      </c>
      <c r="D1937" s="232">
        <v>0.0</v>
      </c>
      <c r="F1937" t="s">
        <v>7702</v>
      </c>
      <c r="G1937" t="s">
        <v>310</v>
      </c>
      <c r="H1937" t="s">
        <v>7703</v>
      </c>
      <c r="I1937" t="s">
        <v>7727</v>
      </c>
    </row>
    <row r="1938">
      <c r="A1938" t="s">
        <v>4458</v>
      </c>
      <c r="B1938" s="232" t="s">
        <v>4457</v>
      </c>
      <c r="C1938" s="232">
        <v>0.0</v>
      </c>
      <c r="D1938" s="232">
        <v>0.0</v>
      </c>
      <c r="F1938" t="s">
        <v>7702</v>
      </c>
      <c r="G1938" t="s">
        <v>310</v>
      </c>
      <c r="H1938" t="s">
        <v>7703</v>
      </c>
      <c r="I1938" t="s">
        <v>7727</v>
      </c>
    </row>
    <row r="1939">
      <c r="A1939" t="s">
        <v>4460</v>
      </c>
      <c r="B1939" s="232" t="s">
        <v>4459</v>
      </c>
      <c r="C1939" s="232">
        <v>0.0</v>
      </c>
      <c r="D1939" s="232">
        <v>0.0</v>
      </c>
      <c r="F1939" t="s">
        <v>7702</v>
      </c>
      <c r="G1939" t="s">
        <v>310</v>
      </c>
      <c r="H1939" t="s">
        <v>7703</v>
      </c>
      <c r="I1939" t="s">
        <v>7727</v>
      </c>
    </row>
    <row r="1940">
      <c r="A1940" t="s">
        <v>4462</v>
      </c>
      <c r="B1940" s="232" t="s">
        <v>4461</v>
      </c>
      <c r="C1940" s="232">
        <v>0.0</v>
      </c>
      <c r="D1940" s="232">
        <v>0.0</v>
      </c>
      <c r="F1940" t="s">
        <v>7702</v>
      </c>
      <c r="G1940" t="s">
        <v>310</v>
      </c>
      <c r="H1940" t="s">
        <v>7703</v>
      </c>
      <c r="I1940" t="s">
        <v>151</v>
      </c>
    </row>
    <row r="1941">
      <c r="A1941" t="s">
        <v>4468</v>
      </c>
      <c r="B1941" s="232" t="s">
        <v>4467</v>
      </c>
      <c r="C1941" s="232">
        <v>0.0</v>
      </c>
      <c r="D1941" s="232">
        <v>0.0</v>
      </c>
      <c r="F1941" t="s">
        <v>7702</v>
      </c>
      <c r="G1941" t="s">
        <v>310</v>
      </c>
      <c r="H1941" t="s">
        <v>7703</v>
      </c>
      <c r="I1941" t="s">
        <v>166</v>
      </c>
    </row>
    <row r="1942">
      <c r="A1942" t="s">
        <v>4477</v>
      </c>
      <c r="B1942" s="232" t="s">
        <v>4476</v>
      </c>
      <c r="C1942" s="232">
        <v>0.0</v>
      </c>
      <c r="D1942" s="232">
        <v>0.0</v>
      </c>
      <c r="F1942" t="s">
        <v>7702</v>
      </c>
      <c r="G1942" t="s">
        <v>310</v>
      </c>
      <c r="H1942" t="s">
        <v>7703</v>
      </c>
      <c r="I1942" t="s">
        <v>7731</v>
      </c>
    </row>
    <row r="1943">
      <c r="A1943" t="s">
        <v>4479</v>
      </c>
      <c r="B1943" s="232" t="s">
        <v>4478</v>
      </c>
      <c r="C1943" s="232">
        <v>0.0</v>
      </c>
      <c r="D1943" s="232">
        <v>0.0</v>
      </c>
      <c r="F1943" t="s">
        <v>7702</v>
      </c>
      <c r="G1943" t="s">
        <v>330</v>
      </c>
      <c r="H1943" t="s">
        <v>150</v>
      </c>
      <c r="I1943" t="s">
        <v>7714</v>
      </c>
    </row>
    <row r="1944">
      <c r="A1944" t="s">
        <v>4481</v>
      </c>
      <c r="B1944" s="232" t="s">
        <v>4480</v>
      </c>
      <c r="C1944" s="232">
        <v>344.0</v>
      </c>
      <c r="D1944" s="232">
        <v>861.74</v>
      </c>
      <c r="E1944" s="232">
        <v>2.5051</v>
      </c>
      <c r="F1944" t="s">
        <v>7702</v>
      </c>
      <c r="G1944" t="s">
        <v>330</v>
      </c>
      <c r="H1944" t="s">
        <v>7709</v>
      </c>
      <c r="I1944" t="s">
        <v>7762</v>
      </c>
    </row>
    <row r="1945">
      <c r="A1945" t="s">
        <v>4483</v>
      </c>
      <c r="B1945" s="232" t="s">
        <v>4482</v>
      </c>
      <c r="C1945" s="232">
        <v>681.0</v>
      </c>
      <c r="D1945" s="232">
        <v>1215.15</v>
      </c>
      <c r="E1945" s="232">
        <v>1.7844</v>
      </c>
      <c r="F1945" t="s">
        <v>7702</v>
      </c>
      <c r="G1945" t="s">
        <v>330</v>
      </c>
      <c r="H1945" t="s">
        <v>150</v>
      </c>
      <c r="I1945" t="s">
        <v>7762</v>
      </c>
    </row>
    <row r="1946">
      <c r="A1946" t="s">
        <v>4485</v>
      </c>
      <c r="B1946" s="232" t="s">
        <v>4484</v>
      </c>
      <c r="C1946" s="232">
        <v>796.0</v>
      </c>
      <c r="D1946" s="232">
        <v>1420.31</v>
      </c>
      <c r="E1946" s="232">
        <v>1.7843</v>
      </c>
      <c r="F1946" t="s">
        <v>7702</v>
      </c>
      <c r="G1946" t="s">
        <v>330</v>
      </c>
      <c r="H1946" t="s">
        <v>150</v>
      </c>
      <c r="I1946" t="s">
        <v>7762</v>
      </c>
    </row>
    <row r="1947">
      <c r="A1947" t="s">
        <v>4487</v>
      </c>
      <c r="B1947" s="232" t="s">
        <v>4486</v>
      </c>
      <c r="C1947" s="232">
        <v>315.0</v>
      </c>
      <c r="D1947" s="232">
        <v>561.89</v>
      </c>
      <c r="E1947" s="232">
        <v>1.7838</v>
      </c>
      <c r="F1947" t="s">
        <v>7702</v>
      </c>
      <c r="G1947" t="s">
        <v>330</v>
      </c>
      <c r="H1947" t="s">
        <v>150</v>
      </c>
      <c r="I1947" t="s">
        <v>7762</v>
      </c>
    </row>
    <row r="1948">
      <c r="A1948" t="s">
        <v>4489</v>
      </c>
      <c r="B1948" s="232" t="s">
        <v>4488</v>
      </c>
      <c r="C1948" s="232">
        <v>585.0</v>
      </c>
      <c r="D1948" s="232">
        <v>1463.49</v>
      </c>
      <c r="E1948" s="232">
        <v>2.5017</v>
      </c>
      <c r="F1948" t="s">
        <v>7702</v>
      </c>
      <c r="G1948" t="s">
        <v>330</v>
      </c>
      <c r="H1948" t="s">
        <v>7709</v>
      </c>
      <c r="I1948" t="s">
        <v>7762</v>
      </c>
    </row>
    <row r="1949">
      <c r="A1949" t="s">
        <v>4491</v>
      </c>
      <c r="B1949" s="232" t="s">
        <v>4490</v>
      </c>
      <c r="C1949" s="232">
        <v>363.0</v>
      </c>
      <c r="D1949" s="232">
        <v>733.73</v>
      </c>
      <c r="E1949" s="232">
        <v>2.0213</v>
      </c>
      <c r="F1949" t="s">
        <v>7702</v>
      </c>
      <c r="G1949" t="s">
        <v>330</v>
      </c>
      <c r="H1949" t="s">
        <v>150</v>
      </c>
      <c r="I1949" t="s">
        <v>7762</v>
      </c>
    </row>
    <row r="1950">
      <c r="A1950" t="s">
        <v>4493</v>
      </c>
      <c r="B1950" s="232" t="s">
        <v>4492</v>
      </c>
      <c r="C1950" s="232">
        <v>841.0</v>
      </c>
      <c r="D1950" s="232">
        <v>1701.31</v>
      </c>
      <c r="E1950" s="232">
        <v>2.023</v>
      </c>
      <c r="F1950" t="s">
        <v>7702</v>
      </c>
      <c r="G1950" t="s">
        <v>330</v>
      </c>
      <c r="H1950" t="s">
        <v>45</v>
      </c>
      <c r="I1950" t="s">
        <v>7762</v>
      </c>
    </row>
    <row r="1951">
      <c r="A1951" t="s">
        <v>4495</v>
      </c>
      <c r="B1951" s="232" t="s">
        <v>4494</v>
      </c>
      <c r="C1951" s="232">
        <v>370.0</v>
      </c>
      <c r="D1951" s="232">
        <v>660.06</v>
      </c>
      <c r="E1951" s="232">
        <v>1.7839</v>
      </c>
      <c r="F1951" t="s">
        <v>7702</v>
      </c>
      <c r="G1951" t="s">
        <v>330</v>
      </c>
      <c r="H1951" t="s">
        <v>45</v>
      </c>
      <c r="I1951" t="s">
        <v>7762</v>
      </c>
    </row>
    <row r="1952">
      <c r="A1952" t="s">
        <v>4497</v>
      </c>
      <c r="B1952" s="232" t="s">
        <v>4496</v>
      </c>
      <c r="C1952" s="232">
        <v>297.0</v>
      </c>
      <c r="D1952" s="232">
        <v>689.9</v>
      </c>
      <c r="E1952" s="232">
        <v>2.3229</v>
      </c>
      <c r="F1952" t="s">
        <v>7702</v>
      </c>
      <c r="G1952" t="s">
        <v>330</v>
      </c>
      <c r="H1952" t="s">
        <v>150</v>
      </c>
      <c r="I1952" t="s">
        <v>7762</v>
      </c>
    </row>
    <row r="1953">
      <c r="A1953" t="s">
        <v>4499</v>
      </c>
      <c r="B1953" s="232" t="s">
        <v>4498</v>
      </c>
      <c r="C1953" s="232">
        <v>408.0</v>
      </c>
      <c r="D1953" s="232">
        <v>948.21</v>
      </c>
      <c r="E1953" s="232">
        <v>2.324</v>
      </c>
      <c r="F1953" t="s">
        <v>7702</v>
      </c>
      <c r="G1953" t="s">
        <v>330</v>
      </c>
      <c r="H1953" t="s">
        <v>45</v>
      </c>
      <c r="I1953" t="s">
        <v>7762</v>
      </c>
    </row>
    <row r="1954">
      <c r="A1954" t="s">
        <v>4501</v>
      </c>
      <c r="B1954" s="232" t="s">
        <v>4500</v>
      </c>
      <c r="C1954" s="232">
        <v>377.0</v>
      </c>
      <c r="D1954" s="232">
        <v>876.16</v>
      </c>
      <c r="E1954" s="232">
        <v>2.324</v>
      </c>
      <c r="F1954" t="s">
        <v>7702</v>
      </c>
      <c r="G1954" t="s">
        <v>330</v>
      </c>
      <c r="H1954" t="s">
        <v>150</v>
      </c>
      <c r="I1954" t="s">
        <v>7762</v>
      </c>
    </row>
    <row r="1955">
      <c r="A1955" t="s">
        <v>4503</v>
      </c>
      <c r="B1955" s="232" t="s">
        <v>4502</v>
      </c>
      <c r="C1955" s="232">
        <v>579.0</v>
      </c>
      <c r="D1955" s="232">
        <v>1170.77</v>
      </c>
      <c r="E1955" s="232">
        <v>2.0221</v>
      </c>
      <c r="F1955" t="s">
        <v>7702</v>
      </c>
      <c r="G1955" t="s">
        <v>330</v>
      </c>
      <c r="H1955" t="s">
        <v>45</v>
      </c>
      <c r="I1955" t="s">
        <v>7762</v>
      </c>
    </row>
    <row r="1956">
      <c r="A1956" t="s">
        <v>4505</v>
      </c>
      <c r="B1956" s="232" t="s">
        <v>4504</v>
      </c>
      <c r="C1956" s="232">
        <v>0.0</v>
      </c>
      <c r="D1956" s="232">
        <v>0.0</v>
      </c>
      <c r="F1956" t="s">
        <v>7702</v>
      </c>
      <c r="G1956" t="s">
        <v>310</v>
      </c>
      <c r="H1956" t="s">
        <v>7703</v>
      </c>
      <c r="I1956" t="s">
        <v>7762</v>
      </c>
    </row>
    <row r="1957">
      <c r="A1957" t="s">
        <v>4507</v>
      </c>
      <c r="B1957" s="232" t="s">
        <v>4506</v>
      </c>
      <c r="C1957" s="232">
        <v>564.0</v>
      </c>
      <c r="D1957" s="232">
        <v>1140.32</v>
      </c>
      <c r="E1957" s="232">
        <v>2.0218</v>
      </c>
      <c r="F1957" t="s">
        <v>7702</v>
      </c>
      <c r="G1957" t="s">
        <v>330</v>
      </c>
      <c r="H1957" t="s">
        <v>150</v>
      </c>
      <c r="I1957" t="s">
        <v>7762</v>
      </c>
    </row>
    <row r="1958">
      <c r="A1958" t="s">
        <v>4509</v>
      </c>
      <c r="B1958" s="232" t="s">
        <v>4508</v>
      </c>
      <c r="C1958" s="232">
        <v>0.0</v>
      </c>
      <c r="D1958" s="232">
        <v>0.0</v>
      </c>
      <c r="F1958" t="s">
        <v>7702</v>
      </c>
      <c r="G1958" t="s">
        <v>310</v>
      </c>
      <c r="H1958" t="s">
        <v>7703</v>
      </c>
      <c r="I1958" t="s">
        <v>7762</v>
      </c>
    </row>
    <row r="1959">
      <c r="A1959" t="s">
        <v>4511</v>
      </c>
      <c r="B1959" s="232" t="s">
        <v>4510</v>
      </c>
      <c r="C1959" s="232">
        <v>0.0</v>
      </c>
      <c r="D1959" s="232">
        <v>0.0</v>
      </c>
      <c r="F1959" t="s">
        <v>7702</v>
      </c>
      <c r="G1959" t="s">
        <v>310</v>
      </c>
      <c r="H1959" t="s">
        <v>7703</v>
      </c>
      <c r="I1959" t="s">
        <v>7762</v>
      </c>
    </row>
    <row r="1960">
      <c r="A1960" t="s">
        <v>4513</v>
      </c>
      <c r="B1960" s="232" t="s">
        <v>4512</v>
      </c>
      <c r="C1960" s="232">
        <v>0.0</v>
      </c>
      <c r="D1960" s="232">
        <v>0.0</v>
      </c>
      <c r="F1960" t="s">
        <v>7702</v>
      </c>
      <c r="G1960" t="s">
        <v>330</v>
      </c>
      <c r="H1960" t="s">
        <v>150</v>
      </c>
      <c r="I1960" t="s">
        <v>7762</v>
      </c>
    </row>
    <row r="1961">
      <c r="A1961" t="s">
        <v>4515</v>
      </c>
      <c r="B1961" s="232" t="s">
        <v>4514</v>
      </c>
      <c r="C1961" s="232">
        <v>4.0</v>
      </c>
      <c r="D1961" s="232">
        <v>46.16</v>
      </c>
      <c r="E1961" s="232">
        <v>11.54</v>
      </c>
      <c r="F1961" t="s">
        <v>7702</v>
      </c>
      <c r="G1961" t="s">
        <v>330</v>
      </c>
      <c r="I1961" t="s">
        <v>7714</v>
      </c>
    </row>
    <row r="1962">
      <c r="A1962" t="s">
        <v>4617</v>
      </c>
      <c r="B1962" s="232" t="s">
        <v>4616</v>
      </c>
      <c r="C1962" s="232">
        <v>0.0</v>
      </c>
      <c r="D1962" s="232">
        <v>0.0</v>
      </c>
      <c r="F1962" t="s">
        <v>7702</v>
      </c>
      <c r="G1962" t="s">
        <v>310</v>
      </c>
      <c r="H1962" t="s">
        <v>45</v>
      </c>
      <c r="I1962" t="s">
        <v>98</v>
      </c>
    </row>
    <row r="1963">
      <c r="A1963" t="s">
        <v>4619</v>
      </c>
      <c r="B1963" s="232" t="s">
        <v>4618</v>
      </c>
      <c r="C1963" s="232">
        <v>0.0</v>
      </c>
      <c r="D1963" s="232">
        <v>0.0</v>
      </c>
      <c r="F1963" t="s">
        <v>7702</v>
      </c>
      <c r="G1963" t="s">
        <v>310</v>
      </c>
      <c r="H1963" t="s">
        <v>45</v>
      </c>
      <c r="I1963" t="s">
        <v>98</v>
      </c>
    </row>
    <row r="1964">
      <c r="A1964" t="s">
        <v>4621</v>
      </c>
      <c r="B1964" s="232" t="s">
        <v>4620</v>
      </c>
      <c r="C1964" s="232">
        <v>0.0</v>
      </c>
      <c r="D1964" s="232">
        <v>0.0</v>
      </c>
      <c r="F1964" t="s">
        <v>7702</v>
      </c>
      <c r="G1964" t="s">
        <v>310</v>
      </c>
      <c r="H1964" t="s">
        <v>45</v>
      </c>
      <c r="I1964" t="s">
        <v>98</v>
      </c>
    </row>
    <row r="1965">
      <c r="A1965" t="s">
        <v>4623</v>
      </c>
      <c r="B1965" s="232" t="s">
        <v>4622</v>
      </c>
      <c r="C1965" s="232">
        <v>0.0</v>
      </c>
      <c r="D1965" s="232">
        <v>0.0</v>
      </c>
      <c r="F1965" t="s">
        <v>7702</v>
      </c>
      <c r="G1965" t="s">
        <v>310</v>
      </c>
      <c r="H1965" t="s">
        <v>45</v>
      </c>
      <c r="I1965" t="s">
        <v>98</v>
      </c>
    </row>
    <row r="1966">
      <c r="A1966" t="s">
        <v>4625</v>
      </c>
      <c r="B1966" s="232" t="s">
        <v>4624</v>
      </c>
      <c r="C1966" s="232">
        <v>0.0</v>
      </c>
      <c r="D1966" s="232">
        <v>0.0</v>
      </c>
      <c r="F1966" t="s">
        <v>7702</v>
      </c>
      <c r="G1966" t="s">
        <v>310</v>
      </c>
      <c r="H1966" t="s">
        <v>45</v>
      </c>
      <c r="I1966" t="s">
        <v>98</v>
      </c>
    </row>
    <row r="1967">
      <c r="A1967" t="s">
        <v>4627</v>
      </c>
      <c r="B1967" s="232" t="s">
        <v>4626</v>
      </c>
      <c r="C1967" s="232">
        <v>0.0</v>
      </c>
      <c r="D1967" s="232">
        <v>0.0</v>
      </c>
      <c r="F1967" t="s">
        <v>7702</v>
      </c>
      <c r="G1967" t="s">
        <v>310</v>
      </c>
      <c r="H1967" t="s">
        <v>45</v>
      </c>
      <c r="I1967" t="s">
        <v>98</v>
      </c>
    </row>
    <row r="1968">
      <c r="A1968" t="s">
        <v>4629</v>
      </c>
      <c r="B1968" s="232" t="s">
        <v>4628</v>
      </c>
      <c r="C1968" s="232">
        <v>0.0</v>
      </c>
      <c r="D1968" s="232">
        <v>0.0</v>
      </c>
      <c r="F1968" t="s">
        <v>7702</v>
      </c>
      <c r="G1968" t="s">
        <v>310</v>
      </c>
      <c r="H1968" t="s">
        <v>45</v>
      </c>
      <c r="I1968" t="s">
        <v>98</v>
      </c>
    </row>
    <row r="1969">
      <c r="A1969" t="s">
        <v>4631</v>
      </c>
      <c r="B1969" s="232" t="s">
        <v>4630</v>
      </c>
      <c r="C1969" s="232">
        <v>0.0</v>
      </c>
      <c r="D1969" s="232">
        <v>0.0</v>
      </c>
      <c r="F1969" t="s">
        <v>7702</v>
      </c>
      <c r="G1969" t="s">
        <v>310</v>
      </c>
      <c r="H1969" t="s">
        <v>45</v>
      </c>
      <c r="I1969" t="s">
        <v>98</v>
      </c>
    </row>
    <row r="1970">
      <c r="A1970" t="s">
        <v>4633</v>
      </c>
      <c r="B1970" s="232" t="s">
        <v>4632</v>
      </c>
      <c r="C1970" s="232">
        <v>0.0</v>
      </c>
      <c r="D1970" s="232">
        <v>0.0</v>
      </c>
      <c r="F1970" t="s">
        <v>7702</v>
      </c>
      <c r="G1970" t="s">
        <v>310</v>
      </c>
      <c r="H1970" t="s">
        <v>45</v>
      </c>
      <c r="I1970" t="s">
        <v>98</v>
      </c>
    </row>
    <row r="1971">
      <c r="A1971" t="s">
        <v>4635</v>
      </c>
      <c r="B1971" s="232" t="s">
        <v>4634</v>
      </c>
      <c r="C1971" s="232">
        <v>0.0</v>
      </c>
      <c r="D1971" s="232">
        <v>0.0</v>
      </c>
      <c r="F1971" t="s">
        <v>7702</v>
      </c>
      <c r="G1971" t="s">
        <v>310</v>
      </c>
      <c r="H1971" t="s">
        <v>45</v>
      </c>
      <c r="I1971" t="s">
        <v>98</v>
      </c>
    </row>
    <row r="1972">
      <c r="A1972" t="s">
        <v>4637</v>
      </c>
      <c r="B1972" s="232" t="s">
        <v>4636</v>
      </c>
      <c r="C1972" s="232">
        <v>0.0</v>
      </c>
      <c r="D1972" s="232">
        <v>0.0</v>
      </c>
      <c r="F1972" t="s">
        <v>7711</v>
      </c>
      <c r="G1972" t="s">
        <v>310</v>
      </c>
      <c r="H1972" t="s">
        <v>7703</v>
      </c>
      <c r="I1972" t="s">
        <v>98</v>
      </c>
    </row>
    <row r="1973">
      <c r="A1973" t="s">
        <v>4639</v>
      </c>
      <c r="B1973" s="232" t="s">
        <v>4638</v>
      </c>
      <c r="C1973" s="232">
        <v>0.0</v>
      </c>
      <c r="D1973" s="232">
        <v>0.0</v>
      </c>
      <c r="F1973" t="s">
        <v>7702</v>
      </c>
      <c r="G1973" t="s">
        <v>310</v>
      </c>
      <c r="H1973" t="s">
        <v>7703</v>
      </c>
      <c r="I1973" t="s">
        <v>7714</v>
      </c>
    </row>
    <row r="1974">
      <c r="A1974" t="s">
        <v>4641</v>
      </c>
      <c r="B1974" s="232" t="s">
        <v>4640</v>
      </c>
      <c r="C1974" s="232">
        <v>0.0</v>
      </c>
      <c r="D1974" s="232">
        <v>0.0</v>
      </c>
      <c r="F1974" t="s">
        <v>7702</v>
      </c>
      <c r="G1974" t="s">
        <v>310</v>
      </c>
      <c r="H1974" t="s">
        <v>7703</v>
      </c>
      <c r="I1974" t="s">
        <v>7714</v>
      </c>
    </row>
    <row r="1975">
      <c r="A1975" t="s">
        <v>4645</v>
      </c>
      <c r="B1975" s="232" t="s">
        <v>4644</v>
      </c>
      <c r="C1975" s="232">
        <v>0.0</v>
      </c>
      <c r="D1975" s="232">
        <v>0.0</v>
      </c>
      <c r="F1975" t="s">
        <v>7702</v>
      </c>
      <c r="G1975" t="s">
        <v>310</v>
      </c>
      <c r="H1975" t="s">
        <v>7703</v>
      </c>
      <c r="I1975" t="s">
        <v>7818</v>
      </c>
    </row>
    <row r="1976">
      <c r="A1976" t="s">
        <v>4647</v>
      </c>
      <c r="B1976" s="232" t="s">
        <v>4646</v>
      </c>
      <c r="C1976" s="232">
        <v>0.0</v>
      </c>
      <c r="D1976" s="232">
        <v>0.0</v>
      </c>
      <c r="F1976" t="s">
        <v>7702</v>
      </c>
      <c r="G1976" t="s">
        <v>310</v>
      </c>
      <c r="H1976" t="s">
        <v>7703</v>
      </c>
      <c r="I1976" t="s">
        <v>7714</v>
      </c>
    </row>
    <row r="1977">
      <c r="A1977" t="s">
        <v>4649</v>
      </c>
      <c r="B1977" s="232" t="s">
        <v>4648</v>
      </c>
      <c r="C1977" s="232">
        <v>714.0</v>
      </c>
      <c r="D1977" s="232">
        <v>2399.63</v>
      </c>
      <c r="E1977" s="232">
        <v>3.3608</v>
      </c>
      <c r="F1977" t="s">
        <v>7702</v>
      </c>
      <c r="G1977" t="s">
        <v>330</v>
      </c>
      <c r="H1977" t="s">
        <v>45</v>
      </c>
      <c r="I1977" t="s">
        <v>7712</v>
      </c>
    </row>
    <row r="1978">
      <c r="A1978" t="s">
        <v>4657</v>
      </c>
      <c r="B1978" s="232" t="s">
        <v>4656</v>
      </c>
      <c r="C1978" s="232">
        <v>0.0</v>
      </c>
      <c r="D1978" s="232">
        <v>0.0</v>
      </c>
      <c r="F1978" t="s">
        <v>7702</v>
      </c>
      <c r="G1978" t="s">
        <v>310</v>
      </c>
      <c r="H1978" t="s">
        <v>7703</v>
      </c>
      <c r="I1978" t="s">
        <v>7818</v>
      </c>
    </row>
    <row r="1979">
      <c r="A1979" t="s">
        <v>4661</v>
      </c>
      <c r="B1979" s="232" t="s">
        <v>4660</v>
      </c>
      <c r="C1979" s="232">
        <v>0.0</v>
      </c>
      <c r="D1979" s="232">
        <v>0.0</v>
      </c>
      <c r="F1979" t="s">
        <v>7702</v>
      </c>
      <c r="G1979" t="s">
        <v>310</v>
      </c>
      <c r="H1979" t="s">
        <v>7703</v>
      </c>
      <c r="I1979" t="s">
        <v>7818</v>
      </c>
    </row>
    <row r="1980">
      <c r="A1980" t="s">
        <v>4663</v>
      </c>
      <c r="B1980" s="232" t="s">
        <v>4662</v>
      </c>
      <c r="C1980" s="232">
        <v>0.0</v>
      </c>
      <c r="D1980" s="232">
        <v>0.0</v>
      </c>
      <c r="F1980" t="s">
        <v>7702</v>
      </c>
      <c r="G1980" t="s">
        <v>310</v>
      </c>
      <c r="H1980" t="s">
        <v>7703</v>
      </c>
      <c r="I1980" t="s">
        <v>7818</v>
      </c>
    </row>
    <row r="1981">
      <c r="A1981" t="s">
        <v>4665</v>
      </c>
      <c r="B1981" s="232" t="s">
        <v>4664</v>
      </c>
      <c r="C1981" s="232">
        <v>0.0</v>
      </c>
      <c r="D1981" s="232">
        <v>0.0</v>
      </c>
      <c r="F1981" t="s">
        <v>7702</v>
      </c>
      <c r="G1981" t="s">
        <v>310</v>
      </c>
      <c r="H1981" t="s">
        <v>7703</v>
      </c>
      <c r="I1981" t="s">
        <v>7818</v>
      </c>
    </row>
    <row r="1982">
      <c r="A1982" t="s">
        <v>4667</v>
      </c>
      <c r="B1982" s="232" t="s">
        <v>4666</v>
      </c>
      <c r="C1982" s="232">
        <v>0.0</v>
      </c>
      <c r="D1982" s="232">
        <v>0.0</v>
      </c>
      <c r="F1982" t="s">
        <v>7702</v>
      </c>
      <c r="G1982" t="s">
        <v>310</v>
      </c>
      <c r="H1982" t="s">
        <v>7703</v>
      </c>
      <c r="I1982" t="s">
        <v>7818</v>
      </c>
    </row>
    <row r="1983">
      <c r="A1983" t="s">
        <v>4669</v>
      </c>
      <c r="B1983" s="232" t="s">
        <v>4668</v>
      </c>
      <c r="C1983" s="232">
        <v>0.0</v>
      </c>
      <c r="D1983" s="232">
        <v>0.0</v>
      </c>
      <c r="F1983" t="s">
        <v>7702</v>
      </c>
      <c r="G1983" t="s">
        <v>310</v>
      </c>
      <c r="H1983" t="s">
        <v>7703</v>
      </c>
      <c r="I1983" t="s">
        <v>7818</v>
      </c>
    </row>
    <row r="1984">
      <c r="A1984" t="s">
        <v>4671</v>
      </c>
      <c r="B1984" s="232" t="s">
        <v>4670</v>
      </c>
      <c r="C1984" s="232">
        <v>0.0</v>
      </c>
      <c r="D1984" s="232">
        <v>0.0</v>
      </c>
      <c r="F1984" t="s">
        <v>7702</v>
      </c>
      <c r="G1984" t="s">
        <v>310</v>
      </c>
      <c r="H1984" t="s">
        <v>7703</v>
      </c>
      <c r="I1984" t="s">
        <v>7818</v>
      </c>
    </row>
    <row r="1985">
      <c r="A1985" t="s">
        <v>4673</v>
      </c>
      <c r="B1985" s="232" t="s">
        <v>4672</v>
      </c>
      <c r="C1985" s="232">
        <v>0.0</v>
      </c>
      <c r="D1985" s="232">
        <v>0.0</v>
      </c>
      <c r="F1985" t="s">
        <v>7702</v>
      </c>
      <c r="G1985" t="s">
        <v>310</v>
      </c>
      <c r="H1985" t="s">
        <v>7703</v>
      </c>
      <c r="I1985" t="s">
        <v>7818</v>
      </c>
    </row>
    <row r="1986">
      <c r="A1986" t="s">
        <v>4675</v>
      </c>
      <c r="B1986" s="232" t="s">
        <v>4674</v>
      </c>
      <c r="C1986" s="232">
        <v>0.0</v>
      </c>
      <c r="D1986" s="232">
        <v>0.0</v>
      </c>
      <c r="F1986" t="s">
        <v>7702</v>
      </c>
      <c r="G1986" t="s">
        <v>310</v>
      </c>
      <c r="H1986" t="s">
        <v>7703</v>
      </c>
      <c r="I1986" t="s">
        <v>7818</v>
      </c>
    </row>
    <row r="1987">
      <c r="A1987" t="s">
        <v>4677</v>
      </c>
      <c r="B1987" s="232" t="s">
        <v>4676</v>
      </c>
      <c r="C1987" s="232">
        <v>0.0</v>
      </c>
      <c r="D1987" s="232">
        <v>0.0</v>
      </c>
      <c r="F1987" t="s">
        <v>7702</v>
      </c>
      <c r="G1987" t="s">
        <v>310</v>
      </c>
      <c r="H1987" t="s">
        <v>7703</v>
      </c>
      <c r="I1987" t="s">
        <v>7818</v>
      </c>
    </row>
    <row r="1988">
      <c r="A1988" t="s">
        <v>4679</v>
      </c>
      <c r="B1988" s="232" t="s">
        <v>4678</v>
      </c>
      <c r="C1988" s="232">
        <v>0.0</v>
      </c>
      <c r="D1988" s="232">
        <v>0.0</v>
      </c>
      <c r="F1988" t="s">
        <v>7702</v>
      </c>
      <c r="G1988" t="s">
        <v>310</v>
      </c>
      <c r="H1988" t="s">
        <v>7703</v>
      </c>
      <c r="I1988" t="s">
        <v>7818</v>
      </c>
    </row>
    <row r="1989">
      <c r="A1989" t="s">
        <v>4681</v>
      </c>
      <c r="B1989" s="232" t="s">
        <v>4680</v>
      </c>
      <c r="C1989" s="232">
        <v>0.0</v>
      </c>
      <c r="D1989" s="232">
        <v>0.0</v>
      </c>
      <c r="F1989" t="s">
        <v>7702</v>
      </c>
      <c r="G1989" t="s">
        <v>310</v>
      </c>
      <c r="H1989" t="s">
        <v>7703</v>
      </c>
      <c r="I1989" t="s">
        <v>7818</v>
      </c>
    </row>
    <row r="1990">
      <c r="A1990" t="s">
        <v>4683</v>
      </c>
      <c r="B1990" s="232" t="s">
        <v>4682</v>
      </c>
      <c r="C1990" s="232">
        <v>0.0</v>
      </c>
      <c r="D1990" s="232">
        <v>0.0</v>
      </c>
      <c r="F1990" t="s">
        <v>7702</v>
      </c>
      <c r="G1990" t="s">
        <v>310</v>
      </c>
      <c r="H1990" t="s">
        <v>7703</v>
      </c>
      <c r="I1990" t="s">
        <v>7818</v>
      </c>
    </row>
    <row r="1991">
      <c r="A1991" t="s">
        <v>4685</v>
      </c>
      <c r="B1991" s="232" t="s">
        <v>4684</v>
      </c>
      <c r="C1991" s="232">
        <v>0.0</v>
      </c>
      <c r="D1991" s="232">
        <v>0.0</v>
      </c>
      <c r="F1991" t="s">
        <v>7702</v>
      </c>
      <c r="G1991" t="s">
        <v>310</v>
      </c>
      <c r="H1991" t="s">
        <v>7703</v>
      </c>
      <c r="I1991" t="s">
        <v>7818</v>
      </c>
    </row>
    <row r="1992">
      <c r="A1992" t="s">
        <v>4687</v>
      </c>
      <c r="B1992" s="232" t="s">
        <v>4686</v>
      </c>
      <c r="C1992" s="232">
        <v>0.0</v>
      </c>
      <c r="D1992" s="232">
        <v>0.0</v>
      </c>
      <c r="F1992" t="s">
        <v>7702</v>
      </c>
      <c r="G1992" t="s">
        <v>310</v>
      </c>
      <c r="H1992" t="s">
        <v>7703</v>
      </c>
      <c r="I1992" t="s">
        <v>7818</v>
      </c>
    </row>
    <row r="1993">
      <c r="A1993" t="s">
        <v>4689</v>
      </c>
      <c r="B1993" s="232" t="s">
        <v>4688</v>
      </c>
      <c r="C1993" s="232">
        <v>0.0</v>
      </c>
      <c r="D1993" s="232">
        <v>0.0</v>
      </c>
      <c r="F1993" t="s">
        <v>7702</v>
      </c>
      <c r="G1993" t="s">
        <v>310</v>
      </c>
      <c r="H1993" t="s">
        <v>7703</v>
      </c>
      <c r="I1993" t="s">
        <v>7818</v>
      </c>
    </row>
    <row r="1994">
      <c r="A1994" t="s">
        <v>4691</v>
      </c>
      <c r="B1994" s="232" t="s">
        <v>4690</v>
      </c>
      <c r="C1994" s="232">
        <v>0.0</v>
      </c>
      <c r="D1994" s="232">
        <v>0.0</v>
      </c>
      <c r="F1994" t="s">
        <v>7702</v>
      </c>
      <c r="G1994" t="s">
        <v>310</v>
      </c>
      <c r="H1994" t="s">
        <v>7703</v>
      </c>
      <c r="I1994" t="s">
        <v>7818</v>
      </c>
    </row>
    <row r="1995">
      <c r="A1995" t="s">
        <v>4693</v>
      </c>
      <c r="B1995" s="232" t="s">
        <v>4692</v>
      </c>
      <c r="C1995" s="232">
        <v>0.0</v>
      </c>
      <c r="D1995" s="232">
        <v>0.0</v>
      </c>
      <c r="F1995" t="s">
        <v>7702</v>
      </c>
      <c r="G1995" t="s">
        <v>310</v>
      </c>
      <c r="H1995" t="s">
        <v>7703</v>
      </c>
      <c r="I1995" t="s">
        <v>7818</v>
      </c>
    </row>
    <row r="1996">
      <c r="A1996" t="s">
        <v>4695</v>
      </c>
      <c r="B1996" s="232" t="s">
        <v>4694</v>
      </c>
      <c r="C1996" s="232">
        <v>0.0</v>
      </c>
      <c r="D1996" s="232">
        <v>0.0</v>
      </c>
      <c r="F1996" t="s">
        <v>7702</v>
      </c>
      <c r="G1996" t="s">
        <v>310</v>
      </c>
      <c r="H1996" t="s">
        <v>7703</v>
      </c>
      <c r="I1996" t="s">
        <v>7818</v>
      </c>
    </row>
    <row r="1997">
      <c r="A1997" t="s">
        <v>4697</v>
      </c>
      <c r="B1997" s="232" t="s">
        <v>4696</v>
      </c>
      <c r="C1997" s="232">
        <v>0.0</v>
      </c>
      <c r="D1997" s="232">
        <v>0.0</v>
      </c>
      <c r="F1997" t="s">
        <v>7702</v>
      </c>
      <c r="G1997" t="s">
        <v>310</v>
      </c>
      <c r="H1997" t="s">
        <v>7703</v>
      </c>
      <c r="I1997" t="s">
        <v>7818</v>
      </c>
    </row>
    <row r="1998">
      <c r="A1998" t="s">
        <v>4699</v>
      </c>
      <c r="B1998" s="232" t="s">
        <v>4698</v>
      </c>
      <c r="C1998" s="232">
        <v>0.0</v>
      </c>
      <c r="D1998" s="232">
        <v>0.0</v>
      </c>
      <c r="F1998" t="s">
        <v>7702</v>
      </c>
      <c r="G1998" t="s">
        <v>310</v>
      </c>
      <c r="H1998" t="s">
        <v>7703</v>
      </c>
      <c r="I1998" t="s">
        <v>7818</v>
      </c>
    </row>
    <row r="1999">
      <c r="A1999" t="s">
        <v>4701</v>
      </c>
      <c r="B1999" s="232" t="s">
        <v>4700</v>
      </c>
      <c r="C1999" s="232">
        <v>0.0</v>
      </c>
      <c r="D1999" s="232">
        <v>0.0</v>
      </c>
      <c r="F1999" t="s">
        <v>7702</v>
      </c>
      <c r="G1999" t="s">
        <v>310</v>
      </c>
      <c r="H1999" t="s">
        <v>7703</v>
      </c>
      <c r="I1999" t="s">
        <v>7818</v>
      </c>
    </row>
    <row r="2000">
      <c r="A2000" t="s">
        <v>4703</v>
      </c>
      <c r="B2000" s="232" t="s">
        <v>4702</v>
      </c>
      <c r="C2000" s="232">
        <v>0.0</v>
      </c>
      <c r="D2000" s="232">
        <v>0.0</v>
      </c>
      <c r="F2000" t="s">
        <v>7702</v>
      </c>
      <c r="G2000" t="s">
        <v>310</v>
      </c>
      <c r="H2000" t="s">
        <v>7703</v>
      </c>
      <c r="I2000" t="s">
        <v>7818</v>
      </c>
    </row>
    <row r="2001">
      <c r="A2001" t="s">
        <v>4705</v>
      </c>
      <c r="B2001" s="232" t="s">
        <v>4704</v>
      </c>
      <c r="C2001" s="232">
        <v>0.0</v>
      </c>
      <c r="D2001" s="232">
        <v>0.0</v>
      </c>
      <c r="F2001" t="s">
        <v>7702</v>
      </c>
      <c r="G2001" t="s">
        <v>310</v>
      </c>
      <c r="H2001" t="s">
        <v>7703</v>
      </c>
      <c r="I2001" t="s">
        <v>7818</v>
      </c>
    </row>
    <row r="2002">
      <c r="A2002" t="s">
        <v>4707</v>
      </c>
      <c r="B2002" s="232" t="s">
        <v>4706</v>
      </c>
      <c r="C2002" s="232">
        <v>0.0</v>
      </c>
      <c r="D2002" s="232">
        <v>0.0</v>
      </c>
      <c r="F2002" t="s">
        <v>7702</v>
      </c>
      <c r="G2002" t="s">
        <v>310</v>
      </c>
      <c r="H2002" t="s">
        <v>7703</v>
      </c>
      <c r="I2002" t="s">
        <v>7818</v>
      </c>
    </row>
    <row r="2003">
      <c r="A2003" t="s">
        <v>4709</v>
      </c>
      <c r="B2003" s="232" t="s">
        <v>4708</v>
      </c>
      <c r="C2003" s="232">
        <v>0.0</v>
      </c>
      <c r="D2003" s="232">
        <v>0.0</v>
      </c>
      <c r="F2003" t="s">
        <v>7702</v>
      </c>
      <c r="G2003" t="s">
        <v>310</v>
      </c>
      <c r="H2003" t="s">
        <v>7703</v>
      </c>
      <c r="I2003" t="s">
        <v>7818</v>
      </c>
    </row>
    <row r="2004">
      <c r="A2004" t="s">
        <v>4711</v>
      </c>
      <c r="B2004" s="232" t="s">
        <v>4710</v>
      </c>
      <c r="C2004" s="232">
        <v>0.0</v>
      </c>
      <c r="D2004" s="232">
        <v>0.0</v>
      </c>
      <c r="F2004" t="s">
        <v>7702</v>
      </c>
      <c r="G2004" t="s">
        <v>310</v>
      </c>
      <c r="H2004" t="s">
        <v>7703</v>
      </c>
      <c r="I2004" t="s">
        <v>7818</v>
      </c>
    </row>
    <row r="2005">
      <c r="A2005" t="s">
        <v>4713</v>
      </c>
      <c r="B2005" s="232" t="s">
        <v>4712</v>
      </c>
      <c r="C2005" s="232">
        <v>0.0</v>
      </c>
      <c r="D2005" s="232">
        <v>0.0</v>
      </c>
      <c r="F2005" t="s">
        <v>7702</v>
      </c>
      <c r="G2005" t="s">
        <v>310</v>
      </c>
      <c r="H2005" t="s">
        <v>7703</v>
      </c>
      <c r="I2005" t="s">
        <v>7818</v>
      </c>
    </row>
    <row r="2006">
      <c r="A2006" t="s">
        <v>4715</v>
      </c>
      <c r="B2006" s="232" t="s">
        <v>4714</v>
      </c>
      <c r="C2006" s="232">
        <v>0.0</v>
      </c>
      <c r="D2006" s="232">
        <v>0.0</v>
      </c>
      <c r="F2006" t="s">
        <v>7702</v>
      </c>
      <c r="G2006" t="s">
        <v>310</v>
      </c>
      <c r="H2006" t="s">
        <v>7703</v>
      </c>
      <c r="I2006" t="s">
        <v>7818</v>
      </c>
    </row>
    <row r="2007">
      <c r="A2007" t="s">
        <v>4717</v>
      </c>
      <c r="B2007" s="232" t="s">
        <v>4716</v>
      </c>
      <c r="C2007" s="232">
        <v>0.0</v>
      </c>
      <c r="D2007" s="232">
        <v>0.0</v>
      </c>
      <c r="F2007" t="s">
        <v>7702</v>
      </c>
      <c r="G2007" t="s">
        <v>310</v>
      </c>
      <c r="H2007" t="s">
        <v>7703</v>
      </c>
      <c r="I2007" t="s">
        <v>7818</v>
      </c>
    </row>
    <row r="2008">
      <c r="A2008" t="s">
        <v>4719</v>
      </c>
      <c r="B2008" s="232" t="s">
        <v>4718</v>
      </c>
      <c r="C2008" s="232">
        <v>0.0</v>
      </c>
      <c r="D2008" s="232">
        <v>0.0</v>
      </c>
      <c r="F2008" t="s">
        <v>7702</v>
      </c>
      <c r="G2008" t="s">
        <v>310</v>
      </c>
      <c r="H2008" t="s">
        <v>7703</v>
      </c>
      <c r="I2008" t="s">
        <v>7818</v>
      </c>
    </row>
    <row r="2009">
      <c r="A2009" t="s">
        <v>4721</v>
      </c>
      <c r="B2009" s="232" t="s">
        <v>4720</v>
      </c>
      <c r="C2009" s="232">
        <v>2.0</v>
      </c>
      <c r="D2009" s="232">
        <v>124.58</v>
      </c>
      <c r="E2009" s="232">
        <v>62.29</v>
      </c>
      <c r="F2009" t="s">
        <v>7702</v>
      </c>
      <c r="G2009" t="s">
        <v>330</v>
      </c>
      <c r="H2009" t="s">
        <v>150</v>
      </c>
      <c r="I2009" t="s">
        <v>7752</v>
      </c>
    </row>
    <row r="2010">
      <c r="A2010" t="s">
        <v>4723</v>
      </c>
      <c r="B2010" s="232" t="s">
        <v>4722</v>
      </c>
      <c r="C2010" s="232">
        <v>0.0</v>
      </c>
      <c r="D2010" s="232">
        <v>0.0</v>
      </c>
      <c r="F2010" t="s">
        <v>7702</v>
      </c>
      <c r="G2010" t="s">
        <v>310</v>
      </c>
      <c r="H2010" t="s">
        <v>7703</v>
      </c>
      <c r="I2010" t="s">
        <v>151</v>
      </c>
    </row>
    <row r="2011">
      <c r="A2011" t="s">
        <v>4725</v>
      </c>
      <c r="B2011" s="232" t="s">
        <v>4724</v>
      </c>
      <c r="C2011" s="232">
        <v>0.0</v>
      </c>
      <c r="D2011" s="232">
        <v>0.0</v>
      </c>
      <c r="F2011" t="s">
        <v>7702</v>
      </c>
      <c r="G2011" t="s">
        <v>310</v>
      </c>
      <c r="H2011" t="s">
        <v>7703</v>
      </c>
      <c r="I2011" t="s">
        <v>7773</v>
      </c>
    </row>
    <row r="2012">
      <c r="A2012" t="s">
        <v>4730</v>
      </c>
      <c r="B2012" s="232">
        <v>2502.0</v>
      </c>
      <c r="C2012" s="232">
        <v>0.0</v>
      </c>
      <c r="D2012" s="232">
        <v>0.0</v>
      </c>
      <c r="F2012" t="s">
        <v>7702</v>
      </c>
      <c r="G2012" t="s">
        <v>310</v>
      </c>
      <c r="H2012" t="s">
        <v>7703</v>
      </c>
      <c r="I2012" t="s">
        <v>98</v>
      </c>
    </row>
    <row r="2013">
      <c r="A2013" t="s">
        <v>4731</v>
      </c>
      <c r="B2013" s="232">
        <v>2509.0</v>
      </c>
      <c r="C2013" s="232">
        <v>0.0</v>
      </c>
      <c r="D2013" s="232">
        <v>0.0</v>
      </c>
      <c r="F2013" t="s">
        <v>7702</v>
      </c>
      <c r="G2013" t="s">
        <v>310</v>
      </c>
      <c r="H2013" t="s">
        <v>7703</v>
      </c>
      <c r="I2013" t="s">
        <v>98</v>
      </c>
    </row>
    <row r="2014">
      <c r="A2014" t="s">
        <v>4732</v>
      </c>
      <c r="B2014" s="232">
        <v>2512.0</v>
      </c>
      <c r="C2014" s="232">
        <v>0.0</v>
      </c>
      <c r="D2014" s="232">
        <v>0.0</v>
      </c>
      <c r="F2014" t="s">
        <v>7702</v>
      </c>
      <c r="G2014" t="s">
        <v>310</v>
      </c>
      <c r="H2014" t="s">
        <v>7703</v>
      </c>
      <c r="I2014" t="s">
        <v>98</v>
      </c>
    </row>
    <row r="2015">
      <c r="A2015" t="s">
        <v>4733</v>
      </c>
      <c r="B2015" s="232">
        <v>2505.0</v>
      </c>
      <c r="C2015" s="232">
        <v>0.0</v>
      </c>
      <c r="D2015" s="232">
        <v>0.0</v>
      </c>
      <c r="F2015" t="s">
        <v>7702</v>
      </c>
      <c r="G2015" t="s">
        <v>310</v>
      </c>
      <c r="H2015" t="s">
        <v>7703</v>
      </c>
      <c r="I2015" t="s">
        <v>98</v>
      </c>
    </row>
    <row r="2016">
      <c r="A2016" t="s">
        <v>4734</v>
      </c>
      <c r="B2016" s="232">
        <v>2506.0</v>
      </c>
      <c r="C2016" s="232">
        <v>0.0</v>
      </c>
      <c r="D2016" s="232">
        <v>0.0</v>
      </c>
      <c r="F2016" t="s">
        <v>7702</v>
      </c>
      <c r="G2016" t="s">
        <v>310</v>
      </c>
      <c r="H2016" t="s">
        <v>7703</v>
      </c>
      <c r="I2016" t="s">
        <v>98</v>
      </c>
    </row>
    <row r="2017">
      <c r="A2017" t="s">
        <v>4735</v>
      </c>
      <c r="B2017" s="232">
        <v>2510.0</v>
      </c>
      <c r="C2017" s="232">
        <v>0.0</v>
      </c>
      <c r="D2017" s="232">
        <v>0.0</v>
      </c>
      <c r="F2017" t="s">
        <v>7702</v>
      </c>
      <c r="G2017" t="s">
        <v>310</v>
      </c>
      <c r="H2017" t="s">
        <v>7703</v>
      </c>
      <c r="I2017" t="s">
        <v>98</v>
      </c>
    </row>
    <row r="2018">
      <c r="A2018" t="s">
        <v>4736</v>
      </c>
      <c r="B2018" s="232">
        <v>2511.0</v>
      </c>
      <c r="C2018" s="232">
        <v>0.0</v>
      </c>
      <c r="D2018" s="232">
        <v>0.0</v>
      </c>
      <c r="F2018" t="s">
        <v>7702</v>
      </c>
      <c r="G2018" t="s">
        <v>310</v>
      </c>
      <c r="H2018" t="s">
        <v>7703</v>
      </c>
      <c r="I2018" t="s">
        <v>98</v>
      </c>
    </row>
    <row r="2019">
      <c r="A2019" t="s">
        <v>4737</v>
      </c>
      <c r="B2019" s="232">
        <v>2507.0</v>
      </c>
      <c r="C2019" s="232">
        <v>0.0</v>
      </c>
      <c r="D2019" s="232">
        <v>0.0</v>
      </c>
      <c r="F2019" t="s">
        <v>7702</v>
      </c>
      <c r="G2019" t="s">
        <v>310</v>
      </c>
      <c r="H2019" t="s">
        <v>7703</v>
      </c>
      <c r="I2019" t="s">
        <v>98</v>
      </c>
    </row>
    <row r="2020">
      <c r="A2020" t="s">
        <v>4738</v>
      </c>
      <c r="B2020" s="232">
        <v>2508.0</v>
      </c>
      <c r="C2020" s="232">
        <v>0.0</v>
      </c>
      <c r="D2020" s="232">
        <v>0.0</v>
      </c>
      <c r="F2020" t="s">
        <v>7702</v>
      </c>
      <c r="G2020" t="s">
        <v>310</v>
      </c>
      <c r="H2020" t="s">
        <v>7703</v>
      </c>
      <c r="I2020" t="s">
        <v>98</v>
      </c>
    </row>
    <row r="2021">
      <c r="A2021" t="s">
        <v>4740</v>
      </c>
      <c r="B2021" s="232" t="s">
        <v>4739</v>
      </c>
      <c r="C2021" s="232">
        <v>0.0</v>
      </c>
      <c r="D2021" s="232">
        <v>0.0</v>
      </c>
      <c r="F2021" t="s">
        <v>7702</v>
      </c>
      <c r="G2021" t="s">
        <v>310</v>
      </c>
      <c r="H2021" t="s">
        <v>7703</v>
      </c>
      <c r="I2021" t="s">
        <v>151</v>
      </c>
    </row>
    <row r="2022">
      <c r="A2022" t="s">
        <v>4742</v>
      </c>
      <c r="B2022" s="232" t="s">
        <v>4741</v>
      </c>
      <c r="C2022" s="232">
        <v>0.0</v>
      </c>
      <c r="D2022" s="232">
        <v>0.0</v>
      </c>
      <c r="F2022" t="s">
        <v>7702</v>
      </c>
      <c r="G2022" t="s">
        <v>310</v>
      </c>
      <c r="H2022" t="s">
        <v>7703</v>
      </c>
      <c r="I2022" t="s">
        <v>7731</v>
      </c>
    </row>
    <row r="2023">
      <c r="A2023" t="s">
        <v>4748</v>
      </c>
      <c r="B2023" s="232" t="s">
        <v>4747</v>
      </c>
      <c r="C2023" s="232">
        <v>0.0</v>
      </c>
      <c r="D2023" s="232">
        <v>0.0</v>
      </c>
      <c r="F2023" t="s">
        <v>7702</v>
      </c>
      <c r="G2023" t="s">
        <v>310</v>
      </c>
      <c r="H2023" t="s">
        <v>7703</v>
      </c>
      <c r="I2023" t="s">
        <v>7731</v>
      </c>
    </row>
    <row r="2024">
      <c r="A2024" t="s">
        <v>4750</v>
      </c>
      <c r="B2024" s="232" t="s">
        <v>4749</v>
      </c>
      <c r="C2024" s="232">
        <v>0.0</v>
      </c>
      <c r="D2024" s="232">
        <v>0.0</v>
      </c>
      <c r="F2024" t="s">
        <v>7702</v>
      </c>
      <c r="G2024" t="s">
        <v>310</v>
      </c>
      <c r="H2024" t="s">
        <v>7703</v>
      </c>
      <c r="I2024" t="s">
        <v>7731</v>
      </c>
    </row>
    <row r="2025">
      <c r="A2025" t="s">
        <v>4752</v>
      </c>
      <c r="B2025" s="232" t="s">
        <v>4751</v>
      </c>
      <c r="C2025" s="232">
        <v>0.0</v>
      </c>
      <c r="D2025" s="232">
        <v>0.0</v>
      </c>
      <c r="F2025" t="s">
        <v>7702</v>
      </c>
      <c r="G2025" t="s">
        <v>310</v>
      </c>
      <c r="H2025" t="s">
        <v>7703</v>
      </c>
      <c r="I2025" t="s">
        <v>7731</v>
      </c>
    </row>
    <row r="2026">
      <c r="A2026" t="s">
        <v>4754</v>
      </c>
      <c r="B2026" s="232" t="s">
        <v>4753</v>
      </c>
      <c r="C2026" s="232">
        <v>0.0</v>
      </c>
      <c r="D2026" s="232">
        <v>0.0</v>
      </c>
      <c r="F2026" t="s">
        <v>7702</v>
      </c>
      <c r="G2026" t="s">
        <v>310</v>
      </c>
      <c r="H2026" t="s">
        <v>7703</v>
      </c>
      <c r="I2026" t="s">
        <v>7731</v>
      </c>
    </row>
    <row r="2027">
      <c r="A2027" t="s">
        <v>4756</v>
      </c>
      <c r="B2027" s="232" t="s">
        <v>4755</v>
      </c>
      <c r="C2027" s="232">
        <v>364.0</v>
      </c>
      <c r="D2027" s="232">
        <v>2112.8</v>
      </c>
      <c r="E2027" s="232">
        <v>5.8044</v>
      </c>
      <c r="F2027" t="s">
        <v>7702</v>
      </c>
      <c r="G2027" t="s">
        <v>330</v>
      </c>
      <c r="H2027" t="s">
        <v>45</v>
      </c>
      <c r="I2027" t="s">
        <v>7717</v>
      </c>
    </row>
    <row r="2028">
      <c r="A2028" t="s">
        <v>4758</v>
      </c>
      <c r="B2028" s="232" t="s">
        <v>4757</v>
      </c>
      <c r="C2028" s="232">
        <v>0.0</v>
      </c>
      <c r="D2028" s="232">
        <v>0.0</v>
      </c>
      <c r="F2028" t="s">
        <v>7702</v>
      </c>
      <c r="G2028" t="s">
        <v>310</v>
      </c>
      <c r="H2028" t="s">
        <v>7703</v>
      </c>
      <c r="I2028" t="s">
        <v>7729</v>
      </c>
    </row>
    <row r="2029">
      <c r="A2029" t="s">
        <v>4760</v>
      </c>
      <c r="B2029" s="232" t="s">
        <v>4759</v>
      </c>
      <c r="C2029" s="232">
        <v>0.0</v>
      </c>
      <c r="D2029" s="232">
        <v>0.0</v>
      </c>
      <c r="F2029" t="s">
        <v>7702</v>
      </c>
      <c r="G2029" t="s">
        <v>310</v>
      </c>
      <c r="H2029" t="s">
        <v>7703</v>
      </c>
      <c r="I2029" t="s">
        <v>7724</v>
      </c>
    </row>
    <row r="2030">
      <c r="A2030" t="s">
        <v>4762</v>
      </c>
      <c r="B2030" s="232" t="s">
        <v>4761</v>
      </c>
      <c r="C2030" s="232">
        <v>0.0</v>
      </c>
      <c r="D2030" s="232">
        <v>0.0</v>
      </c>
      <c r="F2030" t="s">
        <v>7702</v>
      </c>
      <c r="G2030" t="s">
        <v>310</v>
      </c>
      <c r="H2030" t="s">
        <v>7703</v>
      </c>
      <c r="I2030" t="s">
        <v>7713</v>
      </c>
    </row>
    <row r="2031">
      <c r="A2031" t="s">
        <v>4764</v>
      </c>
      <c r="B2031" s="232" t="s">
        <v>4763</v>
      </c>
      <c r="C2031" s="232">
        <v>0.0</v>
      </c>
      <c r="D2031" s="232">
        <v>0.0</v>
      </c>
      <c r="F2031" t="s">
        <v>7702</v>
      </c>
      <c r="G2031" t="s">
        <v>310</v>
      </c>
      <c r="H2031" t="s">
        <v>7703</v>
      </c>
      <c r="I2031" t="s">
        <v>7713</v>
      </c>
    </row>
    <row r="2032">
      <c r="A2032" t="s">
        <v>4766</v>
      </c>
      <c r="B2032" s="232" t="s">
        <v>4765</v>
      </c>
      <c r="C2032" s="232">
        <v>0.0</v>
      </c>
      <c r="D2032" s="232">
        <v>0.0</v>
      </c>
      <c r="F2032" t="s">
        <v>7702</v>
      </c>
      <c r="G2032" t="s">
        <v>310</v>
      </c>
      <c r="H2032" t="s">
        <v>7703</v>
      </c>
      <c r="I2032" t="s">
        <v>7713</v>
      </c>
    </row>
    <row r="2033">
      <c r="A2033" t="s">
        <v>4768</v>
      </c>
      <c r="B2033" s="232" t="s">
        <v>4767</v>
      </c>
      <c r="C2033" s="232">
        <v>0.0</v>
      </c>
      <c r="D2033" s="232">
        <v>0.0</v>
      </c>
      <c r="F2033" t="s">
        <v>7702</v>
      </c>
      <c r="G2033" t="s">
        <v>310</v>
      </c>
      <c r="H2033" t="s">
        <v>7703</v>
      </c>
      <c r="I2033" t="s">
        <v>7713</v>
      </c>
    </row>
    <row r="2034">
      <c r="A2034" t="s">
        <v>4772</v>
      </c>
      <c r="B2034" s="232" t="s">
        <v>4771</v>
      </c>
      <c r="C2034" s="232">
        <v>0.0</v>
      </c>
      <c r="D2034" s="232">
        <v>0.0</v>
      </c>
      <c r="F2034" t="s">
        <v>7702</v>
      </c>
      <c r="G2034" t="s">
        <v>310</v>
      </c>
      <c r="H2034" t="s">
        <v>45</v>
      </c>
      <c r="I2034" t="s">
        <v>7713</v>
      </c>
    </row>
    <row r="2035">
      <c r="A2035" t="s">
        <v>4774</v>
      </c>
      <c r="B2035" s="232" t="s">
        <v>4773</v>
      </c>
      <c r="C2035" s="232">
        <v>0.0</v>
      </c>
      <c r="D2035" s="232">
        <v>0.0</v>
      </c>
      <c r="F2035" t="s">
        <v>7702</v>
      </c>
      <c r="G2035" t="s">
        <v>310</v>
      </c>
      <c r="H2035" t="s">
        <v>7703</v>
      </c>
      <c r="I2035" t="s">
        <v>7713</v>
      </c>
    </row>
    <row r="2036">
      <c r="A2036" t="s">
        <v>4776</v>
      </c>
      <c r="B2036" s="232" t="s">
        <v>4775</v>
      </c>
      <c r="C2036" s="232">
        <v>0.0</v>
      </c>
      <c r="D2036" s="232">
        <v>0.0</v>
      </c>
      <c r="F2036" t="s">
        <v>7702</v>
      </c>
      <c r="G2036" t="s">
        <v>310</v>
      </c>
      <c r="H2036" t="s">
        <v>7703</v>
      </c>
      <c r="I2036" t="s">
        <v>7713</v>
      </c>
    </row>
    <row r="2037">
      <c r="A2037" t="s">
        <v>4778</v>
      </c>
      <c r="B2037" s="232" t="s">
        <v>4777</v>
      </c>
      <c r="C2037" s="232">
        <v>0.0</v>
      </c>
      <c r="D2037" s="232">
        <v>0.0</v>
      </c>
      <c r="F2037" t="s">
        <v>7702</v>
      </c>
      <c r="G2037" t="s">
        <v>310</v>
      </c>
      <c r="H2037" t="s">
        <v>45</v>
      </c>
      <c r="I2037" t="s">
        <v>7713</v>
      </c>
    </row>
    <row r="2038">
      <c r="A2038" t="s">
        <v>4780</v>
      </c>
      <c r="B2038" s="232" t="s">
        <v>4779</v>
      </c>
      <c r="C2038" s="232">
        <v>0.0</v>
      </c>
      <c r="D2038" s="232">
        <v>0.0</v>
      </c>
      <c r="F2038" t="s">
        <v>7711</v>
      </c>
      <c r="G2038" t="s">
        <v>310</v>
      </c>
      <c r="H2038" t="s">
        <v>7703</v>
      </c>
      <c r="I2038" t="s">
        <v>7713</v>
      </c>
    </row>
    <row r="2039">
      <c r="A2039" t="s">
        <v>4782</v>
      </c>
      <c r="B2039" s="232" t="s">
        <v>4781</v>
      </c>
      <c r="C2039" s="232">
        <v>0.0</v>
      </c>
      <c r="D2039" s="232">
        <v>0.0</v>
      </c>
      <c r="F2039" t="s">
        <v>7702</v>
      </c>
      <c r="G2039" t="s">
        <v>310</v>
      </c>
      <c r="H2039" t="s">
        <v>7703</v>
      </c>
      <c r="I2039" t="s">
        <v>7819</v>
      </c>
    </row>
    <row r="2040">
      <c r="A2040" t="s">
        <v>4784</v>
      </c>
      <c r="B2040" s="232" t="s">
        <v>4783</v>
      </c>
      <c r="C2040" s="232">
        <v>0.0</v>
      </c>
      <c r="D2040" s="232">
        <v>0.0</v>
      </c>
      <c r="F2040" t="s">
        <v>7702</v>
      </c>
      <c r="G2040" t="s">
        <v>310</v>
      </c>
      <c r="H2040" t="s">
        <v>7703</v>
      </c>
      <c r="I2040" t="s">
        <v>7819</v>
      </c>
    </row>
    <row r="2041">
      <c r="A2041" t="s">
        <v>4786</v>
      </c>
      <c r="B2041" s="232" t="s">
        <v>4785</v>
      </c>
      <c r="C2041" s="232">
        <v>0.0</v>
      </c>
      <c r="D2041" s="232">
        <v>0.0</v>
      </c>
      <c r="F2041" t="s">
        <v>7702</v>
      </c>
      <c r="G2041" t="s">
        <v>310</v>
      </c>
      <c r="H2041" t="s">
        <v>7703</v>
      </c>
      <c r="I2041" t="s">
        <v>7819</v>
      </c>
    </row>
    <row r="2042">
      <c r="A2042" t="s">
        <v>4788</v>
      </c>
      <c r="B2042" s="232" t="s">
        <v>4787</v>
      </c>
      <c r="C2042" s="232">
        <v>0.0</v>
      </c>
      <c r="D2042" s="232">
        <v>0.0</v>
      </c>
      <c r="F2042" t="s">
        <v>7702</v>
      </c>
      <c r="G2042" t="s">
        <v>310</v>
      </c>
      <c r="H2042" t="s">
        <v>7703</v>
      </c>
      <c r="I2042" t="s">
        <v>7819</v>
      </c>
    </row>
    <row r="2043">
      <c r="A2043" t="s">
        <v>4792</v>
      </c>
      <c r="B2043" s="232" t="s">
        <v>4791</v>
      </c>
      <c r="C2043" s="232">
        <v>0.0</v>
      </c>
      <c r="D2043" s="232">
        <v>0.0</v>
      </c>
      <c r="F2043" t="s">
        <v>7702</v>
      </c>
      <c r="G2043" t="s">
        <v>310</v>
      </c>
      <c r="H2043" t="s">
        <v>7703</v>
      </c>
      <c r="I2043" t="s">
        <v>7819</v>
      </c>
    </row>
    <row r="2044">
      <c r="A2044" t="s">
        <v>4798</v>
      </c>
      <c r="B2044" s="232" t="s">
        <v>4797</v>
      </c>
      <c r="C2044" s="232">
        <v>0.0</v>
      </c>
      <c r="D2044" s="232">
        <v>0.0</v>
      </c>
      <c r="F2044" t="s">
        <v>7702</v>
      </c>
      <c r="G2044" t="s">
        <v>310</v>
      </c>
      <c r="H2044" t="s">
        <v>7703</v>
      </c>
      <c r="I2044" t="s">
        <v>7767</v>
      </c>
    </row>
    <row r="2045">
      <c r="A2045" t="s">
        <v>4800</v>
      </c>
      <c r="B2045" s="232" t="s">
        <v>4799</v>
      </c>
      <c r="C2045" s="232">
        <v>0.0</v>
      </c>
      <c r="D2045" s="232">
        <v>0.0</v>
      </c>
      <c r="F2045" t="s">
        <v>7702</v>
      </c>
      <c r="G2045" t="s">
        <v>310</v>
      </c>
      <c r="H2045" t="s">
        <v>7703</v>
      </c>
      <c r="I2045" t="s">
        <v>7767</v>
      </c>
    </row>
    <row r="2046">
      <c r="A2046" t="s">
        <v>4802</v>
      </c>
      <c r="B2046" s="232" t="s">
        <v>4801</v>
      </c>
      <c r="C2046" s="232">
        <v>0.0</v>
      </c>
      <c r="D2046" s="232">
        <v>0.0</v>
      </c>
      <c r="F2046" t="s">
        <v>7711</v>
      </c>
      <c r="G2046" t="s">
        <v>310</v>
      </c>
      <c r="H2046" t="s">
        <v>7703</v>
      </c>
      <c r="I2046" t="s">
        <v>7767</v>
      </c>
    </row>
    <row r="2047">
      <c r="A2047" t="s">
        <v>4804</v>
      </c>
      <c r="B2047" s="232" t="s">
        <v>4803</v>
      </c>
      <c r="C2047" s="232">
        <v>0.0</v>
      </c>
      <c r="D2047" s="232">
        <v>0.0</v>
      </c>
      <c r="F2047" t="s">
        <v>7711</v>
      </c>
      <c r="G2047" t="s">
        <v>310</v>
      </c>
      <c r="H2047" t="s">
        <v>7703</v>
      </c>
      <c r="I2047" t="s">
        <v>7767</v>
      </c>
    </row>
    <row r="2048">
      <c r="A2048" t="s">
        <v>4806</v>
      </c>
      <c r="B2048" s="232" t="s">
        <v>4805</v>
      </c>
      <c r="C2048" s="232">
        <v>0.0</v>
      </c>
      <c r="D2048" s="232">
        <v>0.0</v>
      </c>
      <c r="F2048" t="s">
        <v>7702</v>
      </c>
      <c r="G2048" t="s">
        <v>310</v>
      </c>
      <c r="H2048" t="s">
        <v>7703</v>
      </c>
      <c r="I2048" t="s">
        <v>7767</v>
      </c>
    </row>
    <row r="2049">
      <c r="A2049" t="s">
        <v>4808</v>
      </c>
      <c r="B2049" s="232" t="s">
        <v>4807</v>
      </c>
      <c r="C2049" s="232">
        <v>0.0</v>
      </c>
      <c r="D2049" s="232">
        <v>0.0</v>
      </c>
      <c r="F2049" t="s">
        <v>7702</v>
      </c>
      <c r="G2049" t="s">
        <v>310</v>
      </c>
      <c r="H2049" t="s">
        <v>7703</v>
      </c>
      <c r="I2049" t="s">
        <v>7767</v>
      </c>
    </row>
    <row r="2050">
      <c r="A2050" t="s">
        <v>4810</v>
      </c>
      <c r="B2050" s="232" t="s">
        <v>4809</v>
      </c>
      <c r="C2050" s="232">
        <v>0.0</v>
      </c>
      <c r="D2050" s="232">
        <v>0.0</v>
      </c>
      <c r="F2050" t="s">
        <v>7702</v>
      </c>
      <c r="G2050" t="s">
        <v>310</v>
      </c>
      <c r="H2050" t="s">
        <v>45</v>
      </c>
      <c r="I2050" t="s">
        <v>7767</v>
      </c>
    </row>
    <row r="2051">
      <c r="A2051" t="s">
        <v>4812</v>
      </c>
      <c r="B2051" s="232" t="s">
        <v>4811</v>
      </c>
      <c r="C2051" s="232">
        <v>0.0</v>
      </c>
      <c r="D2051" s="232">
        <v>0.0</v>
      </c>
      <c r="F2051" t="s">
        <v>7702</v>
      </c>
      <c r="G2051" t="s">
        <v>310</v>
      </c>
      <c r="H2051" t="s">
        <v>7703</v>
      </c>
      <c r="I2051" t="s">
        <v>7767</v>
      </c>
    </row>
    <row r="2052">
      <c r="A2052" t="s">
        <v>4814</v>
      </c>
      <c r="B2052" s="232" t="s">
        <v>4813</v>
      </c>
      <c r="C2052" s="232">
        <v>0.0</v>
      </c>
      <c r="D2052" s="232">
        <v>0.0</v>
      </c>
      <c r="F2052" t="s">
        <v>7702</v>
      </c>
      <c r="G2052" t="s">
        <v>310</v>
      </c>
      <c r="H2052" t="s">
        <v>45</v>
      </c>
      <c r="I2052" t="s">
        <v>7767</v>
      </c>
    </row>
    <row r="2053">
      <c r="A2053" t="s">
        <v>4816</v>
      </c>
      <c r="B2053" s="232" t="s">
        <v>4815</v>
      </c>
      <c r="C2053" s="232">
        <v>0.0</v>
      </c>
      <c r="D2053" s="232">
        <v>0.0</v>
      </c>
      <c r="F2053" t="s">
        <v>7702</v>
      </c>
      <c r="G2053" t="s">
        <v>310</v>
      </c>
      <c r="H2053" t="s">
        <v>7703</v>
      </c>
      <c r="I2053" t="s">
        <v>170</v>
      </c>
    </row>
    <row r="2054">
      <c r="A2054" t="s">
        <v>4820</v>
      </c>
      <c r="B2054" s="232" t="s">
        <v>4819</v>
      </c>
      <c r="C2054" s="232">
        <v>180.0</v>
      </c>
      <c r="D2054" s="232">
        <v>879.34</v>
      </c>
      <c r="E2054" s="232">
        <v>4.8852</v>
      </c>
      <c r="F2054" t="s">
        <v>7702</v>
      </c>
      <c r="G2054" t="s">
        <v>330</v>
      </c>
      <c r="H2054" t="s">
        <v>214</v>
      </c>
      <c r="I2054" t="s">
        <v>170</v>
      </c>
    </row>
    <row r="2055">
      <c r="A2055" t="s">
        <v>4822</v>
      </c>
      <c r="B2055" s="232" t="s">
        <v>4821</v>
      </c>
      <c r="C2055" s="232">
        <v>0.0</v>
      </c>
      <c r="D2055" s="232">
        <v>0.0</v>
      </c>
      <c r="F2055" t="s">
        <v>7702</v>
      </c>
      <c r="G2055" t="s">
        <v>310</v>
      </c>
      <c r="H2055" t="s">
        <v>7703</v>
      </c>
      <c r="I2055" t="s">
        <v>151</v>
      </c>
    </row>
    <row r="2056">
      <c r="A2056" t="s">
        <v>4824</v>
      </c>
      <c r="B2056" s="232" t="s">
        <v>4823</v>
      </c>
      <c r="C2056" s="232">
        <v>2281.0</v>
      </c>
      <c r="D2056" s="232">
        <v>9999.05</v>
      </c>
      <c r="E2056" s="232">
        <v>4.3836</v>
      </c>
      <c r="F2056" t="s">
        <v>7702</v>
      </c>
      <c r="G2056" t="s">
        <v>330</v>
      </c>
      <c r="H2056" t="s">
        <v>150</v>
      </c>
      <c r="I2056" t="s">
        <v>7820</v>
      </c>
    </row>
    <row r="2057">
      <c r="A2057" t="s">
        <v>4826</v>
      </c>
      <c r="B2057" s="232" t="s">
        <v>4825</v>
      </c>
      <c r="C2057" s="232">
        <v>3000.0</v>
      </c>
      <c r="D2057" s="232">
        <v>772.92</v>
      </c>
      <c r="E2057" s="232">
        <v>0.2576</v>
      </c>
      <c r="F2057" t="s">
        <v>7732</v>
      </c>
      <c r="G2057" t="s">
        <v>330</v>
      </c>
      <c r="H2057" t="s">
        <v>7733</v>
      </c>
    </row>
    <row r="2058">
      <c r="A2058" t="s">
        <v>60</v>
      </c>
      <c r="B2058" s="232" t="s">
        <v>61</v>
      </c>
      <c r="C2058" s="232">
        <v>4733.0</v>
      </c>
      <c r="D2058" s="232">
        <v>16495.91</v>
      </c>
      <c r="E2058" s="232">
        <v>3.4853</v>
      </c>
      <c r="F2058" t="s">
        <v>7702</v>
      </c>
      <c r="G2058" t="s">
        <v>330</v>
      </c>
      <c r="H2058" t="s">
        <v>28</v>
      </c>
      <c r="I2058" t="s">
        <v>29</v>
      </c>
    </row>
    <row r="2059">
      <c r="A2059" t="s">
        <v>65</v>
      </c>
      <c r="B2059" s="232" t="s">
        <v>66</v>
      </c>
      <c r="C2059" s="232">
        <v>2863.0</v>
      </c>
      <c r="D2059" s="232">
        <v>10012.09</v>
      </c>
      <c r="E2059" s="232">
        <v>3.4971</v>
      </c>
      <c r="F2059" t="s">
        <v>7702</v>
      </c>
      <c r="G2059" t="s">
        <v>330</v>
      </c>
      <c r="H2059" t="s">
        <v>28</v>
      </c>
      <c r="I2059" t="s">
        <v>29</v>
      </c>
    </row>
    <row r="2060">
      <c r="A2060" t="s">
        <v>67</v>
      </c>
      <c r="B2060" s="232" t="s">
        <v>68</v>
      </c>
      <c r="C2060" s="232">
        <v>2335.0</v>
      </c>
      <c r="D2060" s="232">
        <v>8088.19</v>
      </c>
      <c r="E2060" s="232">
        <v>3.4639</v>
      </c>
      <c r="F2060" t="s">
        <v>7702</v>
      </c>
      <c r="G2060" t="s">
        <v>330</v>
      </c>
      <c r="H2060" t="s">
        <v>28</v>
      </c>
      <c r="I2060" t="s">
        <v>29</v>
      </c>
    </row>
    <row r="2061">
      <c r="A2061" t="s">
        <v>62</v>
      </c>
      <c r="B2061" s="232" t="s">
        <v>63</v>
      </c>
      <c r="C2061" s="232">
        <v>1714.0</v>
      </c>
      <c r="D2061" s="232">
        <v>5937.33</v>
      </c>
      <c r="E2061" s="232">
        <v>3.464</v>
      </c>
      <c r="F2061" t="s">
        <v>7702</v>
      </c>
      <c r="G2061" t="s">
        <v>330</v>
      </c>
      <c r="H2061" t="s">
        <v>28</v>
      </c>
      <c r="I2061" t="s">
        <v>29</v>
      </c>
    </row>
    <row r="2062">
      <c r="A2062" t="s">
        <v>208</v>
      </c>
      <c r="B2062" s="232" t="s">
        <v>209</v>
      </c>
      <c r="C2062" s="232">
        <v>8.0</v>
      </c>
      <c r="D2062" s="232">
        <v>853.78</v>
      </c>
      <c r="E2062" s="232">
        <v>106.7225</v>
      </c>
      <c r="F2062" t="s">
        <v>7702</v>
      </c>
      <c r="G2062" t="s">
        <v>330</v>
      </c>
      <c r="H2062" t="s">
        <v>28</v>
      </c>
      <c r="I2062" t="s">
        <v>29</v>
      </c>
    </row>
    <row r="2063">
      <c r="A2063" t="s">
        <v>4829</v>
      </c>
      <c r="B2063" s="232">
        <v>51537.0</v>
      </c>
      <c r="C2063" s="232">
        <v>0.0</v>
      </c>
      <c r="D2063" s="232">
        <v>0.0</v>
      </c>
      <c r="F2063" t="s">
        <v>7702</v>
      </c>
      <c r="G2063" t="s">
        <v>310</v>
      </c>
      <c r="H2063" t="s">
        <v>7703</v>
      </c>
      <c r="I2063" t="s">
        <v>7786</v>
      </c>
    </row>
    <row r="2064">
      <c r="A2064" t="s">
        <v>4830</v>
      </c>
      <c r="B2064" s="232">
        <v>51536.0</v>
      </c>
      <c r="C2064" s="232">
        <v>0.0</v>
      </c>
      <c r="D2064" s="232">
        <v>0.0</v>
      </c>
      <c r="F2064" t="s">
        <v>7702</v>
      </c>
      <c r="G2064" t="s">
        <v>310</v>
      </c>
      <c r="H2064" t="s">
        <v>7703</v>
      </c>
      <c r="I2064" t="s">
        <v>7786</v>
      </c>
    </row>
    <row r="2065">
      <c r="A2065" t="s">
        <v>4831</v>
      </c>
      <c r="B2065" s="232">
        <v>51543.0</v>
      </c>
      <c r="C2065" s="232">
        <v>0.0</v>
      </c>
      <c r="D2065" s="232">
        <v>0.0</v>
      </c>
      <c r="F2065" t="s">
        <v>7702</v>
      </c>
      <c r="G2065" t="s">
        <v>310</v>
      </c>
      <c r="H2065" t="s">
        <v>7703</v>
      </c>
      <c r="I2065" t="s">
        <v>7786</v>
      </c>
    </row>
    <row r="2066">
      <c r="A2066" t="s">
        <v>4832</v>
      </c>
      <c r="B2066" s="232">
        <v>34601.0</v>
      </c>
      <c r="C2066" s="232">
        <v>0.0</v>
      </c>
      <c r="D2066" s="232">
        <v>0.0</v>
      </c>
      <c r="F2066" t="s">
        <v>7702</v>
      </c>
      <c r="G2066" t="s">
        <v>310</v>
      </c>
      <c r="H2066" t="s">
        <v>7703</v>
      </c>
      <c r="I2066" t="s">
        <v>151</v>
      </c>
    </row>
    <row r="2067">
      <c r="A2067" t="s">
        <v>4833</v>
      </c>
      <c r="B2067" s="232">
        <v>34602.0</v>
      </c>
      <c r="C2067" s="232">
        <v>0.0</v>
      </c>
      <c r="D2067" s="232">
        <v>0.0</v>
      </c>
      <c r="F2067" t="s">
        <v>7702</v>
      </c>
      <c r="G2067" t="s">
        <v>310</v>
      </c>
      <c r="H2067" t="s">
        <v>7703</v>
      </c>
      <c r="I2067" t="s">
        <v>151</v>
      </c>
    </row>
    <row r="2068">
      <c r="A2068" t="s">
        <v>4834</v>
      </c>
      <c r="B2068" s="232">
        <v>34603.0</v>
      </c>
      <c r="C2068" s="232">
        <v>0.0</v>
      </c>
      <c r="D2068" s="232">
        <v>0.0</v>
      </c>
      <c r="F2068" t="s">
        <v>7702</v>
      </c>
      <c r="G2068" t="s">
        <v>310</v>
      </c>
      <c r="H2068" t="s">
        <v>7703</v>
      </c>
      <c r="I2068" t="s">
        <v>151</v>
      </c>
    </row>
    <row r="2069">
      <c r="A2069" t="s">
        <v>4835</v>
      </c>
      <c r="B2069" s="232">
        <v>34604.0</v>
      </c>
      <c r="C2069" s="232">
        <v>0.0</v>
      </c>
      <c r="D2069" s="232">
        <v>0.0</v>
      </c>
      <c r="F2069" t="s">
        <v>7702</v>
      </c>
      <c r="G2069" t="s">
        <v>310</v>
      </c>
      <c r="H2069" t="s">
        <v>7703</v>
      </c>
      <c r="I2069" t="s">
        <v>151</v>
      </c>
    </row>
    <row r="2070">
      <c r="A2070" t="s">
        <v>4836</v>
      </c>
      <c r="B2070" s="232">
        <v>34605.0</v>
      </c>
      <c r="C2070" s="232">
        <v>0.0</v>
      </c>
      <c r="D2070" s="232">
        <v>0.0</v>
      </c>
      <c r="F2070" t="s">
        <v>7702</v>
      </c>
      <c r="G2070" t="s">
        <v>310</v>
      </c>
      <c r="H2070" t="s">
        <v>7703</v>
      </c>
      <c r="I2070" t="s">
        <v>151</v>
      </c>
    </row>
    <row r="2071">
      <c r="A2071" t="s">
        <v>4837</v>
      </c>
      <c r="B2071" s="232">
        <v>34606.0</v>
      </c>
      <c r="C2071" s="232">
        <v>0.0</v>
      </c>
      <c r="D2071" s="232">
        <v>0.0</v>
      </c>
      <c r="F2071" t="s">
        <v>7702</v>
      </c>
      <c r="G2071" t="s">
        <v>310</v>
      </c>
      <c r="H2071" t="s">
        <v>7703</v>
      </c>
      <c r="I2071" t="s">
        <v>151</v>
      </c>
    </row>
    <row r="2072">
      <c r="A2072" t="s">
        <v>4840</v>
      </c>
      <c r="B2072" s="232">
        <v>34505.0</v>
      </c>
      <c r="C2072" s="232">
        <v>0.0</v>
      </c>
      <c r="D2072" s="232">
        <v>0.0</v>
      </c>
      <c r="F2072" t="s">
        <v>7702</v>
      </c>
      <c r="G2072" t="s">
        <v>310</v>
      </c>
      <c r="H2072" t="s">
        <v>7703</v>
      </c>
      <c r="I2072" t="s">
        <v>98</v>
      </c>
    </row>
    <row r="2073">
      <c r="A2073" t="s">
        <v>4842</v>
      </c>
      <c r="B2073" s="232">
        <v>34510.0</v>
      </c>
      <c r="C2073" s="232">
        <v>0.0</v>
      </c>
      <c r="D2073" s="232">
        <v>0.0</v>
      </c>
      <c r="F2073" t="s">
        <v>7702</v>
      </c>
      <c r="G2073" t="s">
        <v>310</v>
      </c>
      <c r="H2073" t="s">
        <v>7703</v>
      </c>
      <c r="I2073" t="s">
        <v>98</v>
      </c>
    </row>
    <row r="2074">
      <c r="A2074" t="s">
        <v>4844</v>
      </c>
      <c r="B2074" s="232">
        <v>34519.0</v>
      </c>
      <c r="C2074" s="232">
        <v>0.0</v>
      </c>
      <c r="D2074" s="232">
        <v>0.0</v>
      </c>
      <c r="F2074" t="s">
        <v>7702</v>
      </c>
      <c r="G2074" t="s">
        <v>310</v>
      </c>
      <c r="H2074" t="s">
        <v>7703</v>
      </c>
      <c r="I2074" t="s">
        <v>98</v>
      </c>
    </row>
    <row r="2075">
      <c r="A2075" t="s">
        <v>4845</v>
      </c>
      <c r="B2075" s="232">
        <v>34509.0</v>
      </c>
      <c r="C2075" s="232">
        <v>0.0</v>
      </c>
      <c r="D2075" s="232">
        <v>0.0</v>
      </c>
      <c r="F2075" t="s">
        <v>7702</v>
      </c>
      <c r="G2075" t="s">
        <v>310</v>
      </c>
      <c r="H2075" t="s">
        <v>7703</v>
      </c>
      <c r="I2075" t="s">
        <v>98</v>
      </c>
    </row>
    <row r="2076">
      <c r="A2076" t="s">
        <v>4847</v>
      </c>
      <c r="B2076" s="232" t="s">
        <v>4846</v>
      </c>
      <c r="C2076" s="232">
        <v>0.0</v>
      </c>
      <c r="D2076" s="232">
        <v>0.0</v>
      </c>
      <c r="F2076" t="s">
        <v>7702</v>
      </c>
      <c r="G2076" t="s">
        <v>310</v>
      </c>
      <c r="H2076" t="s">
        <v>7703</v>
      </c>
      <c r="I2076" t="s">
        <v>151</v>
      </c>
    </row>
    <row r="2077">
      <c r="A2077" t="s">
        <v>4849</v>
      </c>
      <c r="B2077" s="232" t="s">
        <v>4848</v>
      </c>
      <c r="C2077" s="232">
        <v>0.0</v>
      </c>
      <c r="D2077" s="232">
        <v>0.0</v>
      </c>
      <c r="F2077" t="s">
        <v>7702</v>
      </c>
      <c r="G2077" t="s">
        <v>310</v>
      </c>
      <c r="H2077" t="s">
        <v>7703</v>
      </c>
      <c r="I2077" t="s">
        <v>98</v>
      </c>
    </row>
    <row r="2078">
      <c r="A2078" t="s">
        <v>4851</v>
      </c>
      <c r="B2078" s="232" t="s">
        <v>4850</v>
      </c>
      <c r="C2078" s="232">
        <v>0.0</v>
      </c>
      <c r="D2078" s="232">
        <v>0.0</v>
      </c>
      <c r="F2078" t="s">
        <v>7702</v>
      </c>
      <c r="G2078" t="s">
        <v>310</v>
      </c>
      <c r="H2078" t="s">
        <v>7703</v>
      </c>
      <c r="I2078" t="s">
        <v>98</v>
      </c>
    </row>
    <row r="2079">
      <c r="A2079" t="s">
        <v>4853</v>
      </c>
      <c r="B2079" s="232" t="s">
        <v>4852</v>
      </c>
      <c r="C2079" s="232">
        <v>0.0</v>
      </c>
      <c r="D2079" s="232">
        <v>0.0</v>
      </c>
      <c r="F2079" t="s">
        <v>7702</v>
      </c>
      <c r="G2079" t="s">
        <v>310</v>
      </c>
      <c r="H2079" t="s">
        <v>7703</v>
      </c>
      <c r="I2079" t="s">
        <v>98</v>
      </c>
    </row>
    <row r="2080">
      <c r="A2080" t="s">
        <v>4855</v>
      </c>
      <c r="B2080" s="232" t="s">
        <v>4854</v>
      </c>
      <c r="C2080" s="232">
        <v>0.0</v>
      </c>
      <c r="D2080" s="232">
        <v>0.0</v>
      </c>
      <c r="F2080" t="s">
        <v>7702</v>
      </c>
      <c r="G2080" t="s">
        <v>310</v>
      </c>
      <c r="H2080" t="s">
        <v>7703</v>
      </c>
      <c r="I2080" t="s">
        <v>98</v>
      </c>
    </row>
    <row r="2081">
      <c r="A2081" t="s">
        <v>4857</v>
      </c>
      <c r="B2081" s="232" t="s">
        <v>4856</v>
      </c>
      <c r="C2081" s="232">
        <v>0.0</v>
      </c>
      <c r="D2081" s="232">
        <v>0.0</v>
      </c>
      <c r="F2081" t="s">
        <v>7702</v>
      </c>
      <c r="G2081" t="s">
        <v>310</v>
      </c>
      <c r="H2081" t="s">
        <v>7703</v>
      </c>
      <c r="I2081" t="s">
        <v>98</v>
      </c>
    </row>
    <row r="2082">
      <c r="A2082" t="s">
        <v>4859</v>
      </c>
      <c r="B2082" s="232" t="s">
        <v>4858</v>
      </c>
      <c r="C2082" s="232">
        <v>0.0</v>
      </c>
      <c r="D2082" s="232">
        <v>0.0</v>
      </c>
      <c r="F2082" t="s">
        <v>7702</v>
      </c>
      <c r="G2082" t="s">
        <v>310</v>
      </c>
      <c r="H2082" t="s">
        <v>7703</v>
      </c>
      <c r="I2082" t="s">
        <v>98</v>
      </c>
    </row>
    <row r="2083">
      <c r="A2083" t="s">
        <v>4861</v>
      </c>
      <c r="B2083" s="232" t="s">
        <v>4860</v>
      </c>
      <c r="C2083" s="232">
        <v>0.0</v>
      </c>
      <c r="D2083" s="232">
        <v>0.0</v>
      </c>
      <c r="F2083" t="s">
        <v>7702</v>
      </c>
      <c r="G2083" t="s">
        <v>310</v>
      </c>
      <c r="H2083" t="s">
        <v>7703</v>
      </c>
      <c r="I2083" t="s">
        <v>98</v>
      </c>
    </row>
    <row r="2084">
      <c r="A2084" t="s">
        <v>4863</v>
      </c>
      <c r="B2084" s="232" t="s">
        <v>4862</v>
      </c>
      <c r="C2084" s="232">
        <v>0.0</v>
      </c>
      <c r="D2084" s="232">
        <v>0.0</v>
      </c>
      <c r="F2084" t="s">
        <v>7702</v>
      </c>
      <c r="G2084" t="s">
        <v>310</v>
      </c>
      <c r="H2084" t="s">
        <v>7703</v>
      </c>
      <c r="I2084" t="s">
        <v>98</v>
      </c>
    </row>
    <row r="2085">
      <c r="A2085" t="s">
        <v>4865</v>
      </c>
      <c r="B2085" s="232" t="s">
        <v>4864</v>
      </c>
      <c r="C2085" s="232">
        <v>0.0</v>
      </c>
      <c r="D2085" s="232">
        <v>0.0</v>
      </c>
      <c r="F2085" t="s">
        <v>7702</v>
      </c>
      <c r="G2085" t="s">
        <v>310</v>
      </c>
      <c r="H2085" t="s">
        <v>7703</v>
      </c>
      <c r="I2085" t="s">
        <v>98</v>
      </c>
    </row>
    <row r="2086">
      <c r="A2086" t="s">
        <v>4867</v>
      </c>
      <c r="B2086" s="232" t="s">
        <v>4866</v>
      </c>
      <c r="C2086" s="232">
        <v>0.0</v>
      </c>
      <c r="D2086" s="232">
        <v>0.0</v>
      </c>
      <c r="F2086" t="s">
        <v>7702</v>
      </c>
      <c r="G2086" t="s">
        <v>310</v>
      </c>
      <c r="H2086" t="s">
        <v>7703</v>
      </c>
      <c r="I2086" t="s">
        <v>98</v>
      </c>
    </row>
    <row r="2087">
      <c r="A2087" t="s">
        <v>4869</v>
      </c>
      <c r="B2087" s="232" t="s">
        <v>4868</v>
      </c>
      <c r="C2087" s="232">
        <v>0.0</v>
      </c>
      <c r="D2087" s="232">
        <v>0.0</v>
      </c>
      <c r="F2087" t="s">
        <v>7702</v>
      </c>
      <c r="G2087" t="s">
        <v>310</v>
      </c>
      <c r="H2087" t="s">
        <v>7703</v>
      </c>
      <c r="I2087" t="s">
        <v>98</v>
      </c>
    </row>
    <row r="2088">
      <c r="A2088" t="s">
        <v>4871</v>
      </c>
      <c r="B2088" s="232" t="s">
        <v>4870</v>
      </c>
      <c r="C2088" s="232">
        <v>0.0</v>
      </c>
      <c r="D2088" s="232">
        <v>0.0</v>
      </c>
      <c r="F2088" t="s">
        <v>7702</v>
      </c>
      <c r="G2088" t="s">
        <v>310</v>
      </c>
      <c r="H2088" t="s">
        <v>7703</v>
      </c>
      <c r="I2088" t="s">
        <v>98</v>
      </c>
    </row>
    <row r="2089">
      <c r="A2089" t="s">
        <v>4873</v>
      </c>
      <c r="B2089" s="232" t="s">
        <v>4872</v>
      </c>
      <c r="C2089" s="232">
        <v>0.0</v>
      </c>
      <c r="D2089" s="232">
        <v>0.0</v>
      </c>
      <c r="F2089" t="s">
        <v>7711</v>
      </c>
      <c r="G2089" t="s">
        <v>310</v>
      </c>
      <c r="H2089" t="s">
        <v>7703</v>
      </c>
      <c r="I2089" t="s">
        <v>98</v>
      </c>
    </row>
    <row r="2090">
      <c r="A2090" t="s">
        <v>4875</v>
      </c>
      <c r="B2090" s="232" t="s">
        <v>4874</v>
      </c>
      <c r="C2090" s="232">
        <v>0.0</v>
      </c>
      <c r="D2090" s="232">
        <v>0.0</v>
      </c>
      <c r="F2090" t="s">
        <v>7702</v>
      </c>
      <c r="G2090" t="s">
        <v>310</v>
      </c>
      <c r="H2090" t="s">
        <v>7703</v>
      </c>
      <c r="I2090" t="s">
        <v>7714</v>
      </c>
    </row>
    <row r="2091">
      <c r="A2091" t="s">
        <v>4884</v>
      </c>
      <c r="B2091" s="232">
        <v>91801.0</v>
      </c>
      <c r="C2091" s="232">
        <v>0.0</v>
      </c>
      <c r="D2091" s="232">
        <v>0.0</v>
      </c>
      <c r="F2091" t="s">
        <v>7702</v>
      </c>
      <c r="G2091" t="s">
        <v>310</v>
      </c>
      <c r="H2091" t="s">
        <v>7703</v>
      </c>
      <c r="I2091" t="s">
        <v>7772</v>
      </c>
    </row>
    <row r="2092">
      <c r="A2092" t="s">
        <v>4885</v>
      </c>
      <c r="B2092" s="232">
        <v>91803.0</v>
      </c>
      <c r="C2092" s="232">
        <v>0.0</v>
      </c>
      <c r="D2092" s="232">
        <v>0.0</v>
      </c>
      <c r="F2092" t="s">
        <v>7702</v>
      </c>
      <c r="G2092" t="s">
        <v>310</v>
      </c>
      <c r="H2092" t="s">
        <v>7703</v>
      </c>
      <c r="I2092" t="s">
        <v>7772</v>
      </c>
    </row>
    <row r="2093">
      <c r="A2093" t="s">
        <v>4886</v>
      </c>
      <c r="B2093" s="232">
        <v>91804.0</v>
      </c>
      <c r="C2093" s="232">
        <v>0.0</v>
      </c>
      <c r="D2093" s="232">
        <v>0.0</v>
      </c>
      <c r="F2093" t="s">
        <v>7702</v>
      </c>
      <c r="G2093" t="s">
        <v>310</v>
      </c>
      <c r="H2093" t="s">
        <v>7703</v>
      </c>
      <c r="I2093" t="s">
        <v>7772</v>
      </c>
    </row>
    <row r="2094">
      <c r="A2094" t="s">
        <v>4887</v>
      </c>
      <c r="B2094" s="232">
        <v>91802.0</v>
      </c>
      <c r="C2094" s="232">
        <v>0.0</v>
      </c>
      <c r="D2094" s="232">
        <v>0.0</v>
      </c>
      <c r="F2094" t="s">
        <v>7702</v>
      </c>
      <c r="G2094" t="s">
        <v>310</v>
      </c>
      <c r="H2094" t="s">
        <v>7703</v>
      </c>
      <c r="I2094" t="s">
        <v>7772</v>
      </c>
    </row>
    <row r="2095">
      <c r="A2095" t="s">
        <v>4889</v>
      </c>
      <c r="B2095" s="232" t="s">
        <v>4888</v>
      </c>
      <c r="C2095" s="232">
        <v>0.0</v>
      </c>
      <c r="D2095" s="232">
        <v>0.0</v>
      </c>
      <c r="F2095" t="s">
        <v>7702</v>
      </c>
      <c r="G2095" t="s">
        <v>310</v>
      </c>
      <c r="H2095" t="s">
        <v>7703</v>
      </c>
      <c r="I2095" t="s">
        <v>7714</v>
      </c>
    </row>
    <row r="2096">
      <c r="A2096" t="s">
        <v>4893</v>
      </c>
      <c r="B2096" s="232" t="s">
        <v>4892</v>
      </c>
      <c r="C2096" s="232">
        <v>12.0</v>
      </c>
      <c r="D2096" s="232">
        <v>6.48</v>
      </c>
      <c r="E2096" s="232">
        <v>0.54</v>
      </c>
      <c r="F2096" t="s">
        <v>7702</v>
      </c>
      <c r="G2096" t="s">
        <v>330</v>
      </c>
      <c r="H2096" t="s">
        <v>7725</v>
      </c>
      <c r="I2096" t="s">
        <v>7739</v>
      </c>
    </row>
    <row r="2097">
      <c r="A2097" t="s">
        <v>4895</v>
      </c>
      <c r="B2097" s="232" t="s">
        <v>4894</v>
      </c>
      <c r="C2097" s="232">
        <v>1.0</v>
      </c>
      <c r="D2097" s="232">
        <v>34.67</v>
      </c>
      <c r="E2097" s="232">
        <v>34.67</v>
      </c>
      <c r="F2097" t="s">
        <v>7702</v>
      </c>
      <c r="G2097" t="s">
        <v>330</v>
      </c>
      <c r="I2097" t="s">
        <v>7714</v>
      </c>
    </row>
    <row r="2098">
      <c r="A2098" t="s">
        <v>4897</v>
      </c>
      <c r="B2098" s="232" t="s">
        <v>4896</v>
      </c>
      <c r="C2098" s="232">
        <v>0.0</v>
      </c>
      <c r="D2098" s="232">
        <v>0.0</v>
      </c>
      <c r="F2098" t="s">
        <v>7702</v>
      </c>
      <c r="G2098" t="s">
        <v>310</v>
      </c>
      <c r="H2098" t="s">
        <v>45</v>
      </c>
      <c r="I2098" t="s">
        <v>7787</v>
      </c>
    </row>
    <row r="2099">
      <c r="A2099" t="s">
        <v>4899</v>
      </c>
      <c r="B2099" s="232" t="s">
        <v>4898</v>
      </c>
      <c r="C2099" s="232">
        <v>0.0</v>
      </c>
      <c r="D2099" s="232">
        <v>0.0</v>
      </c>
      <c r="F2099" t="s">
        <v>7702</v>
      </c>
      <c r="G2099" t="s">
        <v>310</v>
      </c>
      <c r="H2099" t="s">
        <v>45</v>
      </c>
      <c r="I2099" t="s">
        <v>7787</v>
      </c>
    </row>
    <row r="2100">
      <c r="A2100" t="s">
        <v>4901</v>
      </c>
      <c r="B2100" s="232" t="s">
        <v>4900</v>
      </c>
      <c r="C2100" s="232">
        <v>340.0</v>
      </c>
      <c r="D2100" s="232">
        <v>903.03</v>
      </c>
      <c r="E2100" s="232">
        <v>2.656</v>
      </c>
      <c r="F2100" t="s">
        <v>7702</v>
      </c>
      <c r="G2100" t="s">
        <v>330</v>
      </c>
      <c r="H2100" t="s">
        <v>7709</v>
      </c>
      <c r="I2100" t="s">
        <v>7821</v>
      </c>
    </row>
    <row r="2101">
      <c r="A2101" t="s">
        <v>4903</v>
      </c>
      <c r="B2101" s="232" t="s">
        <v>4902</v>
      </c>
      <c r="C2101" s="232">
        <v>416.0</v>
      </c>
      <c r="D2101" s="232">
        <v>1105.0</v>
      </c>
      <c r="E2101" s="232">
        <v>2.6563</v>
      </c>
      <c r="F2101" t="s">
        <v>7702</v>
      </c>
      <c r="G2101" t="s">
        <v>330</v>
      </c>
      <c r="H2101" t="s">
        <v>7709</v>
      </c>
      <c r="I2101" t="s">
        <v>7821</v>
      </c>
    </row>
    <row r="2102">
      <c r="A2102" t="s">
        <v>4905</v>
      </c>
      <c r="B2102" s="232" t="s">
        <v>4904</v>
      </c>
      <c r="C2102" s="232">
        <v>456.0</v>
      </c>
      <c r="D2102" s="232">
        <v>1211.29</v>
      </c>
      <c r="E2102" s="232">
        <v>2.6563</v>
      </c>
      <c r="F2102" t="s">
        <v>7702</v>
      </c>
      <c r="G2102" t="s">
        <v>330</v>
      </c>
      <c r="H2102" t="s">
        <v>7709</v>
      </c>
      <c r="I2102" t="s">
        <v>7821</v>
      </c>
    </row>
    <row r="2103">
      <c r="A2103" t="s">
        <v>4907</v>
      </c>
      <c r="B2103" s="232" t="s">
        <v>4906</v>
      </c>
      <c r="C2103" s="232">
        <v>361.0</v>
      </c>
      <c r="D2103" s="232">
        <v>958.85</v>
      </c>
      <c r="E2103" s="232">
        <v>2.6561</v>
      </c>
      <c r="F2103" t="s">
        <v>7702</v>
      </c>
      <c r="G2103" t="s">
        <v>330</v>
      </c>
      <c r="H2103" t="s">
        <v>7709</v>
      </c>
      <c r="I2103" t="s">
        <v>7821</v>
      </c>
    </row>
    <row r="2104">
      <c r="A2104" t="s">
        <v>4909</v>
      </c>
      <c r="B2104" s="232" t="s">
        <v>4908</v>
      </c>
      <c r="C2104" s="232">
        <v>413.0</v>
      </c>
      <c r="D2104" s="232">
        <v>1097.0</v>
      </c>
      <c r="E2104" s="232">
        <v>2.6562</v>
      </c>
      <c r="F2104" t="s">
        <v>7702</v>
      </c>
      <c r="G2104" t="s">
        <v>330</v>
      </c>
      <c r="H2104" t="s">
        <v>7709</v>
      </c>
      <c r="I2104" t="s">
        <v>7821</v>
      </c>
    </row>
    <row r="2105">
      <c r="A2105" t="s">
        <v>4911</v>
      </c>
      <c r="B2105" s="232" t="s">
        <v>4910</v>
      </c>
      <c r="C2105" s="232">
        <v>360.0</v>
      </c>
      <c r="D2105" s="232">
        <v>956.23</v>
      </c>
      <c r="E2105" s="232">
        <v>2.6562</v>
      </c>
      <c r="F2105" t="s">
        <v>7702</v>
      </c>
      <c r="G2105" t="s">
        <v>330</v>
      </c>
      <c r="H2105" t="s">
        <v>7709</v>
      </c>
      <c r="I2105" t="s">
        <v>7821</v>
      </c>
    </row>
    <row r="2106">
      <c r="A2106" t="s">
        <v>4913</v>
      </c>
      <c r="B2106" s="232" t="s">
        <v>4912</v>
      </c>
      <c r="C2106" s="232">
        <v>0.0</v>
      </c>
      <c r="D2106" s="232">
        <v>0.0</v>
      </c>
      <c r="F2106" t="s">
        <v>7702</v>
      </c>
      <c r="G2106" t="s">
        <v>310</v>
      </c>
      <c r="H2106" t="s">
        <v>7703</v>
      </c>
      <c r="I2106" t="s">
        <v>7731</v>
      </c>
    </row>
    <row r="2107">
      <c r="A2107" t="s">
        <v>4915</v>
      </c>
      <c r="B2107" s="232" t="s">
        <v>4914</v>
      </c>
      <c r="C2107" s="232">
        <v>0.0</v>
      </c>
      <c r="D2107" s="232">
        <v>0.0</v>
      </c>
      <c r="F2107" t="s">
        <v>7702</v>
      </c>
      <c r="G2107" t="s">
        <v>310</v>
      </c>
      <c r="H2107" t="s">
        <v>7703</v>
      </c>
      <c r="I2107" t="s">
        <v>7731</v>
      </c>
    </row>
    <row r="2108">
      <c r="A2108" t="s">
        <v>4917</v>
      </c>
      <c r="B2108" s="232" t="s">
        <v>4916</v>
      </c>
      <c r="C2108" s="232">
        <v>0.0</v>
      </c>
      <c r="D2108" s="232">
        <v>0.0</v>
      </c>
      <c r="F2108" t="s">
        <v>7702</v>
      </c>
      <c r="G2108" t="s">
        <v>310</v>
      </c>
      <c r="H2108" t="s">
        <v>7703</v>
      </c>
      <c r="I2108" t="s">
        <v>7731</v>
      </c>
    </row>
    <row r="2109">
      <c r="A2109" t="s">
        <v>4919</v>
      </c>
      <c r="B2109" s="232" t="s">
        <v>4918</v>
      </c>
      <c r="C2109" s="232">
        <v>400.0</v>
      </c>
      <c r="D2109" s="232">
        <v>329.64</v>
      </c>
      <c r="E2109" s="232">
        <v>0.8241</v>
      </c>
      <c r="F2109" t="s">
        <v>7702</v>
      </c>
      <c r="G2109" t="s">
        <v>310</v>
      </c>
      <c r="H2109" t="s">
        <v>45</v>
      </c>
      <c r="I2109" t="s">
        <v>7752</v>
      </c>
    </row>
    <row r="2110">
      <c r="A2110" t="s">
        <v>4921</v>
      </c>
      <c r="B2110" s="232" t="s">
        <v>4920</v>
      </c>
      <c r="C2110" s="232">
        <v>0.0</v>
      </c>
      <c r="D2110" s="232">
        <v>0.0</v>
      </c>
      <c r="F2110" t="s">
        <v>7702</v>
      </c>
      <c r="G2110" t="s">
        <v>330</v>
      </c>
      <c r="H2110" t="s">
        <v>45</v>
      </c>
      <c r="I2110" t="s">
        <v>7755</v>
      </c>
    </row>
    <row r="2111">
      <c r="A2111" t="s">
        <v>4923</v>
      </c>
      <c r="B2111" s="232" t="s">
        <v>4922</v>
      </c>
      <c r="C2111" s="232">
        <v>0.0</v>
      </c>
      <c r="D2111" s="232">
        <v>0.0</v>
      </c>
      <c r="F2111" t="s">
        <v>7702</v>
      </c>
      <c r="G2111" t="s">
        <v>310</v>
      </c>
      <c r="H2111" t="s">
        <v>45</v>
      </c>
      <c r="I2111" t="s">
        <v>7800</v>
      </c>
    </row>
    <row r="2112">
      <c r="A2112" t="s">
        <v>4925</v>
      </c>
      <c r="B2112" s="232" t="s">
        <v>4924</v>
      </c>
      <c r="C2112" s="232">
        <v>0.0</v>
      </c>
      <c r="D2112" s="232">
        <v>0.0</v>
      </c>
      <c r="F2112" t="s">
        <v>7702</v>
      </c>
      <c r="G2112" t="s">
        <v>310</v>
      </c>
      <c r="H2112" t="s">
        <v>45</v>
      </c>
      <c r="I2112" t="s">
        <v>7800</v>
      </c>
    </row>
    <row r="2113">
      <c r="A2113" t="s">
        <v>4927</v>
      </c>
      <c r="B2113" s="232" t="s">
        <v>4926</v>
      </c>
      <c r="C2113" s="232">
        <v>0.0</v>
      </c>
      <c r="D2113" s="232">
        <v>0.0</v>
      </c>
      <c r="F2113" t="s">
        <v>7702</v>
      </c>
      <c r="G2113" t="s">
        <v>310</v>
      </c>
      <c r="H2113" t="s">
        <v>45</v>
      </c>
      <c r="I2113" t="s">
        <v>7758</v>
      </c>
    </row>
    <row r="2114">
      <c r="A2114" t="s">
        <v>4929</v>
      </c>
      <c r="B2114" s="232" t="s">
        <v>4928</v>
      </c>
      <c r="C2114" s="232">
        <v>0.0</v>
      </c>
      <c r="D2114" s="232">
        <v>0.0</v>
      </c>
      <c r="F2114" t="s">
        <v>7702</v>
      </c>
      <c r="G2114" t="s">
        <v>330</v>
      </c>
      <c r="H2114" t="s">
        <v>45</v>
      </c>
      <c r="I2114" t="s">
        <v>7800</v>
      </c>
    </row>
    <row r="2115">
      <c r="A2115" t="s">
        <v>4931</v>
      </c>
      <c r="B2115" s="232" t="s">
        <v>4930</v>
      </c>
      <c r="C2115" s="232">
        <v>0.0</v>
      </c>
      <c r="D2115" s="232">
        <v>0.0</v>
      </c>
      <c r="F2115" t="s">
        <v>7702</v>
      </c>
      <c r="G2115" t="s">
        <v>330</v>
      </c>
      <c r="H2115" t="s">
        <v>45</v>
      </c>
      <c r="I2115" t="s">
        <v>7800</v>
      </c>
    </row>
    <row r="2116">
      <c r="A2116" t="s">
        <v>4933</v>
      </c>
      <c r="B2116" s="232" t="s">
        <v>4932</v>
      </c>
      <c r="C2116" s="232">
        <v>0.0</v>
      </c>
      <c r="D2116" s="232">
        <v>0.0</v>
      </c>
      <c r="F2116" t="s">
        <v>7702</v>
      </c>
      <c r="G2116" t="s">
        <v>330</v>
      </c>
      <c r="H2116" t="s">
        <v>45</v>
      </c>
      <c r="I2116" t="s">
        <v>7754</v>
      </c>
    </row>
    <row r="2117">
      <c r="A2117" t="s">
        <v>4935</v>
      </c>
      <c r="B2117" s="232" t="s">
        <v>4934</v>
      </c>
      <c r="C2117" s="232">
        <v>0.0</v>
      </c>
      <c r="D2117" s="232">
        <v>0.0</v>
      </c>
      <c r="F2117" t="s">
        <v>7702</v>
      </c>
      <c r="G2117" t="s">
        <v>330</v>
      </c>
      <c r="H2117" t="s">
        <v>45</v>
      </c>
      <c r="I2117" t="s">
        <v>7800</v>
      </c>
    </row>
    <row r="2118">
      <c r="A2118" t="s">
        <v>4937</v>
      </c>
      <c r="B2118" s="232" t="s">
        <v>4936</v>
      </c>
      <c r="C2118" s="232">
        <v>0.0</v>
      </c>
      <c r="D2118" s="232">
        <v>0.0</v>
      </c>
      <c r="F2118" t="s">
        <v>7702</v>
      </c>
      <c r="G2118" t="s">
        <v>330</v>
      </c>
      <c r="H2118" t="s">
        <v>45</v>
      </c>
      <c r="I2118" t="s">
        <v>7800</v>
      </c>
    </row>
    <row r="2119">
      <c r="A2119" t="s">
        <v>4939</v>
      </c>
      <c r="B2119" s="232" t="s">
        <v>4938</v>
      </c>
      <c r="C2119" s="232">
        <v>0.0</v>
      </c>
      <c r="D2119" s="232">
        <v>0.0</v>
      </c>
      <c r="F2119" t="s">
        <v>7702</v>
      </c>
      <c r="G2119" t="s">
        <v>310</v>
      </c>
      <c r="H2119" t="s">
        <v>45</v>
      </c>
      <c r="I2119" t="s">
        <v>7752</v>
      </c>
    </row>
    <row r="2120">
      <c r="A2120" t="s">
        <v>4941</v>
      </c>
      <c r="B2120" s="232" t="s">
        <v>4940</v>
      </c>
      <c r="C2120" s="232">
        <v>0.0</v>
      </c>
      <c r="D2120" s="232">
        <v>0.0</v>
      </c>
      <c r="F2120" t="s">
        <v>7702</v>
      </c>
      <c r="G2120" t="s">
        <v>310</v>
      </c>
      <c r="H2120" t="s">
        <v>45</v>
      </c>
      <c r="I2120" t="s">
        <v>7755</v>
      </c>
    </row>
    <row r="2121">
      <c r="A2121" t="s">
        <v>4943</v>
      </c>
      <c r="B2121" s="232" t="s">
        <v>4942</v>
      </c>
      <c r="C2121" s="232">
        <v>0.0</v>
      </c>
      <c r="D2121" s="232">
        <v>0.0</v>
      </c>
      <c r="F2121" t="s">
        <v>7702</v>
      </c>
      <c r="G2121" t="s">
        <v>330</v>
      </c>
      <c r="H2121" t="s">
        <v>45</v>
      </c>
      <c r="I2121" t="s">
        <v>7800</v>
      </c>
    </row>
    <row r="2122">
      <c r="A2122" t="s">
        <v>4945</v>
      </c>
      <c r="B2122" s="232" t="s">
        <v>4944</v>
      </c>
      <c r="C2122" s="232">
        <v>0.0</v>
      </c>
      <c r="D2122" s="232">
        <v>0.0</v>
      </c>
      <c r="F2122" t="s">
        <v>7702</v>
      </c>
      <c r="G2122" t="s">
        <v>310</v>
      </c>
      <c r="H2122" t="s">
        <v>45</v>
      </c>
      <c r="I2122" t="s">
        <v>7800</v>
      </c>
    </row>
    <row r="2123">
      <c r="A2123" t="s">
        <v>4947</v>
      </c>
      <c r="B2123" s="232" t="s">
        <v>4946</v>
      </c>
      <c r="C2123" s="232">
        <v>0.0</v>
      </c>
      <c r="D2123" s="232">
        <v>0.0</v>
      </c>
      <c r="F2123" t="s">
        <v>7702</v>
      </c>
      <c r="G2123" t="s">
        <v>330</v>
      </c>
      <c r="H2123" t="s">
        <v>45</v>
      </c>
      <c r="I2123" t="s">
        <v>7758</v>
      </c>
    </row>
    <row r="2124">
      <c r="A2124" t="s">
        <v>4949</v>
      </c>
      <c r="B2124" s="232" t="s">
        <v>4948</v>
      </c>
      <c r="C2124" s="232">
        <v>0.0</v>
      </c>
      <c r="D2124" s="232">
        <v>0.0</v>
      </c>
      <c r="F2124" t="s">
        <v>7702</v>
      </c>
      <c r="G2124" t="s">
        <v>310</v>
      </c>
      <c r="H2124" t="s">
        <v>45</v>
      </c>
      <c r="I2124" t="s">
        <v>7800</v>
      </c>
    </row>
    <row r="2125">
      <c r="A2125" t="s">
        <v>4951</v>
      </c>
      <c r="B2125" s="232" t="s">
        <v>4950</v>
      </c>
      <c r="C2125" s="232">
        <v>0.0</v>
      </c>
      <c r="D2125" s="232">
        <v>0.0</v>
      </c>
      <c r="F2125" t="s">
        <v>7702</v>
      </c>
      <c r="G2125" t="s">
        <v>330</v>
      </c>
      <c r="H2125" t="s">
        <v>45</v>
      </c>
      <c r="I2125" t="s">
        <v>7800</v>
      </c>
    </row>
    <row r="2126">
      <c r="A2126" t="s">
        <v>4953</v>
      </c>
      <c r="B2126" s="232" t="s">
        <v>4952</v>
      </c>
      <c r="C2126" s="232">
        <v>0.0</v>
      </c>
      <c r="D2126" s="232">
        <v>0.0</v>
      </c>
      <c r="F2126" t="s">
        <v>7702</v>
      </c>
      <c r="G2126" t="s">
        <v>330</v>
      </c>
      <c r="H2126" t="s">
        <v>45</v>
      </c>
      <c r="I2126" t="s">
        <v>7754</v>
      </c>
    </row>
    <row r="2127">
      <c r="A2127" t="s">
        <v>4955</v>
      </c>
      <c r="B2127" s="232" t="s">
        <v>4954</v>
      </c>
      <c r="C2127" s="232">
        <v>0.0</v>
      </c>
      <c r="D2127" s="232">
        <v>0.0</v>
      </c>
      <c r="F2127" t="s">
        <v>7702</v>
      </c>
      <c r="G2127" t="s">
        <v>330</v>
      </c>
      <c r="H2127" t="s">
        <v>45</v>
      </c>
      <c r="I2127" t="s">
        <v>7800</v>
      </c>
    </row>
    <row r="2128">
      <c r="A2128" t="s">
        <v>4957</v>
      </c>
      <c r="B2128" s="232" t="s">
        <v>4956</v>
      </c>
      <c r="C2128" s="232">
        <v>0.0</v>
      </c>
      <c r="D2128" s="232">
        <v>0.0</v>
      </c>
      <c r="F2128" t="s">
        <v>7702</v>
      </c>
      <c r="G2128" t="s">
        <v>310</v>
      </c>
      <c r="H2128" t="s">
        <v>45</v>
      </c>
      <c r="I2128" t="s">
        <v>7752</v>
      </c>
    </row>
    <row r="2129">
      <c r="A2129" t="s">
        <v>4959</v>
      </c>
      <c r="B2129" s="232" t="s">
        <v>4958</v>
      </c>
      <c r="C2129" s="232">
        <v>100.0</v>
      </c>
      <c r="D2129" s="232">
        <v>63.34</v>
      </c>
      <c r="E2129" s="232">
        <v>0.6334</v>
      </c>
      <c r="F2129" t="s">
        <v>7702</v>
      </c>
      <c r="G2129" t="s">
        <v>330</v>
      </c>
      <c r="H2129" t="s">
        <v>45</v>
      </c>
      <c r="I2129" t="s">
        <v>7755</v>
      </c>
    </row>
    <row r="2130">
      <c r="A2130" t="s">
        <v>4961</v>
      </c>
      <c r="B2130" s="232" t="s">
        <v>4960</v>
      </c>
      <c r="C2130" s="232">
        <v>0.0</v>
      </c>
      <c r="D2130" s="232">
        <v>0.0</v>
      </c>
      <c r="F2130" t="s">
        <v>7702</v>
      </c>
      <c r="G2130" t="s">
        <v>310</v>
      </c>
      <c r="H2130" t="s">
        <v>45</v>
      </c>
      <c r="I2130" t="s">
        <v>7800</v>
      </c>
    </row>
    <row r="2131">
      <c r="A2131" t="s">
        <v>4963</v>
      </c>
      <c r="B2131" s="232" t="s">
        <v>4962</v>
      </c>
      <c r="C2131" s="232">
        <v>0.0</v>
      </c>
      <c r="D2131" s="232">
        <v>0.0</v>
      </c>
      <c r="F2131" t="s">
        <v>7702</v>
      </c>
      <c r="G2131" t="s">
        <v>310</v>
      </c>
      <c r="H2131" t="s">
        <v>45</v>
      </c>
      <c r="I2131" t="s">
        <v>7800</v>
      </c>
    </row>
    <row r="2132">
      <c r="A2132" t="s">
        <v>4965</v>
      </c>
      <c r="B2132" s="232" t="s">
        <v>4964</v>
      </c>
      <c r="C2132" s="232">
        <v>300.0</v>
      </c>
      <c r="D2132" s="232">
        <v>239.27</v>
      </c>
      <c r="E2132" s="232">
        <v>0.7976</v>
      </c>
      <c r="F2132" t="s">
        <v>7702</v>
      </c>
      <c r="G2132" t="s">
        <v>310</v>
      </c>
      <c r="H2132" t="s">
        <v>45</v>
      </c>
      <c r="I2132" t="s">
        <v>7758</v>
      </c>
    </row>
    <row r="2133">
      <c r="A2133" t="s">
        <v>4967</v>
      </c>
      <c r="B2133" s="232" t="s">
        <v>4966</v>
      </c>
      <c r="C2133" s="232">
        <v>0.0</v>
      </c>
      <c r="D2133" s="232">
        <v>0.0</v>
      </c>
      <c r="F2133" t="s">
        <v>7702</v>
      </c>
      <c r="G2133" t="s">
        <v>310</v>
      </c>
      <c r="H2133" t="s">
        <v>45</v>
      </c>
      <c r="I2133" t="s">
        <v>7800</v>
      </c>
    </row>
    <row r="2134">
      <c r="A2134" t="s">
        <v>4969</v>
      </c>
      <c r="B2134" s="232" t="s">
        <v>4968</v>
      </c>
      <c r="C2134" s="232">
        <v>0.0</v>
      </c>
      <c r="D2134" s="232">
        <v>0.0</v>
      </c>
      <c r="F2134" t="s">
        <v>7702</v>
      </c>
      <c r="G2134" t="s">
        <v>310</v>
      </c>
      <c r="H2134" t="s">
        <v>45</v>
      </c>
      <c r="I2134" t="s">
        <v>7800</v>
      </c>
    </row>
    <row r="2135">
      <c r="A2135" t="s">
        <v>4971</v>
      </c>
      <c r="B2135" s="232" t="s">
        <v>4970</v>
      </c>
      <c r="C2135" s="232">
        <v>0.0</v>
      </c>
      <c r="D2135" s="232">
        <v>0.0</v>
      </c>
      <c r="F2135" t="s">
        <v>7702</v>
      </c>
      <c r="G2135" t="s">
        <v>310</v>
      </c>
      <c r="H2135" t="s">
        <v>45</v>
      </c>
      <c r="I2135" t="s">
        <v>7754</v>
      </c>
    </row>
    <row r="2136">
      <c r="A2136" t="s">
        <v>4973</v>
      </c>
      <c r="B2136" s="232" t="s">
        <v>4972</v>
      </c>
      <c r="C2136" s="232">
        <v>250.0</v>
      </c>
      <c r="D2136" s="232">
        <v>206.02</v>
      </c>
      <c r="E2136" s="232">
        <v>0.8241</v>
      </c>
      <c r="F2136" t="s">
        <v>7702</v>
      </c>
      <c r="G2136" t="s">
        <v>310</v>
      </c>
      <c r="H2136" t="s">
        <v>45</v>
      </c>
      <c r="I2136" t="s">
        <v>7752</v>
      </c>
    </row>
    <row r="2137">
      <c r="A2137" t="s">
        <v>4975</v>
      </c>
      <c r="B2137" s="232" t="s">
        <v>4974</v>
      </c>
      <c r="C2137" s="232">
        <v>0.0</v>
      </c>
      <c r="D2137" s="232">
        <v>0.0</v>
      </c>
      <c r="F2137" t="s">
        <v>7702</v>
      </c>
      <c r="G2137" t="s">
        <v>310</v>
      </c>
      <c r="H2137" t="s">
        <v>45</v>
      </c>
      <c r="I2137" t="s">
        <v>7755</v>
      </c>
    </row>
    <row r="2138">
      <c r="A2138" t="s">
        <v>4977</v>
      </c>
      <c r="B2138" s="232" t="s">
        <v>4976</v>
      </c>
      <c r="C2138" s="232">
        <v>0.0</v>
      </c>
      <c r="D2138" s="232">
        <v>0.0</v>
      </c>
      <c r="F2138" t="s">
        <v>7702</v>
      </c>
      <c r="G2138" t="s">
        <v>310</v>
      </c>
      <c r="H2138" t="s">
        <v>45</v>
      </c>
      <c r="I2138" t="s">
        <v>7800</v>
      </c>
    </row>
    <row r="2139">
      <c r="A2139" t="s">
        <v>4979</v>
      </c>
      <c r="B2139" s="232" t="s">
        <v>4978</v>
      </c>
      <c r="C2139" s="232">
        <v>0.0</v>
      </c>
      <c r="D2139" s="232">
        <v>0.0</v>
      </c>
      <c r="F2139" t="s">
        <v>7702</v>
      </c>
      <c r="G2139" t="s">
        <v>310</v>
      </c>
      <c r="H2139" t="s">
        <v>45</v>
      </c>
      <c r="I2139" t="s">
        <v>7800</v>
      </c>
    </row>
    <row r="2140">
      <c r="A2140" t="s">
        <v>4981</v>
      </c>
      <c r="B2140" s="232" t="s">
        <v>4980</v>
      </c>
      <c r="C2140" s="232">
        <v>0.0</v>
      </c>
      <c r="D2140" s="232">
        <v>0.0</v>
      </c>
      <c r="F2140" t="s">
        <v>7702</v>
      </c>
      <c r="G2140" t="s">
        <v>310</v>
      </c>
      <c r="H2140" t="s">
        <v>45</v>
      </c>
      <c r="I2140" t="s">
        <v>7758</v>
      </c>
    </row>
    <row r="2141">
      <c r="A2141" t="s">
        <v>4983</v>
      </c>
      <c r="B2141" s="232" t="s">
        <v>4982</v>
      </c>
      <c r="C2141" s="232">
        <v>0.0</v>
      </c>
      <c r="D2141" s="232">
        <v>0.0</v>
      </c>
      <c r="F2141" t="s">
        <v>7702</v>
      </c>
      <c r="G2141" t="s">
        <v>310</v>
      </c>
      <c r="H2141" t="s">
        <v>45</v>
      </c>
      <c r="I2141" t="s">
        <v>7800</v>
      </c>
    </row>
    <row r="2142">
      <c r="A2142" t="s">
        <v>4985</v>
      </c>
      <c r="B2142" s="232" t="s">
        <v>4984</v>
      </c>
      <c r="C2142" s="232">
        <v>0.0</v>
      </c>
      <c r="D2142" s="232">
        <v>0.0</v>
      </c>
      <c r="F2142" t="s">
        <v>7702</v>
      </c>
      <c r="G2142" t="s">
        <v>310</v>
      </c>
      <c r="H2142" t="s">
        <v>45</v>
      </c>
      <c r="I2142" t="s">
        <v>7800</v>
      </c>
    </row>
    <row r="2143">
      <c r="A2143" t="s">
        <v>4987</v>
      </c>
      <c r="B2143" s="232" t="s">
        <v>4986</v>
      </c>
      <c r="C2143" s="232">
        <v>0.0</v>
      </c>
      <c r="D2143" s="232">
        <v>0.0</v>
      </c>
      <c r="F2143" t="s">
        <v>7702</v>
      </c>
      <c r="G2143" t="s">
        <v>310</v>
      </c>
      <c r="H2143" t="s">
        <v>45</v>
      </c>
      <c r="I2143" t="s">
        <v>7754</v>
      </c>
    </row>
    <row r="2144">
      <c r="A2144" t="s">
        <v>4989</v>
      </c>
      <c r="B2144" s="232" t="s">
        <v>4988</v>
      </c>
      <c r="C2144" s="232">
        <v>0.0</v>
      </c>
      <c r="D2144" s="232">
        <v>0.0</v>
      </c>
      <c r="F2144" t="s">
        <v>7702</v>
      </c>
      <c r="G2144" t="s">
        <v>330</v>
      </c>
      <c r="H2144" t="s">
        <v>45</v>
      </c>
      <c r="I2144" t="s">
        <v>7800</v>
      </c>
    </row>
    <row r="2145">
      <c r="A2145" t="s">
        <v>4991</v>
      </c>
      <c r="B2145" s="232" t="s">
        <v>4990</v>
      </c>
      <c r="C2145" s="232">
        <v>50.0</v>
      </c>
      <c r="D2145" s="232">
        <v>0.0</v>
      </c>
      <c r="E2145" s="232">
        <v>0.0</v>
      </c>
      <c r="F2145" t="s">
        <v>7732</v>
      </c>
      <c r="G2145" t="s">
        <v>330</v>
      </c>
      <c r="H2145" t="s">
        <v>7733</v>
      </c>
    </row>
    <row r="2146">
      <c r="A2146" t="s">
        <v>4993</v>
      </c>
      <c r="B2146" s="232" t="s">
        <v>4992</v>
      </c>
      <c r="C2146" s="232">
        <v>50.0</v>
      </c>
      <c r="D2146" s="232">
        <v>0.0</v>
      </c>
      <c r="E2146" s="232">
        <v>0.0</v>
      </c>
      <c r="F2146" t="s">
        <v>7732</v>
      </c>
      <c r="G2146" t="s">
        <v>330</v>
      </c>
      <c r="H2146" t="s">
        <v>7733</v>
      </c>
    </row>
    <row r="2147">
      <c r="A2147" t="s">
        <v>5007</v>
      </c>
      <c r="B2147" s="232" t="s">
        <v>5006</v>
      </c>
      <c r="C2147" s="232">
        <v>0.0</v>
      </c>
      <c r="D2147" s="232">
        <v>0.0</v>
      </c>
      <c r="F2147" t="s">
        <v>7732</v>
      </c>
      <c r="G2147" t="s">
        <v>330</v>
      </c>
      <c r="H2147" t="s">
        <v>7733</v>
      </c>
    </row>
    <row r="2148">
      <c r="A2148" t="s">
        <v>5009</v>
      </c>
      <c r="B2148" s="232" t="s">
        <v>5008</v>
      </c>
      <c r="C2148" s="232">
        <v>0.0</v>
      </c>
      <c r="D2148" s="232">
        <v>0.0</v>
      </c>
      <c r="F2148" t="s">
        <v>7732</v>
      </c>
      <c r="G2148" t="s">
        <v>330</v>
      </c>
      <c r="H2148" t="s">
        <v>7733</v>
      </c>
    </row>
    <row r="2149">
      <c r="A2149" t="s">
        <v>5011</v>
      </c>
      <c r="B2149" s="232" t="s">
        <v>5010</v>
      </c>
      <c r="C2149" s="232">
        <v>0.0</v>
      </c>
      <c r="D2149" s="232">
        <v>0.0</v>
      </c>
      <c r="F2149" t="s">
        <v>7732</v>
      </c>
      <c r="G2149" t="s">
        <v>330</v>
      </c>
      <c r="H2149" t="s">
        <v>7733</v>
      </c>
    </row>
    <row r="2150">
      <c r="A2150" t="s">
        <v>5013</v>
      </c>
      <c r="B2150" s="232" t="s">
        <v>5012</v>
      </c>
      <c r="C2150" s="232">
        <v>0.0</v>
      </c>
      <c r="D2150" s="232">
        <v>0.0</v>
      </c>
      <c r="F2150" t="s">
        <v>7732</v>
      </c>
      <c r="G2150" t="s">
        <v>330</v>
      </c>
      <c r="H2150" t="s">
        <v>7733</v>
      </c>
    </row>
    <row r="2151">
      <c r="A2151" t="s">
        <v>5015</v>
      </c>
      <c r="B2151" s="232" t="s">
        <v>5014</v>
      </c>
      <c r="C2151" s="232">
        <v>50.0</v>
      </c>
      <c r="D2151" s="232">
        <v>0.0</v>
      </c>
      <c r="E2151" s="232">
        <v>0.0</v>
      </c>
      <c r="F2151" t="s">
        <v>7732</v>
      </c>
      <c r="G2151" t="s">
        <v>330</v>
      </c>
      <c r="H2151" t="s">
        <v>7733</v>
      </c>
    </row>
    <row r="2152">
      <c r="A2152" t="s">
        <v>5017</v>
      </c>
      <c r="B2152" s="232" t="s">
        <v>5016</v>
      </c>
      <c r="C2152" s="232">
        <v>50.0</v>
      </c>
      <c r="D2152" s="232">
        <v>0.0</v>
      </c>
      <c r="E2152" s="232">
        <v>0.0</v>
      </c>
      <c r="F2152" t="s">
        <v>7732</v>
      </c>
      <c r="G2152" t="s">
        <v>330</v>
      </c>
      <c r="H2152" t="s">
        <v>7733</v>
      </c>
    </row>
    <row r="2153">
      <c r="A2153" t="s">
        <v>5019</v>
      </c>
      <c r="B2153" s="232" t="s">
        <v>5018</v>
      </c>
      <c r="C2153" s="232">
        <v>50.0</v>
      </c>
      <c r="D2153" s="232">
        <v>0.0</v>
      </c>
      <c r="E2153" s="232">
        <v>0.0</v>
      </c>
      <c r="F2153" t="s">
        <v>7732</v>
      </c>
      <c r="G2153" t="s">
        <v>330</v>
      </c>
      <c r="H2153" t="s">
        <v>7733</v>
      </c>
    </row>
    <row r="2154">
      <c r="A2154" t="s">
        <v>5021</v>
      </c>
      <c r="B2154" s="232" t="s">
        <v>5020</v>
      </c>
      <c r="C2154" s="232">
        <v>50.0</v>
      </c>
      <c r="D2154" s="232">
        <v>0.0</v>
      </c>
      <c r="E2154" s="232">
        <v>0.0</v>
      </c>
      <c r="F2154" t="s">
        <v>7732</v>
      </c>
      <c r="G2154" t="s">
        <v>330</v>
      </c>
      <c r="H2154" t="s">
        <v>7733</v>
      </c>
    </row>
    <row r="2155">
      <c r="A2155" t="s">
        <v>5023</v>
      </c>
      <c r="B2155" s="232" t="s">
        <v>5022</v>
      </c>
      <c r="C2155" s="232">
        <v>50.0</v>
      </c>
      <c r="D2155" s="232">
        <v>0.0</v>
      </c>
      <c r="E2155" s="232">
        <v>0.0</v>
      </c>
      <c r="F2155" t="s">
        <v>7732</v>
      </c>
      <c r="G2155" t="s">
        <v>330</v>
      </c>
      <c r="H2155" t="s">
        <v>7733</v>
      </c>
    </row>
    <row r="2156">
      <c r="A2156" t="s">
        <v>5025</v>
      </c>
      <c r="B2156" s="232" t="s">
        <v>5024</v>
      </c>
      <c r="C2156" s="232">
        <v>100.0</v>
      </c>
      <c r="D2156" s="232">
        <v>0.0</v>
      </c>
      <c r="E2156" s="232">
        <v>0.0</v>
      </c>
      <c r="F2156" t="s">
        <v>7732</v>
      </c>
      <c r="G2156" t="s">
        <v>330</v>
      </c>
      <c r="H2156" t="s">
        <v>7733</v>
      </c>
    </row>
    <row r="2157">
      <c r="A2157" t="s">
        <v>5027</v>
      </c>
      <c r="B2157" s="232" t="s">
        <v>5026</v>
      </c>
      <c r="C2157" s="232">
        <v>50.0</v>
      </c>
      <c r="D2157" s="232">
        <v>0.0</v>
      </c>
      <c r="E2157" s="232">
        <v>0.0</v>
      </c>
      <c r="F2157" t="s">
        <v>7732</v>
      </c>
      <c r="G2157" t="s">
        <v>330</v>
      </c>
      <c r="H2157" t="s">
        <v>7733</v>
      </c>
    </row>
    <row r="2158">
      <c r="A2158" t="s">
        <v>5029</v>
      </c>
      <c r="B2158" s="232" t="s">
        <v>5028</v>
      </c>
      <c r="C2158" s="232">
        <v>1000.0</v>
      </c>
      <c r="D2158" s="232">
        <v>677.83</v>
      </c>
      <c r="E2158" s="232">
        <v>0.6778</v>
      </c>
      <c r="F2158" t="s">
        <v>7732</v>
      </c>
      <c r="G2158" t="s">
        <v>330</v>
      </c>
      <c r="H2158" t="s">
        <v>7747</v>
      </c>
    </row>
    <row r="2159">
      <c r="A2159" t="s">
        <v>5031</v>
      </c>
      <c r="B2159" s="232" t="s">
        <v>5030</v>
      </c>
      <c r="C2159" s="232">
        <v>1000.0</v>
      </c>
      <c r="D2159" s="232">
        <v>677.91</v>
      </c>
      <c r="E2159" s="232">
        <v>0.6779</v>
      </c>
      <c r="F2159" t="s">
        <v>7732</v>
      </c>
      <c r="G2159" t="s">
        <v>330</v>
      </c>
      <c r="H2159" t="s">
        <v>7747</v>
      </c>
    </row>
    <row r="2160">
      <c r="A2160" t="s">
        <v>5033</v>
      </c>
      <c r="B2160" s="232" t="s">
        <v>5032</v>
      </c>
      <c r="C2160" s="232">
        <v>1000.0</v>
      </c>
      <c r="D2160" s="232">
        <v>677.91</v>
      </c>
      <c r="E2160" s="232">
        <v>0.6779</v>
      </c>
      <c r="F2160" t="s">
        <v>7732</v>
      </c>
      <c r="G2160" t="s">
        <v>330</v>
      </c>
      <c r="H2160" t="s">
        <v>7747</v>
      </c>
    </row>
    <row r="2161">
      <c r="A2161" t="s">
        <v>5035</v>
      </c>
      <c r="B2161" s="232" t="s">
        <v>5034</v>
      </c>
      <c r="C2161" s="232">
        <v>0.0</v>
      </c>
      <c r="D2161" s="232">
        <v>0.0</v>
      </c>
      <c r="F2161" t="s">
        <v>7732</v>
      </c>
      <c r="G2161" t="s">
        <v>310</v>
      </c>
      <c r="H2161" t="s">
        <v>7747</v>
      </c>
    </row>
    <row r="2162">
      <c r="A2162" t="s">
        <v>5037</v>
      </c>
      <c r="B2162" s="232" t="s">
        <v>5036</v>
      </c>
      <c r="C2162" s="232">
        <v>0.0</v>
      </c>
      <c r="D2162" s="232">
        <v>0.0</v>
      </c>
      <c r="F2162" t="s">
        <v>7732</v>
      </c>
      <c r="G2162" t="s">
        <v>310</v>
      </c>
      <c r="H2162" t="s">
        <v>7747</v>
      </c>
    </row>
    <row r="2163">
      <c r="A2163" t="s">
        <v>5039</v>
      </c>
      <c r="B2163" s="232" t="s">
        <v>5038</v>
      </c>
      <c r="C2163" s="232">
        <v>0.0</v>
      </c>
      <c r="D2163" s="232">
        <v>0.0</v>
      </c>
      <c r="F2163" t="s">
        <v>7732</v>
      </c>
      <c r="G2163" t="s">
        <v>310</v>
      </c>
      <c r="H2163" t="s">
        <v>7747</v>
      </c>
    </row>
    <row r="2164">
      <c r="A2164" t="s">
        <v>5041</v>
      </c>
      <c r="B2164" s="232" t="s">
        <v>5040</v>
      </c>
      <c r="C2164" s="232">
        <v>0.0</v>
      </c>
      <c r="D2164" s="232">
        <v>0.0</v>
      </c>
      <c r="F2164" t="s">
        <v>7732</v>
      </c>
      <c r="G2164" t="s">
        <v>310</v>
      </c>
      <c r="H2164" t="s">
        <v>7747</v>
      </c>
    </row>
    <row r="2165">
      <c r="A2165" t="s">
        <v>5043</v>
      </c>
      <c r="B2165" s="232" t="s">
        <v>5042</v>
      </c>
      <c r="C2165" s="232">
        <v>0.0</v>
      </c>
      <c r="D2165" s="232">
        <v>0.0</v>
      </c>
      <c r="F2165" t="s">
        <v>7732</v>
      </c>
      <c r="G2165" t="s">
        <v>310</v>
      </c>
      <c r="H2165" t="s">
        <v>7747</v>
      </c>
    </row>
    <row r="2166">
      <c r="A2166" t="s">
        <v>5045</v>
      </c>
      <c r="B2166" s="232" t="s">
        <v>5044</v>
      </c>
      <c r="C2166" s="232">
        <v>0.0</v>
      </c>
      <c r="D2166" s="232">
        <v>0.0</v>
      </c>
      <c r="F2166" t="s">
        <v>7732</v>
      </c>
      <c r="G2166" t="s">
        <v>310</v>
      </c>
      <c r="H2166" t="s">
        <v>7747</v>
      </c>
    </row>
    <row r="2167">
      <c r="A2167" t="s">
        <v>5047</v>
      </c>
      <c r="B2167" s="232" t="s">
        <v>5046</v>
      </c>
      <c r="C2167" s="232">
        <v>0.0</v>
      </c>
      <c r="D2167" s="232">
        <v>0.0</v>
      </c>
      <c r="F2167" t="s">
        <v>7732</v>
      </c>
      <c r="G2167" t="s">
        <v>310</v>
      </c>
      <c r="H2167" t="s">
        <v>7747</v>
      </c>
    </row>
    <row r="2168">
      <c r="A2168" t="s">
        <v>5049</v>
      </c>
      <c r="B2168" s="232" t="s">
        <v>5048</v>
      </c>
      <c r="C2168" s="232">
        <v>0.0</v>
      </c>
      <c r="D2168" s="232">
        <v>0.0</v>
      </c>
      <c r="F2168" t="s">
        <v>7732</v>
      </c>
      <c r="G2168" t="s">
        <v>310</v>
      </c>
      <c r="H2168" t="s">
        <v>7747</v>
      </c>
    </row>
    <row r="2169">
      <c r="A2169" t="s">
        <v>5051</v>
      </c>
      <c r="B2169" s="232" t="s">
        <v>5050</v>
      </c>
      <c r="C2169" s="232">
        <v>0.0</v>
      </c>
      <c r="D2169" s="232">
        <v>0.0</v>
      </c>
      <c r="F2169" t="s">
        <v>7732</v>
      </c>
      <c r="G2169" t="s">
        <v>310</v>
      </c>
      <c r="H2169" t="s">
        <v>7747</v>
      </c>
    </row>
    <row r="2170">
      <c r="A2170" t="s">
        <v>5053</v>
      </c>
      <c r="B2170" s="232" t="s">
        <v>5052</v>
      </c>
      <c r="C2170" s="232">
        <v>0.0</v>
      </c>
      <c r="D2170" s="232">
        <v>0.0</v>
      </c>
      <c r="F2170" t="s">
        <v>7732</v>
      </c>
      <c r="G2170" t="s">
        <v>310</v>
      </c>
      <c r="H2170" t="s">
        <v>7747</v>
      </c>
    </row>
    <row r="2171">
      <c r="A2171" t="s">
        <v>5055</v>
      </c>
      <c r="B2171" s="232" t="s">
        <v>5054</v>
      </c>
      <c r="C2171" s="232">
        <v>0.0</v>
      </c>
      <c r="D2171" s="232">
        <v>0.0</v>
      </c>
      <c r="F2171" t="s">
        <v>7732</v>
      </c>
      <c r="G2171" t="s">
        <v>310</v>
      </c>
      <c r="H2171" t="s">
        <v>7747</v>
      </c>
    </row>
    <row r="2172">
      <c r="A2172" t="s">
        <v>5057</v>
      </c>
      <c r="B2172" s="232" t="s">
        <v>5056</v>
      </c>
      <c r="C2172" s="232">
        <v>0.0</v>
      </c>
      <c r="D2172" s="232">
        <v>0.0</v>
      </c>
      <c r="F2172" t="s">
        <v>7732</v>
      </c>
      <c r="G2172" t="s">
        <v>310</v>
      </c>
      <c r="H2172" t="s">
        <v>7747</v>
      </c>
    </row>
    <row r="2173">
      <c r="A2173" t="s">
        <v>5059</v>
      </c>
      <c r="B2173" s="232" t="s">
        <v>5058</v>
      </c>
      <c r="C2173" s="232">
        <v>0.0</v>
      </c>
      <c r="D2173" s="232">
        <v>0.0</v>
      </c>
      <c r="F2173" t="s">
        <v>7732</v>
      </c>
      <c r="G2173" t="s">
        <v>310</v>
      </c>
      <c r="H2173" t="s">
        <v>7747</v>
      </c>
    </row>
    <row r="2174">
      <c r="A2174" t="s">
        <v>5061</v>
      </c>
      <c r="B2174" s="232" t="s">
        <v>5060</v>
      </c>
      <c r="C2174" s="232">
        <v>0.0</v>
      </c>
      <c r="D2174" s="232">
        <v>0.0</v>
      </c>
      <c r="F2174" t="s">
        <v>7732</v>
      </c>
      <c r="G2174" t="s">
        <v>310</v>
      </c>
      <c r="H2174" t="s">
        <v>7747</v>
      </c>
    </row>
    <row r="2175">
      <c r="A2175" t="s">
        <v>5063</v>
      </c>
      <c r="B2175" s="232" t="s">
        <v>5062</v>
      </c>
      <c r="C2175" s="232">
        <v>0.0</v>
      </c>
      <c r="D2175" s="232">
        <v>0.0</v>
      </c>
      <c r="F2175" t="s">
        <v>7732</v>
      </c>
      <c r="G2175" t="s">
        <v>310</v>
      </c>
      <c r="H2175" t="s">
        <v>7747</v>
      </c>
    </row>
    <row r="2176">
      <c r="A2176" t="s">
        <v>5065</v>
      </c>
      <c r="B2176" s="232" t="s">
        <v>5064</v>
      </c>
      <c r="C2176" s="232">
        <v>0.0</v>
      </c>
      <c r="D2176" s="232">
        <v>0.0</v>
      </c>
      <c r="F2176" t="s">
        <v>7732</v>
      </c>
      <c r="G2176" t="s">
        <v>310</v>
      </c>
      <c r="H2176" t="s">
        <v>7747</v>
      </c>
    </row>
    <row r="2177">
      <c r="A2177" t="s">
        <v>5067</v>
      </c>
      <c r="B2177" s="232" t="s">
        <v>5066</v>
      </c>
      <c r="C2177" s="232">
        <v>0.0</v>
      </c>
      <c r="D2177" s="232">
        <v>0.0</v>
      </c>
      <c r="F2177" t="s">
        <v>7732</v>
      </c>
      <c r="G2177" t="s">
        <v>310</v>
      </c>
      <c r="H2177" t="s">
        <v>7747</v>
      </c>
    </row>
    <row r="2178">
      <c r="A2178" t="s">
        <v>5069</v>
      </c>
      <c r="B2178" s="232" t="s">
        <v>5068</v>
      </c>
      <c r="C2178" s="232">
        <v>0.0</v>
      </c>
      <c r="D2178" s="232">
        <v>0.0</v>
      </c>
      <c r="F2178" t="s">
        <v>7732</v>
      </c>
      <c r="G2178" t="s">
        <v>310</v>
      </c>
      <c r="H2178" t="s">
        <v>7747</v>
      </c>
    </row>
    <row r="2179">
      <c r="A2179" t="s">
        <v>5071</v>
      </c>
      <c r="B2179" s="232" t="s">
        <v>5070</v>
      </c>
      <c r="C2179" s="232">
        <v>0.0</v>
      </c>
      <c r="D2179" s="232">
        <v>0.0</v>
      </c>
      <c r="F2179" t="s">
        <v>7732</v>
      </c>
      <c r="G2179" t="s">
        <v>310</v>
      </c>
      <c r="H2179" t="s">
        <v>7747</v>
      </c>
    </row>
    <row r="2180">
      <c r="A2180" t="s">
        <v>5073</v>
      </c>
      <c r="B2180" s="232" t="s">
        <v>5072</v>
      </c>
      <c r="C2180" s="232">
        <v>0.0</v>
      </c>
      <c r="D2180" s="232">
        <v>0.0</v>
      </c>
      <c r="F2180" t="s">
        <v>7732</v>
      </c>
      <c r="G2180" t="s">
        <v>310</v>
      </c>
      <c r="H2180" t="s">
        <v>7747</v>
      </c>
    </row>
    <row r="2181">
      <c r="A2181" t="s">
        <v>5075</v>
      </c>
      <c r="B2181" s="232" t="s">
        <v>5074</v>
      </c>
      <c r="C2181" s="232">
        <v>0.0</v>
      </c>
      <c r="D2181" s="232">
        <v>0.0</v>
      </c>
      <c r="F2181" t="s">
        <v>7732</v>
      </c>
      <c r="G2181" t="s">
        <v>310</v>
      </c>
      <c r="H2181" t="s">
        <v>7747</v>
      </c>
    </row>
    <row r="2182">
      <c r="A2182" t="s">
        <v>5077</v>
      </c>
      <c r="B2182" s="232" t="s">
        <v>5076</v>
      </c>
      <c r="C2182" s="232">
        <v>0.0</v>
      </c>
      <c r="D2182" s="232">
        <v>0.0</v>
      </c>
      <c r="F2182" t="s">
        <v>7732</v>
      </c>
      <c r="G2182" t="s">
        <v>310</v>
      </c>
      <c r="H2182" t="s">
        <v>7747</v>
      </c>
    </row>
    <row r="2183">
      <c r="A2183" t="s">
        <v>5079</v>
      </c>
      <c r="B2183" s="232" t="s">
        <v>5078</v>
      </c>
      <c r="C2183" s="232">
        <v>0.0</v>
      </c>
      <c r="D2183" s="232">
        <v>0.0</v>
      </c>
      <c r="F2183" t="s">
        <v>7732</v>
      </c>
      <c r="G2183" t="s">
        <v>310</v>
      </c>
      <c r="H2183" t="s">
        <v>7747</v>
      </c>
    </row>
    <row r="2184">
      <c r="A2184" t="s">
        <v>5083</v>
      </c>
      <c r="B2184" s="232">
        <v>32002.0</v>
      </c>
      <c r="C2184" s="232">
        <v>0.0</v>
      </c>
      <c r="D2184" s="232">
        <v>0.0</v>
      </c>
      <c r="F2184" t="s">
        <v>7702</v>
      </c>
      <c r="G2184" t="s">
        <v>310</v>
      </c>
      <c r="H2184" t="s">
        <v>7703</v>
      </c>
      <c r="I2184" t="s">
        <v>98</v>
      </c>
    </row>
    <row r="2185">
      <c r="A2185" t="s">
        <v>5084</v>
      </c>
      <c r="B2185" s="232">
        <v>32006.0</v>
      </c>
      <c r="C2185" s="232">
        <v>0.0</v>
      </c>
      <c r="D2185" s="232">
        <v>0.0</v>
      </c>
      <c r="F2185" t="s">
        <v>7702</v>
      </c>
      <c r="G2185" t="s">
        <v>310</v>
      </c>
      <c r="H2185" t="s">
        <v>7703</v>
      </c>
      <c r="I2185" t="s">
        <v>98</v>
      </c>
    </row>
    <row r="2186">
      <c r="A2186" t="s">
        <v>5085</v>
      </c>
      <c r="B2186" s="232">
        <v>32001.0</v>
      </c>
      <c r="C2186" s="232">
        <v>0.0</v>
      </c>
      <c r="D2186" s="232">
        <v>0.0</v>
      </c>
      <c r="F2186" t="s">
        <v>7702</v>
      </c>
      <c r="G2186" t="s">
        <v>310</v>
      </c>
      <c r="H2186" t="s">
        <v>7703</v>
      </c>
      <c r="I2186" t="s">
        <v>98</v>
      </c>
    </row>
    <row r="2187">
      <c r="A2187" t="s">
        <v>5086</v>
      </c>
      <c r="B2187" s="232">
        <v>32005.0</v>
      </c>
      <c r="C2187" s="232">
        <v>0.0</v>
      </c>
      <c r="D2187" s="232">
        <v>0.0</v>
      </c>
      <c r="F2187" t="s">
        <v>7702</v>
      </c>
      <c r="G2187" t="s">
        <v>310</v>
      </c>
      <c r="H2187" t="s">
        <v>7703</v>
      </c>
      <c r="I2187" t="s">
        <v>98</v>
      </c>
    </row>
    <row r="2188">
      <c r="A2188" t="s">
        <v>5087</v>
      </c>
      <c r="B2188" s="232">
        <v>32004.0</v>
      </c>
      <c r="C2188" s="232">
        <v>0.0</v>
      </c>
      <c r="D2188" s="232">
        <v>0.0</v>
      </c>
      <c r="F2188" t="s">
        <v>7702</v>
      </c>
      <c r="G2188" t="s">
        <v>310</v>
      </c>
      <c r="H2188" t="s">
        <v>7703</v>
      </c>
      <c r="I2188" t="s">
        <v>98</v>
      </c>
    </row>
    <row r="2189">
      <c r="A2189" t="s">
        <v>5088</v>
      </c>
      <c r="B2189" s="232">
        <v>32003.0</v>
      </c>
      <c r="C2189" s="232">
        <v>0.0</v>
      </c>
      <c r="D2189" s="232">
        <v>0.0</v>
      </c>
      <c r="F2189" t="s">
        <v>7702</v>
      </c>
      <c r="G2189" t="s">
        <v>310</v>
      </c>
      <c r="H2189" t="s">
        <v>7703</v>
      </c>
      <c r="I2189" t="s">
        <v>98</v>
      </c>
    </row>
    <row r="2190">
      <c r="A2190" t="s">
        <v>5090</v>
      </c>
      <c r="B2190" s="232" t="s">
        <v>5089</v>
      </c>
      <c r="C2190" s="232">
        <v>1.0</v>
      </c>
      <c r="D2190" s="232">
        <v>17.12</v>
      </c>
      <c r="E2190" s="232">
        <v>17.12</v>
      </c>
      <c r="F2190" t="s">
        <v>7702</v>
      </c>
      <c r="G2190" t="s">
        <v>330</v>
      </c>
      <c r="H2190" t="s">
        <v>7725</v>
      </c>
      <c r="I2190" t="s">
        <v>7813</v>
      </c>
    </row>
    <row r="2191">
      <c r="A2191" t="s">
        <v>5092</v>
      </c>
      <c r="B2191" s="232" t="s">
        <v>5091</v>
      </c>
      <c r="C2191" s="232">
        <v>0.0</v>
      </c>
      <c r="D2191" s="232">
        <v>0.0</v>
      </c>
      <c r="F2191" t="s">
        <v>7702</v>
      </c>
      <c r="G2191" t="s">
        <v>310</v>
      </c>
      <c r="H2191" t="s">
        <v>7725</v>
      </c>
      <c r="I2191" t="s">
        <v>7813</v>
      </c>
    </row>
    <row r="2192">
      <c r="A2192" t="s">
        <v>5094</v>
      </c>
      <c r="B2192" s="232" t="s">
        <v>5093</v>
      </c>
      <c r="C2192" s="232">
        <v>0.0</v>
      </c>
      <c r="D2192" s="232">
        <v>0.0</v>
      </c>
      <c r="F2192" t="s">
        <v>7702</v>
      </c>
      <c r="G2192" t="s">
        <v>330</v>
      </c>
      <c r="H2192" t="s">
        <v>7725</v>
      </c>
      <c r="I2192" t="s">
        <v>7813</v>
      </c>
    </row>
    <row r="2193">
      <c r="A2193" t="s">
        <v>5098</v>
      </c>
      <c r="B2193" s="232" t="s">
        <v>5097</v>
      </c>
      <c r="C2193" s="232">
        <v>1.0</v>
      </c>
      <c r="D2193" s="232">
        <v>17.11</v>
      </c>
      <c r="E2193" s="232">
        <v>17.11</v>
      </c>
      <c r="F2193" t="s">
        <v>7702</v>
      </c>
      <c r="G2193" t="s">
        <v>310</v>
      </c>
      <c r="H2193" t="s">
        <v>45</v>
      </c>
      <c r="I2193" t="s">
        <v>7813</v>
      </c>
    </row>
    <row r="2194">
      <c r="A2194" t="s">
        <v>5100</v>
      </c>
      <c r="B2194" s="232" t="s">
        <v>5099</v>
      </c>
      <c r="C2194" s="232">
        <v>0.0</v>
      </c>
      <c r="D2194" s="232">
        <v>0.0</v>
      </c>
      <c r="F2194" t="s">
        <v>7702</v>
      </c>
      <c r="G2194" t="s">
        <v>310</v>
      </c>
      <c r="H2194" t="s">
        <v>45</v>
      </c>
      <c r="I2194" t="s">
        <v>7813</v>
      </c>
    </row>
    <row r="2195">
      <c r="A2195" t="s">
        <v>5102</v>
      </c>
      <c r="B2195" s="232" t="s">
        <v>5101</v>
      </c>
      <c r="C2195" s="232">
        <v>0.0</v>
      </c>
      <c r="D2195" s="232">
        <v>0.0</v>
      </c>
      <c r="F2195" t="s">
        <v>7702</v>
      </c>
      <c r="G2195" t="s">
        <v>310</v>
      </c>
      <c r="H2195" t="s">
        <v>45</v>
      </c>
      <c r="I2195" t="s">
        <v>7813</v>
      </c>
    </row>
    <row r="2196">
      <c r="A2196" t="s">
        <v>5104</v>
      </c>
      <c r="B2196" s="232" t="s">
        <v>5103</v>
      </c>
      <c r="C2196" s="232">
        <v>0.0</v>
      </c>
      <c r="D2196" s="232">
        <v>0.0</v>
      </c>
      <c r="F2196" t="s">
        <v>7702</v>
      </c>
      <c r="G2196" t="s">
        <v>330</v>
      </c>
      <c r="H2196" t="s">
        <v>45</v>
      </c>
      <c r="I2196" t="s">
        <v>7813</v>
      </c>
    </row>
    <row r="2197">
      <c r="A2197" t="s">
        <v>5106</v>
      </c>
      <c r="B2197" s="232" t="s">
        <v>5105</v>
      </c>
      <c r="C2197" s="232">
        <v>0.0</v>
      </c>
      <c r="D2197" s="232">
        <v>0.0</v>
      </c>
      <c r="F2197" t="s">
        <v>7702</v>
      </c>
      <c r="G2197" t="s">
        <v>310</v>
      </c>
      <c r="H2197" t="s">
        <v>45</v>
      </c>
      <c r="I2197" t="s">
        <v>7813</v>
      </c>
    </row>
    <row r="2198">
      <c r="A2198" t="s">
        <v>5108</v>
      </c>
      <c r="B2198" s="232" t="s">
        <v>5107</v>
      </c>
      <c r="C2198" s="232">
        <v>14.0</v>
      </c>
      <c r="D2198" s="232">
        <v>78.57</v>
      </c>
      <c r="E2198" s="232">
        <v>5.6121</v>
      </c>
      <c r="F2198" t="s">
        <v>7702</v>
      </c>
      <c r="G2198" t="s">
        <v>330</v>
      </c>
      <c r="H2198" t="s">
        <v>7725</v>
      </c>
      <c r="I2198" t="s">
        <v>7813</v>
      </c>
    </row>
    <row r="2199">
      <c r="A2199" t="s">
        <v>5110</v>
      </c>
      <c r="B2199" s="232" t="s">
        <v>5109</v>
      </c>
      <c r="C2199" s="232">
        <v>0.0</v>
      </c>
      <c r="D2199" s="232">
        <v>0.0</v>
      </c>
      <c r="F2199" t="s">
        <v>7702</v>
      </c>
      <c r="G2199" t="s">
        <v>310</v>
      </c>
      <c r="H2199" t="s">
        <v>7725</v>
      </c>
      <c r="I2199" t="s">
        <v>7813</v>
      </c>
    </row>
    <row r="2200">
      <c r="A2200" t="s">
        <v>5118</v>
      </c>
      <c r="B2200" s="232" t="s">
        <v>5117</v>
      </c>
      <c r="C2200" s="232">
        <v>13.0</v>
      </c>
      <c r="D2200" s="232">
        <v>67.08</v>
      </c>
      <c r="E2200" s="232">
        <v>5.16</v>
      </c>
      <c r="F2200" t="s">
        <v>7702</v>
      </c>
      <c r="G2200" t="s">
        <v>330</v>
      </c>
      <c r="H2200" t="s">
        <v>7725</v>
      </c>
      <c r="I2200" t="s">
        <v>7813</v>
      </c>
    </row>
    <row r="2201">
      <c r="A2201" t="s">
        <v>5120</v>
      </c>
      <c r="B2201" s="232" t="s">
        <v>5119</v>
      </c>
      <c r="C2201" s="232">
        <v>19.0</v>
      </c>
      <c r="D2201" s="232">
        <v>109.82</v>
      </c>
      <c r="E2201" s="232">
        <v>5.78</v>
      </c>
      <c r="F2201" t="s">
        <v>7702</v>
      </c>
      <c r="G2201" t="s">
        <v>330</v>
      </c>
      <c r="H2201" t="s">
        <v>7725</v>
      </c>
      <c r="I2201" t="s">
        <v>7813</v>
      </c>
    </row>
    <row r="2202">
      <c r="A2202" t="s">
        <v>5122</v>
      </c>
      <c r="B2202" s="232" t="s">
        <v>5121</v>
      </c>
      <c r="C2202" s="232">
        <v>0.0</v>
      </c>
      <c r="D2202" s="232">
        <v>0.0</v>
      </c>
      <c r="F2202" t="s">
        <v>7702</v>
      </c>
      <c r="G2202" t="s">
        <v>310</v>
      </c>
      <c r="H2202" t="s">
        <v>7725</v>
      </c>
      <c r="I2202" t="s">
        <v>7813</v>
      </c>
    </row>
    <row r="2203">
      <c r="A2203" t="s">
        <v>5124</v>
      </c>
      <c r="B2203" s="232" t="s">
        <v>5123</v>
      </c>
      <c r="C2203" s="232">
        <v>31.0</v>
      </c>
      <c r="D2203" s="232">
        <v>614.19</v>
      </c>
      <c r="E2203" s="232">
        <v>19.8126</v>
      </c>
      <c r="F2203" t="s">
        <v>7702</v>
      </c>
      <c r="G2203" t="s">
        <v>330</v>
      </c>
      <c r="H2203" t="s">
        <v>7725</v>
      </c>
      <c r="I2203" t="s">
        <v>7813</v>
      </c>
    </row>
    <row r="2204">
      <c r="A2204" t="s">
        <v>5126</v>
      </c>
      <c r="B2204" s="232" t="s">
        <v>5125</v>
      </c>
      <c r="C2204" s="232">
        <v>24.0</v>
      </c>
      <c r="D2204" s="232">
        <v>410.61</v>
      </c>
      <c r="E2204" s="232">
        <v>17.1088</v>
      </c>
      <c r="F2204" t="s">
        <v>7702</v>
      </c>
      <c r="G2204" t="s">
        <v>330</v>
      </c>
      <c r="H2204" t="s">
        <v>45</v>
      </c>
      <c r="I2204" t="s">
        <v>7813</v>
      </c>
    </row>
    <row r="2205">
      <c r="A2205" t="s">
        <v>5128</v>
      </c>
      <c r="B2205" s="232" t="s">
        <v>5127</v>
      </c>
      <c r="C2205" s="232">
        <v>0.0</v>
      </c>
      <c r="D2205" s="232">
        <v>0.0</v>
      </c>
      <c r="F2205" t="s">
        <v>7702</v>
      </c>
      <c r="G2205" t="s">
        <v>310</v>
      </c>
      <c r="H2205" t="s">
        <v>7725</v>
      </c>
      <c r="I2205" t="s">
        <v>7813</v>
      </c>
    </row>
    <row r="2206">
      <c r="A2206" t="s">
        <v>5130</v>
      </c>
      <c r="B2206" s="232" t="s">
        <v>5129</v>
      </c>
      <c r="C2206" s="232">
        <v>11.0</v>
      </c>
      <c r="D2206" s="232">
        <v>55.44</v>
      </c>
      <c r="E2206" s="232">
        <v>5.04</v>
      </c>
      <c r="F2206" t="s">
        <v>7702</v>
      </c>
      <c r="G2206" t="s">
        <v>330</v>
      </c>
      <c r="H2206" t="s">
        <v>45</v>
      </c>
      <c r="I2206" t="s">
        <v>7813</v>
      </c>
    </row>
    <row r="2207">
      <c r="A2207" t="s">
        <v>5132</v>
      </c>
      <c r="B2207" s="232" t="s">
        <v>5131</v>
      </c>
      <c r="C2207" s="232">
        <v>12.0</v>
      </c>
      <c r="D2207" s="232">
        <v>34.32</v>
      </c>
      <c r="E2207" s="232">
        <v>2.86</v>
      </c>
      <c r="F2207" t="s">
        <v>7702</v>
      </c>
      <c r="G2207" t="s">
        <v>330</v>
      </c>
      <c r="H2207" t="s">
        <v>7725</v>
      </c>
      <c r="I2207" t="s">
        <v>7813</v>
      </c>
    </row>
    <row r="2208">
      <c r="A2208" t="s">
        <v>5134</v>
      </c>
      <c r="B2208" s="232" t="s">
        <v>5133</v>
      </c>
      <c r="C2208" s="232">
        <v>10.0</v>
      </c>
      <c r="D2208" s="232">
        <v>28.6</v>
      </c>
      <c r="E2208" s="232">
        <v>2.86</v>
      </c>
      <c r="F2208" t="s">
        <v>7702</v>
      </c>
      <c r="G2208" t="s">
        <v>330</v>
      </c>
      <c r="H2208" t="s">
        <v>7725</v>
      </c>
      <c r="I2208" t="s">
        <v>7813</v>
      </c>
    </row>
    <row r="2209">
      <c r="A2209" t="s">
        <v>5136</v>
      </c>
      <c r="B2209" s="232" t="s">
        <v>5135</v>
      </c>
      <c r="C2209" s="232">
        <v>0.0</v>
      </c>
      <c r="D2209" s="232">
        <v>0.0</v>
      </c>
      <c r="F2209" t="s">
        <v>7702</v>
      </c>
      <c r="G2209" t="s">
        <v>310</v>
      </c>
      <c r="H2209" t="s">
        <v>45</v>
      </c>
      <c r="I2209" t="s">
        <v>7813</v>
      </c>
    </row>
    <row r="2210">
      <c r="A2210" t="s">
        <v>5138</v>
      </c>
      <c r="B2210" s="232" t="s">
        <v>5137</v>
      </c>
      <c r="C2210" s="232">
        <v>0.0</v>
      </c>
      <c r="D2210" s="232">
        <v>0.0</v>
      </c>
      <c r="F2210" t="s">
        <v>7702</v>
      </c>
      <c r="G2210" t="s">
        <v>310</v>
      </c>
      <c r="H2210" t="s">
        <v>7725</v>
      </c>
      <c r="I2210" t="s">
        <v>7813</v>
      </c>
    </row>
    <row r="2211">
      <c r="A2211" t="s">
        <v>5140</v>
      </c>
      <c r="B2211" s="232" t="s">
        <v>5139</v>
      </c>
      <c r="C2211" s="232">
        <v>27.0</v>
      </c>
      <c r="D2211" s="232">
        <v>139.32</v>
      </c>
      <c r="E2211" s="232">
        <v>5.16</v>
      </c>
      <c r="F2211" t="s">
        <v>7702</v>
      </c>
      <c r="G2211" t="s">
        <v>330</v>
      </c>
      <c r="H2211" t="s">
        <v>7725</v>
      </c>
      <c r="I2211" t="s">
        <v>7813</v>
      </c>
    </row>
    <row r="2212">
      <c r="A2212" t="s">
        <v>5142</v>
      </c>
      <c r="B2212" s="232" t="s">
        <v>5141</v>
      </c>
      <c r="C2212" s="232">
        <v>125.0</v>
      </c>
      <c r="D2212" s="232">
        <v>221.26</v>
      </c>
      <c r="E2212" s="232">
        <v>1.7701</v>
      </c>
      <c r="F2212" t="s">
        <v>7702</v>
      </c>
      <c r="G2212" t="s">
        <v>330</v>
      </c>
      <c r="H2212" t="s">
        <v>7725</v>
      </c>
      <c r="I2212" t="s">
        <v>7813</v>
      </c>
    </row>
    <row r="2213">
      <c r="A2213" t="s">
        <v>5144</v>
      </c>
      <c r="B2213" s="232" t="s">
        <v>5143</v>
      </c>
      <c r="C2213" s="232">
        <v>67.0</v>
      </c>
      <c r="D2213" s="232">
        <v>118.6</v>
      </c>
      <c r="E2213" s="232">
        <v>1.7701</v>
      </c>
      <c r="F2213" t="s">
        <v>7702</v>
      </c>
      <c r="G2213" t="s">
        <v>330</v>
      </c>
      <c r="H2213" t="s">
        <v>7725</v>
      </c>
      <c r="I2213" t="s">
        <v>7813</v>
      </c>
    </row>
    <row r="2214">
      <c r="A2214" t="s">
        <v>5146</v>
      </c>
      <c r="B2214" s="232" t="s">
        <v>5145</v>
      </c>
      <c r="C2214" s="232">
        <v>38.0</v>
      </c>
      <c r="D2214" s="232">
        <v>67.27</v>
      </c>
      <c r="E2214" s="232">
        <v>1.7703</v>
      </c>
      <c r="F2214" t="s">
        <v>7702</v>
      </c>
      <c r="G2214" t="s">
        <v>330</v>
      </c>
      <c r="H2214" t="s">
        <v>7725</v>
      </c>
      <c r="I2214" t="s">
        <v>7813</v>
      </c>
    </row>
    <row r="2215">
      <c r="A2215" t="s">
        <v>5148</v>
      </c>
      <c r="B2215" s="232" t="s">
        <v>5147</v>
      </c>
      <c r="C2215" s="232">
        <v>0.0</v>
      </c>
      <c r="D2215" s="232">
        <v>0.0</v>
      </c>
      <c r="F2215" t="s">
        <v>7702</v>
      </c>
      <c r="G2215" t="s">
        <v>310</v>
      </c>
      <c r="H2215" t="s">
        <v>45</v>
      </c>
      <c r="I2215" t="s">
        <v>7813</v>
      </c>
    </row>
    <row r="2216">
      <c r="A2216" t="s">
        <v>5150</v>
      </c>
      <c r="B2216" s="232" t="s">
        <v>5149</v>
      </c>
      <c r="C2216" s="232">
        <v>8.0</v>
      </c>
      <c r="D2216" s="232">
        <v>14.17</v>
      </c>
      <c r="E2216" s="232">
        <v>1.7713</v>
      </c>
      <c r="F2216" t="s">
        <v>7702</v>
      </c>
      <c r="G2216" t="s">
        <v>330</v>
      </c>
      <c r="H2216" t="s">
        <v>7725</v>
      </c>
      <c r="I2216" t="s">
        <v>7813</v>
      </c>
    </row>
    <row r="2217">
      <c r="A2217" t="s">
        <v>5152</v>
      </c>
      <c r="B2217" s="232" t="s">
        <v>5151</v>
      </c>
      <c r="C2217" s="232">
        <v>43.0</v>
      </c>
      <c r="D2217" s="232">
        <v>735.74</v>
      </c>
      <c r="E2217" s="232">
        <v>17.1102</v>
      </c>
      <c r="F2217" t="s">
        <v>7702</v>
      </c>
      <c r="G2217" t="s">
        <v>330</v>
      </c>
      <c r="H2217" t="s">
        <v>7725</v>
      </c>
      <c r="I2217" t="s">
        <v>7813</v>
      </c>
    </row>
    <row r="2218">
      <c r="A2218" t="s">
        <v>5154</v>
      </c>
      <c r="B2218" s="232" t="s">
        <v>5153</v>
      </c>
      <c r="C2218" s="232">
        <v>72.0</v>
      </c>
      <c r="D2218" s="232">
        <v>127.45</v>
      </c>
      <c r="E2218" s="232">
        <v>1.7701</v>
      </c>
      <c r="F2218" t="s">
        <v>7702</v>
      </c>
      <c r="G2218" t="s">
        <v>330</v>
      </c>
      <c r="H2218" t="s">
        <v>7725</v>
      </c>
      <c r="I2218" t="s">
        <v>7813</v>
      </c>
    </row>
    <row r="2219">
      <c r="A2219" t="s">
        <v>5156</v>
      </c>
      <c r="B2219" s="232" t="s">
        <v>5155</v>
      </c>
      <c r="C2219" s="232">
        <v>56.0</v>
      </c>
      <c r="D2219" s="232">
        <v>99.13</v>
      </c>
      <c r="E2219" s="232">
        <v>1.7702</v>
      </c>
      <c r="F2219" t="s">
        <v>7702</v>
      </c>
      <c r="G2219" t="s">
        <v>330</v>
      </c>
      <c r="H2219" t="s">
        <v>7725</v>
      </c>
      <c r="I2219" t="s">
        <v>7813</v>
      </c>
    </row>
    <row r="2220">
      <c r="A2220" t="s">
        <v>5160</v>
      </c>
      <c r="B2220" s="232" t="s">
        <v>5159</v>
      </c>
      <c r="C2220" s="232">
        <v>39.0</v>
      </c>
      <c r="D2220" s="232">
        <v>150.37</v>
      </c>
      <c r="E2220" s="232">
        <v>3.8556</v>
      </c>
      <c r="F2220" t="s">
        <v>7702</v>
      </c>
      <c r="G2220" t="s">
        <v>330</v>
      </c>
      <c r="H2220" t="s">
        <v>7725</v>
      </c>
      <c r="I2220" t="s">
        <v>7813</v>
      </c>
    </row>
    <row r="2221">
      <c r="A2221" t="s">
        <v>5162</v>
      </c>
      <c r="B2221" s="232" t="s">
        <v>5161</v>
      </c>
      <c r="C2221" s="232">
        <v>40.0</v>
      </c>
      <c r="D2221" s="232">
        <v>154.52</v>
      </c>
      <c r="E2221" s="232">
        <v>3.863</v>
      </c>
      <c r="F2221" t="s">
        <v>7702</v>
      </c>
      <c r="G2221" t="s">
        <v>330</v>
      </c>
      <c r="H2221" t="s">
        <v>7725</v>
      </c>
      <c r="I2221" t="s">
        <v>7813</v>
      </c>
    </row>
    <row r="2222">
      <c r="A2222" t="s">
        <v>5164</v>
      </c>
      <c r="B2222" s="232" t="s">
        <v>5163</v>
      </c>
      <c r="C2222" s="232">
        <v>42.0</v>
      </c>
      <c r="D2222" s="232">
        <v>161.36</v>
      </c>
      <c r="E2222" s="232">
        <v>3.8419</v>
      </c>
      <c r="F2222" t="s">
        <v>7702</v>
      </c>
      <c r="G2222" t="s">
        <v>330</v>
      </c>
      <c r="H2222" t="s">
        <v>7725</v>
      </c>
      <c r="I2222" t="s">
        <v>7813</v>
      </c>
    </row>
    <row r="2223">
      <c r="A2223" t="s">
        <v>5166</v>
      </c>
      <c r="B2223" s="232" t="s">
        <v>5165</v>
      </c>
      <c r="C2223" s="232">
        <v>26.0</v>
      </c>
      <c r="D2223" s="232">
        <v>106.64</v>
      </c>
      <c r="E2223" s="232">
        <v>4.1015</v>
      </c>
      <c r="F2223" t="s">
        <v>7702</v>
      </c>
      <c r="G2223" t="s">
        <v>330</v>
      </c>
      <c r="H2223" t="s">
        <v>7725</v>
      </c>
      <c r="I2223" t="s">
        <v>7813</v>
      </c>
    </row>
    <row r="2224">
      <c r="A2224" t="s">
        <v>5168</v>
      </c>
      <c r="B2224" s="232" t="s">
        <v>5167</v>
      </c>
      <c r="C2224" s="232">
        <v>0.0</v>
      </c>
      <c r="D2224" s="232">
        <v>0.0</v>
      </c>
      <c r="F2224" t="s">
        <v>7702</v>
      </c>
      <c r="G2224" t="s">
        <v>330</v>
      </c>
      <c r="H2224" t="s">
        <v>7725</v>
      </c>
      <c r="I2224" t="s">
        <v>7813</v>
      </c>
    </row>
    <row r="2225">
      <c r="A2225" t="s">
        <v>5170</v>
      </c>
      <c r="B2225" s="232" t="s">
        <v>5169</v>
      </c>
      <c r="C2225" s="232">
        <v>40.0</v>
      </c>
      <c r="D2225" s="232">
        <v>144.8</v>
      </c>
      <c r="E2225" s="232">
        <v>3.62</v>
      </c>
      <c r="F2225" t="s">
        <v>7702</v>
      </c>
      <c r="G2225" t="s">
        <v>330</v>
      </c>
      <c r="H2225" t="s">
        <v>7725</v>
      </c>
      <c r="I2225" t="s">
        <v>7813</v>
      </c>
    </row>
    <row r="2226">
      <c r="A2226" t="s">
        <v>5172</v>
      </c>
      <c r="B2226" s="232" t="s">
        <v>5171</v>
      </c>
      <c r="C2226" s="232">
        <v>0.0</v>
      </c>
      <c r="D2226" s="232">
        <v>0.0</v>
      </c>
      <c r="F2226" t="s">
        <v>7702</v>
      </c>
      <c r="G2226" t="s">
        <v>330</v>
      </c>
      <c r="H2226" t="s">
        <v>7725</v>
      </c>
      <c r="I2226" t="s">
        <v>7813</v>
      </c>
    </row>
    <row r="2227">
      <c r="A2227" t="s">
        <v>5174</v>
      </c>
      <c r="B2227" s="232" t="s">
        <v>5173</v>
      </c>
      <c r="C2227" s="232">
        <v>15.0</v>
      </c>
      <c r="D2227" s="232">
        <v>42.9</v>
      </c>
      <c r="E2227" s="232">
        <v>2.86</v>
      </c>
      <c r="F2227" t="s">
        <v>7702</v>
      </c>
      <c r="G2227" t="s">
        <v>330</v>
      </c>
      <c r="H2227" t="s">
        <v>7725</v>
      </c>
      <c r="I2227" t="s">
        <v>7813</v>
      </c>
    </row>
    <row r="2228">
      <c r="A2228" t="s">
        <v>5176</v>
      </c>
      <c r="B2228" s="232" t="s">
        <v>5175</v>
      </c>
      <c r="C2228" s="232">
        <v>6.0</v>
      </c>
      <c r="D2228" s="232">
        <v>17.16</v>
      </c>
      <c r="E2228" s="232">
        <v>2.86</v>
      </c>
      <c r="F2228" t="s">
        <v>7702</v>
      </c>
      <c r="G2228" t="s">
        <v>330</v>
      </c>
      <c r="H2228" t="s">
        <v>7725</v>
      </c>
      <c r="I2228" t="s">
        <v>7813</v>
      </c>
    </row>
    <row r="2229">
      <c r="A2229" t="s">
        <v>5178</v>
      </c>
      <c r="B2229" s="232" t="s">
        <v>5177</v>
      </c>
      <c r="C2229" s="232">
        <v>1.0</v>
      </c>
      <c r="D2229" s="232">
        <v>17.11</v>
      </c>
      <c r="E2229" s="232">
        <v>17.11</v>
      </c>
      <c r="F2229" t="s">
        <v>7702</v>
      </c>
      <c r="G2229" t="s">
        <v>330</v>
      </c>
      <c r="H2229" t="s">
        <v>7725</v>
      </c>
      <c r="I2229" t="s">
        <v>7813</v>
      </c>
    </row>
    <row r="2230">
      <c r="A2230" t="s">
        <v>5180</v>
      </c>
      <c r="B2230" s="232" t="s">
        <v>5179</v>
      </c>
      <c r="C2230" s="232">
        <v>1.0</v>
      </c>
      <c r="D2230" s="232">
        <v>2.86</v>
      </c>
      <c r="E2230" s="232">
        <v>2.86</v>
      </c>
      <c r="F2230" t="s">
        <v>7702</v>
      </c>
      <c r="G2230" t="s">
        <v>330</v>
      </c>
      <c r="H2230" t="s">
        <v>7725</v>
      </c>
      <c r="I2230" t="s">
        <v>7813</v>
      </c>
    </row>
    <row r="2231">
      <c r="A2231" t="s">
        <v>5182</v>
      </c>
      <c r="B2231" s="232" t="s">
        <v>5181</v>
      </c>
      <c r="C2231" s="232">
        <v>33.0</v>
      </c>
      <c r="D2231" s="232">
        <v>94.38</v>
      </c>
      <c r="E2231" s="232">
        <v>2.86</v>
      </c>
      <c r="F2231" t="s">
        <v>7702</v>
      </c>
      <c r="G2231" t="s">
        <v>330</v>
      </c>
      <c r="H2231" t="s">
        <v>7725</v>
      </c>
      <c r="I2231" t="s">
        <v>7813</v>
      </c>
    </row>
    <row r="2232">
      <c r="A2232" t="s">
        <v>5184</v>
      </c>
      <c r="B2232" s="232" t="s">
        <v>5183</v>
      </c>
      <c r="C2232" s="232">
        <v>1.0</v>
      </c>
      <c r="D2232" s="232">
        <v>2.86</v>
      </c>
      <c r="E2232" s="232">
        <v>2.86</v>
      </c>
      <c r="F2232" t="s">
        <v>7702</v>
      </c>
      <c r="G2232" t="s">
        <v>330</v>
      </c>
      <c r="H2232" t="s">
        <v>7725</v>
      </c>
      <c r="I2232" t="s">
        <v>7813</v>
      </c>
    </row>
    <row r="2233">
      <c r="A2233" t="s">
        <v>5186</v>
      </c>
      <c r="B2233" s="232" t="s">
        <v>5185</v>
      </c>
      <c r="C2233" s="232">
        <v>11.0</v>
      </c>
      <c r="D2233" s="232">
        <v>31.46</v>
      </c>
      <c r="E2233" s="232">
        <v>2.86</v>
      </c>
      <c r="F2233" t="s">
        <v>7702</v>
      </c>
      <c r="G2233" t="s">
        <v>330</v>
      </c>
      <c r="H2233" t="s">
        <v>7725</v>
      </c>
      <c r="I2233" t="s">
        <v>7813</v>
      </c>
    </row>
    <row r="2234">
      <c r="A2234" t="s">
        <v>5188</v>
      </c>
      <c r="B2234" s="232" t="s">
        <v>5187</v>
      </c>
      <c r="C2234" s="232">
        <v>26431.0</v>
      </c>
      <c r="D2234" s="232">
        <v>6585.98</v>
      </c>
      <c r="E2234" s="232">
        <v>0.2492</v>
      </c>
      <c r="F2234" t="s">
        <v>7732</v>
      </c>
      <c r="G2234" t="s">
        <v>330</v>
      </c>
      <c r="H2234" t="s">
        <v>7747</v>
      </c>
    </row>
    <row r="2235">
      <c r="A2235" t="s">
        <v>5189</v>
      </c>
      <c r="B2235" s="232" t="s">
        <v>5189</v>
      </c>
      <c r="C2235" s="232">
        <v>51.0</v>
      </c>
      <c r="D2235" s="232">
        <v>740.0</v>
      </c>
      <c r="E2235" s="232">
        <v>14.5098</v>
      </c>
      <c r="F2235" t="s">
        <v>7702</v>
      </c>
      <c r="G2235" t="s">
        <v>330</v>
      </c>
      <c r="H2235" t="s">
        <v>7733</v>
      </c>
    </row>
    <row r="2236">
      <c r="A2236" t="s">
        <v>5191</v>
      </c>
      <c r="B2236" s="232" t="s">
        <v>5190</v>
      </c>
      <c r="C2236" s="232">
        <v>4.0</v>
      </c>
      <c r="D2236" s="232">
        <v>307.42</v>
      </c>
      <c r="E2236" s="232">
        <v>76.855</v>
      </c>
      <c r="F2236" t="s">
        <v>7732</v>
      </c>
      <c r="G2236" t="s">
        <v>330</v>
      </c>
      <c r="H2236" t="s">
        <v>7734</v>
      </c>
    </row>
    <row r="2237">
      <c r="A2237" t="s">
        <v>5193</v>
      </c>
      <c r="B2237" s="232" t="s">
        <v>5192</v>
      </c>
      <c r="C2237" s="232">
        <v>4.0</v>
      </c>
      <c r="D2237" s="232">
        <v>307.42</v>
      </c>
      <c r="E2237" s="232">
        <v>76.855</v>
      </c>
      <c r="F2237" t="s">
        <v>7732</v>
      </c>
      <c r="G2237" t="s">
        <v>330</v>
      </c>
      <c r="H2237" t="s">
        <v>7734</v>
      </c>
    </row>
    <row r="2238">
      <c r="A2238" t="s">
        <v>5194</v>
      </c>
      <c r="B2238" s="232">
        <v>61285.0</v>
      </c>
      <c r="C2238" s="232">
        <v>0.0</v>
      </c>
      <c r="D2238" s="232">
        <v>0.0</v>
      </c>
      <c r="F2238" t="s">
        <v>7702</v>
      </c>
      <c r="G2238" t="s">
        <v>310</v>
      </c>
      <c r="H2238" t="s">
        <v>7703</v>
      </c>
      <c r="I2238" t="s">
        <v>7786</v>
      </c>
    </row>
    <row r="2239">
      <c r="A2239" t="s">
        <v>5195</v>
      </c>
      <c r="B2239" s="232">
        <v>61286.0</v>
      </c>
      <c r="C2239" s="232">
        <v>0.0</v>
      </c>
      <c r="D2239" s="232">
        <v>0.0</v>
      </c>
      <c r="F2239" t="s">
        <v>7702</v>
      </c>
      <c r="G2239" t="s">
        <v>310</v>
      </c>
      <c r="H2239" t="s">
        <v>7703</v>
      </c>
      <c r="I2239" t="s">
        <v>7786</v>
      </c>
    </row>
    <row r="2240">
      <c r="A2240" t="s">
        <v>5197</v>
      </c>
      <c r="B2240" s="232" t="s">
        <v>5196</v>
      </c>
      <c r="C2240" s="232">
        <v>180.0</v>
      </c>
      <c r="D2240" s="232">
        <v>99.06</v>
      </c>
      <c r="E2240" s="232">
        <v>0.5503</v>
      </c>
      <c r="F2240" t="s">
        <v>7702</v>
      </c>
      <c r="G2240" t="s">
        <v>330</v>
      </c>
      <c r="H2240" t="s">
        <v>7725</v>
      </c>
      <c r="I2240" t="s">
        <v>7727</v>
      </c>
    </row>
    <row r="2241">
      <c r="A2241" t="s">
        <v>5199</v>
      </c>
      <c r="B2241" s="232" t="s">
        <v>5198</v>
      </c>
      <c r="C2241" s="232">
        <v>388.0</v>
      </c>
      <c r="D2241" s="232">
        <v>1038.86</v>
      </c>
      <c r="E2241" s="232">
        <v>2.6775</v>
      </c>
      <c r="F2241" t="s">
        <v>7702</v>
      </c>
      <c r="G2241" t="s">
        <v>330</v>
      </c>
      <c r="H2241" t="s">
        <v>150</v>
      </c>
      <c r="I2241" t="s">
        <v>7780</v>
      </c>
    </row>
    <row r="2242">
      <c r="A2242" t="s">
        <v>5203</v>
      </c>
      <c r="B2242" s="232" t="s">
        <v>5202</v>
      </c>
      <c r="C2242" s="232">
        <v>474.0</v>
      </c>
      <c r="D2242" s="232">
        <v>1269.09</v>
      </c>
      <c r="E2242" s="232">
        <v>2.6774</v>
      </c>
      <c r="F2242" t="s">
        <v>7702</v>
      </c>
      <c r="G2242" t="s">
        <v>330</v>
      </c>
      <c r="H2242" t="s">
        <v>150</v>
      </c>
      <c r="I2242" t="s">
        <v>7780</v>
      </c>
    </row>
    <row r="2243">
      <c r="A2243" t="s">
        <v>5205</v>
      </c>
      <c r="B2243" s="232" t="s">
        <v>5204</v>
      </c>
      <c r="C2243" s="232">
        <v>459.0</v>
      </c>
      <c r="D2243" s="232">
        <v>1228.92</v>
      </c>
      <c r="E2243" s="232">
        <v>2.6774</v>
      </c>
      <c r="F2243" t="s">
        <v>7702</v>
      </c>
      <c r="G2243" t="s">
        <v>330</v>
      </c>
      <c r="H2243" t="s">
        <v>150</v>
      </c>
      <c r="I2243" t="s">
        <v>7780</v>
      </c>
    </row>
    <row r="2244">
      <c r="A2244" t="s">
        <v>5209</v>
      </c>
      <c r="B2244" s="232" t="s">
        <v>5208</v>
      </c>
      <c r="C2244" s="232">
        <v>420.0</v>
      </c>
      <c r="D2244" s="232">
        <v>1124.54</v>
      </c>
      <c r="E2244" s="232">
        <v>2.6775</v>
      </c>
      <c r="F2244" t="s">
        <v>7702</v>
      </c>
      <c r="G2244" t="s">
        <v>330</v>
      </c>
      <c r="H2244" t="s">
        <v>150</v>
      </c>
      <c r="I2244" t="s">
        <v>7780</v>
      </c>
    </row>
    <row r="2245">
      <c r="A2245" t="s">
        <v>5211</v>
      </c>
      <c r="B2245" s="232" t="s">
        <v>5210</v>
      </c>
      <c r="C2245" s="232">
        <v>437.0</v>
      </c>
      <c r="D2245" s="232">
        <v>1170.01</v>
      </c>
      <c r="E2245" s="232">
        <v>2.6774</v>
      </c>
      <c r="F2245" t="s">
        <v>7702</v>
      </c>
      <c r="G2245" t="s">
        <v>330</v>
      </c>
      <c r="H2245" t="s">
        <v>150</v>
      </c>
      <c r="I2245" t="s">
        <v>7780</v>
      </c>
    </row>
    <row r="2246">
      <c r="A2246" t="s">
        <v>5213</v>
      </c>
      <c r="B2246" s="232" t="s">
        <v>5212</v>
      </c>
      <c r="C2246" s="232">
        <v>528.0</v>
      </c>
      <c r="D2246" s="232">
        <v>1413.6</v>
      </c>
      <c r="E2246" s="232">
        <v>2.6773</v>
      </c>
      <c r="F2246" t="s">
        <v>7702</v>
      </c>
      <c r="G2246" t="s">
        <v>330</v>
      </c>
      <c r="H2246" t="s">
        <v>150</v>
      </c>
      <c r="I2246" t="s">
        <v>7780</v>
      </c>
    </row>
    <row r="2247">
      <c r="A2247" t="s">
        <v>5215</v>
      </c>
      <c r="B2247" s="232" t="s">
        <v>5214</v>
      </c>
      <c r="C2247" s="232">
        <v>0.0</v>
      </c>
      <c r="D2247" s="232">
        <v>0.0</v>
      </c>
      <c r="F2247" t="s">
        <v>7702</v>
      </c>
      <c r="G2247" t="s">
        <v>310</v>
      </c>
      <c r="H2247" t="s">
        <v>7703</v>
      </c>
      <c r="I2247" t="s">
        <v>7717</v>
      </c>
    </row>
    <row r="2248">
      <c r="A2248" t="s">
        <v>5217</v>
      </c>
      <c r="B2248" s="232" t="s">
        <v>5216</v>
      </c>
      <c r="C2248" s="232">
        <v>0.0</v>
      </c>
      <c r="D2248" s="232">
        <v>0.0</v>
      </c>
      <c r="F2248" t="s">
        <v>7702</v>
      </c>
      <c r="G2248" t="s">
        <v>310</v>
      </c>
      <c r="H2248" t="s">
        <v>7703</v>
      </c>
      <c r="I2248" t="s">
        <v>7765</v>
      </c>
    </row>
    <row r="2249">
      <c r="A2249" t="s">
        <v>5219</v>
      </c>
      <c r="B2249" s="232" t="s">
        <v>5218</v>
      </c>
      <c r="C2249" s="232">
        <v>0.0</v>
      </c>
      <c r="D2249" s="232">
        <v>0.0</v>
      </c>
      <c r="F2249" t="s">
        <v>7702</v>
      </c>
      <c r="G2249" t="s">
        <v>310</v>
      </c>
      <c r="H2249" t="s">
        <v>7703</v>
      </c>
      <c r="I2249" t="s">
        <v>7716</v>
      </c>
    </row>
    <row r="2250">
      <c r="A2250" t="s">
        <v>5221</v>
      </c>
      <c r="B2250" s="232" t="s">
        <v>5220</v>
      </c>
      <c r="C2250" s="232">
        <v>0.0</v>
      </c>
      <c r="D2250" s="232">
        <v>0.0</v>
      </c>
      <c r="F2250" t="s">
        <v>7702</v>
      </c>
      <c r="G2250" t="s">
        <v>310</v>
      </c>
      <c r="H2250" t="s">
        <v>7703</v>
      </c>
      <c r="I2250" t="s">
        <v>7718</v>
      </c>
    </row>
    <row r="2251">
      <c r="A2251" t="s">
        <v>5223</v>
      </c>
      <c r="B2251" s="232" t="s">
        <v>5222</v>
      </c>
      <c r="C2251" s="232">
        <v>2.0</v>
      </c>
      <c r="D2251" s="232">
        <v>0.01</v>
      </c>
      <c r="E2251" s="232">
        <v>0.005</v>
      </c>
      <c r="F2251" t="s">
        <v>7702</v>
      </c>
      <c r="G2251" t="s">
        <v>330</v>
      </c>
      <c r="H2251" t="s">
        <v>7725</v>
      </c>
    </row>
    <row r="2252">
      <c r="A2252" t="s">
        <v>5225</v>
      </c>
      <c r="B2252" s="232" t="s">
        <v>5224</v>
      </c>
      <c r="C2252" s="232">
        <v>68.0</v>
      </c>
      <c r="D2252" s="232">
        <v>211.93</v>
      </c>
      <c r="E2252" s="232">
        <v>3.1166</v>
      </c>
      <c r="F2252" t="s">
        <v>7702</v>
      </c>
      <c r="G2252" t="s">
        <v>330</v>
      </c>
      <c r="H2252" t="s">
        <v>45</v>
      </c>
      <c r="I2252" t="s">
        <v>7822</v>
      </c>
    </row>
    <row r="2253">
      <c r="A2253" t="s">
        <v>5227</v>
      </c>
      <c r="B2253" s="232" t="s">
        <v>5226</v>
      </c>
      <c r="C2253" s="232">
        <v>57.0</v>
      </c>
      <c r="D2253" s="232">
        <v>0.01</v>
      </c>
      <c r="E2253" s="232">
        <v>2.0E-4</v>
      </c>
      <c r="F2253" t="s">
        <v>7702</v>
      </c>
      <c r="G2253" t="s">
        <v>330</v>
      </c>
      <c r="H2253" t="s">
        <v>45</v>
      </c>
      <c r="I2253" t="s">
        <v>7822</v>
      </c>
    </row>
    <row r="2254">
      <c r="A2254" t="s">
        <v>5229</v>
      </c>
      <c r="B2254" s="232" t="s">
        <v>5228</v>
      </c>
      <c r="C2254" s="232">
        <v>0.0</v>
      </c>
      <c r="D2254" s="232">
        <v>0.0</v>
      </c>
      <c r="F2254" t="s">
        <v>7702</v>
      </c>
      <c r="G2254" t="s">
        <v>310</v>
      </c>
      <c r="H2254" t="s">
        <v>7703</v>
      </c>
      <c r="I2254" t="s">
        <v>7822</v>
      </c>
    </row>
    <row r="2255">
      <c r="A2255" t="s">
        <v>5231</v>
      </c>
      <c r="B2255" s="232" t="s">
        <v>5230</v>
      </c>
      <c r="C2255" s="232">
        <v>0.0</v>
      </c>
      <c r="D2255" s="232">
        <v>0.0</v>
      </c>
      <c r="F2255" t="s">
        <v>7702</v>
      </c>
      <c r="G2255" t="s">
        <v>310</v>
      </c>
      <c r="H2255" t="s">
        <v>7703</v>
      </c>
      <c r="I2255" t="s">
        <v>7822</v>
      </c>
    </row>
    <row r="2256">
      <c r="A2256" t="s">
        <v>5233</v>
      </c>
      <c r="B2256" s="232" t="s">
        <v>5232</v>
      </c>
      <c r="C2256" s="232">
        <v>0.0</v>
      </c>
      <c r="D2256" s="232">
        <v>0.0</v>
      </c>
      <c r="F2256" t="s">
        <v>7702</v>
      </c>
      <c r="G2256" t="s">
        <v>310</v>
      </c>
      <c r="H2256" t="s">
        <v>7703</v>
      </c>
      <c r="I2256" t="s">
        <v>7822</v>
      </c>
    </row>
    <row r="2257">
      <c r="A2257" t="s">
        <v>5235</v>
      </c>
      <c r="B2257" s="232" t="s">
        <v>5234</v>
      </c>
      <c r="C2257" s="232">
        <v>38.0</v>
      </c>
      <c r="D2257" s="232">
        <v>38.2</v>
      </c>
      <c r="E2257" s="232">
        <v>1.0053</v>
      </c>
      <c r="F2257" t="s">
        <v>7702</v>
      </c>
      <c r="G2257" t="s">
        <v>330</v>
      </c>
      <c r="H2257" t="s">
        <v>7709</v>
      </c>
      <c r="I2257" t="s">
        <v>7799</v>
      </c>
    </row>
    <row r="2258">
      <c r="A2258" t="s">
        <v>5237</v>
      </c>
      <c r="B2258" s="232" t="s">
        <v>5236</v>
      </c>
      <c r="C2258" s="232">
        <v>91.0</v>
      </c>
      <c r="D2258" s="232">
        <v>91.49</v>
      </c>
      <c r="E2258" s="232">
        <v>1.0054</v>
      </c>
      <c r="F2258" t="s">
        <v>7702</v>
      </c>
      <c r="G2258" t="s">
        <v>330</v>
      </c>
      <c r="H2258" t="s">
        <v>7709</v>
      </c>
      <c r="I2258" t="s">
        <v>7799</v>
      </c>
    </row>
    <row r="2259">
      <c r="A2259" t="s">
        <v>5239</v>
      </c>
      <c r="B2259" s="232" t="s">
        <v>5238</v>
      </c>
      <c r="C2259" s="232">
        <v>61.0</v>
      </c>
      <c r="D2259" s="232">
        <v>61.32</v>
      </c>
      <c r="E2259" s="232">
        <v>1.0052</v>
      </c>
      <c r="F2259" t="s">
        <v>7702</v>
      </c>
      <c r="G2259" t="s">
        <v>330</v>
      </c>
      <c r="H2259" t="s">
        <v>7709</v>
      </c>
      <c r="I2259" t="s">
        <v>7799</v>
      </c>
    </row>
    <row r="2260">
      <c r="A2260" t="s">
        <v>5241</v>
      </c>
      <c r="B2260" s="232" t="s">
        <v>5240</v>
      </c>
      <c r="C2260" s="232">
        <v>76.0</v>
      </c>
      <c r="D2260" s="232">
        <v>76.42</v>
      </c>
      <c r="E2260" s="232">
        <v>1.0055</v>
      </c>
      <c r="F2260" t="s">
        <v>7702</v>
      </c>
      <c r="G2260" t="s">
        <v>330</v>
      </c>
      <c r="H2260" t="s">
        <v>7709</v>
      </c>
      <c r="I2260" t="s">
        <v>7799</v>
      </c>
    </row>
    <row r="2261">
      <c r="A2261" t="s">
        <v>5243</v>
      </c>
      <c r="B2261" s="232" t="s">
        <v>5242</v>
      </c>
      <c r="C2261" s="232">
        <v>72.0</v>
      </c>
      <c r="D2261" s="232">
        <v>72.36</v>
      </c>
      <c r="E2261" s="232">
        <v>1.005</v>
      </c>
      <c r="F2261" t="s">
        <v>7702</v>
      </c>
      <c r="G2261" t="s">
        <v>330</v>
      </c>
      <c r="H2261" t="s">
        <v>7709</v>
      </c>
      <c r="I2261" t="s">
        <v>7799</v>
      </c>
    </row>
    <row r="2262">
      <c r="A2262" t="s">
        <v>5245</v>
      </c>
      <c r="B2262" s="232" t="s">
        <v>5244</v>
      </c>
      <c r="C2262" s="232">
        <v>103.0</v>
      </c>
      <c r="D2262" s="232">
        <v>103.55</v>
      </c>
      <c r="E2262" s="232">
        <v>1.0053</v>
      </c>
      <c r="F2262" t="s">
        <v>7702</v>
      </c>
      <c r="G2262" t="s">
        <v>330</v>
      </c>
      <c r="H2262" t="s">
        <v>7709</v>
      </c>
      <c r="I2262" t="s">
        <v>7799</v>
      </c>
    </row>
    <row r="2263">
      <c r="A2263" t="s">
        <v>5247</v>
      </c>
      <c r="B2263" s="232" t="s">
        <v>5246</v>
      </c>
      <c r="C2263" s="232">
        <v>0.0</v>
      </c>
      <c r="D2263" s="232">
        <v>0.0</v>
      </c>
      <c r="F2263" t="s">
        <v>7702</v>
      </c>
      <c r="G2263" t="s">
        <v>330</v>
      </c>
      <c r="H2263" t="s">
        <v>150</v>
      </c>
      <c r="I2263" t="s">
        <v>7823</v>
      </c>
    </row>
    <row r="2264">
      <c r="A2264" t="s">
        <v>5249</v>
      </c>
      <c r="B2264" s="232" t="s">
        <v>5248</v>
      </c>
      <c r="C2264" s="232">
        <v>0.0</v>
      </c>
      <c r="D2264" s="232">
        <v>0.0</v>
      </c>
      <c r="F2264" t="s">
        <v>7702</v>
      </c>
      <c r="G2264" t="s">
        <v>310</v>
      </c>
      <c r="H2264" t="s">
        <v>45</v>
      </c>
    </row>
    <row r="2265">
      <c r="A2265" t="s">
        <v>5251</v>
      </c>
      <c r="B2265" s="232" t="s">
        <v>5250</v>
      </c>
      <c r="C2265" s="232">
        <v>0.0</v>
      </c>
      <c r="D2265" s="232">
        <v>0.0</v>
      </c>
      <c r="F2265" t="s">
        <v>7702</v>
      </c>
      <c r="G2265" t="s">
        <v>310</v>
      </c>
      <c r="H2265" t="s">
        <v>45</v>
      </c>
    </row>
    <row r="2266">
      <c r="A2266" t="s">
        <v>5253</v>
      </c>
      <c r="B2266" s="232" t="s">
        <v>5252</v>
      </c>
      <c r="C2266" s="232">
        <v>0.0</v>
      </c>
      <c r="D2266" s="232">
        <v>0.0</v>
      </c>
      <c r="F2266" t="s">
        <v>7702</v>
      </c>
      <c r="G2266" t="s">
        <v>310</v>
      </c>
      <c r="H2266" t="s">
        <v>45</v>
      </c>
    </row>
    <row r="2267">
      <c r="A2267" t="s">
        <v>5255</v>
      </c>
      <c r="B2267" s="232" t="s">
        <v>5254</v>
      </c>
      <c r="C2267" s="232">
        <v>24.0</v>
      </c>
      <c r="D2267" s="232">
        <v>673.17</v>
      </c>
      <c r="E2267" s="232">
        <v>28.0488</v>
      </c>
      <c r="F2267" t="s">
        <v>7702</v>
      </c>
      <c r="G2267" t="s">
        <v>330</v>
      </c>
      <c r="H2267" t="s">
        <v>7709</v>
      </c>
      <c r="I2267" t="s">
        <v>7799</v>
      </c>
    </row>
    <row r="2268">
      <c r="A2268" t="s">
        <v>5257</v>
      </c>
      <c r="B2268" s="232" t="s">
        <v>5256</v>
      </c>
      <c r="C2268" s="232">
        <v>0.0</v>
      </c>
      <c r="D2268" s="232">
        <v>0.0</v>
      </c>
      <c r="F2268" t="s">
        <v>7702</v>
      </c>
      <c r="G2268" t="s">
        <v>310</v>
      </c>
      <c r="H2268" t="s">
        <v>7703</v>
      </c>
      <c r="I2268" t="s">
        <v>7799</v>
      </c>
    </row>
    <row r="2269">
      <c r="A2269" t="s">
        <v>5259</v>
      </c>
      <c r="B2269" s="232" t="s">
        <v>5258</v>
      </c>
      <c r="C2269" s="232">
        <v>282.0</v>
      </c>
      <c r="D2269" s="232">
        <v>155.1</v>
      </c>
      <c r="E2269" s="232">
        <v>0.55</v>
      </c>
      <c r="F2269" t="s">
        <v>7702</v>
      </c>
      <c r="G2269" t="s">
        <v>330</v>
      </c>
      <c r="H2269" t="s">
        <v>7725</v>
      </c>
      <c r="I2269" t="s">
        <v>7727</v>
      </c>
    </row>
    <row r="2270">
      <c r="A2270" t="s">
        <v>5261</v>
      </c>
      <c r="B2270" s="232" t="s">
        <v>5260</v>
      </c>
      <c r="C2270" s="232">
        <v>426.0</v>
      </c>
      <c r="D2270" s="232">
        <v>213.0</v>
      </c>
      <c r="E2270" s="232">
        <v>0.5</v>
      </c>
      <c r="F2270" t="s">
        <v>7702</v>
      </c>
      <c r="G2270" t="s">
        <v>330</v>
      </c>
      <c r="H2270" t="s">
        <v>7725</v>
      </c>
      <c r="I2270" t="s">
        <v>7745</v>
      </c>
    </row>
    <row r="2271">
      <c r="A2271" t="s">
        <v>5265</v>
      </c>
      <c r="B2271" s="232" t="s">
        <v>5264</v>
      </c>
      <c r="C2271" s="232">
        <v>0.0</v>
      </c>
      <c r="D2271" s="232">
        <v>0.0</v>
      </c>
      <c r="F2271" t="s">
        <v>7702</v>
      </c>
      <c r="G2271" t="s">
        <v>310</v>
      </c>
      <c r="H2271" t="s">
        <v>7703</v>
      </c>
      <c r="I2271" t="s">
        <v>7714</v>
      </c>
    </row>
    <row r="2272">
      <c r="A2272" t="s">
        <v>5267</v>
      </c>
      <c r="B2272" s="232" t="s">
        <v>5266</v>
      </c>
      <c r="C2272" s="232">
        <v>0.0</v>
      </c>
      <c r="D2272" s="232">
        <v>0.0</v>
      </c>
      <c r="F2272" t="s">
        <v>7702</v>
      </c>
      <c r="G2272" t="s">
        <v>310</v>
      </c>
      <c r="H2272" t="s">
        <v>7703</v>
      </c>
      <c r="I2272" t="s">
        <v>7716</v>
      </c>
    </row>
    <row r="2273">
      <c r="A2273" t="s">
        <v>5269</v>
      </c>
      <c r="B2273" s="232" t="s">
        <v>5268</v>
      </c>
      <c r="C2273" s="232">
        <v>0.0</v>
      </c>
      <c r="D2273" s="232">
        <v>0.0</v>
      </c>
      <c r="F2273" t="s">
        <v>7702</v>
      </c>
      <c r="G2273" t="s">
        <v>330</v>
      </c>
      <c r="H2273" t="s">
        <v>7733</v>
      </c>
    </row>
    <row r="2274">
      <c r="A2274" t="s">
        <v>5271</v>
      </c>
      <c r="B2274" s="232" t="s">
        <v>5270</v>
      </c>
      <c r="C2274" s="232">
        <v>510.0</v>
      </c>
      <c r="D2274" s="232">
        <v>255.0</v>
      </c>
      <c r="E2274" s="232">
        <v>0.5</v>
      </c>
      <c r="F2274" t="s">
        <v>7702</v>
      </c>
      <c r="G2274" t="s">
        <v>330</v>
      </c>
      <c r="H2274" t="s">
        <v>7725</v>
      </c>
      <c r="I2274" t="s">
        <v>7745</v>
      </c>
    </row>
    <row r="2275">
      <c r="A2275" t="s">
        <v>5273</v>
      </c>
      <c r="B2275" s="232" t="s">
        <v>5272</v>
      </c>
      <c r="C2275" s="232">
        <v>186.0</v>
      </c>
      <c r="D2275" s="232">
        <v>89.28</v>
      </c>
      <c r="E2275" s="232">
        <v>0.48</v>
      </c>
      <c r="F2275" t="s">
        <v>7702</v>
      </c>
      <c r="G2275" t="s">
        <v>330</v>
      </c>
      <c r="H2275" t="s">
        <v>7725</v>
      </c>
      <c r="I2275" t="s">
        <v>7739</v>
      </c>
    </row>
    <row r="2276">
      <c r="A2276" t="s">
        <v>5275</v>
      </c>
      <c r="B2276" s="232" t="s">
        <v>5274</v>
      </c>
      <c r="C2276" s="232">
        <v>0.0</v>
      </c>
      <c r="D2276" s="232">
        <v>0.0</v>
      </c>
      <c r="F2276" t="s">
        <v>7702</v>
      </c>
      <c r="G2276" t="s">
        <v>310</v>
      </c>
      <c r="H2276" t="s">
        <v>7703</v>
      </c>
      <c r="I2276" t="s">
        <v>166</v>
      </c>
    </row>
    <row r="2277">
      <c r="A2277" t="s">
        <v>5277</v>
      </c>
      <c r="B2277" s="232" t="s">
        <v>5276</v>
      </c>
      <c r="C2277" s="232">
        <v>411.0</v>
      </c>
      <c r="D2277" s="232">
        <v>1025.17</v>
      </c>
      <c r="E2277" s="232">
        <v>2.4943</v>
      </c>
      <c r="F2277" t="s">
        <v>7702</v>
      </c>
      <c r="G2277" t="s">
        <v>330</v>
      </c>
      <c r="H2277" t="s">
        <v>150</v>
      </c>
      <c r="I2277" t="s">
        <v>7759</v>
      </c>
    </row>
    <row r="2278">
      <c r="A2278" t="s">
        <v>5279</v>
      </c>
      <c r="B2278" s="232" t="s">
        <v>5278</v>
      </c>
      <c r="C2278" s="232">
        <v>381.0</v>
      </c>
      <c r="D2278" s="232">
        <v>950.37</v>
      </c>
      <c r="E2278" s="232">
        <v>2.4944</v>
      </c>
      <c r="F2278" t="s">
        <v>7702</v>
      </c>
      <c r="G2278" t="s">
        <v>330</v>
      </c>
      <c r="H2278" t="s">
        <v>150</v>
      </c>
      <c r="I2278" t="s">
        <v>7759</v>
      </c>
    </row>
    <row r="2279">
      <c r="A2279" t="s">
        <v>5281</v>
      </c>
      <c r="B2279" s="232" t="s">
        <v>5280</v>
      </c>
      <c r="C2279" s="232">
        <v>347.0</v>
      </c>
      <c r="D2279" s="232">
        <v>865.6</v>
      </c>
      <c r="E2279" s="232">
        <v>2.4945</v>
      </c>
      <c r="F2279" t="s">
        <v>7702</v>
      </c>
      <c r="G2279" t="s">
        <v>330</v>
      </c>
      <c r="H2279" t="s">
        <v>150</v>
      </c>
      <c r="I2279" t="s">
        <v>7759</v>
      </c>
    </row>
    <row r="2280">
      <c r="A2280" t="s">
        <v>5283</v>
      </c>
      <c r="B2280" s="232" t="s">
        <v>5282</v>
      </c>
      <c r="C2280" s="232">
        <v>302.0</v>
      </c>
      <c r="D2280" s="232">
        <v>753.39</v>
      </c>
      <c r="E2280" s="232">
        <v>2.4947</v>
      </c>
      <c r="F2280" t="s">
        <v>7702</v>
      </c>
      <c r="G2280" t="s">
        <v>330</v>
      </c>
      <c r="H2280" t="s">
        <v>150</v>
      </c>
      <c r="I2280" t="s">
        <v>7759</v>
      </c>
    </row>
    <row r="2281">
      <c r="A2281" t="s">
        <v>5285</v>
      </c>
      <c r="B2281" s="232" t="s">
        <v>5284</v>
      </c>
      <c r="C2281" s="232">
        <v>230.0</v>
      </c>
      <c r="D2281" s="232">
        <v>573.87</v>
      </c>
      <c r="E2281" s="232">
        <v>2.4951</v>
      </c>
      <c r="F2281" t="s">
        <v>7702</v>
      </c>
      <c r="G2281" t="s">
        <v>330</v>
      </c>
      <c r="H2281" t="s">
        <v>150</v>
      </c>
      <c r="I2281" t="s">
        <v>7759</v>
      </c>
    </row>
    <row r="2282">
      <c r="A2282" t="s">
        <v>5287</v>
      </c>
      <c r="B2282" s="232" t="s">
        <v>5286</v>
      </c>
      <c r="C2282" s="232">
        <v>276.0</v>
      </c>
      <c r="D2282" s="232">
        <v>688.59</v>
      </c>
      <c r="E2282" s="232">
        <v>2.4949</v>
      </c>
      <c r="F2282" t="s">
        <v>7702</v>
      </c>
      <c r="G2282" t="s">
        <v>330</v>
      </c>
      <c r="H2282" t="s">
        <v>150</v>
      </c>
      <c r="I2282" t="s">
        <v>7759</v>
      </c>
    </row>
    <row r="2283">
      <c r="A2283" t="s">
        <v>5289</v>
      </c>
      <c r="B2283" s="232" t="s">
        <v>5288</v>
      </c>
      <c r="C2283" s="232">
        <v>405.0</v>
      </c>
      <c r="D2283" s="232">
        <v>1010.15</v>
      </c>
      <c r="E2283" s="232">
        <v>2.4942</v>
      </c>
      <c r="F2283" t="s">
        <v>7702</v>
      </c>
      <c r="G2283" t="s">
        <v>330</v>
      </c>
      <c r="H2283" t="s">
        <v>150</v>
      </c>
      <c r="I2283" t="s">
        <v>7759</v>
      </c>
    </row>
    <row r="2284">
      <c r="A2284" t="s">
        <v>5291</v>
      </c>
      <c r="B2284" s="232" t="s">
        <v>5290</v>
      </c>
      <c r="C2284" s="232">
        <v>426.0</v>
      </c>
      <c r="D2284" s="232">
        <v>1062.57</v>
      </c>
      <c r="E2284" s="232">
        <v>2.4943</v>
      </c>
      <c r="F2284" t="s">
        <v>7702</v>
      </c>
      <c r="G2284" t="s">
        <v>330</v>
      </c>
      <c r="H2284" t="s">
        <v>150</v>
      </c>
      <c r="I2284" t="s">
        <v>7759</v>
      </c>
    </row>
    <row r="2285">
      <c r="A2285" t="s">
        <v>5293</v>
      </c>
      <c r="B2285" s="232" t="s">
        <v>5292</v>
      </c>
      <c r="C2285" s="232">
        <v>423.0</v>
      </c>
      <c r="D2285" s="232">
        <v>1055.09</v>
      </c>
      <c r="E2285" s="232">
        <v>2.4943</v>
      </c>
      <c r="F2285" t="s">
        <v>7702</v>
      </c>
      <c r="G2285" t="s">
        <v>330</v>
      </c>
      <c r="H2285" t="s">
        <v>150</v>
      </c>
      <c r="I2285" t="s">
        <v>7759</v>
      </c>
    </row>
    <row r="2286">
      <c r="A2286" t="s">
        <v>5295</v>
      </c>
      <c r="B2286" s="232" t="s">
        <v>5294</v>
      </c>
      <c r="C2286" s="232">
        <v>390.0</v>
      </c>
      <c r="D2286" s="232">
        <v>972.81</v>
      </c>
      <c r="E2286" s="232">
        <v>2.4944</v>
      </c>
      <c r="F2286" t="s">
        <v>7702</v>
      </c>
      <c r="G2286" t="s">
        <v>330</v>
      </c>
      <c r="H2286" t="s">
        <v>150</v>
      </c>
      <c r="I2286" t="s">
        <v>7759</v>
      </c>
    </row>
    <row r="2287">
      <c r="A2287" t="s">
        <v>5297</v>
      </c>
      <c r="B2287" s="232" t="s">
        <v>5296</v>
      </c>
      <c r="C2287" s="232">
        <v>327.0</v>
      </c>
      <c r="D2287" s="232">
        <v>815.75</v>
      </c>
      <c r="E2287" s="232">
        <v>2.4946</v>
      </c>
      <c r="F2287" t="s">
        <v>7702</v>
      </c>
      <c r="G2287" t="s">
        <v>330</v>
      </c>
      <c r="H2287" t="s">
        <v>150</v>
      </c>
      <c r="I2287" t="s">
        <v>7759</v>
      </c>
    </row>
    <row r="2288">
      <c r="A2288" t="s">
        <v>5299</v>
      </c>
      <c r="B2288" s="232" t="s">
        <v>5298</v>
      </c>
      <c r="C2288" s="232">
        <v>363.0</v>
      </c>
      <c r="D2288" s="232">
        <v>905.44</v>
      </c>
      <c r="E2288" s="232">
        <v>2.4943</v>
      </c>
      <c r="F2288" t="s">
        <v>7702</v>
      </c>
      <c r="G2288" t="s">
        <v>330</v>
      </c>
      <c r="H2288" t="s">
        <v>150</v>
      </c>
      <c r="I2288" t="s">
        <v>7759</v>
      </c>
    </row>
    <row r="2289">
      <c r="A2289" t="s">
        <v>5301</v>
      </c>
      <c r="B2289" s="232" t="s">
        <v>5300</v>
      </c>
      <c r="C2289" s="232">
        <v>0.0</v>
      </c>
      <c r="D2289" s="232">
        <v>0.0</v>
      </c>
      <c r="F2289" t="s">
        <v>7702</v>
      </c>
      <c r="G2289" t="s">
        <v>330</v>
      </c>
      <c r="H2289" t="s">
        <v>45</v>
      </c>
      <c r="I2289" t="s">
        <v>7759</v>
      </c>
    </row>
    <row r="2290">
      <c r="A2290" t="s">
        <v>5303</v>
      </c>
      <c r="B2290" s="232" t="s">
        <v>5302</v>
      </c>
      <c r="C2290" s="232">
        <v>7.0</v>
      </c>
      <c r="D2290" s="232">
        <v>80.78</v>
      </c>
      <c r="E2290" s="232">
        <v>11.54</v>
      </c>
      <c r="F2290" t="s">
        <v>7702</v>
      </c>
      <c r="G2290" t="s">
        <v>330</v>
      </c>
      <c r="I2290" t="s">
        <v>7714</v>
      </c>
    </row>
    <row r="2291">
      <c r="A2291" t="s">
        <v>5305</v>
      </c>
      <c r="B2291" s="232" t="s">
        <v>5304</v>
      </c>
      <c r="C2291" s="232">
        <v>0.0</v>
      </c>
      <c r="D2291" s="232">
        <v>0.0</v>
      </c>
      <c r="F2291" t="s">
        <v>7702</v>
      </c>
      <c r="G2291" t="s">
        <v>310</v>
      </c>
      <c r="H2291" t="s">
        <v>7703</v>
      </c>
      <c r="I2291" t="s">
        <v>7824</v>
      </c>
    </row>
    <row r="2292">
      <c r="A2292" t="s">
        <v>5307</v>
      </c>
      <c r="B2292" s="232" t="s">
        <v>5306</v>
      </c>
      <c r="C2292" s="232">
        <v>0.0</v>
      </c>
      <c r="D2292" s="232">
        <v>0.0</v>
      </c>
      <c r="F2292" t="s">
        <v>7702</v>
      </c>
      <c r="G2292" t="s">
        <v>310</v>
      </c>
      <c r="H2292" t="s">
        <v>7703</v>
      </c>
      <c r="I2292" t="s">
        <v>7824</v>
      </c>
    </row>
    <row r="2293">
      <c r="A2293" t="s">
        <v>5309</v>
      </c>
      <c r="B2293" s="232" t="s">
        <v>5308</v>
      </c>
      <c r="C2293" s="232">
        <v>0.0</v>
      </c>
      <c r="D2293" s="232">
        <v>0.0</v>
      </c>
      <c r="F2293" t="s">
        <v>7702</v>
      </c>
      <c r="G2293" t="s">
        <v>310</v>
      </c>
      <c r="H2293" t="s">
        <v>7703</v>
      </c>
      <c r="I2293" t="s">
        <v>7824</v>
      </c>
    </row>
    <row r="2294">
      <c r="A2294" t="s">
        <v>5311</v>
      </c>
      <c r="B2294" s="232" t="s">
        <v>5310</v>
      </c>
      <c r="C2294" s="232">
        <v>0.0</v>
      </c>
      <c r="D2294" s="232">
        <v>0.0</v>
      </c>
      <c r="F2294" t="s">
        <v>7702</v>
      </c>
      <c r="G2294" t="s">
        <v>310</v>
      </c>
      <c r="H2294" t="s">
        <v>7703</v>
      </c>
      <c r="I2294" t="s">
        <v>7824</v>
      </c>
    </row>
    <row r="2295">
      <c r="A2295" t="s">
        <v>5313</v>
      </c>
      <c r="B2295" s="232" t="s">
        <v>5312</v>
      </c>
      <c r="C2295" s="232">
        <v>0.0</v>
      </c>
      <c r="D2295" s="232">
        <v>0.0</v>
      </c>
      <c r="F2295" t="s">
        <v>7702</v>
      </c>
      <c r="G2295" t="s">
        <v>310</v>
      </c>
      <c r="H2295" t="s">
        <v>7703</v>
      </c>
      <c r="I2295" t="s">
        <v>7824</v>
      </c>
    </row>
    <row r="2296">
      <c r="A2296" t="s">
        <v>5315</v>
      </c>
      <c r="B2296" s="232" t="s">
        <v>5314</v>
      </c>
      <c r="C2296" s="232">
        <v>0.0</v>
      </c>
      <c r="D2296" s="232">
        <v>0.0</v>
      </c>
      <c r="F2296" t="s">
        <v>7702</v>
      </c>
      <c r="G2296" t="s">
        <v>310</v>
      </c>
      <c r="H2296" t="s">
        <v>7703</v>
      </c>
      <c r="I2296" t="s">
        <v>7824</v>
      </c>
    </row>
    <row r="2297">
      <c r="A2297" t="s">
        <v>5317</v>
      </c>
      <c r="B2297" s="232" t="s">
        <v>5316</v>
      </c>
      <c r="C2297" s="232">
        <v>0.0</v>
      </c>
      <c r="D2297" s="232">
        <v>0.0</v>
      </c>
      <c r="F2297" t="s">
        <v>7702</v>
      </c>
      <c r="G2297" t="s">
        <v>310</v>
      </c>
      <c r="H2297" t="s">
        <v>7703</v>
      </c>
      <c r="I2297" t="s">
        <v>7824</v>
      </c>
    </row>
    <row r="2298">
      <c r="A2298" t="s">
        <v>5319</v>
      </c>
      <c r="B2298" s="232" t="s">
        <v>5318</v>
      </c>
      <c r="C2298" s="232">
        <v>0.0</v>
      </c>
      <c r="D2298" s="232">
        <v>0.0</v>
      </c>
      <c r="F2298" t="s">
        <v>7702</v>
      </c>
      <c r="G2298" t="s">
        <v>310</v>
      </c>
      <c r="H2298" t="s">
        <v>7703</v>
      </c>
      <c r="I2298" t="s">
        <v>7824</v>
      </c>
    </row>
    <row r="2299">
      <c r="A2299" t="s">
        <v>5321</v>
      </c>
      <c r="B2299" s="232" t="s">
        <v>5320</v>
      </c>
      <c r="C2299" s="232">
        <v>0.0</v>
      </c>
      <c r="D2299" s="232">
        <v>0.0</v>
      </c>
      <c r="F2299" t="s">
        <v>7702</v>
      </c>
      <c r="G2299" t="s">
        <v>310</v>
      </c>
      <c r="H2299" t="s">
        <v>7703</v>
      </c>
      <c r="I2299" t="s">
        <v>7824</v>
      </c>
    </row>
    <row r="2300">
      <c r="A2300" t="s">
        <v>5323</v>
      </c>
      <c r="B2300" s="232" t="s">
        <v>5322</v>
      </c>
      <c r="C2300" s="232">
        <v>0.0</v>
      </c>
      <c r="D2300" s="232">
        <v>0.0</v>
      </c>
      <c r="F2300" t="s">
        <v>7702</v>
      </c>
      <c r="G2300" t="s">
        <v>310</v>
      </c>
      <c r="H2300" t="s">
        <v>7703</v>
      </c>
      <c r="I2300" t="s">
        <v>7824</v>
      </c>
    </row>
    <row r="2301">
      <c r="A2301" t="s">
        <v>5327</v>
      </c>
      <c r="B2301" s="232" t="s">
        <v>5326</v>
      </c>
      <c r="C2301" s="232">
        <v>0.0</v>
      </c>
      <c r="D2301" s="232">
        <v>0.0</v>
      </c>
      <c r="F2301" t="s">
        <v>7702</v>
      </c>
      <c r="G2301" t="s">
        <v>310</v>
      </c>
      <c r="H2301" t="s">
        <v>7703</v>
      </c>
      <c r="I2301" t="s">
        <v>7713</v>
      </c>
    </row>
    <row r="2302">
      <c r="A2302" t="s">
        <v>5329</v>
      </c>
      <c r="B2302" s="232" t="s">
        <v>5328</v>
      </c>
      <c r="C2302" s="232">
        <v>0.0</v>
      </c>
      <c r="D2302" s="232">
        <v>0.0</v>
      </c>
      <c r="F2302" t="s">
        <v>7702</v>
      </c>
      <c r="G2302" t="s">
        <v>310</v>
      </c>
      <c r="H2302" t="s">
        <v>7703</v>
      </c>
      <c r="I2302" t="s">
        <v>7713</v>
      </c>
    </row>
    <row r="2303">
      <c r="A2303" t="s">
        <v>5331</v>
      </c>
      <c r="B2303" s="232" t="s">
        <v>5330</v>
      </c>
      <c r="C2303" s="232">
        <v>0.0</v>
      </c>
      <c r="D2303" s="232">
        <v>0.0</v>
      </c>
      <c r="F2303" t="s">
        <v>7702</v>
      </c>
      <c r="G2303" t="s">
        <v>310</v>
      </c>
      <c r="H2303" t="s">
        <v>7703</v>
      </c>
      <c r="I2303" t="s">
        <v>7713</v>
      </c>
    </row>
    <row r="2304">
      <c r="A2304" t="s">
        <v>5335</v>
      </c>
      <c r="B2304" s="232" t="s">
        <v>5334</v>
      </c>
      <c r="C2304" s="232">
        <v>0.0</v>
      </c>
      <c r="D2304" s="232">
        <v>0.0</v>
      </c>
      <c r="F2304" t="s">
        <v>7702</v>
      </c>
      <c r="G2304" t="s">
        <v>310</v>
      </c>
      <c r="H2304" t="s">
        <v>7703</v>
      </c>
      <c r="I2304" t="s">
        <v>7713</v>
      </c>
    </row>
    <row r="2305">
      <c r="A2305" t="s">
        <v>5337</v>
      </c>
      <c r="B2305" s="232" t="s">
        <v>5336</v>
      </c>
      <c r="C2305" s="232">
        <v>0.0</v>
      </c>
      <c r="D2305" s="232">
        <v>0.0</v>
      </c>
      <c r="F2305" t="s">
        <v>7702</v>
      </c>
      <c r="G2305" t="s">
        <v>310</v>
      </c>
      <c r="H2305" t="s">
        <v>7703</v>
      </c>
      <c r="I2305" t="s">
        <v>7816</v>
      </c>
    </row>
    <row r="2306">
      <c r="A2306" t="s">
        <v>5341</v>
      </c>
      <c r="B2306" s="232" t="s">
        <v>5340</v>
      </c>
      <c r="C2306" s="232">
        <v>0.0</v>
      </c>
      <c r="D2306" s="232">
        <v>0.0</v>
      </c>
      <c r="F2306" t="s">
        <v>7702</v>
      </c>
      <c r="G2306" t="s">
        <v>310</v>
      </c>
      <c r="H2306" t="s">
        <v>7703</v>
      </c>
      <c r="I2306" t="s">
        <v>7816</v>
      </c>
    </row>
    <row r="2307">
      <c r="A2307" t="s">
        <v>5343</v>
      </c>
      <c r="B2307" s="232" t="s">
        <v>5342</v>
      </c>
      <c r="C2307" s="232">
        <v>0.0</v>
      </c>
      <c r="D2307" s="232">
        <v>0.0</v>
      </c>
      <c r="F2307" t="s">
        <v>7702</v>
      </c>
      <c r="G2307" t="s">
        <v>310</v>
      </c>
      <c r="H2307" t="s">
        <v>7703</v>
      </c>
      <c r="I2307" t="s">
        <v>7816</v>
      </c>
    </row>
    <row r="2308">
      <c r="A2308" t="s">
        <v>5347</v>
      </c>
      <c r="B2308" s="232" t="s">
        <v>5346</v>
      </c>
      <c r="C2308" s="232">
        <v>0.0</v>
      </c>
      <c r="D2308" s="232">
        <v>0.0</v>
      </c>
      <c r="F2308" t="s">
        <v>7702</v>
      </c>
      <c r="G2308" t="s">
        <v>310</v>
      </c>
      <c r="H2308" t="s">
        <v>7703</v>
      </c>
      <c r="I2308" t="s">
        <v>7816</v>
      </c>
    </row>
    <row r="2309">
      <c r="A2309" t="s">
        <v>5349</v>
      </c>
      <c r="B2309" s="232" t="s">
        <v>5348</v>
      </c>
      <c r="C2309" s="232">
        <v>0.0</v>
      </c>
      <c r="D2309" s="232">
        <v>0.0</v>
      </c>
      <c r="F2309" t="s">
        <v>7702</v>
      </c>
      <c r="G2309" t="s">
        <v>310</v>
      </c>
      <c r="H2309" t="s">
        <v>7703</v>
      </c>
      <c r="I2309" t="s">
        <v>7816</v>
      </c>
    </row>
    <row r="2310">
      <c r="A2310" t="s">
        <v>5351</v>
      </c>
      <c r="B2310" s="232" t="s">
        <v>5350</v>
      </c>
      <c r="C2310" s="232">
        <v>0.0</v>
      </c>
      <c r="D2310" s="232">
        <v>0.0</v>
      </c>
      <c r="F2310" t="s">
        <v>7702</v>
      </c>
      <c r="G2310" t="s">
        <v>310</v>
      </c>
      <c r="H2310" t="s">
        <v>7703</v>
      </c>
      <c r="I2310" t="s">
        <v>7816</v>
      </c>
    </row>
    <row r="2311">
      <c r="A2311" t="s">
        <v>5353</v>
      </c>
      <c r="B2311" s="232" t="s">
        <v>5352</v>
      </c>
      <c r="C2311" s="232">
        <v>0.0</v>
      </c>
      <c r="D2311" s="232">
        <v>0.0</v>
      </c>
      <c r="F2311" t="s">
        <v>7702</v>
      </c>
      <c r="G2311" t="s">
        <v>310</v>
      </c>
      <c r="H2311" t="s">
        <v>7703</v>
      </c>
      <c r="I2311" t="s">
        <v>7714</v>
      </c>
    </row>
    <row r="2312">
      <c r="A2312" t="s">
        <v>5355</v>
      </c>
      <c r="B2312" s="232" t="s">
        <v>5354</v>
      </c>
      <c r="C2312" s="232">
        <v>171.0</v>
      </c>
      <c r="D2312" s="232">
        <v>643.26</v>
      </c>
      <c r="E2312" s="232">
        <v>3.7618</v>
      </c>
      <c r="F2312" t="s">
        <v>7732</v>
      </c>
      <c r="G2312" t="s">
        <v>330</v>
      </c>
      <c r="H2312" t="s">
        <v>7747</v>
      </c>
    </row>
    <row r="2313">
      <c r="A2313" t="s">
        <v>5358</v>
      </c>
      <c r="B2313" s="232" t="s">
        <v>5357</v>
      </c>
      <c r="C2313" s="232">
        <v>171.0</v>
      </c>
      <c r="D2313" s="232">
        <v>643.26</v>
      </c>
      <c r="E2313" s="232">
        <v>3.7618</v>
      </c>
      <c r="F2313" t="s">
        <v>7732</v>
      </c>
      <c r="G2313" t="s">
        <v>330</v>
      </c>
      <c r="H2313" t="s">
        <v>7747</v>
      </c>
    </row>
    <row r="2314">
      <c r="A2314" t="s">
        <v>5360</v>
      </c>
      <c r="B2314" s="232" t="s">
        <v>5359</v>
      </c>
      <c r="C2314" s="232">
        <v>171.0</v>
      </c>
      <c r="D2314" s="232">
        <v>643.26</v>
      </c>
      <c r="E2314" s="232">
        <v>3.7618</v>
      </c>
      <c r="F2314" t="s">
        <v>7732</v>
      </c>
      <c r="G2314" t="s">
        <v>330</v>
      </c>
      <c r="H2314" t="s">
        <v>7747</v>
      </c>
    </row>
    <row r="2315">
      <c r="A2315" t="s">
        <v>5362</v>
      </c>
      <c r="B2315" s="232" t="s">
        <v>5361</v>
      </c>
      <c r="C2315" s="232">
        <v>171.0</v>
      </c>
      <c r="D2315" s="232">
        <v>643.26</v>
      </c>
      <c r="E2315" s="232">
        <v>3.7618</v>
      </c>
      <c r="F2315" t="s">
        <v>7732</v>
      </c>
      <c r="G2315" t="s">
        <v>330</v>
      </c>
      <c r="H2315" t="s">
        <v>7747</v>
      </c>
    </row>
    <row r="2316">
      <c r="A2316" t="s">
        <v>5364</v>
      </c>
      <c r="B2316" s="232" t="s">
        <v>5363</v>
      </c>
      <c r="C2316" s="232">
        <v>171.0</v>
      </c>
      <c r="D2316" s="232">
        <v>643.26</v>
      </c>
      <c r="E2316" s="232">
        <v>3.7618</v>
      </c>
      <c r="F2316" t="s">
        <v>7732</v>
      </c>
      <c r="G2316" t="s">
        <v>330</v>
      </c>
      <c r="H2316" t="s">
        <v>7747</v>
      </c>
    </row>
    <row r="2317">
      <c r="A2317" t="s">
        <v>5370</v>
      </c>
      <c r="B2317" s="232" t="s">
        <v>5369</v>
      </c>
      <c r="C2317" s="232">
        <v>0.0</v>
      </c>
      <c r="D2317" s="232">
        <v>0.0</v>
      </c>
      <c r="F2317" t="s">
        <v>7711</v>
      </c>
      <c r="G2317" t="s">
        <v>310</v>
      </c>
      <c r="H2317" t="s">
        <v>7703</v>
      </c>
    </row>
    <row r="2318">
      <c r="A2318" t="s">
        <v>5372</v>
      </c>
      <c r="B2318" s="232" t="s">
        <v>5371</v>
      </c>
      <c r="C2318" s="232">
        <v>0.0</v>
      </c>
      <c r="D2318" s="232">
        <v>0.0</v>
      </c>
      <c r="F2318" t="s">
        <v>7711</v>
      </c>
      <c r="G2318" t="s">
        <v>310</v>
      </c>
      <c r="H2318" t="s">
        <v>7703</v>
      </c>
    </row>
    <row r="2319">
      <c r="A2319" t="s">
        <v>5374</v>
      </c>
      <c r="B2319" s="232" t="s">
        <v>5373</v>
      </c>
      <c r="C2319" s="232">
        <v>0.0</v>
      </c>
      <c r="D2319" s="232">
        <v>0.0</v>
      </c>
      <c r="F2319" t="s">
        <v>7711</v>
      </c>
      <c r="G2319" t="s">
        <v>310</v>
      </c>
      <c r="H2319" t="s">
        <v>7703</v>
      </c>
    </row>
    <row r="2320">
      <c r="A2320" t="s">
        <v>5376</v>
      </c>
      <c r="B2320" s="232" t="s">
        <v>5375</v>
      </c>
      <c r="C2320" s="232">
        <v>0.0</v>
      </c>
      <c r="D2320" s="232">
        <v>0.0</v>
      </c>
      <c r="F2320" t="s">
        <v>7711</v>
      </c>
      <c r="G2320" t="s">
        <v>310</v>
      </c>
      <c r="H2320" t="s">
        <v>7703</v>
      </c>
    </row>
    <row r="2321">
      <c r="A2321" t="s">
        <v>5378</v>
      </c>
      <c r="B2321" s="232" t="s">
        <v>5377</v>
      </c>
      <c r="C2321" s="232">
        <v>0.0</v>
      </c>
      <c r="D2321" s="232">
        <v>0.0</v>
      </c>
      <c r="F2321" t="s">
        <v>7702</v>
      </c>
      <c r="G2321" t="s">
        <v>310</v>
      </c>
      <c r="H2321" t="s">
        <v>7703</v>
      </c>
      <c r="I2321" t="s">
        <v>7708</v>
      </c>
    </row>
    <row r="2322">
      <c r="A2322" t="s">
        <v>5380</v>
      </c>
      <c r="B2322" s="232" t="s">
        <v>5379</v>
      </c>
      <c r="C2322" s="232">
        <v>0.0</v>
      </c>
      <c r="D2322" s="232">
        <v>0.0</v>
      </c>
      <c r="F2322" t="s">
        <v>7702</v>
      </c>
      <c r="G2322" t="s">
        <v>310</v>
      </c>
      <c r="H2322" t="s">
        <v>7703</v>
      </c>
      <c r="I2322" t="s">
        <v>7708</v>
      </c>
    </row>
    <row r="2323">
      <c r="A2323" t="s">
        <v>5382</v>
      </c>
      <c r="B2323" s="232" t="s">
        <v>5381</v>
      </c>
      <c r="C2323" s="232">
        <v>0.0</v>
      </c>
      <c r="D2323" s="232">
        <v>0.0</v>
      </c>
      <c r="F2323" t="s">
        <v>7702</v>
      </c>
      <c r="G2323" t="s">
        <v>310</v>
      </c>
      <c r="H2323" t="s">
        <v>7703</v>
      </c>
      <c r="I2323" t="s">
        <v>7708</v>
      </c>
    </row>
    <row r="2324">
      <c r="A2324" t="s">
        <v>5384</v>
      </c>
      <c r="B2324" s="232" t="s">
        <v>5383</v>
      </c>
      <c r="C2324" s="232">
        <v>20000.0</v>
      </c>
      <c r="D2324" s="232">
        <v>6267.43</v>
      </c>
      <c r="E2324" s="232">
        <v>0.3134</v>
      </c>
      <c r="F2324" t="s">
        <v>7732</v>
      </c>
      <c r="G2324" t="s">
        <v>330</v>
      </c>
      <c r="H2324" t="s">
        <v>7747</v>
      </c>
    </row>
    <row r="2325">
      <c r="A2325" t="s">
        <v>5386</v>
      </c>
      <c r="B2325" s="232" t="s">
        <v>5385</v>
      </c>
      <c r="C2325" s="232">
        <v>82.0</v>
      </c>
      <c r="D2325" s="232">
        <v>394.15</v>
      </c>
      <c r="E2325" s="232">
        <v>4.8067</v>
      </c>
      <c r="F2325" t="s">
        <v>7702</v>
      </c>
      <c r="G2325" t="s">
        <v>330</v>
      </c>
      <c r="H2325" t="s">
        <v>214</v>
      </c>
      <c r="I2325" t="s">
        <v>7712</v>
      </c>
    </row>
    <row r="2326">
      <c r="A2326" t="s">
        <v>5388</v>
      </c>
      <c r="B2326" s="232" t="s">
        <v>5387</v>
      </c>
      <c r="C2326" s="232">
        <v>196.2</v>
      </c>
      <c r="D2326" s="232">
        <v>1054.37</v>
      </c>
      <c r="E2326" s="232">
        <v>5.374</v>
      </c>
      <c r="F2326" t="s">
        <v>7732</v>
      </c>
      <c r="G2326" t="s">
        <v>330</v>
      </c>
      <c r="H2326" t="s">
        <v>7747</v>
      </c>
    </row>
    <row r="2327">
      <c r="A2327" t="s">
        <v>5390</v>
      </c>
      <c r="B2327" s="232" t="s">
        <v>5389</v>
      </c>
      <c r="C2327" s="232">
        <v>196.2</v>
      </c>
      <c r="D2327" s="232">
        <v>1054.37</v>
      </c>
      <c r="E2327" s="232">
        <v>5.374</v>
      </c>
      <c r="F2327" t="s">
        <v>7732</v>
      </c>
      <c r="G2327" t="s">
        <v>330</v>
      </c>
      <c r="H2327" t="s">
        <v>7747</v>
      </c>
    </row>
    <row r="2328">
      <c r="A2328" t="s">
        <v>5392</v>
      </c>
      <c r="B2328" s="232" t="s">
        <v>5391</v>
      </c>
      <c r="C2328" s="232">
        <v>196.2</v>
      </c>
      <c r="D2328" s="232">
        <v>1054.37</v>
      </c>
      <c r="E2328" s="232">
        <v>5.374</v>
      </c>
      <c r="F2328" t="s">
        <v>7732</v>
      </c>
      <c r="G2328" t="s">
        <v>330</v>
      </c>
      <c r="H2328" t="s">
        <v>7747</v>
      </c>
    </row>
    <row r="2329">
      <c r="A2329" t="s">
        <v>5394</v>
      </c>
      <c r="B2329" s="232" t="s">
        <v>5393</v>
      </c>
      <c r="C2329" s="232">
        <v>196.2</v>
      </c>
      <c r="D2329" s="232">
        <v>1054.37</v>
      </c>
      <c r="E2329" s="232">
        <v>5.374</v>
      </c>
      <c r="F2329" t="s">
        <v>7732</v>
      </c>
      <c r="G2329" t="s">
        <v>330</v>
      </c>
      <c r="H2329" t="s">
        <v>7747</v>
      </c>
    </row>
    <row r="2330">
      <c r="A2330" t="s">
        <v>5396</v>
      </c>
      <c r="B2330" s="232" t="s">
        <v>5395</v>
      </c>
      <c r="C2330" s="232">
        <v>196.2</v>
      </c>
      <c r="D2330" s="232">
        <v>1054.37</v>
      </c>
      <c r="E2330" s="232">
        <v>5.374</v>
      </c>
      <c r="F2330" t="s">
        <v>7732</v>
      </c>
      <c r="G2330" t="s">
        <v>330</v>
      </c>
      <c r="H2330" t="s">
        <v>7747</v>
      </c>
    </row>
    <row r="2331">
      <c r="A2331" t="s">
        <v>5400</v>
      </c>
      <c r="B2331" s="232" t="s">
        <v>5399</v>
      </c>
      <c r="C2331" s="232">
        <v>300.0</v>
      </c>
      <c r="D2331" s="232">
        <v>1535.47</v>
      </c>
      <c r="E2331" s="232">
        <v>5.1182</v>
      </c>
      <c r="F2331" t="s">
        <v>7732</v>
      </c>
      <c r="G2331" t="s">
        <v>330</v>
      </c>
      <c r="H2331" t="s">
        <v>7747</v>
      </c>
    </row>
    <row r="2332">
      <c r="A2332" t="s">
        <v>5402</v>
      </c>
      <c r="B2332" s="232" t="s">
        <v>5401</v>
      </c>
      <c r="C2332" s="232">
        <v>300.0</v>
      </c>
      <c r="D2332" s="232">
        <v>1535.46</v>
      </c>
      <c r="E2332" s="232">
        <v>5.1182</v>
      </c>
      <c r="F2332" t="s">
        <v>7732</v>
      </c>
      <c r="G2332" t="s">
        <v>330</v>
      </c>
      <c r="H2332" t="s">
        <v>7747</v>
      </c>
    </row>
    <row r="2333">
      <c r="A2333" t="s">
        <v>5404</v>
      </c>
      <c r="B2333" s="232" t="s">
        <v>5403</v>
      </c>
      <c r="C2333" s="232">
        <v>300.0</v>
      </c>
      <c r="D2333" s="232">
        <v>1766.6</v>
      </c>
      <c r="E2333" s="232">
        <v>5.8887</v>
      </c>
      <c r="F2333" t="s">
        <v>7732</v>
      </c>
      <c r="G2333" t="s">
        <v>330</v>
      </c>
      <c r="H2333" t="s">
        <v>7747</v>
      </c>
    </row>
    <row r="2334">
      <c r="A2334" t="s">
        <v>5406</v>
      </c>
      <c r="B2334" s="232" t="s">
        <v>5405</v>
      </c>
      <c r="C2334" s="232">
        <v>0.0</v>
      </c>
      <c r="D2334" s="232">
        <v>0.0</v>
      </c>
      <c r="F2334" t="s">
        <v>7702</v>
      </c>
      <c r="G2334" t="s">
        <v>310</v>
      </c>
      <c r="H2334" t="s">
        <v>7703</v>
      </c>
      <c r="I2334" t="s">
        <v>166</v>
      </c>
    </row>
    <row r="2335">
      <c r="A2335" t="s">
        <v>5408</v>
      </c>
      <c r="B2335" s="232" t="s">
        <v>5407</v>
      </c>
      <c r="C2335" s="232">
        <v>0.0</v>
      </c>
      <c r="D2335" s="232">
        <v>0.0</v>
      </c>
      <c r="F2335" t="s">
        <v>7702</v>
      </c>
      <c r="G2335" t="s">
        <v>310</v>
      </c>
      <c r="H2335" t="s">
        <v>7703</v>
      </c>
      <c r="I2335" t="s">
        <v>7773</v>
      </c>
    </row>
    <row r="2336">
      <c r="A2336" t="s">
        <v>5410</v>
      </c>
      <c r="B2336" s="232" t="s">
        <v>5409</v>
      </c>
      <c r="C2336" s="232">
        <v>0.0</v>
      </c>
      <c r="D2336" s="232">
        <v>0.0</v>
      </c>
      <c r="F2336" t="s">
        <v>7702</v>
      </c>
      <c r="G2336" t="s">
        <v>330</v>
      </c>
      <c r="H2336" t="s">
        <v>7811</v>
      </c>
      <c r="I2336" t="s">
        <v>7773</v>
      </c>
    </row>
    <row r="2337">
      <c r="A2337" t="s">
        <v>5412</v>
      </c>
      <c r="B2337" s="232" t="s">
        <v>5411</v>
      </c>
      <c r="C2337" s="232">
        <v>0.0</v>
      </c>
      <c r="D2337" s="232">
        <v>0.0</v>
      </c>
      <c r="F2337" t="s">
        <v>7702</v>
      </c>
      <c r="G2337" t="s">
        <v>310</v>
      </c>
      <c r="H2337" t="s">
        <v>7703</v>
      </c>
      <c r="I2337" t="s">
        <v>7773</v>
      </c>
    </row>
    <row r="2338">
      <c r="A2338" t="s">
        <v>5414</v>
      </c>
      <c r="B2338" s="232" t="s">
        <v>5413</v>
      </c>
      <c r="C2338" s="232">
        <v>0.0</v>
      </c>
      <c r="D2338" s="232">
        <v>0.0</v>
      </c>
      <c r="F2338" t="s">
        <v>7702</v>
      </c>
      <c r="G2338" t="s">
        <v>310</v>
      </c>
      <c r="H2338" t="s">
        <v>7703</v>
      </c>
      <c r="I2338" t="s">
        <v>7724</v>
      </c>
    </row>
    <row r="2339">
      <c r="A2339" t="s">
        <v>5416</v>
      </c>
      <c r="B2339" s="232" t="s">
        <v>5415</v>
      </c>
      <c r="C2339" s="232">
        <v>0.0</v>
      </c>
      <c r="D2339" s="232">
        <v>0.0</v>
      </c>
      <c r="F2339" t="s">
        <v>7702</v>
      </c>
      <c r="G2339" t="s">
        <v>310</v>
      </c>
      <c r="H2339" t="s">
        <v>7703</v>
      </c>
      <c r="I2339" t="s">
        <v>7746</v>
      </c>
    </row>
    <row r="2340">
      <c r="A2340" t="s">
        <v>5420</v>
      </c>
      <c r="B2340" s="232" t="s">
        <v>5419</v>
      </c>
      <c r="C2340" s="232">
        <v>161.0</v>
      </c>
      <c r="D2340" s="232">
        <v>88.55</v>
      </c>
      <c r="E2340" s="232">
        <v>0.55</v>
      </c>
      <c r="F2340" t="s">
        <v>7702</v>
      </c>
      <c r="G2340" t="s">
        <v>330</v>
      </c>
      <c r="H2340" t="s">
        <v>7725</v>
      </c>
      <c r="I2340" t="s">
        <v>7727</v>
      </c>
    </row>
    <row r="2341">
      <c r="A2341" t="s">
        <v>5422</v>
      </c>
      <c r="B2341" s="232" t="s">
        <v>5421</v>
      </c>
      <c r="C2341" s="232">
        <v>504.0</v>
      </c>
      <c r="D2341" s="232">
        <v>252.0</v>
      </c>
      <c r="E2341" s="232">
        <v>0.5</v>
      </c>
      <c r="F2341" t="s">
        <v>7702</v>
      </c>
      <c r="G2341" t="s">
        <v>330</v>
      </c>
      <c r="H2341" t="s">
        <v>7725</v>
      </c>
      <c r="I2341" t="s">
        <v>7745</v>
      </c>
    </row>
    <row r="2342">
      <c r="A2342" t="s">
        <v>5424</v>
      </c>
      <c r="B2342" s="232" t="s">
        <v>5423</v>
      </c>
      <c r="C2342" s="232">
        <v>5.0</v>
      </c>
      <c r="D2342" s="232">
        <v>2.7</v>
      </c>
      <c r="E2342" s="232">
        <v>0.54</v>
      </c>
      <c r="F2342" t="s">
        <v>7702</v>
      </c>
      <c r="G2342" t="s">
        <v>330</v>
      </c>
      <c r="H2342" t="s">
        <v>7725</v>
      </c>
      <c r="I2342" t="s">
        <v>7739</v>
      </c>
    </row>
    <row r="2343">
      <c r="A2343" t="s">
        <v>5426</v>
      </c>
      <c r="B2343" s="232" t="s">
        <v>5425</v>
      </c>
      <c r="C2343" s="232">
        <v>0.0</v>
      </c>
      <c r="D2343" s="232">
        <v>0.0</v>
      </c>
      <c r="F2343" t="s">
        <v>7702</v>
      </c>
      <c r="G2343" t="s">
        <v>310</v>
      </c>
      <c r="H2343" t="s">
        <v>7703</v>
      </c>
      <c r="I2343" t="s">
        <v>7825</v>
      </c>
    </row>
    <row r="2344">
      <c r="A2344" t="s">
        <v>5428</v>
      </c>
      <c r="B2344" s="232" t="s">
        <v>5427</v>
      </c>
      <c r="C2344" s="232">
        <v>30.0</v>
      </c>
      <c r="D2344" s="232">
        <v>55.89</v>
      </c>
      <c r="E2344" s="232">
        <v>1.863</v>
      </c>
      <c r="F2344" t="s">
        <v>7702</v>
      </c>
      <c r="G2344" t="s">
        <v>330</v>
      </c>
      <c r="H2344" t="s">
        <v>150</v>
      </c>
      <c r="I2344" t="s">
        <v>7826</v>
      </c>
    </row>
    <row r="2345">
      <c r="A2345" t="s">
        <v>5430</v>
      </c>
      <c r="B2345" s="232" t="s">
        <v>5429</v>
      </c>
      <c r="C2345" s="232">
        <v>359.0</v>
      </c>
      <c r="D2345" s="232">
        <v>767.51</v>
      </c>
      <c r="E2345" s="232">
        <v>2.1379</v>
      </c>
      <c r="F2345" t="s">
        <v>7702</v>
      </c>
      <c r="G2345" t="s">
        <v>330</v>
      </c>
      <c r="H2345" t="s">
        <v>150</v>
      </c>
      <c r="I2345" t="s">
        <v>7826</v>
      </c>
    </row>
    <row r="2346">
      <c r="A2346" t="s">
        <v>5432</v>
      </c>
      <c r="B2346" s="232" t="s">
        <v>5431</v>
      </c>
      <c r="C2346" s="232">
        <v>503.0</v>
      </c>
      <c r="D2346" s="232">
        <v>977.86</v>
      </c>
      <c r="E2346" s="232">
        <v>1.9441</v>
      </c>
      <c r="F2346" t="s">
        <v>7702</v>
      </c>
      <c r="G2346" t="s">
        <v>330</v>
      </c>
      <c r="H2346" t="s">
        <v>150</v>
      </c>
      <c r="I2346" t="s">
        <v>7826</v>
      </c>
    </row>
    <row r="2347">
      <c r="A2347" t="s">
        <v>5434</v>
      </c>
      <c r="B2347" s="232" t="s">
        <v>5433</v>
      </c>
      <c r="C2347" s="232">
        <v>641.0</v>
      </c>
      <c r="D2347" s="232">
        <v>1308.14</v>
      </c>
      <c r="E2347" s="232">
        <v>2.0408</v>
      </c>
      <c r="F2347" t="s">
        <v>7702</v>
      </c>
      <c r="G2347" t="s">
        <v>330</v>
      </c>
      <c r="H2347" t="s">
        <v>150</v>
      </c>
      <c r="I2347" t="s">
        <v>7826</v>
      </c>
    </row>
    <row r="2348">
      <c r="A2348" t="s">
        <v>5436</v>
      </c>
      <c r="B2348" s="232" t="s">
        <v>5435</v>
      </c>
      <c r="C2348" s="232">
        <v>828.0</v>
      </c>
      <c r="D2348" s="232">
        <v>1770.38</v>
      </c>
      <c r="E2348" s="232">
        <v>2.1381</v>
      </c>
      <c r="F2348" t="s">
        <v>7702</v>
      </c>
      <c r="G2348" t="s">
        <v>330</v>
      </c>
      <c r="H2348" t="s">
        <v>150</v>
      </c>
      <c r="I2348" t="s">
        <v>7826</v>
      </c>
    </row>
    <row r="2349">
      <c r="A2349" t="s">
        <v>5438</v>
      </c>
      <c r="B2349" s="232" t="s">
        <v>5437</v>
      </c>
      <c r="C2349" s="232">
        <v>968.0</v>
      </c>
      <c r="D2349" s="232">
        <v>2132.4</v>
      </c>
      <c r="E2349" s="232">
        <v>2.2029</v>
      </c>
      <c r="F2349" t="s">
        <v>7702</v>
      </c>
      <c r="G2349" t="s">
        <v>330</v>
      </c>
      <c r="H2349" t="s">
        <v>150</v>
      </c>
      <c r="I2349" t="s">
        <v>7826</v>
      </c>
    </row>
    <row r="2350">
      <c r="A2350" t="s">
        <v>5440</v>
      </c>
      <c r="B2350" s="232" t="s">
        <v>5439</v>
      </c>
      <c r="C2350" s="232">
        <v>0.0</v>
      </c>
      <c r="D2350" s="232">
        <v>0.0</v>
      </c>
      <c r="F2350" t="s">
        <v>7702</v>
      </c>
      <c r="G2350" t="s">
        <v>310</v>
      </c>
      <c r="H2350" t="s">
        <v>7725</v>
      </c>
      <c r="I2350" t="s">
        <v>7827</v>
      </c>
    </row>
    <row r="2351">
      <c r="A2351" t="s">
        <v>5442</v>
      </c>
      <c r="B2351" s="232" t="s">
        <v>5441</v>
      </c>
      <c r="C2351" s="232">
        <v>1.0</v>
      </c>
      <c r="D2351" s="232">
        <v>96.91</v>
      </c>
      <c r="E2351" s="232">
        <v>96.91</v>
      </c>
      <c r="F2351" t="s">
        <v>7702</v>
      </c>
      <c r="G2351" t="s">
        <v>330</v>
      </c>
      <c r="H2351" t="s">
        <v>150</v>
      </c>
      <c r="I2351" t="s">
        <v>7826</v>
      </c>
    </row>
    <row r="2352">
      <c r="A2352" t="s">
        <v>5444</v>
      </c>
      <c r="B2352" s="232" t="s">
        <v>5443</v>
      </c>
      <c r="C2352" s="232">
        <v>4.0</v>
      </c>
      <c r="D2352" s="232">
        <v>98.78</v>
      </c>
      <c r="E2352" s="232">
        <v>24.695</v>
      </c>
      <c r="F2352" t="s">
        <v>7702</v>
      </c>
      <c r="G2352" t="s">
        <v>330</v>
      </c>
      <c r="H2352" t="s">
        <v>150</v>
      </c>
      <c r="I2352" t="s">
        <v>7826</v>
      </c>
    </row>
    <row r="2353">
      <c r="A2353" t="s">
        <v>5446</v>
      </c>
      <c r="B2353" s="232" t="s">
        <v>5445</v>
      </c>
      <c r="C2353" s="232">
        <v>0.0</v>
      </c>
      <c r="D2353" s="232">
        <v>0.0</v>
      </c>
      <c r="F2353" t="s">
        <v>7702</v>
      </c>
      <c r="G2353" t="s">
        <v>330</v>
      </c>
      <c r="H2353" t="s">
        <v>45</v>
      </c>
      <c r="I2353" t="s">
        <v>29</v>
      </c>
    </row>
    <row r="2354">
      <c r="A2354" t="s">
        <v>111</v>
      </c>
      <c r="B2354" s="232" t="s">
        <v>112</v>
      </c>
      <c r="C2354" s="232">
        <v>1180.0</v>
      </c>
      <c r="D2354" s="232">
        <v>1665.63</v>
      </c>
      <c r="E2354" s="232">
        <v>1.4116</v>
      </c>
      <c r="F2354" t="s">
        <v>7702</v>
      </c>
      <c r="G2354" t="s">
        <v>330</v>
      </c>
      <c r="H2354" t="s">
        <v>28</v>
      </c>
      <c r="I2354" t="s">
        <v>98</v>
      </c>
    </row>
    <row r="2355">
      <c r="A2355" t="s">
        <v>105</v>
      </c>
      <c r="B2355" s="232" t="s">
        <v>106</v>
      </c>
      <c r="C2355" s="232">
        <v>3393.0</v>
      </c>
      <c r="D2355" s="232">
        <v>4847.37</v>
      </c>
      <c r="E2355" s="232">
        <v>1.4286</v>
      </c>
      <c r="F2355" t="s">
        <v>7702</v>
      </c>
      <c r="G2355" t="s">
        <v>330</v>
      </c>
      <c r="H2355" t="s">
        <v>28</v>
      </c>
      <c r="I2355" t="s">
        <v>98</v>
      </c>
    </row>
    <row r="2356">
      <c r="A2356" t="s">
        <v>137</v>
      </c>
      <c r="B2356" s="232" t="s">
        <v>138</v>
      </c>
      <c r="C2356" s="232">
        <v>802.0</v>
      </c>
      <c r="D2356" s="232">
        <v>1182.19</v>
      </c>
      <c r="E2356" s="232">
        <v>1.4741</v>
      </c>
      <c r="F2356" t="s">
        <v>7702</v>
      </c>
      <c r="G2356" t="s">
        <v>330</v>
      </c>
      <c r="H2356" t="s">
        <v>28</v>
      </c>
      <c r="I2356" t="s">
        <v>98</v>
      </c>
    </row>
    <row r="2357">
      <c r="A2357" t="s">
        <v>117</v>
      </c>
      <c r="B2357" s="232" t="s">
        <v>118</v>
      </c>
      <c r="C2357" s="232">
        <v>4687.0</v>
      </c>
      <c r="D2357" s="232">
        <v>6696.77</v>
      </c>
      <c r="E2357" s="232">
        <v>1.4288</v>
      </c>
      <c r="F2357" t="s">
        <v>7702</v>
      </c>
      <c r="G2357" t="s">
        <v>330</v>
      </c>
      <c r="H2357" t="s">
        <v>28</v>
      </c>
      <c r="I2357" t="s">
        <v>98</v>
      </c>
    </row>
    <row r="2358">
      <c r="A2358" t="s">
        <v>103</v>
      </c>
      <c r="B2358" s="232" t="s">
        <v>104</v>
      </c>
      <c r="C2358" s="232">
        <v>4089.0</v>
      </c>
      <c r="D2358" s="232">
        <v>5807.01</v>
      </c>
      <c r="E2358" s="232">
        <v>1.4202</v>
      </c>
      <c r="F2358" t="s">
        <v>7702</v>
      </c>
      <c r="G2358" t="s">
        <v>330</v>
      </c>
      <c r="H2358" t="s">
        <v>28</v>
      </c>
      <c r="I2358" t="s">
        <v>98</v>
      </c>
    </row>
    <row r="2359">
      <c r="A2359" t="s">
        <v>123</v>
      </c>
      <c r="B2359" s="232" t="s">
        <v>124</v>
      </c>
      <c r="C2359" s="232">
        <v>1480.0</v>
      </c>
      <c r="D2359" s="232">
        <v>2092.17</v>
      </c>
      <c r="E2359" s="232">
        <v>1.4136</v>
      </c>
      <c r="F2359" t="s">
        <v>7702</v>
      </c>
      <c r="G2359" t="s">
        <v>330</v>
      </c>
      <c r="H2359" t="s">
        <v>28</v>
      </c>
      <c r="I2359" t="s">
        <v>98</v>
      </c>
    </row>
    <row r="2360">
      <c r="A2360" t="s">
        <v>129</v>
      </c>
      <c r="B2360" s="232" t="s">
        <v>130</v>
      </c>
      <c r="C2360" s="232">
        <v>1925.0</v>
      </c>
      <c r="D2360" s="232">
        <v>2772.48</v>
      </c>
      <c r="E2360" s="232">
        <v>1.4402</v>
      </c>
      <c r="F2360" t="s">
        <v>7702</v>
      </c>
      <c r="G2360" t="s">
        <v>330</v>
      </c>
      <c r="H2360" t="s">
        <v>28</v>
      </c>
      <c r="I2360" t="s">
        <v>98</v>
      </c>
    </row>
    <row r="2361">
      <c r="A2361" t="s">
        <v>119</v>
      </c>
      <c r="B2361" s="232" t="s">
        <v>120</v>
      </c>
      <c r="C2361" s="232">
        <v>1949.0</v>
      </c>
      <c r="D2361" s="232">
        <v>2747.18</v>
      </c>
      <c r="E2361" s="232">
        <v>1.4095</v>
      </c>
      <c r="F2361" t="s">
        <v>7702</v>
      </c>
      <c r="G2361" t="s">
        <v>330</v>
      </c>
      <c r="H2361" t="s">
        <v>28</v>
      </c>
      <c r="I2361" t="s">
        <v>98</v>
      </c>
    </row>
    <row r="2362">
      <c r="A2362" t="s">
        <v>135</v>
      </c>
      <c r="B2362" s="232" t="s">
        <v>136</v>
      </c>
      <c r="C2362" s="232">
        <v>803.0</v>
      </c>
      <c r="D2362" s="232">
        <v>1183.65</v>
      </c>
      <c r="E2362" s="232">
        <v>1.474</v>
      </c>
      <c r="F2362" t="s">
        <v>7702</v>
      </c>
      <c r="G2362" t="s">
        <v>330</v>
      </c>
      <c r="H2362" t="s">
        <v>28</v>
      </c>
      <c r="I2362" t="s">
        <v>98</v>
      </c>
    </row>
    <row r="2363">
      <c r="A2363" t="s">
        <v>127</v>
      </c>
      <c r="B2363" s="232" t="s">
        <v>128</v>
      </c>
      <c r="C2363" s="232">
        <v>1339.0</v>
      </c>
      <c r="D2363" s="232">
        <v>1901.75</v>
      </c>
      <c r="E2363" s="232">
        <v>1.4203</v>
      </c>
      <c r="F2363" t="s">
        <v>7702</v>
      </c>
      <c r="G2363" t="s">
        <v>330</v>
      </c>
      <c r="H2363" t="s">
        <v>28</v>
      </c>
      <c r="I2363" t="s">
        <v>98</v>
      </c>
    </row>
    <row r="2364">
      <c r="A2364" t="s">
        <v>125</v>
      </c>
      <c r="B2364" s="232" t="s">
        <v>126</v>
      </c>
      <c r="C2364" s="232">
        <v>1011.0</v>
      </c>
      <c r="D2364" s="232">
        <v>1425.41</v>
      </c>
      <c r="E2364" s="232">
        <v>1.4099</v>
      </c>
      <c r="F2364" t="s">
        <v>7702</v>
      </c>
      <c r="G2364" t="s">
        <v>330</v>
      </c>
      <c r="H2364" t="s">
        <v>28</v>
      </c>
      <c r="I2364" t="s">
        <v>98</v>
      </c>
    </row>
    <row r="2365">
      <c r="A2365" t="s">
        <v>109</v>
      </c>
      <c r="B2365" s="232" t="s">
        <v>110</v>
      </c>
      <c r="C2365" s="232">
        <v>2215.0</v>
      </c>
      <c r="D2365" s="232">
        <v>3122.09</v>
      </c>
      <c r="E2365" s="232">
        <v>1.4095</v>
      </c>
      <c r="F2365" t="s">
        <v>7702</v>
      </c>
      <c r="G2365" t="s">
        <v>330</v>
      </c>
      <c r="H2365" t="s">
        <v>28</v>
      </c>
      <c r="I2365" t="s">
        <v>98</v>
      </c>
    </row>
    <row r="2366">
      <c r="A2366" t="s">
        <v>113</v>
      </c>
      <c r="B2366" s="232" t="s">
        <v>114</v>
      </c>
      <c r="C2366" s="232">
        <v>864.0</v>
      </c>
      <c r="D2366" s="232">
        <v>1228.56</v>
      </c>
      <c r="E2366" s="232">
        <v>1.4219</v>
      </c>
      <c r="F2366" t="s">
        <v>7702</v>
      </c>
      <c r="G2366" t="s">
        <v>330</v>
      </c>
      <c r="H2366" t="s">
        <v>28</v>
      </c>
      <c r="I2366" t="s">
        <v>98</v>
      </c>
    </row>
    <row r="2367">
      <c r="A2367" t="s">
        <v>107</v>
      </c>
      <c r="B2367" s="232" t="s">
        <v>108</v>
      </c>
      <c r="C2367" s="232">
        <v>3373.0</v>
      </c>
      <c r="D2367" s="232">
        <v>4819.19</v>
      </c>
      <c r="E2367" s="232">
        <v>1.4288</v>
      </c>
      <c r="F2367" t="s">
        <v>7702</v>
      </c>
      <c r="G2367" t="s">
        <v>330</v>
      </c>
      <c r="H2367" t="s">
        <v>28</v>
      </c>
      <c r="I2367" t="s">
        <v>98</v>
      </c>
    </row>
    <row r="2368">
      <c r="A2368" t="s">
        <v>139</v>
      </c>
      <c r="B2368" s="232" t="s">
        <v>140</v>
      </c>
      <c r="C2368" s="232">
        <v>1638.0</v>
      </c>
      <c r="D2368" s="232">
        <v>2349.57</v>
      </c>
      <c r="E2368" s="232">
        <v>1.4344</v>
      </c>
      <c r="F2368" t="s">
        <v>7702</v>
      </c>
      <c r="G2368" t="s">
        <v>330</v>
      </c>
      <c r="H2368" t="s">
        <v>28</v>
      </c>
      <c r="I2368" t="s">
        <v>98</v>
      </c>
    </row>
    <row r="2369">
      <c r="A2369" t="s">
        <v>101</v>
      </c>
      <c r="B2369" s="232" t="s">
        <v>102</v>
      </c>
      <c r="C2369" s="232">
        <v>1184.0</v>
      </c>
      <c r="D2369" s="232">
        <v>1687.07</v>
      </c>
      <c r="E2369" s="232">
        <v>1.4249</v>
      </c>
      <c r="F2369" t="s">
        <v>7702</v>
      </c>
      <c r="G2369" t="s">
        <v>330</v>
      </c>
      <c r="H2369" t="s">
        <v>28</v>
      </c>
      <c r="I2369" t="s">
        <v>98</v>
      </c>
    </row>
    <row r="2370">
      <c r="A2370" t="s">
        <v>133</v>
      </c>
      <c r="B2370" s="232" t="s">
        <v>134</v>
      </c>
      <c r="C2370" s="232">
        <v>1799.0</v>
      </c>
      <c r="D2370" s="232">
        <v>2535.64</v>
      </c>
      <c r="E2370" s="232">
        <v>1.4095</v>
      </c>
      <c r="F2370" t="s">
        <v>7702</v>
      </c>
      <c r="G2370" t="s">
        <v>330</v>
      </c>
      <c r="H2370" t="s">
        <v>28</v>
      </c>
      <c r="I2370" t="s">
        <v>98</v>
      </c>
    </row>
    <row r="2371">
      <c r="A2371" t="s">
        <v>141</v>
      </c>
      <c r="B2371" s="232" t="s">
        <v>142</v>
      </c>
      <c r="C2371" s="232">
        <v>1648.0</v>
      </c>
      <c r="D2371" s="232">
        <v>2364.41</v>
      </c>
      <c r="E2371" s="232">
        <v>1.4347</v>
      </c>
      <c r="F2371" t="s">
        <v>7702</v>
      </c>
      <c r="G2371" t="s">
        <v>330</v>
      </c>
      <c r="H2371" t="s">
        <v>28</v>
      </c>
      <c r="I2371" t="s">
        <v>98</v>
      </c>
    </row>
    <row r="2372">
      <c r="A2372" t="s">
        <v>131</v>
      </c>
      <c r="B2372" s="232" t="s">
        <v>132</v>
      </c>
      <c r="C2372" s="232">
        <v>1356.0</v>
      </c>
      <c r="D2372" s="232">
        <v>1947.47</v>
      </c>
      <c r="E2372" s="232">
        <v>1.4362</v>
      </c>
      <c r="F2372" t="s">
        <v>7702</v>
      </c>
      <c r="G2372" t="s">
        <v>330</v>
      </c>
      <c r="H2372" t="s">
        <v>28</v>
      </c>
      <c r="I2372" t="s">
        <v>98</v>
      </c>
    </row>
    <row r="2373">
      <c r="A2373" t="s">
        <v>121</v>
      </c>
      <c r="B2373" s="232" t="s">
        <v>122</v>
      </c>
      <c r="C2373" s="232">
        <v>2248.0</v>
      </c>
      <c r="D2373" s="232">
        <v>3212.35</v>
      </c>
      <c r="E2373" s="232">
        <v>1.429</v>
      </c>
      <c r="F2373" t="s">
        <v>7702</v>
      </c>
      <c r="G2373" t="s">
        <v>330</v>
      </c>
      <c r="H2373" t="s">
        <v>28</v>
      </c>
      <c r="I2373" t="s">
        <v>98</v>
      </c>
    </row>
    <row r="2374">
      <c r="A2374" t="s">
        <v>99</v>
      </c>
      <c r="B2374" s="232" t="s">
        <v>100</v>
      </c>
      <c r="C2374" s="232">
        <v>5190.0</v>
      </c>
      <c r="D2374" s="232">
        <v>7444.91</v>
      </c>
      <c r="E2374" s="232">
        <v>1.4345</v>
      </c>
      <c r="F2374" t="s">
        <v>7702</v>
      </c>
      <c r="G2374" t="s">
        <v>330</v>
      </c>
      <c r="H2374" t="s">
        <v>28</v>
      </c>
      <c r="I2374" t="s">
        <v>98</v>
      </c>
    </row>
    <row r="2375">
      <c r="A2375" t="s">
        <v>115</v>
      </c>
      <c r="B2375" s="232" t="s">
        <v>116</v>
      </c>
      <c r="C2375" s="232">
        <v>1317.0</v>
      </c>
      <c r="D2375" s="232">
        <v>1888.45</v>
      </c>
      <c r="E2375" s="232">
        <v>1.4339</v>
      </c>
      <c r="F2375" t="s">
        <v>7702</v>
      </c>
      <c r="G2375" t="s">
        <v>330</v>
      </c>
      <c r="H2375" t="s">
        <v>28</v>
      </c>
      <c r="I2375" t="s">
        <v>98</v>
      </c>
    </row>
    <row r="2376">
      <c r="A2376" t="s">
        <v>5452</v>
      </c>
      <c r="B2376" s="232" t="s">
        <v>5451</v>
      </c>
      <c r="C2376" s="232">
        <v>0.0</v>
      </c>
      <c r="D2376" s="232">
        <v>0.0</v>
      </c>
      <c r="F2376" t="s">
        <v>7702</v>
      </c>
      <c r="G2376" t="s">
        <v>330</v>
      </c>
      <c r="H2376" t="s">
        <v>7811</v>
      </c>
    </row>
    <row r="2377">
      <c r="A2377" t="s">
        <v>145</v>
      </c>
      <c r="B2377" s="232" t="s">
        <v>146</v>
      </c>
      <c r="C2377" s="232">
        <v>2.0</v>
      </c>
      <c r="D2377" s="232">
        <v>150.48</v>
      </c>
      <c r="E2377" s="232">
        <v>75.24</v>
      </c>
      <c r="F2377" t="s">
        <v>7702</v>
      </c>
      <c r="G2377" t="s">
        <v>330</v>
      </c>
      <c r="H2377" t="s">
        <v>28</v>
      </c>
      <c r="I2377" t="s">
        <v>98</v>
      </c>
    </row>
    <row r="2378">
      <c r="A2378" t="s">
        <v>143</v>
      </c>
      <c r="B2378" s="232" t="s">
        <v>144</v>
      </c>
      <c r="C2378" s="232">
        <v>1.0</v>
      </c>
      <c r="D2378" s="232">
        <v>74.64</v>
      </c>
      <c r="E2378" s="232">
        <v>74.64</v>
      </c>
      <c r="F2378" t="s">
        <v>7702</v>
      </c>
      <c r="G2378" t="s">
        <v>330</v>
      </c>
      <c r="H2378" t="s">
        <v>28</v>
      </c>
      <c r="I2378" t="s">
        <v>98</v>
      </c>
    </row>
    <row r="2379">
      <c r="A2379" t="s">
        <v>5456</v>
      </c>
      <c r="B2379" s="232" t="s">
        <v>5455</v>
      </c>
      <c r="C2379" s="232">
        <v>0.0</v>
      </c>
      <c r="D2379" s="232">
        <v>0.0</v>
      </c>
      <c r="F2379" t="s">
        <v>7702</v>
      </c>
      <c r="G2379" t="s">
        <v>310</v>
      </c>
      <c r="H2379" t="s">
        <v>7703</v>
      </c>
      <c r="I2379" t="s">
        <v>7704</v>
      </c>
    </row>
    <row r="2380">
      <c r="A2380" t="s">
        <v>5458</v>
      </c>
      <c r="B2380" s="232" t="s">
        <v>5457</v>
      </c>
      <c r="C2380" s="232">
        <v>0.0</v>
      </c>
      <c r="D2380" s="232">
        <v>0.0</v>
      </c>
      <c r="F2380" t="s">
        <v>7702</v>
      </c>
      <c r="G2380" t="s">
        <v>310</v>
      </c>
      <c r="H2380" t="s">
        <v>7703</v>
      </c>
      <c r="I2380" t="s">
        <v>7704</v>
      </c>
    </row>
    <row r="2381">
      <c r="A2381" t="s">
        <v>5460</v>
      </c>
      <c r="B2381" s="232" t="s">
        <v>5459</v>
      </c>
      <c r="C2381" s="232">
        <v>0.0</v>
      </c>
      <c r="D2381" s="232">
        <v>0.0</v>
      </c>
      <c r="F2381" t="s">
        <v>7702</v>
      </c>
      <c r="G2381" t="s">
        <v>310</v>
      </c>
      <c r="H2381" t="s">
        <v>7703</v>
      </c>
      <c r="I2381" t="s">
        <v>7704</v>
      </c>
    </row>
    <row r="2382">
      <c r="A2382" t="s">
        <v>5462</v>
      </c>
      <c r="B2382" s="232" t="s">
        <v>5461</v>
      </c>
      <c r="C2382" s="232">
        <v>0.0</v>
      </c>
      <c r="D2382" s="232">
        <v>0.0</v>
      </c>
      <c r="F2382" t="s">
        <v>7702</v>
      </c>
      <c r="G2382" t="s">
        <v>310</v>
      </c>
      <c r="H2382" t="s">
        <v>7703</v>
      </c>
      <c r="I2382" t="s">
        <v>7704</v>
      </c>
    </row>
    <row r="2383">
      <c r="A2383" t="s">
        <v>5464</v>
      </c>
      <c r="B2383" s="232" t="s">
        <v>5463</v>
      </c>
      <c r="C2383" s="232">
        <v>0.0</v>
      </c>
      <c r="D2383" s="232">
        <v>0.0</v>
      </c>
      <c r="F2383" t="s">
        <v>7702</v>
      </c>
      <c r="G2383" t="s">
        <v>310</v>
      </c>
      <c r="H2383" t="s">
        <v>7703</v>
      </c>
      <c r="I2383" t="s">
        <v>7704</v>
      </c>
    </row>
    <row r="2384">
      <c r="A2384" t="s">
        <v>5466</v>
      </c>
      <c r="B2384" s="232" t="s">
        <v>5465</v>
      </c>
      <c r="C2384" s="232">
        <v>0.0</v>
      </c>
      <c r="D2384" s="232">
        <v>0.0</v>
      </c>
      <c r="F2384" t="s">
        <v>7702</v>
      </c>
      <c r="G2384" t="s">
        <v>310</v>
      </c>
      <c r="H2384" t="s">
        <v>7703</v>
      </c>
      <c r="I2384" t="s">
        <v>7704</v>
      </c>
    </row>
    <row r="2385">
      <c r="A2385" t="s">
        <v>5468</v>
      </c>
      <c r="B2385" s="232" t="s">
        <v>5467</v>
      </c>
      <c r="C2385" s="232">
        <v>1.0</v>
      </c>
      <c r="D2385" s="232">
        <v>0.0</v>
      </c>
      <c r="E2385" s="232">
        <v>0.0</v>
      </c>
      <c r="F2385" t="s">
        <v>7702</v>
      </c>
      <c r="G2385" t="s">
        <v>310</v>
      </c>
      <c r="H2385" t="s">
        <v>7703</v>
      </c>
      <c r="I2385" t="s">
        <v>7704</v>
      </c>
    </row>
    <row r="2386">
      <c r="A2386" t="s">
        <v>5470</v>
      </c>
      <c r="B2386" s="232" t="s">
        <v>5469</v>
      </c>
      <c r="C2386" s="232">
        <v>0.0</v>
      </c>
      <c r="D2386" s="232">
        <v>0.0</v>
      </c>
      <c r="F2386" t="s">
        <v>7702</v>
      </c>
      <c r="G2386" t="s">
        <v>310</v>
      </c>
      <c r="H2386" t="s">
        <v>7703</v>
      </c>
      <c r="I2386" t="s">
        <v>7704</v>
      </c>
    </row>
    <row r="2387">
      <c r="A2387" t="s">
        <v>5472</v>
      </c>
      <c r="B2387" s="232" t="s">
        <v>5471</v>
      </c>
      <c r="C2387" s="232">
        <v>0.0</v>
      </c>
      <c r="D2387" s="232">
        <v>0.0</v>
      </c>
      <c r="F2387" t="s">
        <v>7702</v>
      </c>
      <c r="G2387" t="s">
        <v>310</v>
      </c>
      <c r="H2387" t="s">
        <v>7703</v>
      </c>
      <c r="I2387" t="s">
        <v>7704</v>
      </c>
    </row>
    <row r="2388">
      <c r="A2388" t="s">
        <v>5473</v>
      </c>
      <c r="B2388" s="232">
        <v>400402.0</v>
      </c>
      <c r="C2388" s="232">
        <v>0.0</v>
      </c>
      <c r="D2388" s="232">
        <v>0.0</v>
      </c>
      <c r="F2388" t="s">
        <v>7711</v>
      </c>
      <c r="G2388" t="s">
        <v>310</v>
      </c>
      <c r="H2388" t="s">
        <v>7703</v>
      </c>
    </row>
    <row r="2389">
      <c r="A2389" t="s">
        <v>5475</v>
      </c>
      <c r="B2389" s="232" t="s">
        <v>5474</v>
      </c>
      <c r="C2389" s="232">
        <v>0.0</v>
      </c>
      <c r="D2389" s="232">
        <v>0.0</v>
      </c>
      <c r="F2389" t="s">
        <v>7702</v>
      </c>
      <c r="G2389" t="s">
        <v>310</v>
      </c>
      <c r="H2389" t="s">
        <v>7703</v>
      </c>
      <c r="I2389" t="s">
        <v>7704</v>
      </c>
    </row>
    <row r="2390">
      <c r="A2390" t="s">
        <v>5477</v>
      </c>
      <c r="B2390" s="232" t="s">
        <v>5476</v>
      </c>
      <c r="C2390" s="232">
        <v>0.0</v>
      </c>
      <c r="D2390" s="232">
        <v>0.0</v>
      </c>
      <c r="F2390" t="s">
        <v>7702</v>
      </c>
      <c r="G2390" t="s">
        <v>310</v>
      </c>
      <c r="H2390" t="s">
        <v>7703</v>
      </c>
      <c r="I2390" t="s">
        <v>7819</v>
      </c>
    </row>
    <row r="2391">
      <c r="A2391" t="s">
        <v>5479</v>
      </c>
      <c r="B2391" s="232" t="s">
        <v>5478</v>
      </c>
      <c r="C2391" s="232">
        <v>0.0</v>
      </c>
      <c r="D2391" s="232">
        <v>0.0</v>
      </c>
      <c r="F2391" t="s">
        <v>7702</v>
      </c>
      <c r="G2391" t="s">
        <v>310</v>
      </c>
      <c r="H2391" t="s">
        <v>7703</v>
      </c>
      <c r="I2391" t="s">
        <v>7819</v>
      </c>
    </row>
    <row r="2392">
      <c r="A2392" t="s">
        <v>5481</v>
      </c>
      <c r="B2392" s="232" t="s">
        <v>5480</v>
      </c>
      <c r="C2392" s="232">
        <v>0.0</v>
      </c>
      <c r="D2392" s="232">
        <v>0.0</v>
      </c>
      <c r="F2392" t="s">
        <v>7702</v>
      </c>
      <c r="G2392" t="s">
        <v>310</v>
      </c>
      <c r="H2392" t="s">
        <v>7703</v>
      </c>
      <c r="I2392" t="s">
        <v>7819</v>
      </c>
    </row>
    <row r="2393">
      <c r="A2393" t="s">
        <v>5483</v>
      </c>
      <c r="B2393" s="232" t="s">
        <v>5482</v>
      </c>
      <c r="C2393" s="232">
        <v>44.0</v>
      </c>
      <c r="D2393" s="232">
        <v>135.68</v>
      </c>
      <c r="E2393" s="232">
        <v>3.0836</v>
      </c>
      <c r="F2393" t="s">
        <v>7702</v>
      </c>
      <c r="G2393" t="s">
        <v>330</v>
      </c>
      <c r="H2393" t="s">
        <v>7794</v>
      </c>
      <c r="I2393" t="s">
        <v>7742</v>
      </c>
    </row>
    <row r="2394">
      <c r="A2394" t="s">
        <v>5485</v>
      </c>
      <c r="B2394" s="232" t="s">
        <v>5484</v>
      </c>
      <c r="C2394" s="232">
        <v>247.0</v>
      </c>
      <c r="D2394" s="232">
        <v>793.57</v>
      </c>
      <c r="E2394" s="232">
        <v>3.2128</v>
      </c>
      <c r="F2394" t="s">
        <v>7702</v>
      </c>
      <c r="G2394" t="s">
        <v>330</v>
      </c>
      <c r="H2394" t="s">
        <v>7794</v>
      </c>
      <c r="I2394" t="s">
        <v>7742</v>
      </c>
    </row>
    <row r="2395">
      <c r="A2395" t="s">
        <v>5487</v>
      </c>
      <c r="B2395" s="232" t="s">
        <v>5486</v>
      </c>
      <c r="C2395" s="232">
        <v>369.0</v>
      </c>
      <c r="D2395" s="232">
        <v>1277.26</v>
      </c>
      <c r="E2395" s="232">
        <v>3.4614</v>
      </c>
      <c r="F2395" t="s">
        <v>7702</v>
      </c>
      <c r="G2395" t="s">
        <v>330</v>
      </c>
      <c r="H2395" t="s">
        <v>7794</v>
      </c>
      <c r="I2395" t="s">
        <v>7742</v>
      </c>
    </row>
    <row r="2396">
      <c r="A2396" t="s">
        <v>5495</v>
      </c>
      <c r="B2396" s="232" t="s">
        <v>5494</v>
      </c>
      <c r="C2396" s="232">
        <v>406.0</v>
      </c>
      <c r="D2396" s="232">
        <v>1109.4</v>
      </c>
      <c r="E2396" s="232">
        <v>2.7325</v>
      </c>
      <c r="F2396" t="s">
        <v>7702</v>
      </c>
      <c r="G2396" t="s">
        <v>330</v>
      </c>
      <c r="H2396" t="s">
        <v>7794</v>
      </c>
      <c r="I2396" t="s">
        <v>7742</v>
      </c>
    </row>
    <row r="2397">
      <c r="A2397" t="s">
        <v>5497</v>
      </c>
      <c r="B2397" s="232" t="s">
        <v>5496</v>
      </c>
      <c r="C2397" s="232">
        <v>184.0</v>
      </c>
      <c r="D2397" s="232">
        <v>527.35</v>
      </c>
      <c r="E2397" s="232">
        <v>2.866</v>
      </c>
      <c r="F2397" t="s">
        <v>7702</v>
      </c>
      <c r="G2397" t="s">
        <v>330</v>
      </c>
      <c r="H2397" t="s">
        <v>7794</v>
      </c>
      <c r="I2397" t="s">
        <v>7742</v>
      </c>
    </row>
    <row r="2398">
      <c r="A2398" t="s">
        <v>5499</v>
      </c>
      <c r="B2398" s="232" t="s">
        <v>5498</v>
      </c>
      <c r="C2398" s="232">
        <v>398.0</v>
      </c>
      <c r="D2398" s="232">
        <v>1410.85</v>
      </c>
      <c r="E2398" s="232">
        <v>3.5448</v>
      </c>
      <c r="F2398" t="s">
        <v>7702</v>
      </c>
      <c r="G2398" t="s">
        <v>330</v>
      </c>
      <c r="H2398" t="s">
        <v>7794</v>
      </c>
      <c r="I2398" t="s">
        <v>7742</v>
      </c>
    </row>
    <row r="2399">
      <c r="A2399" t="s">
        <v>5501</v>
      </c>
      <c r="B2399" s="232" t="s">
        <v>5500</v>
      </c>
      <c r="C2399" s="232">
        <v>0.0</v>
      </c>
      <c r="D2399" s="232">
        <v>0.0</v>
      </c>
      <c r="F2399" t="s">
        <v>7702</v>
      </c>
      <c r="G2399" t="s">
        <v>310</v>
      </c>
      <c r="H2399" t="s">
        <v>7703</v>
      </c>
      <c r="I2399" t="s">
        <v>7819</v>
      </c>
    </row>
    <row r="2400">
      <c r="A2400" t="s">
        <v>5503</v>
      </c>
      <c r="B2400" s="232" t="s">
        <v>5502</v>
      </c>
      <c r="C2400" s="232">
        <v>0.0</v>
      </c>
      <c r="D2400" s="232">
        <v>0.0</v>
      </c>
      <c r="F2400" t="s">
        <v>7702</v>
      </c>
      <c r="G2400" t="s">
        <v>310</v>
      </c>
      <c r="H2400" t="s">
        <v>7703</v>
      </c>
      <c r="I2400" t="s">
        <v>7819</v>
      </c>
    </row>
    <row r="2401">
      <c r="A2401" t="s">
        <v>5505</v>
      </c>
      <c r="B2401" s="232" t="s">
        <v>5504</v>
      </c>
      <c r="C2401" s="232">
        <v>1036.0</v>
      </c>
      <c r="D2401" s="232">
        <v>3423.69</v>
      </c>
      <c r="E2401" s="232">
        <v>3.3047</v>
      </c>
      <c r="F2401" t="s">
        <v>7702</v>
      </c>
      <c r="G2401" t="s">
        <v>330</v>
      </c>
      <c r="H2401" t="s">
        <v>7794</v>
      </c>
      <c r="I2401" t="s">
        <v>7742</v>
      </c>
    </row>
    <row r="2402">
      <c r="A2402" t="s">
        <v>5507</v>
      </c>
      <c r="B2402" s="232" t="s">
        <v>5506</v>
      </c>
      <c r="C2402" s="232">
        <v>201.0</v>
      </c>
      <c r="D2402" s="232">
        <v>664.08</v>
      </c>
      <c r="E2402" s="232">
        <v>3.3039</v>
      </c>
      <c r="F2402" t="s">
        <v>7702</v>
      </c>
      <c r="G2402" t="s">
        <v>330</v>
      </c>
      <c r="H2402" t="s">
        <v>7794</v>
      </c>
      <c r="I2402" t="s">
        <v>7742</v>
      </c>
    </row>
    <row r="2403">
      <c r="A2403" t="s">
        <v>5509</v>
      </c>
      <c r="B2403" s="232" t="s">
        <v>5508</v>
      </c>
      <c r="C2403" s="232">
        <v>503.0</v>
      </c>
      <c r="D2403" s="232">
        <v>1374.45</v>
      </c>
      <c r="E2403" s="232">
        <v>2.7325</v>
      </c>
      <c r="F2403" t="s">
        <v>7702</v>
      </c>
      <c r="G2403" t="s">
        <v>330</v>
      </c>
      <c r="H2403" t="s">
        <v>7794</v>
      </c>
      <c r="I2403" t="s">
        <v>7742</v>
      </c>
    </row>
    <row r="2404">
      <c r="A2404" t="s">
        <v>5511</v>
      </c>
      <c r="B2404" s="232" t="s">
        <v>5510</v>
      </c>
      <c r="C2404" s="232">
        <v>0.0</v>
      </c>
      <c r="D2404" s="232">
        <v>0.0</v>
      </c>
      <c r="F2404" t="s">
        <v>7702</v>
      </c>
      <c r="G2404" t="s">
        <v>310</v>
      </c>
      <c r="H2404" t="s">
        <v>7703</v>
      </c>
      <c r="I2404" t="s">
        <v>7819</v>
      </c>
    </row>
    <row r="2405">
      <c r="A2405" t="s">
        <v>5513</v>
      </c>
      <c r="B2405" s="232" t="s">
        <v>5512</v>
      </c>
      <c r="C2405" s="232">
        <v>284.0</v>
      </c>
      <c r="D2405" s="232">
        <v>951.01</v>
      </c>
      <c r="E2405" s="232">
        <v>3.3486</v>
      </c>
      <c r="F2405" t="s">
        <v>7702</v>
      </c>
      <c r="G2405" t="s">
        <v>330</v>
      </c>
      <c r="H2405" t="s">
        <v>7794</v>
      </c>
      <c r="I2405" t="s">
        <v>7742</v>
      </c>
    </row>
    <row r="2406">
      <c r="A2406" t="s">
        <v>5525</v>
      </c>
      <c r="B2406" s="232" t="s">
        <v>5524</v>
      </c>
      <c r="C2406" s="232">
        <v>0.0</v>
      </c>
      <c r="D2406" s="232">
        <v>0.0</v>
      </c>
      <c r="F2406" t="s">
        <v>7702</v>
      </c>
      <c r="G2406" t="s">
        <v>330</v>
      </c>
      <c r="H2406" t="s">
        <v>45</v>
      </c>
      <c r="I2406" t="s">
        <v>7742</v>
      </c>
    </row>
    <row r="2407">
      <c r="A2407" t="s">
        <v>5529</v>
      </c>
      <c r="B2407" s="232" t="s">
        <v>5528</v>
      </c>
      <c r="C2407" s="232">
        <v>51.0</v>
      </c>
      <c r="D2407" s="232">
        <v>176.15</v>
      </c>
      <c r="E2407" s="232">
        <v>3.4539</v>
      </c>
      <c r="F2407" t="s">
        <v>7702</v>
      </c>
      <c r="G2407" t="s">
        <v>330</v>
      </c>
      <c r="H2407" t="s">
        <v>7794</v>
      </c>
      <c r="I2407" t="s">
        <v>7742</v>
      </c>
    </row>
    <row r="2408">
      <c r="A2408" t="s">
        <v>5531</v>
      </c>
      <c r="B2408" s="232" t="s">
        <v>5530</v>
      </c>
      <c r="C2408" s="232">
        <v>97.0</v>
      </c>
      <c r="D2408" s="232">
        <v>335.54</v>
      </c>
      <c r="E2408" s="232">
        <v>3.4592</v>
      </c>
      <c r="F2408" t="s">
        <v>7702</v>
      </c>
      <c r="G2408" t="s">
        <v>330</v>
      </c>
      <c r="H2408" t="s">
        <v>7794</v>
      </c>
      <c r="I2408" t="s">
        <v>7742</v>
      </c>
    </row>
    <row r="2409">
      <c r="A2409" t="s">
        <v>5533</v>
      </c>
      <c r="B2409" s="232" t="s">
        <v>5532</v>
      </c>
      <c r="C2409" s="232">
        <v>533.0</v>
      </c>
      <c r="D2409" s="232">
        <v>1919.06</v>
      </c>
      <c r="E2409" s="232">
        <v>3.6005</v>
      </c>
      <c r="F2409" t="s">
        <v>7702</v>
      </c>
      <c r="G2409" t="s">
        <v>330</v>
      </c>
      <c r="H2409" t="s">
        <v>7794</v>
      </c>
      <c r="I2409" t="s">
        <v>7742</v>
      </c>
    </row>
    <row r="2410">
      <c r="A2410" t="s">
        <v>5535</v>
      </c>
      <c r="B2410" s="232" t="s">
        <v>5534</v>
      </c>
      <c r="C2410" s="232">
        <v>252.0</v>
      </c>
      <c r="D2410" s="232">
        <v>912.15</v>
      </c>
      <c r="E2410" s="232">
        <v>3.6196</v>
      </c>
      <c r="F2410" t="s">
        <v>7702</v>
      </c>
      <c r="G2410" t="s">
        <v>330</v>
      </c>
      <c r="H2410" t="s">
        <v>7794</v>
      </c>
      <c r="I2410" t="s">
        <v>7742</v>
      </c>
    </row>
    <row r="2411">
      <c r="A2411" t="s">
        <v>5537</v>
      </c>
      <c r="B2411" s="232" t="s">
        <v>5536</v>
      </c>
      <c r="C2411" s="232">
        <v>307.0</v>
      </c>
      <c r="D2411" s="232">
        <v>838.88</v>
      </c>
      <c r="E2411" s="232">
        <v>2.7325</v>
      </c>
      <c r="F2411" t="s">
        <v>7702</v>
      </c>
      <c r="G2411" t="s">
        <v>330</v>
      </c>
      <c r="H2411" t="s">
        <v>7794</v>
      </c>
      <c r="I2411" t="s">
        <v>7742</v>
      </c>
    </row>
    <row r="2412">
      <c r="A2412" t="s">
        <v>5539</v>
      </c>
      <c r="B2412" s="232" t="s">
        <v>5538</v>
      </c>
      <c r="C2412" s="232">
        <v>434.0</v>
      </c>
      <c r="D2412" s="232">
        <v>1338.19</v>
      </c>
      <c r="E2412" s="232">
        <v>3.0834</v>
      </c>
      <c r="F2412" t="s">
        <v>7702</v>
      </c>
      <c r="G2412" t="s">
        <v>330</v>
      </c>
      <c r="H2412" t="s">
        <v>7794</v>
      </c>
      <c r="I2412" t="s">
        <v>7742</v>
      </c>
    </row>
    <row r="2413">
      <c r="A2413" t="s">
        <v>5545</v>
      </c>
      <c r="B2413" s="232" t="s">
        <v>5544</v>
      </c>
      <c r="C2413" s="232">
        <v>0.0</v>
      </c>
      <c r="D2413" s="232">
        <v>0.0</v>
      </c>
      <c r="F2413" t="s">
        <v>7702</v>
      </c>
      <c r="G2413" t="s">
        <v>310</v>
      </c>
      <c r="H2413" t="s">
        <v>45</v>
      </c>
      <c r="I2413" t="s">
        <v>7742</v>
      </c>
    </row>
    <row r="2414">
      <c r="A2414" t="s">
        <v>5547</v>
      </c>
      <c r="B2414" s="232" t="s">
        <v>5546</v>
      </c>
      <c r="C2414" s="232">
        <v>0.0</v>
      </c>
      <c r="D2414" s="232">
        <v>0.0</v>
      </c>
      <c r="F2414" t="s">
        <v>7702</v>
      </c>
      <c r="G2414" t="s">
        <v>310</v>
      </c>
      <c r="H2414" t="s">
        <v>7703</v>
      </c>
      <c r="I2414" t="s">
        <v>7742</v>
      </c>
    </row>
    <row r="2415">
      <c r="A2415" t="s">
        <v>5549</v>
      </c>
      <c r="B2415" s="232" t="s">
        <v>5548</v>
      </c>
      <c r="C2415" s="232">
        <v>0.0</v>
      </c>
      <c r="D2415" s="232">
        <v>0.0</v>
      </c>
      <c r="F2415" t="s">
        <v>7702</v>
      </c>
      <c r="G2415" t="s">
        <v>310</v>
      </c>
      <c r="H2415" t="s">
        <v>45</v>
      </c>
      <c r="I2415" t="s">
        <v>7742</v>
      </c>
    </row>
    <row r="2416">
      <c r="A2416" t="s">
        <v>5551</v>
      </c>
      <c r="B2416" s="232" t="s">
        <v>5550</v>
      </c>
      <c r="C2416" s="232">
        <v>285.0</v>
      </c>
      <c r="D2416" s="232">
        <v>1047.06</v>
      </c>
      <c r="E2416" s="232">
        <v>3.6739</v>
      </c>
      <c r="F2416" t="s">
        <v>7702</v>
      </c>
      <c r="G2416" t="s">
        <v>330</v>
      </c>
      <c r="H2416" t="s">
        <v>7794</v>
      </c>
      <c r="I2416" t="s">
        <v>7742</v>
      </c>
    </row>
    <row r="2417">
      <c r="A2417" t="s">
        <v>5553</v>
      </c>
      <c r="B2417" s="232" t="s">
        <v>5552</v>
      </c>
      <c r="C2417" s="232">
        <v>0.0</v>
      </c>
      <c r="D2417" s="232">
        <v>0.0</v>
      </c>
      <c r="F2417" t="s">
        <v>7702</v>
      </c>
      <c r="G2417" t="s">
        <v>310</v>
      </c>
      <c r="H2417" t="s">
        <v>45</v>
      </c>
      <c r="I2417" t="s">
        <v>7742</v>
      </c>
    </row>
    <row r="2418">
      <c r="A2418" t="s">
        <v>5555</v>
      </c>
      <c r="B2418" s="232" t="s">
        <v>5554</v>
      </c>
      <c r="C2418" s="232">
        <v>0.0</v>
      </c>
      <c r="D2418" s="232">
        <v>0.0</v>
      </c>
      <c r="F2418" t="s">
        <v>7702</v>
      </c>
      <c r="G2418" t="s">
        <v>310</v>
      </c>
      <c r="H2418" t="s">
        <v>7703</v>
      </c>
      <c r="I2418" t="s">
        <v>7819</v>
      </c>
    </row>
    <row r="2419">
      <c r="A2419" t="s">
        <v>5557</v>
      </c>
      <c r="B2419" s="232" t="s">
        <v>5556</v>
      </c>
      <c r="C2419" s="232">
        <v>568.0</v>
      </c>
      <c r="D2419" s="232">
        <v>1971.91</v>
      </c>
      <c r="E2419" s="232">
        <v>3.4717</v>
      </c>
      <c r="F2419" t="s">
        <v>7702</v>
      </c>
      <c r="G2419" t="s">
        <v>330</v>
      </c>
      <c r="H2419" t="s">
        <v>7794</v>
      </c>
      <c r="I2419" t="s">
        <v>7742</v>
      </c>
    </row>
    <row r="2420">
      <c r="A2420" t="s">
        <v>5559</v>
      </c>
      <c r="B2420" s="232" t="s">
        <v>5558</v>
      </c>
      <c r="C2420" s="232">
        <v>0.0</v>
      </c>
      <c r="D2420" s="232">
        <v>0.0</v>
      </c>
      <c r="F2420" t="s">
        <v>7702</v>
      </c>
      <c r="G2420" t="s">
        <v>330</v>
      </c>
      <c r="H2420" t="s">
        <v>7794</v>
      </c>
      <c r="I2420" t="s">
        <v>7742</v>
      </c>
    </row>
    <row r="2421">
      <c r="A2421" t="s">
        <v>5561</v>
      </c>
      <c r="B2421" s="232" t="s">
        <v>5560</v>
      </c>
      <c r="C2421" s="232">
        <v>228.0</v>
      </c>
      <c r="D2421" s="232">
        <v>821.09</v>
      </c>
      <c r="E2421" s="232">
        <v>3.6013</v>
      </c>
      <c r="F2421" t="s">
        <v>7702</v>
      </c>
      <c r="G2421" t="s">
        <v>330</v>
      </c>
      <c r="H2421" t="s">
        <v>7794</v>
      </c>
      <c r="I2421" t="s">
        <v>7742</v>
      </c>
    </row>
    <row r="2422">
      <c r="A2422" t="s">
        <v>5563</v>
      </c>
      <c r="B2422" s="232" t="s">
        <v>5562</v>
      </c>
      <c r="C2422" s="232">
        <v>164.0</v>
      </c>
      <c r="D2422" s="232">
        <v>593.59</v>
      </c>
      <c r="E2422" s="232">
        <v>3.6195</v>
      </c>
      <c r="F2422" t="s">
        <v>7702</v>
      </c>
      <c r="G2422" t="s">
        <v>330</v>
      </c>
      <c r="H2422" t="s">
        <v>7794</v>
      </c>
      <c r="I2422" t="s">
        <v>7742</v>
      </c>
    </row>
    <row r="2423">
      <c r="A2423" t="s">
        <v>5565</v>
      </c>
      <c r="B2423" s="232" t="s">
        <v>5564</v>
      </c>
      <c r="C2423" s="232">
        <v>132.0</v>
      </c>
      <c r="D2423" s="232">
        <v>482.66</v>
      </c>
      <c r="E2423" s="232">
        <v>3.6565</v>
      </c>
      <c r="F2423" t="s">
        <v>7702</v>
      </c>
      <c r="G2423" t="s">
        <v>330</v>
      </c>
      <c r="H2423" t="s">
        <v>7794</v>
      </c>
      <c r="I2423" t="s">
        <v>7742</v>
      </c>
    </row>
    <row r="2424">
      <c r="A2424" t="s">
        <v>5567</v>
      </c>
      <c r="B2424" s="232" t="s">
        <v>5566</v>
      </c>
      <c r="C2424" s="232">
        <v>0.0</v>
      </c>
      <c r="D2424" s="232">
        <v>0.0</v>
      </c>
      <c r="F2424" t="s">
        <v>7702</v>
      </c>
      <c r="G2424" t="s">
        <v>310</v>
      </c>
      <c r="H2424" t="s">
        <v>7794</v>
      </c>
      <c r="I2424" t="s">
        <v>7742</v>
      </c>
    </row>
    <row r="2425">
      <c r="A2425" t="s">
        <v>5569</v>
      </c>
      <c r="B2425" s="232" t="s">
        <v>5568</v>
      </c>
      <c r="C2425" s="232">
        <v>0.0</v>
      </c>
      <c r="D2425" s="232">
        <v>0.0</v>
      </c>
      <c r="F2425" t="s">
        <v>7702</v>
      </c>
      <c r="G2425" t="s">
        <v>310</v>
      </c>
      <c r="H2425" t="s">
        <v>7703</v>
      </c>
      <c r="I2425" t="s">
        <v>7742</v>
      </c>
    </row>
    <row r="2426">
      <c r="A2426" t="s">
        <v>5571</v>
      </c>
      <c r="B2426" s="232" t="s">
        <v>5570</v>
      </c>
      <c r="C2426" s="232">
        <v>3.0</v>
      </c>
      <c r="D2426" s="232">
        <v>225.69</v>
      </c>
      <c r="E2426" s="232">
        <v>75.23</v>
      </c>
      <c r="F2426" t="s">
        <v>7702</v>
      </c>
      <c r="G2426" t="s">
        <v>330</v>
      </c>
      <c r="H2426" t="s">
        <v>45</v>
      </c>
      <c r="I2426" t="s">
        <v>7714</v>
      </c>
    </row>
    <row r="2427">
      <c r="A2427" t="s">
        <v>5573</v>
      </c>
      <c r="B2427" s="232" t="s">
        <v>5572</v>
      </c>
      <c r="C2427" s="232">
        <v>0.0</v>
      </c>
      <c r="D2427" s="232">
        <v>0.0</v>
      </c>
      <c r="F2427" t="s">
        <v>7702</v>
      </c>
      <c r="G2427" t="s">
        <v>310</v>
      </c>
      <c r="H2427" t="s">
        <v>7703</v>
      </c>
      <c r="I2427" t="s">
        <v>7819</v>
      </c>
    </row>
    <row r="2428">
      <c r="A2428" t="s">
        <v>5575</v>
      </c>
      <c r="B2428" s="232" t="s">
        <v>5574</v>
      </c>
      <c r="C2428" s="232">
        <v>0.0</v>
      </c>
      <c r="D2428" s="232">
        <v>0.0</v>
      </c>
      <c r="F2428" t="s">
        <v>7702</v>
      </c>
      <c r="G2428" t="s">
        <v>310</v>
      </c>
      <c r="H2428" t="s">
        <v>7703</v>
      </c>
      <c r="I2428" t="s">
        <v>7742</v>
      </c>
    </row>
    <row r="2429">
      <c r="A2429" t="s">
        <v>5577</v>
      </c>
      <c r="B2429" s="232" t="s">
        <v>5576</v>
      </c>
      <c r="C2429" s="232">
        <v>0.0</v>
      </c>
      <c r="D2429" s="232">
        <v>0.0</v>
      </c>
      <c r="F2429" t="s">
        <v>7702</v>
      </c>
      <c r="G2429" t="s">
        <v>310</v>
      </c>
      <c r="H2429" t="s">
        <v>7794</v>
      </c>
      <c r="I2429" t="s">
        <v>7742</v>
      </c>
    </row>
    <row r="2430">
      <c r="A2430" t="s">
        <v>5579</v>
      </c>
      <c r="B2430" s="232" t="s">
        <v>5578</v>
      </c>
      <c r="C2430" s="232">
        <v>2.0</v>
      </c>
      <c r="D2430" s="232">
        <v>903.75</v>
      </c>
      <c r="E2430" s="232">
        <v>451.875</v>
      </c>
      <c r="F2430" t="s">
        <v>7702</v>
      </c>
      <c r="G2430" t="s">
        <v>330</v>
      </c>
      <c r="H2430" t="s">
        <v>7794</v>
      </c>
      <c r="I2430" t="s">
        <v>7742</v>
      </c>
    </row>
    <row r="2431">
      <c r="A2431" t="s">
        <v>5581</v>
      </c>
      <c r="B2431" s="232" t="s">
        <v>5580</v>
      </c>
      <c r="C2431" s="232">
        <v>0.0</v>
      </c>
      <c r="D2431" s="232">
        <v>0.0</v>
      </c>
      <c r="F2431" t="s">
        <v>7702</v>
      </c>
      <c r="G2431" t="s">
        <v>310</v>
      </c>
      <c r="H2431" t="s">
        <v>7703</v>
      </c>
      <c r="I2431" t="s">
        <v>7742</v>
      </c>
    </row>
    <row r="2432">
      <c r="A2432" t="s">
        <v>5583</v>
      </c>
      <c r="B2432" s="232" t="s">
        <v>5582</v>
      </c>
      <c r="C2432" s="232">
        <v>0.0</v>
      </c>
      <c r="D2432" s="232">
        <v>0.0</v>
      </c>
      <c r="F2432" t="s">
        <v>7702</v>
      </c>
      <c r="G2432" t="s">
        <v>310</v>
      </c>
      <c r="H2432" t="s">
        <v>7794</v>
      </c>
      <c r="I2432" t="s">
        <v>7742</v>
      </c>
    </row>
    <row r="2433">
      <c r="A2433" t="s">
        <v>5585</v>
      </c>
      <c r="B2433" s="232" t="s">
        <v>5584</v>
      </c>
      <c r="C2433" s="232">
        <v>1.0</v>
      </c>
      <c r="D2433" s="232">
        <v>503.72</v>
      </c>
      <c r="E2433" s="232">
        <v>503.72</v>
      </c>
      <c r="F2433" t="s">
        <v>7702</v>
      </c>
      <c r="G2433" t="s">
        <v>330</v>
      </c>
      <c r="H2433" t="s">
        <v>7794</v>
      </c>
      <c r="I2433" t="s">
        <v>7742</v>
      </c>
    </row>
    <row r="2434">
      <c r="A2434" t="s">
        <v>5587</v>
      </c>
      <c r="B2434" s="232" t="s">
        <v>5586</v>
      </c>
      <c r="C2434" s="232">
        <v>0.0</v>
      </c>
      <c r="D2434" s="232">
        <v>0.0</v>
      </c>
      <c r="F2434" t="s">
        <v>7702</v>
      </c>
      <c r="G2434" t="s">
        <v>310</v>
      </c>
      <c r="H2434" t="s">
        <v>7703</v>
      </c>
      <c r="I2434" t="s">
        <v>7742</v>
      </c>
    </row>
    <row r="2435">
      <c r="A2435" t="s">
        <v>5589</v>
      </c>
      <c r="B2435" s="232" t="s">
        <v>5588</v>
      </c>
      <c r="C2435" s="232">
        <v>0.0</v>
      </c>
      <c r="D2435" s="232">
        <v>0.0</v>
      </c>
      <c r="F2435" t="s">
        <v>7702</v>
      </c>
      <c r="G2435" t="s">
        <v>310</v>
      </c>
      <c r="H2435" t="s">
        <v>7794</v>
      </c>
      <c r="I2435" t="s">
        <v>7742</v>
      </c>
    </row>
    <row r="2436">
      <c r="A2436" t="s">
        <v>5591</v>
      </c>
      <c r="B2436" s="232" t="s">
        <v>5590</v>
      </c>
      <c r="C2436" s="232">
        <v>0.0</v>
      </c>
      <c r="D2436" s="232">
        <v>0.0</v>
      </c>
      <c r="F2436" t="s">
        <v>7702</v>
      </c>
      <c r="G2436" t="s">
        <v>330</v>
      </c>
      <c r="H2436" t="s">
        <v>7794</v>
      </c>
      <c r="I2436" t="s">
        <v>7742</v>
      </c>
    </row>
    <row r="2437">
      <c r="A2437" t="s">
        <v>5593</v>
      </c>
      <c r="B2437" s="232" t="s">
        <v>5592</v>
      </c>
      <c r="C2437" s="232">
        <v>2.0</v>
      </c>
      <c r="D2437" s="232">
        <v>644.47</v>
      </c>
      <c r="E2437" s="232">
        <v>322.235</v>
      </c>
      <c r="F2437" t="s">
        <v>7702</v>
      </c>
      <c r="G2437" t="s">
        <v>330</v>
      </c>
      <c r="H2437" t="s">
        <v>7794</v>
      </c>
      <c r="I2437" t="s">
        <v>7742</v>
      </c>
    </row>
    <row r="2438">
      <c r="A2438" t="s">
        <v>5595</v>
      </c>
      <c r="B2438" s="232" t="s">
        <v>5594</v>
      </c>
      <c r="C2438" s="232">
        <v>1.0</v>
      </c>
      <c r="D2438" s="232">
        <v>1596.96</v>
      </c>
      <c r="E2438" s="232">
        <v>1596.96</v>
      </c>
      <c r="F2438" t="s">
        <v>7702</v>
      </c>
      <c r="G2438" t="s">
        <v>330</v>
      </c>
      <c r="H2438" t="s">
        <v>7794</v>
      </c>
      <c r="I2438" t="s">
        <v>7819</v>
      </c>
    </row>
    <row r="2439">
      <c r="A2439" t="s">
        <v>5597</v>
      </c>
      <c r="B2439" s="232" t="s">
        <v>5596</v>
      </c>
      <c r="C2439" s="232">
        <v>0.0</v>
      </c>
      <c r="D2439" s="232">
        <v>0.0</v>
      </c>
      <c r="F2439" t="s">
        <v>7702</v>
      </c>
      <c r="G2439" t="s">
        <v>310</v>
      </c>
      <c r="H2439" t="s">
        <v>7794</v>
      </c>
      <c r="I2439" t="s">
        <v>7742</v>
      </c>
    </row>
    <row r="2440">
      <c r="A2440" t="s">
        <v>5599</v>
      </c>
      <c r="B2440" s="232" t="s">
        <v>5598</v>
      </c>
      <c r="C2440" s="232">
        <v>0.0</v>
      </c>
      <c r="D2440" s="232">
        <v>0.0</v>
      </c>
      <c r="F2440" t="s">
        <v>7702</v>
      </c>
      <c r="G2440" t="s">
        <v>330</v>
      </c>
      <c r="H2440" t="s">
        <v>7794</v>
      </c>
      <c r="I2440" t="s">
        <v>7819</v>
      </c>
    </row>
    <row r="2441">
      <c r="A2441" t="s">
        <v>5606</v>
      </c>
      <c r="B2441" s="232">
        <v>5111.0</v>
      </c>
      <c r="C2441" s="232">
        <v>0.0</v>
      </c>
      <c r="D2441" s="232">
        <v>0.0</v>
      </c>
      <c r="F2441" t="s">
        <v>7702</v>
      </c>
      <c r="G2441" t="s">
        <v>310</v>
      </c>
      <c r="H2441" t="s">
        <v>7703</v>
      </c>
      <c r="I2441" t="s">
        <v>29</v>
      </c>
    </row>
    <row r="2442">
      <c r="A2442" t="s">
        <v>5607</v>
      </c>
      <c r="B2442" s="232">
        <v>5107.0</v>
      </c>
      <c r="C2442" s="232">
        <v>0.0</v>
      </c>
      <c r="D2442" s="232">
        <v>0.0</v>
      </c>
      <c r="F2442" t="s">
        <v>7702</v>
      </c>
      <c r="G2442" t="s">
        <v>310</v>
      </c>
      <c r="H2442" t="s">
        <v>7703</v>
      </c>
      <c r="I2442" t="s">
        <v>29</v>
      </c>
    </row>
    <row r="2443">
      <c r="A2443" t="s">
        <v>5608</v>
      </c>
      <c r="B2443" s="232">
        <v>5113.0</v>
      </c>
      <c r="C2443" s="232">
        <v>0.0</v>
      </c>
      <c r="D2443" s="232">
        <v>0.0</v>
      </c>
      <c r="F2443" t="s">
        <v>7702</v>
      </c>
      <c r="G2443" t="s">
        <v>310</v>
      </c>
      <c r="H2443" t="s">
        <v>7703</v>
      </c>
      <c r="I2443" t="s">
        <v>29</v>
      </c>
    </row>
    <row r="2444">
      <c r="A2444" t="s">
        <v>5609</v>
      </c>
      <c r="B2444" s="232">
        <v>5102.0</v>
      </c>
      <c r="C2444" s="232">
        <v>0.0</v>
      </c>
      <c r="D2444" s="232">
        <v>0.0</v>
      </c>
      <c r="F2444" t="s">
        <v>7702</v>
      </c>
      <c r="G2444" t="s">
        <v>310</v>
      </c>
      <c r="H2444" t="s">
        <v>7703</v>
      </c>
      <c r="I2444" t="s">
        <v>29</v>
      </c>
    </row>
    <row r="2445">
      <c r="A2445" t="s">
        <v>5610</v>
      </c>
      <c r="B2445" s="232">
        <v>5101.0</v>
      </c>
      <c r="C2445" s="232">
        <v>0.0</v>
      </c>
      <c r="D2445" s="232">
        <v>0.0</v>
      </c>
      <c r="F2445" t="s">
        <v>7702</v>
      </c>
      <c r="G2445" t="s">
        <v>310</v>
      </c>
      <c r="H2445" t="s">
        <v>7703</v>
      </c>
      <c r="I2445" t="s">
        <v>29</v>
      </c>
    </row>
    <row r="2446">
      <c r="A2446" t="s">
        <v>5612</v>
      </c>
      <c r="B2446" s="232">
        <v>5115.0</v>
      </c>
      <c r="C2446" s="232">
        <v>0.0</v>
      </c>
      <c r="D2446" s="232">
        <v>0.0</v>
      </c>
      <c r="F2446" t="s">
        <v>7702</v>
      </c>
      <c r="G2446" t="s">
        <v>310</v>
      </c>
      <c r="H2446" t="s">
        <v>7703</v>
      </c>
      <c r="I2446" t="s">
        <v>29</v>
      </c>
    </row>
    <row r="2447">
      <c r="A2447" t="s">
        <v>5616</v>
      </c>
      <c r="B2447" s="232" t="s">
        <v>5615</v>
      </c>
      <c r="C2447" s="232">
        <v>0.0</v>
      </c>
      <c r="D2447" s="232">
        <v>0.0</v>
      </c>
      <c r="F2447" t="s">
        <v>7711</v>
      </c>
      <c r="G2447" t="s">
        <v>310</v>
      </c>
      <c r="H2447" t="s">
        <v>7703</v>
      </c>
      <c r="I2447" t="s">
        <v>29</v>
      </c>
    </row>
    <row r="2448">
      <c r="A2448" t="s">
        <v>5618</v>
      </c>
      <c r="B2448" s="232" t="s">
        <v>5617</v>
      </c>
      <c r="C2448" s="232">
        <v>0.0</v>
      </c>
      <c r="D2448" s="232">
        <v>0.0</v>
      </c>
      <c r="F2448" t="s">
        <v>7702</v>
      </c>
      <c r="G2448" t="s">
        <v>310</v>
      </c>
      <c r="H2448" t="s">
        <v>7703</v>
      </c>
      <c r="I2448" t="s">
        <v>7714</v>
      </c>
    </row>
    <row r="2449">
      <c r="A2449" t="s">
        <v>5632</v>
      </c>
      <c r="B2449" s="232" t="s">
        <v>5631</v>
      </c>
      <c r="C2449" s="232">
        <v>0.0</v>
      </c>
      <c r="D2449" s="232">
        <v>0.0</v>
      </c>
      <c r="F2449" t="s">
        <v>7702</v>
      </c>
      <c r="G2449" t="s">
        <v>310</v>
      </c>
      <c r="H2449" t="s">
        <v>7703</v>
      </c>
      <c r="I2449" t="s">
        <v>151</v>
      </c>
    </row>
    <row r="2450">
      <c r="A2450" t="s">
        <v>5636</v>
      </c>
      <c r="B2450" s="232" t="s">
        <v>5635</v>
      </c>
      <c r="C2450" s="232">
        <v>448.0</v>
      </c>
      <c r="D2450" s="232">
        <v>900.96</v>
      </c>
      <c r="E2450" s="232">
        <v>2.0111</v>
      </c>
      <c r="F2450" t="s">
        <v>7702</v>
      </c>
      <c r="G2450" t="s">
        <v>330</v>
      </c>
      <c r="H2450" t="s">
        <v>7709</v>
      </c>
      <c r="I2450" t="s">
        <v>7710</v>
      </c>
    </row>
    <row r="2451">
      <c r="A2451" t="s">
        <v>5640</v>
      </c>
      <c r="B2451" s="232" t="s">
        <v>5639</v>
      </c>
      <c r="C2451" s="232">
        <v>881.0</v>
      </c>
      <c r="D2451" s="232">
        <v>1855.81</v>
      </c>
      <c r="E2451" s="232">
        <v>2.1065</v>
      </c>
      <c r="F2451" t="s">
        <v>7702</v>
      </c>
      <c r="G2451" t="s">
        <v>330</v>
      </c>
      <c r="H2451" t="s">
        <v>7709</v>
      </c>
      <c r="I2451" t="s">
        <v>7710</v>
      </c>
    </row>
    <row r="2452">
      <c r="A2452" t="s">
        <v>5642</v>
      </c>
      <c r="B2452" s="232" t="s">
        <v>5641</v>
      </c>
      <c r="C2452" s="232">
        <v>998.0</v>
      </c>
      <c r="D2452" s="232">
        <v>2008.16</v>
      </c>
      <c r="E2452" s="232">
        <v>2.0122</v>
      </c>
      <c r="F2452" t="s">
        <v>7702</v>
      </c>
      <c r="G2452" t="s">
        <v>330</v>
      </c>
      <c r="H2452" t="s">
        <v>7709</v>
      </c>
      <c r="I2452" t="s">
        <v>7710</v>
      </c>
    </row>
    <row r="2453">
      <c r="A2453" t="s">
        <v>5644</v>
      </c>
      <c r="B2453" s="232" t="s">
        <v>5643</v>
      </c>
      <c r="C2453" s="232">
        <v>26.0</v>
      </c>
      <c r="D2453" s="232">
        <v>52.05</v>
      </c>
      <c r="E2453" s="232">
        <v>2.0019</v>
      </c>
      <c r="F2453" t="s">
        <v>7702</v>
      </c>
      <c r="G2453" t="s">
        <v>330</v>
      </c>
      <c r="H2453" t="s">
        <v>7709</v>
      </c>
      <c r="I2453" t="s">
        <v>7710</v>
      </c>
    </row>
    <row r="2454">
      <c r="A2454" t="s">
        <v>5646</v>
      </c>
      <c r="B2454" s="232" t="s">
        <v>5645</v>
      </c>
      <c r="C2454" s="232">
        <v>635.0</v>
      </c>
      <c r="D2454" s="232">
        <v>1337.57</v>
      </c>
      <c r="E2454" s="232">
        <v>2.1064</v>
      </c>
      <c r="F2454" t="s">
        <v>7702</v>
      </c>
      <c r="G2454" t="s">
        <v>330</v>
      </c>
      <c r="H2454" t="s">
        <v>7709</v>
      </c>
      <c r="I2454" t="s">
        <v>7710</v>
      </c>
    </row>
    <row r="2455">
      <c r="A2455" t="s">
        <v>5650</v>
      </c>
      <c r="B2455" s="232" t="s">
        <v>5649</v>
      </c>
      <c r="C2455" s="232">
        <v>110.0</v>
      </c>
      <c r="D2455" s="232">
        <v>231.54</v>
      </c>
      <c r="E2455" s="232">
        <v>2.1049</v>
      </c>
      <c r="F2455" t="s">
        <v>7702</v>
      </c>
      <c r="G2455" t="s">
        <v>330</v>
      </c>
      <c r="H2455" t="s">
        <v>7709</v>
      </c>
      <c r="I2455" t="s">
        <v>7710</v>
      </c>
    </row>
    <row r="2456">
      <c r="A2456" t="s">
        <v>5652</v>
      </c>
      <c r="B2456" s="232" t="s">
        <v>5651</v>
      </c>
      <c r="C2456" s="232">
        <v>77.0</v>
      </c>
      <c r="D2456" s="232">
        <v>155.12</v>
      </c>
      <c r="E2456" s="232">
        <v>2.0145</v>
      </c>
      <c r="F2456" t="s">
        <v>7702</v>
      </c>
      <c r="G2456" t="s">
        <v>330</v>
      </c>
      <c r="H2456" t="s">
        <v>45</v>
      </c>
      <c r="I2456" t="s">
        <v>7710</v>
      </c>
    </row>
    <row r="2457">
      <c r="A2457" t="s">
        <v>5654</v>
      </c>
      <c r="B2457" s="232" t="s">
        <v>5653</v>
      </c>
      <c r="C2457" s="232">
        <v>350.0</v>
      </c>
      <c r="D2457" s="232">
        <v>737.17</v>
      </c>
      <c r="E2457" s="232">
        <v>2.1062</v>
      </c>
      <c r="F2457" t="s">
        <v>7702</v>
      </c>
      <c r="G2457" t="s">
        <v>330</v>
      </c>
      <c r="H2457" t="s">
        <v>45</v>
      </c>
      <c r="I2457" t="s">
        <v>7710</v>
      </c>
    </row>
    <row r="2458">
      <c r="A2458" t="s">
        <v>5656</v>
      </c>
      <c r="B2458" s="232" t="s">
        <v>5655</v>
      </c>
      <c r="C2458" s="232">
        <v>688.0</v>
      </c>
      <c r="D2458" s="232">
        <v>2091.5</v>
      </c>
      <c r="E2458" s="232">
        <v>3.04</v>
      </c>
      <c r="F2458" t="s">
        <v>7702</v>
      </c>
      <c r="G2458" t="s">
        <v>330</v>
      </c>
      <c r="H2458" t="s">
        <v>7709</v>
      </c>
      <c r="I2458" t="s">
        <v>7710</v>
      </c>
    </row>
    <row r="2459">
      <c r="A2459" t="s">
        <v>5658</v>
      </c>
      <c r="B2459" s="232" t="s">
        <v>5657</v>
      </c>
      <c r="C2459" s="232">
        <v>362.0</v>
      </c>
      <c r="D2459" s="232">
        <v>762.45</v>
      </c>
      <c r="E2459" s="232">
        <v>2.1062</v>
      </c>
      <c r="F2459" t="s">
        <v>7702</v>
      </c>
      <c r="G2459" t="s">
        <v>330</v>
      </c>
      <c r="H2459" t="s">
        <v>7709</v>
      </c>
      <c r="I2459" t="s">
        <v>7710</v>
      </c>
    </row>
    <row r="2460">
      <c r="A2460" t="s">
        <v>5660</v>
      </c>
      <c r="B2460" s="232" t="s">
        <v>5659</v>
      </c>
      <c r="C2460" s="232">
        <v>4.0</v>
      </c>
      <c r="D2460" s="232">
        <v>212.34</v>
      </c>
      <c r="E2460" s="232">
        <v>53.085</v>
      </c>
      <c r="F2460" t="s">
        <v>7702</v>
      </c>
      <c r="G2460" t="s">
        <v>330</v>
      </c>
      <c r="H2460" t="s">
        <v>7709</v>
      </c>
      <c r="I2460" t="s">
        <v>7710</v>
      </c>
    </row>
    <row r="2461">
      <c r="A2461" t="s">
        <v>5662</v>
      </c>
      <c r="B2461" s="232" t="s">
        <v>5661</v>
      </c>
      <c r="C2461" s="232">
        <v>5.0</v>
      </c>
      <c r="D2461" s="232">
        <v>16.63</v>
      </c>
      <c r="E2461" s="232">
        <v>3.326</v>
      </c>
      <c r="F2461" t="s">
        <v>7702</v>
      </c>
      <c r="G2461" t="s">
        <v>330</v>
      </c>
      <c r="I2461" t="s">
        <v>7714</v>
      </c>
    </row>
    <row r="2462">
      <c r="A2462" t="s">
        <v>5664</v>
      </c>
      <c r="B2462" s="232" t="s">
        <v>5663</v>
      </c>
      <c r="C2462" s="232">
        <v>1.0</v>
      </c>
      <c r="D2462" s="232">
        <v>60.28</v>
      </c>
      <c r="E2462" s="232">
        <v>60.28</v>
      </c>
      <c r="F2462" t="s">
        <v>7702</v>
      </c>
      <c r="G2462" t="s">
        <v>330</v>
      </c>
      <c r="H2462" t="s">
        <v>45</v>
      </c>
      <c r="I2462" t="s">
        <v>7760</v>
      </c>
    </row>
    <row r="2463">
      <c r="A2463" t="s">
        <v>5666</v>
      </c>
      <c r="B2463" s="232" t="s">
        <v>5665</v>
      </c>
      <c r="C2463" s="232">
        <v>0.0</v>
      </c>
      <c r="D2463" s="232">
        <v>0.0</v>
      </c>
      <c r="F2463" t="s">
        <v>7702</v>
      </c>
      <c r="G2463" t="s">
        <v>330</v>
      </c>
      <c r="I2463" t="s">
        <v>7714</v>
      </c>
    </row>
    <row r="2464">
      <c r="A2464" t="s">
        <v>5668</v>
      </c>
      <c r="B2464" s="232" t="s">
        <v>5667</v>
      </c>
      <c r="C2464" s="232">
        <v>0.0</v>
      </c>
      <c r="D2464" s="232">
        <v>0.0</v>
      </c>
      <c r="F2464" t="s">
        <v>7711</v>
      </c>
      <c r="G2464" t="s">
        <v>330</v>
      </c>
      <c r="H2464" t="s">
        <v>7709</v>
      </c>
      <c r="I2464" t="s">
        <v>7828</v>
      </c>
    </row>
    <row r="2465">
      <c r="A2465" t="s">
        <v>5670</v>
      </c>
      <c r="B2465" s="232" t="s">
        <v>5669</v>
      </c>
      <c r="C2465" s="232">
        <v>301.0</v>
      </c>
      <c r="D2465" s="232">
        <v>1436.08</v>
      </c>
      <c r="E2465" s="232">
        <v>4.771</v>
      </c>
      <c r="F2465" t="s">
        <v>7702</v>
      </c>
      <c r="G2465" t="s">
        <v>330</v>
      </c>
      <c r="H2465" t="s">
        <v>7709</v>
      </c>
      <c r="I2465" t="s">
        <v>7829</v>
      </c>
    </row>
    <row r="2466">
      <c r="A2466" t="s">
        <v>5672</v>
      </c>
      <c r="B2466" s="232" t="s">
        <v>5671</v>
      </c>
      <c r="C2466" s="232">
        <v>330.0</v>
      </c>
      <c r="D2466" s="232">
        <v>1574.45</v>
      </c>
      <c r="E2466" s="232">
        <v>4.7711</v>
      </c>
      <c r="F2466" t="s">
        <v>7702</v>
      </c>
      <c r="G2466" t="s">
        <v>330</v>
      </c>
      <c r="H2466" t="s">
        <v>7709</v>
      </c>
      <c r="I2466" t="s">
        <v>7829</v>
      </c>
    </row>
    <row r="2467">
      <c r="A2467" t="s">
        <v>5674</v>
      </c>
      <c r="B2467" s="232" t="s">
        <v>5673</v>
      </c>
      <c r="C2467" s="232">
        <v>375.0</v>
      </c>
      <c r="D2467" s="232">
        <v>1789.11</v>
      </c>
      <c r="E2467" s="232">
        <v>4.771</v>
      </c>
      <c r="F2467" t="s">
        <v>7702</v>
      </c>
      <c r="G2467" t="s">
        <v>330</v>
      </c>
      <c r="H2467" t="s">
        <v>7709</v>
      </c>
      <c r="I2467" t="s">
        <v>7829</v>
      </c>
    </row>
    <row r="2468">
      <c r="A2468" t="s">
        <v>5676</v>
      </c>
      <c r="B2468" s="232" t="s">
        <v>5675</v>
      </c>
      <c r="C2468" s="232">
        <v>342.0</v>
      </c>
      <c r="D2468" s="232">
        <v>1631.68</v>
      </c>
      <c r="E2468" s="232">
        <v>4.771</v>
      </c>
      <c r="F2468" t="s">
        <v>7702</v>
      </c>
      <c r="G2468" t="s">
        <v>330</v>
      </c>
      <c r="H2468" t="s">
        <v>7709</v>
      </c>
      <c r="I2468" t="s">
        <v>7829</v>
      </c>
    </row>
    <row r="2469">
      <c r="A2469" t="s">
        <v>5678</v>
      </c>
      <c r="B2469" s="232" t="s">
        <v>5677</v>
      </c>
      <c r="C2469" s="232">
        <v>128.0</v>
      </c>
      <c r="D2469" s="232">
        <v>610.71</v>
      </c>
      <c r="E2469" s="232">
        <v>4.7712</v>
      </c>
      <c r="F2469" t="s">
        <v>7702</v>
      </c>
      <c r="G2469" t="s">
        <v>330</v>
      </c>
      <c r="H2469" t="s">
        <v>7709</v>
      </c>
      <c r="I2469" t="s">
        <v>7829</v>
      </c>
    </row>
    <row r="2470">
      <c r="A2470" t="s">
        <v>5680</v>
      </c>
      <c r="B2470" s="232" t="s">
        <v>5679</v>
      </c>
      <c r="C2470" s="232">
        <v>327.0</v>
      </c>
      <c r="D2470" s="232">
        <v>1560.18</v>
      </c>
      <c r="E2470" s="232">
        <v>4.7712</v>
      </c>
      <c r="F2470" t="s">
        <v>7702</v>
      </c>
      <c r="G2470" t="s">
        <v>330</v>
      </c>
      <c r="H2470" t="s">
        <v>7709</v>
      </c>
      <c r="I2470" t="s">
        <v>7829</v>
      </c>
    </row>
    <row r="2471">
      <c r="A2471" t="s">
        <v>5682</v>
      </c>
      <c r="B2471" s="232" t="s">
        <v>5681</v>
      </c>
      <c r="C2471" s="232">
        <v>418.0</v>
      </c>
      <c r="D2471" s="232">
        <v>229.9</v>
      </c>
      <c r="E2471" s="232">
        <v>0.55</v>
      </c>
      <c r="F2471" t="s">
        <v>7702</v>
      </c>
      <c r="G2471" t="s">
        <v>330</v>
      </c>
      <c r="H2471" t="s">
        <v>7725</v>
      </c>
      <c r="I2471" t="s">
        <v>7727</v>
      </c>
    </row>
    <row r="2472">
      <c r="A2472" t="s">
        <v>5684</v>
      </c>
      <c r="B2472" s="232" t="s">
        <v>5683</v>
      </c>
      <c r="C2472" s="232">
        <v>232.0</v>
      </c>
      <c r="D2472" s="232">
        <v>116.0</v>
      </c>
      <c r="E2472" s="232">
        <v>0.5</v>
      </c>
      <c r="F2472" t="s">
        <v>7702</v>
      </c>
      <c r="G2472" t="s">
        <v>330</v>
      </c>
      <c r="H2472" t="s">
        <v>7725</v>
      </c>
      <c r="I2472" t="s">
        <v>7745</v>
      </c>
    </row>
    <row r="2473">
      <c r="A2473" t="s">
        <v>5686</v>
      </c>
      <c r="B2473" s="232" t="s">
        <v>5685</v>
      </c>
      <c r="C2473" s="232">
        <v>0.0</v>
      </c>
      <c r="D2473" s="232">
        <v>0.0</v>
      </c>
      <c r="F2473" t="s">
        <v>7702</v>
      </c>
      <c r="G2473" t="s">
        <v>310</v>
      </c>
      <c r="H2473" t="s">
        <v>7703</v>
      </c>
      <c r="I2473" t="s">
        <v>7724</v>
      </c>
    </row>
    <row r="2474">
      <c r="A2474" t="s">
        <v>5688</v>
      </c>
      <c r="B2474" s="232" t="s">
        <v>5687</v>
      </c>
      <c r="C2474" s="232">
        <v>0.0</v>
      </c>
      <c r="D2474" s="232">
        <v>0.0</v>
      </c>
      <c r="F2474" t="s">
        <v>7711</v>
      </c>
      <c r="G2474" t="s">
        <v>310</v>
      </c>
      <c r="H2474" t="s">
        <v>7703</v>
      </c>
      <c r="I2474" t="s">
        <v>7819</v>
      </c>
    </row>
    <row r="2475">
      <c r="A2475" t="s">
        <v>5690</v>
      </c>
      <c r="B2475" s="232" t="s">
        <v>5689</v>
      </c>
      <c r="C2475" s="232">
        <v>0.0</v>
      </c>
      <c r="D2475" s="232">
        <v>0.0</v>
      </c>
      <c r="F2475" t="s">
        <v>7702</v>
      </c>
      <c r="G2475" t="s">
        <v>310</v>
      </c>
      <c r="H2475" t="s">
        <v>7703</v>
      </c>
      <c r="I2475" t="s">
        <v>7720</v>
      </c>
    </row>
    <row r="2476">
      <c r="A2476" t="s">
        <v>5692</v>
      </c>
      <c r="B2476" s="232" t="s">
        <v>5691</v>
      </c>
      <c r="C2476" s="232">
        <v>0.0</v>
      </c>
      <c r="D2476" s="232">
        <v>0.0</v>
      </c>
      <c r="F2476" t="s">
        <v>7702</v>
      </c>
      <c r="G2476" t="s">
        <v>310</v>
      </c>
      <c r="H2476" t="s">
        <v>7703</v>
      </c>
      <c r="I2476" t="s">
        <v>7720</v>
      </c>
    </row>
    <row r="2477">
      <c r="A2477" t="s">
        <v>5694</v>
      </c>
      <c r="B2477" s="232" t="s">
        <v>5693</v>
      </c>
      <c r="C2477" s="232">
        <v>0.0</v>
      </c>
      <c r="D2477" s="232">
        <v>0.0</v>
      </c>
      <c r="F2477" t="s">
        <v>7702</v>
      </c>
      <c r="G2477" t="s">
        <v>310</v>
      </c>
      <c r="H2477" t="s">
        <v>7703</v>
      </c>
      <c r="I2477" t="s">
        <v>7720</v>
      </c>
    </row>
    <row r="2478">
      <c r="A2478" t="s">
        <v>5696</v>
      </c>
      <c r="B2478" s="232" t="s">
        <v>5695</v>
      </c>
      <c r="C2478" s="232">
        <v>0.0</v>
      </c>
      <c r="D2478" s="232">
        <v>0.0</v>
      </c>
      <c r="F2478" t="s">
        <v>7702</v>
      </c>
      <c r="G2478" t="s">
        <v>310</v>
      </c>
      <c r="H2478" t="s">
        <v>7703</v>
      </c>
      <c r="I2478" t="s">
        <v>7720</v>
      </c>
    </row>
    <row r="2479">
      <c r="A2479" t="s">
        <v>5698</v>
      </c>
      <c r="B2479" s="232" t="s">
        <v>5697</v>
      </c>
      <c r="C2479" s="232">
        <v>0.0</v>
      </c>
      <c r="D2479" s="232">
        <v>0.0</v>
      </c>
      <c r="F2479" t="s">
        <v>7702</v>
      </c>
      <c r="G2479" t="s">
        <v>310</v>
      </c>
      <c r="H2479" t="s">
        <v>7703</v>
      </c>
      <c r="I2479" t="s">
        <v>7720</v>
      </c>
    </row>
    <row r="2480">
      <c r="A2480" t="s">
        <v>5700</v>
      </c>
      <c r="B2480" s="232" t="s">
        <v>5699</v>
      </c>
      <c r="C2480" s="232">
        <v>0.0</v>
      </c>
      <c r="D2480" s="232">
        <v>0.0</v>
      </c>
      <c r="F2480" t="s">
        <v>7702</v>
      </c>
      <c r="G2480" t="s">
        <v>310</v>
      </c>
      <c r="H2480" t="s">
        <v>7703</v>
      </c>
      <c r="I2480" t="s">
        <v>7720</v>
      </c>
    </row>
    <row r="2481">
      <c r="A2481" t="s">
        <v>5702</v>
      </c>
      <c r="B2481" s="232" t="s">
        <v>5701</v>
      </c>
      <c r="C2481" s="232">
        <v>0.0</v>
      </c>
      <c r="D2481" s="232">
        <v>0.0</v>
      </c>
      <c r="F2481" t="s">
        <v>7702</v>
      </c>
      <c r="G2481" t="s">
        <v>310</v>
      </c>
      <c r="H2481" t="s">
        <v>7703</v>
      </c>
      <c r="I2481" t="s">
        <v>7720</v>
      </c>
    </row>
    <row r="2482">
      <c r="A2482" t="s">
        <v>5704</v>
      </c>
      <c r="B2482" s="232" t="s">
        <v>5703</v>
      </c>
      <c r="C2482" s="232">
        <v>0.0</v>
      </c>
      <c r="D2482" s="232">
        <v>0.0</v>
      </c>
      <c r="F2482" t="s">
        <v>7702</v>
      </c>
      <c r="G2482" t="s">
        <v>310</v>
      </c>
      <c r="H2482" t="s">
        <v>7703</v>
      </c>
      <c r="I2482" t="s">
        <v>7720</v>
      </c>
    </row>
    <row r="2483">
      <c r="A2483" t="s">
        <v>5706</v>
      </c>
      <c r="B2483" s="232" t="s">
        <v>5705</v>
      </c>
      <c r="C2483" s="232">
        <v>0.0</v>
      </c>
      <c r="D2483" s="232">
        <v>0.0</v>
      </c>
      <c r="F2483" t="s">
        <v>7711</v>
      </c>
      <c r="G2483" t="s">
        <v>330</v>
      </c>
      <c r="H2483" t="s">
        <v>7725</v>
      </c>
      <c r="I2483" t="s">
        <v>7720</v>
      </c>
    </row>
    <row r="2484">
      <c r="A2484" t="s">
        <v>5708</v>
      </c>
      <c r="B2484" s="232" t="s">
        <v>5707</v>
      </c>
      <c r="C2484" s="232">
        <v>306.0</v>
      </c>
      <c r="D2484" s="232">
        <v>165.24</v>
      </c>
      <c r="E2484" s="232">
        <v>0.54</v>
      </c>
      <c r="F2484" t="s">
        <v>7702</v>
      </c>
      <c r="G2484" t="s">
        <v>330</v>
      </c>
      <c r="H2484" t="s">
        <v>7725</v>
      </c>
      <c r="I2484" t="s">
        <v>7739</v>
      </c>
    </row>
    <row r="2485">
      <c r="A2485" t="s">
        <v>5710</v>
      </c>
      <c r="B2485" s="232" t="s">
        <v>5709</v>
      </c>
      <c r="C2485" s="232">
        <v>24.0</v>
      </c>
      <c r="D2485" s="232">
        <v>12.96</v>
      </c>
      <c r="E2485" s="232">
        <v>0.54</v>
      </c>
      <c r="F2485" t="s">
        <v>7702</v>
      </c>
      <c r="G2485" t="s">
        <v>330</v>
      </c>
      <c r="H2485" t="s">
        <v>7725</v>
      </c>
      <c r="I2485" t="s">
        <v>7739</v>
      </c>
    </row>
    <row r="2486">
      <c r="A2486" t="s">
        <v>5712</v>
      </c>
      <c r="B2486" s="232" t="s">
        <v>5711</v>
      </c>
      <c r="C2486" s="232">
        <v>280.0</v>
      </c>
      <c r="D2486" s="232">
        <v>1354.51</v>
      </c>
      <c r="E2486" s="232">
        <v>4.8375</v>
      </c>
      <c r="F2486" t="s">
        <v>7702</v>
      </c>
      <c r="G2486" t="s">
        <v>330</v>
      </c>
      <c r="H2486" t="s">
        <v>45</v>
      </c>
      <c r="I2486" t="s">
        <v>7830</v>
      </c>
    </row>
    <row r="2487">
      <c r="A2487" t="s">
        <v>5714</v>
      </c>
      <c r="B2487" s="232" t="s">
        <v>5713</v>
      </c>
      <c r="C2487" s="232">
        <v>0.0</v>
      </c>
      <c r="D2487" s="232">
        <v>0.0</v>
      </c>
      <c r="F2487" t="s">
        <v>7702</v>
      </c>
      <c r="G2487" t="s">
        <v>330</v>
      </c>
      <c r="H2487" t="s">
        <v>45</v>
      </c>
      <c r="I2487" t="s">
        <v>7830</v>
      </c>
    </row>
    <row r="2488">
      <c r="A2488" t="s">
        <v>5716</v>
      </c>
      <c r="B2488" s="232" t="s">
        <v>5715</v>
      </c>
      <c r="C2488" s="232">
        <v>0.0</v>
      </c>
      <c r="D2488" s="232">
        <v>0.0</v>
      </c>
      <c r="F2488" t="s">
        <v>7702</v>
      </c>
      <c r="G2488" t="s">
        <v>310</v>
      </c>
      <c r="H2488" t="s">
        <v>7703</v>
      </c>
      <c r="I2488" t="s">
        <v>7830</v>
      </c>
    </row>
    <row r="2489">
      <c r="A2489" t="s">
        <v>5718</v>
      </c>
      <c r="B2489" s="232" t="s">
        <v>5717</v>
      </c>
      <c r="C2489" s="232">
        <v>0.0</v>
      </c>
      <c r="D2489" s="232">
        <v>0.0</v>
      </c>
      <c r="F2489" t="s">
        <v>7702</v>
      </c>
      <c r="G2489" t="s">
        <v>310</v>
      </c>
      <c r="H2489" t="s">
        <v>7703</v>
      </c>
      <c r="I2489" t="s">
        <v>7830</v>
      </c>
    </row>
    <row r="2490">
      <c r="A2490" t="s">
        <v>5720</v>
      </c>
      <c r="B2490" s="232" t="s">
        <v>5719</v>
      </c>
      <c r="C2490" s="232">
        <v>152.0</v>
      </c>
      <c r="D2490" s="232">
        <v>731.59</v>
      </c>
      <c r="E2490" s="232">
        <v>4.8131</v>
      </c>
      <c r="F2490" t="s">
        <v>7702</v>
      </c>
      <c r="G2490" t="s">
        <v>330</v>
      </c>
      <c r="H2490" t="s">
        <v>45</v>
      </c>
      <c r="I2490" t="s">
        <v>7830</v>
      </c>
    </row>
    <row r="2491">
      <c r="A2491" t="s">
        <v>5722</v>
      </c>
      <c r="B2491" s="232" t="s">
        <v>5721</v>
      </c>
      <c r="C2491" s="232">
        <v>0.0</v>
      </c>
      <c r="D2491" s="232">
        <v>0.0</v>
      </c>
      <c r="F2491" t="s">
        <v>7702</v>
      </c>
      <c r="G2491" t="s">
        <v>310</v>
      </c>
      <c r="H2491" t="s">
        <v>7703</v>
      </c>
      <c r="I2491" t="s">
        <v>7830</v>
      </c>
    </row>
    <row r="2492">
      <c r="A2492" t="s">
        <v>5724</v>
      </c>
      <c r="B2492" s="232" t="s">
        <v>5723</v>
      </c>
      <c r="C2492" s="232">
        <v>0.0</v>
      </c>
      <c r="D2492" s="232">
        <v>0.0</v>
      </c>
      <c r="F2492" t="s">
        <v>7702</v>
      </c>
      <c r="G2492" t="s">
        <v>310</v>
      </c>
      <c r="H2492" t="s">
        <v>7703</v>
      </c>
      <c r="I2492" t="s">
        <v>7755</v>
      </c>
    </row>
    <row r="2493">
      <c r="A2493" t="s">
        <v>5726</v>
      </c>
      <c r="B2493" s="232" t="s">
        <v>5725</v>
      </c>
      <c r="C2493" s="232">
        <v>84.0</v>
      </c>
      <c r="D2493" s="232">
        <v>229.84</v>
      </c>
      <c r="E2493" s="232">
        <v>2.7362</v>
      </c>
      <c r="F2493" t="s">
        <v>7702</v>
      </c>
      <c r="G2493" t="s">
        <v>330</v>
      </c>
      <c r="H2493" t="s">
        <v>45</v>
      </c>
      <c r="I2493" t="s">
        <v>7755</v>
      </c>
    </row>
    <row r="2494">
      <c r="A2494" t="s">
        <v>5728</v>
      </c>
      <c r="B2494" s="232" t="s">
        <v>5727</v>
      </c>
      <c r="C2494" s="232">
        <v>0.0</v>
      </c>
      <c r="D2494" s="232">
        <v>0.0</v>
      </c>
      <c r="F2494" t="s">
        <v>7702</v>
      </c>
      <c r="G2494" t="s">
        <v>310</v>
      </c>
      <c r="H2494" t="s">
        <v>45</v>
      </c>
      <c r="I2494" t="s">
        <v>7755</v>
      </c>
    </row>
    <row r="2495">
      <c r="A2495" t="s">
        <v>5730</v>
      </c>
      <c r="B2495" s="232" t="s">
        <v>5729</v>
      </c>
      <c r="C2495" s="232">
        <v>123.0</v>
      </c>
      <c r="D2495" s="232">
        <v>695.3</v>
      </c>
      <c r="E2495" s="232">
        <v>5.6528</v>
      </c>
      <c r="F2495" t="s">
        <v>7702</v>
      </c>
      <c r="G2495" t="s">
        <v>330</v>
      </c>
      <c r="H2495" t="s">
        <v>45</v>
      </c>
      <c r="I2495" t="s">
        <v>7756</v>
      </c>
    </row>
    <row r="2496">
      <c r="A2496" t="s">
        <v>5732</v>
      </c>
      <c r="B2496" s="232" t="s">
        <v>5731</v>
      </c>
      <c r="C2496" s="232">
        <v>163.0</v>
      </c>
      <c r="D2496" s="232">
        <v>921.41</v>
      </c>
      <c r="E2496" s="232">
        <v>5.6528</v>
      </c>
      <c r="F2496" t="s">
        <v>7702</v>
      </c>
      <c r="G2496" t="s">
        <v>330</v>
      </c>
      <c r="H2496" t="s">
        <v>150</v>
      </c>
      <c r="I2496" t="s">
        <v>7756</v>
      </c>
    </row>
    <row r="2497">
      <c r="A2497" t="s">
        <v>5734</v>
      </c>
      <c r="B2497" s="232" t="s">
        <v>5733</v>
      </c>
      <c r="C2497" s="232">
        <v>15.0</v>
      </c>
      <c r="D2497" s="232">
        <v>77.82</v>
      </c>
      <c r="E2497" s="232">
        <v>5.188</v>
      </c>
      <c r="F2497" t="s">
        <v>7702</v>
      </c>
      <c r="G2497" t="s">
        <v>330</v>
      </c>
      <c r="H2497" t="s">
        <v>150</v>
      </c>
      <c r="I2497" t="s">
        <v>7756</v>
      </c>
    </row>
    <row r="2498">
      <c r="A2498" t="s">
        <v>5736</v>
      </c>
      <c r="B2498" s="232" t="s">
        <v>5735</v>
      </c>
      <c r="C2498" s="232">
        <v>70.0</v>
      </c>
      <c r="D2498" s="232">
        <v>395.73</v>
      </c>
      <c r="E2498" s="232">
        <v>5.6533</v>
      </c>
      <c r="F2498" t="s">
        <v>7702</v>
      </c>
      <c r="G2498" t="s">
        <v>330</v>
      </c>
      <c r="H2498" t="s">
        <v>45</v>
      </c>
      <c r="I2498" t="s">
        <v>7756</v>
      </c>
    </row>
    <row r="2499">
      <c r="A2499" t="s">
        <v>5738</v>
      </c>
      <c r="B2499" s="232" t="s">
        <v>5737</v>
      </c>
      <c r="C2499" s="232">
        <v>256.0</v>
      </c>
      <c r="D2499" s="232">
        <v>1447.1</v>
      </c>
      <c r="E2499" s="232">
        <v>5.6527</v>
      </c>
      <c r="F2499" t="s">
        <v>7702</v>
      </c>
      <c r="G2499" t="s">
        <v>330</v>
      </c>
      <c r="H2499" t="s">
        <v>45</v>
      </c>
      <c r="I2499" t="s">
        <v>7756</v>
      </c>
    </row>
    <row r="2500">
      <c r="A2500" t="s">
        <v>5740</v>
      </c>
      <c r="B2500" s="232" t="s">
        <v>5739</v>
      </c>
      <c r="C2500" s="232">
        <v>3.0</v>
      </c>
      <c r="D2500" s="232">
        <v>435.74</v>
      </c>
      <c r="E2500" s="232">
        <v>145.2467</v>
      </c>
      <c r="F2500" t="s">
        <v>7702</v>
      </c>
      <c r="G2500" t="s">
        <v>330</v>
      </c>
      <c r="H2500" t="s">
        <v>150</v>
      </c>
      <c r="I2500" t="s">
        <v>7756</v>
      </c>
    </row>
    <row r="2501">
      <c r="A2501" t="s">
        <v>5742</v>
      </c>
      <c r="B2501" s="232" t="s">
        <v>5741</v>
      </c>
      <c r="C2501" s="232">
        <v>0.0</v>
      </c>
      <c r="D2501" s="232">
        <v>0.0</v>
      </c>
      <c r="F2501" t="s">
        <v>7702</v>
      </c>
      <c r="G2501" t="s">
        <v>310</v>
      </c>
      <c r="H2501" t="s">
        <v>7725</v>
      </c>
      <c r="I2501" t="s">
        <v>7714</v>
      </c>
    </row>
    <row r="2502">
      <c r="A2502" t="s">
        <v>5744</v>
      </c>
      <c r="B2502" s="232" t="s">
        <v>5743</v>
      </c>
      <c r="C2502" s="232">
        <v>0.0</v>
      </c>
      <c r="D2502" s="232">
        <v>0.0</v>
      </c>
      <c r="F2502" t="s">
        <v>7702</v>
      </c>
      <c r="G2502" t="s">
        <v>310</v>
      </c>
      <c r="H2502" t="s">
        <v>45</v>
      </c>
      <c r="I2502" t="s">
        <v>7757</v>
      </c>
    </row>
    <row r="2503">
      <c r="A2503" t="s">
        <v>5746</v>
      </c>
      <c r="B2503" s="232" t="s">
        <v>5745</v>
      </c>
      <c r="C2503" s="232">
        <v>2.0</v>
      </c>
      <c r="D2503" s="232">
        <v>0.02</v>
      </c>
      <c r="E2503" s="232">
        <v>0.01</v>
      </c>
      <c r="F2503" t="s">
        <v>7702</v>
      </c>
      <c r="G2503" t="s">
        <v>310</v>
      </c>
      <c r="H2503" t="s">
        <v>7725</v>
      </c>
      <c r="I2503" t="s">
        <v>7714</v>
      </c>
    </row>
    <row r="2504">
      <c r="A2504" t="s">
        <v>5748</v>
      </c>
      <c r="B2504" s="232" t="s">
        <v>5747</v>
      </c>
      <c r="C2504" s="232">
        <v>0.0</v>
      </c>
      <c r="D2504" s="232">
        <v>0.0</v>
      </c>
      <c r="F2504" t="s">
        <v>7702</v>
      </c>
      <c r="G2504" t="s">
        <v>310</v>
      </c>
      <c r="H2504" t="s">
        <v>7703</v>
      </c>
      <c r="I2504" t="s">
        <v>7820</v>
      </c>
    </row>
    <row r="2505">
      <c r="A2505" t="s">
        <v>5750</v>
      </c>
      <c r="B2505" s="232" t="s">
        <v>5749</v>
      </c>
      <c r="C2505" s="232">
        <v>0.0</v>
      </c>
      <c r="D2505" s="232">
        <v>0.0</v>
      </c>
      <c r="F2505" t="s">
        <v>7702</v>
      </c>
      <c r="G2505" t="s">
        <v>310</v>
      </c>
      <c r="H2505" t="s">
        <v>7703</v>
      </c>
      <c r="I2505" t="s">
        <v>7820</v>
      </c>
    </row>
    <row r="2506">
      <c r="A2506" t="s">
        <v>5752</v>
      </c>
      <c r="B2506" s="232" t="s">
        <v>5751</v>
      </c>
      <c r="C2506" s="232">
        <v>0.0</v>
      </c>
      <c r="D2506" s="232">
        <v>0.0</v>
      </c>
      <c r="F2506" t="s">
        <v>7702</v>
      </c>
      <c r="G2506" t="s">
        <v>310</v>
      </c>
      <c r="H2506" t="s">
        <v>7703</v>
      </c>
      <c r="I2506" t="s">
        <v>166</v>
      </c>
    </row>
    <row r="2507">
      <c r="A2507" t="s">
        <v>5754</v>
      </c>
      <c r="B2507" s="232" t="s">
        <v>5753</v>
      </c>
      <c r="C2507" s="232">
        <v>0.0</v>
      </c>
      <c r="D2507" s="232">
        <v>0.0</v>
      </c>
      <c r="F2507" t="s">
        <v>7702</v>
      </c>
      <c r="G2507" t="s">
        <v>310</v>
      </c>
      <c r="H2507" t="s">
        <v>7703</v>
      </c>
      <c r="I2507" t="s">
        <v>166</v>
      </c>
    </row>
    <row r="2508">
      <c r="A2508" t="s">
        <v>5756</v>
      </c>
      <c r="B2508" s="232" t="s">
        <v>5755</v>
      </c>
      <c r="C2508" s="232">
        <v>0.0</v>
      </c>
      <c r="D2508" s="232">
        <v>0.0</v>
      </c>
      <c r="F2508" t="s">
        <v>7702</v>
      </c>
      <c r="G2508" t="s">
        <v>310</v>
      </c>
      <c r="H2508" t="s">
        <v>7703</v>
      </c>
      <c r="I2508" t="s">
        <v>166</v>
      </c>
    </row>
    <row r="2509">
      <c r="A2509" t="s">
        <v>5760</v>
      </c>
      <c r="B2509" s="232" t="s">
        <v>5759</v>
      </c>
      <c r="C2509" s="232">
        <v>0.0</v>
      </c>
      <c r="D2509" s="232">
        <v>0.0</v>
      </c>
      <c r="F2509" t="s">
        <v>7702</v>
      </c>
      <c r="G2509" t="s">
        <v>310</v>
      </c>
      <c r="H2509" t="s">
        <v>7703</v>
      </c>
      <c r="I2509" t="s">
        <v>166</v>
      </c>
    </row>
    <row r="2510">
      <c r="A2510" t="s">
        <v>5762</v>
      </c>
      <c r="B2510" s="232" t="s">
        <v>5761</v>
      </c>
      <c r="C2510" s="232">
        <v>0.0</v>
      </c>
      <c r="D2510" s="232">
        <v>0.0</v>
      </c>
      <c r="F2510" t="s">
        <v>7702</v>
      </c>
      <c r="G2510" t="s">
        <v>310</v>
      </c>
      <c r="H2510" t="s">
        <v>7703</v>
      </c>
      <c r="I2510" t="s">
        <v>166</v>
      </c>
    </row>
    <row r="2511">
      <c r="A2511" t="s">
        <v>5764</v>
      </c>
      <c r="B2511" s="232" t="s">
        <v>5763</v>
      </c>
      <c r="C2511" s="232">
        <v>0.0</v>
      </c>
      <c r="D2511" s="232">
        <v>0.0</v>
      </c>
      <c r="F2511" t="s">
        <v>7702</v>
      </c>
      <c r="G2511" t="s">
        <v>310</v>
      </c>
      <c r="H2511" t="s">
        <v>7703</v>
      </c>
      <c r="I2511" t="s">
        <v>166</v>
      </c>
    </row>
    <row r="2512">
      <c r="A2512" t="s">
        <v>5766</v>
      </c>
      <c r="B2512" s="232" t="s">
        <v>5765</v>
      </c>
      <c r="C2512" s="232">
        <v>0.0</v>
      </c>
      <c r="D2512" s="232">
        <v>0.0</v>
      </c>
      <c r="F2512" t="s">
        <v>7702</v>
      </c>
      <c r="G2512" t="s">
        <v>310</v>
      </c>
      <c r="H2512" t="s">
        <v>7703</v>
      </c>
      <c r="I2512" t="s">
        <v>166</v>
      </c>
    </row>
    <row r="2513">
      <c r="A2513" t="s">
        <v>5768</v>
      </c>
      <c r="B2513" s="232" t="s">
        <v>5767</v>
      </c>
      <c r="C2513" s="232">
        <v>0.0</v>
      </c>
      <c r="D2513" s="232">
        <v>0.0</v>
      </c>
      <c r="F2513" t="s">
        <v>7702</v>
      </c>
      <c r="G2513" t="s">
        <v>310</v>
      </c>
      <c r="H2513" t="s">
        <v>7703</v>
      </c>
      <c r="I2513" t="s">
        <v>166</v>
      </c>
    </row>
    <row r="2514">
      <c r="A2514" t="s">
        <v>5770</v>
      </c>
      <c r="B2514" s="232" t="s">
        <v>5769</v>
      </c>
      <c r="C2514" s="232">
        <v>271.0</v>
      </c>
      <c r="D2514" s="232">
        <v>914.26</v>
      </c>
      <c r="E2514" s="232">
        <v>3.3737</v>
      </c>
      <c r="F2514" t="s">
        <v>7702</v>
      </c>
      <c r="G2514" t="s">
        <v>330</v>
      </c>
      <c r="H2514" t="s">
        <v>7709</v>
      </c>
      <c r="I2514" t="s">
        <v>7768</v>
      </c>
    </row>
    <row r="2515">
      <c r="A2515" t="s">
        <v>5772</v>
      </c>
      <c r="B2515" s="232" t="s">
        <v>5771</v>
      </c>
      <c r="C2515" s="232">
        <v>262.0</v>
      </c>
      <c r="D2515" s="232">
        <v>870.64</v>
      </c>
      <c r="E2515" s="232">
        <v>3.3231</v>
      </c>
      <c r="F2515" t="s">
        <v>7702</v>
      </c>
      <c r="G2515" t="s">
        <v>330</v>
      </c>
      <c r="H2515" t="s">
        <v>45</v>
      </c>
      <c r="I2515" t="s">
        <v>7768</v>
      </c>
    </row>
    <row r="2516">
      <c r="A2516" t="s">
        <v>5774</v>
      </c>
      <c r="B2516" s="232" t="s">
        <v>5773</v>
      </c>
      <c r="C2516" s="232">
        <v>0.0</v>
      </c>
      <c r="D2516" s="232">
        <v>0.0</v>
      </c>
      <c r="F2516" t="s">
        <v>7702</v>
      </c>
      <c r="G2516" t="s">
        <v>310</v>
      </c>
      <c r="H2516" t="s">
        <v>45</v>
      </c>
      <c r="I2516" t="s">
        <v>7768</v>
      </c>
    </row>
    <row r="2517">
      <c r="A2517" t="s">
        <v>5776</v>
      </c>
      <c r="B2517" s="232" t="s">
        <v>5775</v>
      </c>
      <c r="C2517" s="232">
        <v>30.0</v>
      </c>
      <c r="D2517" s="232">
        <v>99.84</v>
      </c>
      <c r="E2517" s="232">
        <v>3.328</v>
      </c>
      <c r="F2517" t="s">
        <v>7702</v>
      </c>
      <c r="G2517" t="s">
        <v>330</v>
      </c>
      <c r="H2517" t="s">
        <v>45</v>
      </c>
      <c r="I2517" t="s">
        <v>7768</v>
      </c>
    </row>
    <row r="2518">
      <c r="A2518" t="s">
        <v>5780</v>
      </c>
      <c r="B2518" s="232" t="s">
        <v>5779</v>
      </c>
      <c r="C2518" s="232">
        <v>0.0</v>
      </c>
      <c r="D2518" s="232">
        <v>0.0</v>
      </c>
      <c r="F2518" t="s">
        <v>7702</v>
      </c>
      <c r="G2518" t="s">
        <v>330</v>
      </c>
      <c r="H2518" t="s">
        <v>45</v>
      </c>
      <c r="I2518" t="s">
        <v>7768</v>
      </c>
    </row>
    <row r="2519">
      <c r="A2519" t="s">
        <v>5782</v>
      </c>
      <c r="B2519" s="232" t="s">
        <v>5781</v>
      </c>
      <c r="C2519" s="232">
        <v>775.0</v>
      </c>
      <c r="D2519" s="232">
        <v>2615.16</v>
      </c>
      <c r="E2519" s="232">
        <v>3.3744</v>
      </c>
      <c r="F2519" t="s">
        <v>7702</v>
      </c>
      <c r="G2519" t="s">
        <v>330</v>
      </c>
      <c r="H2519" t="s">
        <v>7709</v>
      </c>
      <c r="I2519" t="s">
        <v>7768</v>
      </c>
    </row>
    <row r="2520">
      <c r="A2520" t="s">
        <v>5784</v>
      </c>
      <c r="B2520" s="232" t="s">
        <v>5783</v>
      </c>
      <c r="C2520" s="232">
        <v>81.0</v>
      </c>
      <c r="D2520" s="232">
        <v>251.29</v>
      </c>
      <c r="E2520" s="232">
        <v>3.1023</v>
      </c>
      <c r="F2520" t="s">
        <v>7702</v>
      </c>
      <c r="G2520" t="s">
        <v>330</v>
      </c>
      <c r="H2520" t="s">
        <v>45</v>
      </c>
      <c r="I2520" t="s">
        <v>7768</v>
      </c>
    </row>
    <row r="2521">
      <c r="A2521" t="s">
        <v>5786</v>
      </c>
      <c r="B2521" s="232" t="s">
        <v>5785</v>
      </c>
      <c r="C2521" s="232">
        <v>163.0</v>
      </c>
      <c r="D2521" s="232">
        <v>541.72</v>
      </c>
      <c r="E2521" s="232">
        <v>3.3234</v>
      </c>
      <c r="F2521" t="s">
        <v>7702</v>
      </c>
      <c r="G2521" t="s">
        <v>330</v>
      </c>
      <c r="H2521" t="s">
        <v>45</v>
      </c>
      <c r="I2521" t="s">
        <v>7768</v>
      </c>
    </row>
    <row r="2522">
      <c r="A2522" t="s">
        <v>5788</v>
      </c>
      <c r="B2522" s="232" t="s">
        <v>5787</v>
      </c>
      <c r="C2522" s="232">
        <v>0.0</v>
      </c>
      <c r="D2522" s="232">
        <v>0.0</v>
      </c>
      <c r="F2522" t="s">
        <v>7702</v>
      </c>
      <c r="G2522" t="s">
        <v>310</v>
      </c>
      <c r="H2522" t="s">
        <v>45</v>
      </c>
      <c r="I2522" t="s">
        <v>7768</v>
      </c>
    </row>
    <row r="2523">
      <c r="A2523" t="s">
        <v>5790</v>
      </c>
      <c r="B2523" s="232" t="s">
        <v>5789</v>
      </c>
      <c r="C2523" s="232">
        <v>338.0</v>
      </c>
      <c r="D2523" s="232">
        <v>1123.16</v>
      </c>
      <c r="E2523" s="232">
        <v>3.323</v>
      </c>
      <c r="F2523" t="s">
        <v>7702</v>
      </c>
      <c r="G2523" t="s">
        <v>330</v>
      </c>
      <c r="H2523" t="s">
        <v>150</v>
      </c>
      <c r="I2523" t="s">
        <v>7768</v>
      </c>
    </row>
    <row r="2524">
      <c r="A2524" t="s">
        <v>5792</v>
      </c>
      <c r="B2524" s="232" t="s">
        <v>5791</v>
      </c>
      <c r="C2524" s="232">
        <v>341.0</v>
      </c>
      <c r="D2524" s="232">
        <v>1199.3</v>
      </c>
      <c r="E2524" s="232">
        <v>3.517</v>
      </c>
      <c r="F2524" t="s">
        <v>7702</v>
      </c>
      <c r="G2524" t="s">
        <v>330</v>
      </c>
      <c r="H2524" t="s">
        <v>45</v>
      </c>
      <c r="I2524" t="s">
        <v>7768</v>
      </c>
    </row>
    <row r="2525">
      <c r="A2525" t="s">
        <v>5794</v>
      </c>
      <c r="B2525" s="232" t="s">
        <v>5793</v>
      </c>
      <c r="C2525" s="232">
        <v>233.0</v>
      </c>
      <c r="D2525" s="232">
        <v>786.12</v>
      </c>
      <c r="E2525" s="232">
        <v>3.3739</v>
      </c>
      <c r="F2525" t="s">
        <v>7702</v>
      </c>
      <c r="G2525" t="s">
        <v>330</v>
      </c>
      <c r="H2525" t="s">
        <v>150</v>
      </c>
      <c r="I2525" t="s">
        <v>7768</v>
      </c>
    </row>
    <row r="2526">
      <c r="A2526" t="s">
        <v>5798</v>
      </c>
      <c r="B2526" s="232" t="s">
        <v>5797</v>
      </c>
      <c r="C2526" s="232">
        <v>0.0</v>
      </c>
      <c r="D2526" s="232">
        <v>0.0</v>
      </c>
      <c r="F2526" t="s">
        <v>7702</v>
      </c>
      <c r="G2526" t="s">
        <v>310</v>
      </c>
      <c r="H2526" t="s">
        <v>7703</v>
      </c>
      <c r="I2526" t="s">
        <v>7718</v>
      </c>
    </row>
    <row r="2527">
      <c r="A2527" t="s">
        <v>5800</v>
      </c>
      <c r="B2527" s="232" t="s">
        <v>5799</v>
      </c>
      <c r="C2527" s="232">
        <v>0.0</v>
      </c>
      <c r="D2527" s="232">
        <v>0.0</v>
      </c>
      <c r="F2527" t="s">
        <v>7702</v>
      </c>
      <c r="G2527" t="s">
        <v>310</v>
      </c>
      <c r="H2527" t="s">
        <v>7703</v>
      </c>
      <c r="I2527" t="s">
        <v>7718</v>
      </c>
    </row>
    <row r="2528">
      <c r="A2528" t="s">
        <v>5802</v>
      </c>
      <c r="B2528" s="232" t="s">
        <v>5801</v>
      </c>
      <c r="C2528" s="232">
        <v>0.0</v>
      </c>
      <c r="D2528" s="232">
        <v>0.0</v>
      </c>
      <c r="F2528" t="s">
        <v>7702</v>
      </c>
      <c r="G2528" t="s">
        <v>310</v>
      </c>
      <c r="H2528" t="s">
        <v>7703</v>
      </c>
      <c r="I2528" t="s">
        <v>7718</v>
      </c>
    </row>
    <row r="2529">
      <c r="A2529" t="s">
        <v>5804</v>
      </c>
      <c r="B2529" s="232" t="s">
        <v>5803</v>
      </c>
      <c r="C2529" s="232">
        <v>233.0</v>
      </c>
      <c r="D2529" s="232">
        <v>771.03</v>
      </c>
      <c r="E2529" s="232">
        <v>3.3091</v>
      </c>
      <c r="F2529" t="s">
        <v>7702</v>
      </c>
      <c r="G2529" t="s">
        <v>330</v>
      </c>
      <c r="H2529" t="s">
        <v>150</v>
      </c>
      <c r="I2529" t="s">
        <v>7768</v>
      </c>
    </row>
    <row r="2530">
      <c r="A2530" t="s">
        <v>5806</v>
      </c>
      <c r="B2530" s="232" t="s">
        <v>5805</v>
      </c>
      <c r="C2530" s="232">
        <v>776.0</v>
      </c>
      <c r="D2530" s="232">
        <v>2571.97</v>
      </c>
      <c r="E2530" s="232">
        <v>3.3144</v>
      </c>
      <c r="F2530" t="s">
        <v>7702</v>
      </c>
      <c r="G2530" t="s">
        <v>330</v>
      </c>
      <c r="H2530" t="s">
        <v>45</v>
      </c>
      <c r="I2530" t="s">
        <v>7768</v>
      </c>
    </row>
    <row r="2531">
      <c r="A2531" t="s">
        <v>5808</v>
      </c>
      <c r="B2531" s="232" t="s">
        <v>5807</v>
      </c>
      <c r="C2531" s="232">
        <v>330.0</v>
      </c>
      <c r="D2531" s="232">
        <v>1113.53</v>
      </c>
      <c r="E2531" s="232">
        <v>3.3743</v>
      </c>
      <c r="F2531" t="s">
        <v>7702</v>
      </c>
      <c r="G2531" t="s">
        <v>330</v>
      </c>
      <c r="H2531" t="s">
        <v>7709</v>
      </c>
      <c r="I2531" t="s">
        <v>7768</v>
      </c>
    </row>
    <row r="2532">
      <c r="A2532" t="s">
        <v>5810</v>
      </c>
      <c r="B2532" s="232" t="s">
        <v>5809</v>
      </c>
      <c r="C2532" s="232">
        <v>80.0</v>
      </c>
      <c r="D2532" s="232">
        <v>264.6</v>
      </c>
      <c r="E2532" s="232">
        <v>3.3075</v>
      </c>
      <c r="F2532" t="s">
        <v>7702</v>
      </c>
      <c r="G2532" t="s">
        <v>330</v>
      </c>
      <c r="H2532" t="s">
        <v>45</v>
      </c>
      <c r="I2532" t="s">
        <v>7768</v>
      </c>
    </row>
    <row r="2533">
      <c r="A2533" t="s">
        <v>5812</v>
      </c>
      <c r="B2533" s="232" t="s">
        <v>5811</v>
      </c>
      <c r="C2533" s="232">
        <v>346.0</v>
      </c>
      <c r="D2533" s="232">
        <v>1180.32</v>
      </c>
      <c r="E2533" s="232">
        <v>3.4113</v>
      </c>
      <c r="F2533" t="s">
        <v>7702</v>
      </c>
      <c r="G2533" t="s">
        <v>330</v>
      </c>
      <c r="H2533" t="s">
        <v>45</v>
      </c>
      <c r="I2533" t="s">
        <v>7768</v>
      </c>
    </row>
    <row r="2534">
      <c r="A2534" t="s">
        <v>5814</v>
      </c>
      <c r="B2534" s="232" t="s">
        <v>5813</v>
      </c>
      <c r="C2534" s="232">
        <v>0.0</v>
      </c>
      <c r="D2534" s="232">
        <v>0.0</v>
      </c>
      <c r="F2534" t="s">
        <v>7702</v>
      </c>
      <c r="G2534" t="s">
        <v>310</v>
      </c>
      <c r="H2534" t="s">
        <v>7703</v>
      </c>
      <c r="I2534" t="s">
        <v>7717</v>
      </c>
    </row>
    <row r="2535">
      <c r="A2535" t="s">
        <v>5816</v>
      </c>
      <c r="B2535" s="232" t="s">
        <v>5815</v>
      </c>
      <c r="C2535" s="232">
        <v>0.0</v>
      </c>
      <c r="D2535" s="232">
        <v>0.0</v>
      </c>
      <c r="F2535" t="s">
        <v>7702</v>
      </c>
      <c r="G2535" t="s">
        <v>310</v>
      </c>
      <c r="H2535" t="s">
        <v>7703</v>
      </c>
      <c r="I2535" t="s">
        <v>7717</v>
      </c>
    </row>
    <row r="2536">
      <c r="A2536" t="s">
        <v>5818</v>
      </c>
      <c r="B2536" s="232" t="s">
        <v>5817</v>
      </c>
      <c r="C2536" s="232">
        <v>1.0</v>
      </c>
      <c r="D2536" s="232">
        <v>154.96</v>
      </c>
      <c r="E2536" s="232">
        <v>154.96</v>
      </c>
      <c r="F2536" t="s">
        <v>7702</v>
      </c>
      <c r="G2536" t="s">
        <v>330</v>
      </c>
      <c r="H2536" t="s">
        <v>150</v>
      </c>
      <c r="I2536" t="s">
        <v>7768</v>
      </c>
    </row>
    <row r="2537">
      <c r="A2537" t="s">
        <v>5828</v>
      </c>
      <c r="B2537" s="232" t="s">
        <v>5827</v>
      </c>
      <c r="C2537" s="232">
        <v>3.0</v>
      </c>
      <c r="D2537" s="232">
        <v>108.15</v>
      </c>
      <c r="E2537" s="232">
        <v>36.05</v>
      </c>
      <c r="F2537" t="s">
        <v>7702</v>
      </c>
      <c r="G2537" t="s">
        <v>330</v>
      </c>
      <c r="H2537" t="s">
        <v>45</v>
      </c>
      <c r="I2537" t="s">
        <v>7754</v>
      </c>
    </row>
    <row r="2538">
      <c r="A2538" t="s">
        <v>5830</v>
      </c>
      <c r="B2538" s="232" t="s">
        <v>5829</v>
      </c>
      <c r="C2538" s="232">
        <v>3.0</v>
      </c>
      <c r="D2538" s="232">
        <v>13.5</v>
      </c>
      <c r="E2538" s="232">
        <v>4.5</v>
      </c>
      <c r="F2538" t="s">
        <v>7702</v>
      </c>
      <c r="G2538" t="s">
        <v>330</v>
      </c>
      <c r="I2538" t="s">
        <v>7714</v>
      </c>
    </row>
    <row r="2539">
      <c r="A2539" t="s">
        <v>5832</v>
      </c>
      <c r="B2539" s="232" t="s">
        <v>5831</v>
      </c>
      <c r="C2539" s="232">
        <v>500.0</v>
      </c>
      <c r="D2539" s="232">
        <v>193.95</v>
      </c>
      <c r="E2539" s="232">
        <v>0.3879</v>
      </c>
      <c r="F2539" t="s">
        <v>7732</v>
      </c>
      <c r="G2539" t="s">
        <v>330</v>
      </c>
      <c r="H2539" t="s">
        <v>7747</v>
      </c>
    </row>
    <row r="2540">
      <c r="A2540" t="s">
        <v>5834</v>
      </c>
      <c r="B2540" s="232" t="s">
        <v>5833</v>
      </c>
      <c r="C2540" s="232">
        <v>500.0</v>
      </c>
      <c r="D2540" s="232">
        <v>193.95</v>
      </c>
      <c r="E2540" s="232">
        <v>0.3879</v>
      </c>
      <c r="F2540" t="s">
        <v>7732</v>
      </c>
      <c r="G2540" t="s">
        <v>330</v>
      </c>
      <c r="H2540" t="s">
        <v>7747</v>
      </c>
    </row>
    <row r="2541">
      <c r="A2541" t="s">
        <v>5836</v>
      </c>
      <c r="B2541" s="232" t="s">
        <v>5835</v>
      </c>
      <c r="C2541" s="232">
        <v>500.0</v>
      </c>
      <c r="D2541" s="232">
        <v>193.95</v>
      </c>
      <c r="E2541" s="232">
        <v>0.3879</v>
      </c>
      <c r="F2541" t="s">
        <v>7732</v>
      </c>
      <c r="G2541" t="s">
        <v>330</v>
      </c>
      <c r="H2541" t="s">
        <v>7747</v>
      </c>
    </row>
    <row r="2542">
      <c r="A2542" t="s">
        <v>5838</v>
      </c>
      <c r="B2542" s="232" t="s">
        <v>5837</v>
      </c>
      <c r="C2542" s="232">
        <v>500.0</v>
      </c>
      <c r="D2542" s="232">
        <v>193.95</v>
      </c>
      <c r="E2542" s="232">
        <v>0.3879</v>
      </c>
      <c r="F2542" t="s">
        <v>7732</v>
      </c>
      <c r="G2542" t="s">
        <v>330</v>
      </c>
      <c r="H2542" t="s">
        <v>7747</v>
      </c>
    </row>
    <row r="2543">
      <c r="A2543" t="s">
        <v>5840</v>
      </c>
      <c r="B2543" s="232" t="s">
        <v>5839</v>
      </c>
      <c r="C2543" s="232">
        <v>500.0</v>
      </c>
      <c r="D2543" s="232">
        <v>193.95</v>
      </c>
      <c r="E2543" s="232">
        <v>0.3879</v>
      </c>
      <c r="F2543" t="s">
        <v>7732</v>
      </c>
      <c r="G2543" t="s">
        <v>330</v>
      </c>
      <c r="H2543" t="s">
        <v>7747</v>
      </c>
    </row>
    <row r="2544">
      <c r="A2544" t="s">
        <v>5842</v>
      </c>
      <c r="B2544" s="232" t="s">
        <v>5841</v>
      </c>
      <c r="C2544" s="232">
        <v>500.0</v>
      </c>
      <c r="D2544" s="232">
        <v>193.95</v>
      </c>
      <c r="E2544" s="232">
        <v>0.3879</v>
      </c>
      <c r="F2544" t="s">
        <v>7732</v>
      </c>
      <c r="G2544" t="s">
        <v>330</v>
      </c>
      <c r="H2544" t="s">
        <v>7747</v>
      </c>
    </row>
    <row r="2545">
      <c r="A2545" t="s">
        <v>5844</v>
      </c>
      <c r="B2545" s="232" t="s">
        <v>5843</v>
      </c>
      <c r="C2545" s="232">
        <v>500.0</v>
      </c>
      <c r="D2545" s="232">
        <v>193.95</v>
      </c>
      <c r="E2545" s="232">
        <v>0.3879</v>
      </c>
      <c r="F2545" t="s">
        <v>7732</v>
      </c>
      <c r="G2545" t="s">
        <v>330</v>
      </c>
      <c r="H2545" t="s">
        <v>7747</v>
      </c>
    </row>
    <row r="2546">
      <c r="A2546" t="s">
        <v>5846</v>
      </c>
      <c r="B2546" s="232" t="s">
        <v>5845</v>
      </c>
      <c r="C2546" s="232">
        <v>500.0</v>
      </c>
      <c r="D2546" s="232">
        <v>193.95</v>
      </c>
      <c r="E2546" s="232">
        <v>0.3879</v>
      </c>
      <c r="F2546" t="s">
        <v>7732</v>
      </c>
      <c r="G2546" t="s">
        <v>330</v>
      </c>
      <c r="H2546" t="s">
        <v>7747</v>
      </c>
    </row>
    <row r="2547">
      <c r="A2547" t="s">
        <v>5848</v>
      </c>
      <c r="B2547" s="232" t="s">
        <v>5847</v>
      </c>
      <c r="C2547" s="232">
        <v>500.0</v>
      </c>
      <c r="D2547" s="232">
        <v>193.95</v>
      </c>
      <c r="E2547" s="232">
        <v>0.3879</v>
      </c>
      <c r="F2547" t="s">
        <v>7732</v>
      </c>
      <c r="G2547" t="s">
        <v>330</v>
      </c>
      <c r="H2547" t="s">
        <v>7747</v>
      </c>
    </row>
    <row r="2548">
      <c r="A2548" t="s">
        <v>5851</v>
      </c>
      <c r="B2548" s="232" t="s">
        <v>5850</v>
      </c>
      <c r="C2548" s="232">
        <v>0.0</v>
      </c>
      <c r="D2548" s="232">
        <v>0.0</v>
      </c>
      <c r="F2548" t="s">
        <v>7702</v>
      </c>
      <c r="G2548" t="s">
        <v>310</v>
      </c>
      <c r="H2548" t="s">
        <v>7703</v>
      </c>
      <c r="I2548" t="s">
        <v>166</v>
      </c>
    </row>
    <row r="2549">
      <c r="A2549" t="s">
        <v>5853</v>
      </c>
      <c r="B2549" s="232" t="s">
        <v>5852</v>
      </c>
      <c r="C2549" s="232">
        <v>0.0</v>
      </c>
      <c r="D2549" s="232">
        <v>0.0</v>
      </c>
      <c r="F2549" t="s">
        <v>7702</v>
      </c>
      <c r="G2549" t="s">
        <v>310</v>
      </c>
      <c r="H2549" t="s">
        <v>7703</v>
      </c>
      <c r="I2549" t="s">
        <v>7731</v>
      </c>
    </row>
    <row r="2550">
      <c r="A2550" t="s">
        <v>5855</v>
      </c>
      <c r="B2550" s="232" t="s">
        <v>5854</v>
      </c>
      <c r="C2550" s="232">
        <v>0.0</v>
      </c>
      <c r="D2550" s="232">
        <v>0.0</v>
      </c>
      <c r="F2550" t="s">
        <v>7702</v>
      </c>
      <c r="G2550" t="s">
        <v>310</v>
      </c>
      <c r="H2550" t="s">
        <v>7703</v>
      </c>
      <c r="I2550" t="s">
        <v>7714</v>
      </c>
    </row>
    <row r="2551">
      <c r="A2551" t="s">
        <v>5856</v>
      </c>
      <c r="B2551" s="232">
        <v>32719.0</v>
      </c>
      <c r="C2551" s="232">
        <v>0.0</v>
      </c>
      <c r="D2551" s="232">
        <v>0.0</v>
      </c>
      <c r="F2551" t="s">
        <v>7702</v>
      </c>
      <c r="G2551" t="s">
        <v>310</v>
      </c>
      <c r="H2551" t="s">
        <v>7703</v>
      </c>
      <c r="I2551" t="s">
        <v>7745</v>
      </c>
    </row>
    <row r="2552">
      <c r="A2552" t="s">
        <v>5857</v>
      </c>
      <c r="B2552" s="232">
        <v>32701.0</v>
      </c>
      <c r="C2552" s="232">
        <v>0.0</v>
      </c>
      <c r="D2552" s="232">
        <v>0.0</v>
      </c>
      <c r="F2552" t="s">
        <v>7702</v>
      </c>
      <c r="G2552" t="s">
        <v>310</v>
      </c>
      <c r="H2552" t="s">
        <v>7703</v>
      </c>
      <c r="I2552" t="s">
        <v>7745</v>
      </c>
    </row>
    <row r="2553">
      <c r="A2553" t="s">
        <v>5858</v>
      </c>
      <c r="B2553" s="232">
        <v>32702.0</v>
      </c>
      <c r="C2553" s="232">
        <v>0.0</v>
      </c>
      <c r="D2553" s="232">
        <v>0.0</v>
      </c>
      <c r="F2553" t="s">
        <v>7702</v>
      </c>
      <c r="G2553" t="s">
        <v>310</v>
      </c>
      <c r="H2553" t="s">
        <v>7703</v>
      </c>
      <c r="I2553" t="s">
        <v>7745</v>
      </c>
    </row>
    <row r="2554">
      <c r="A2554" t="s">
        <v>5859</v>
      </c>
      <c r="B2554" s="232">
        <v>32720.0</v>
      </c>
      <c r="C2554" s="232">
        <v>0.0</v>
      </c>
      <c r="D2554" s="232">
        <v>0.0</v>
      </c>
      <c r="F2554" t="s">
        <v>7702</v>
      </c>
      <c r="G2554" t="s">
        <v>310</v>
      </c>
      <c r="H2554" t="s">
        <v>7703</v>
      </c>
      <c r="I2554" t="s">
        <v>7745</v>
      </c>
    </row>
    <row r="2555">
      <c r="A2555" t="s">
        <v>5860</v>
      </c>
      <c r="B2555" s="232">
        <v>32703.0</v>
      </c>
      <c r="C2555" s="232">
        <v>0.0</v>
      </c>
      <c r="D2555" s="232">
        <v>0.0</v>
      </c>
      <c r="F2555" t="s">
        <v>7702</v>
      </c>
      <c r="G2555" t="s">
        <v>310</v>
      </c>
      <c r="H2555" t="s">
        <v>7703</v>
      </c>
      <c r="I2555" t="s">
        <v>7745</v>
      </c>
    </row>
    <row r="2556">
      <c r="A2556" t="s">
        <v>5861</v>
      </c>
      <c r="B2556" s="232">
        <v>32722.0</v>
      </c>
      <c r="C2556" s="232">
        <v>0.0</v>
      </c>
      <c r="D2556" s="232">
        <v>0.0</v>
      </c>
      <c r="F2556" t="s">
        <v>7702</v>
      </c>
      <c r="G2556" t="s">
        <v>310</v>
      </c>
      <c r="H2556" t="s">
        <v>7703</v>
      </c>
      <c r="I2556" t="s">
        <v>7745</v>
      </c>
    </row>
    <row r="2557">
      <c r="A2557" t="s">
        <v>5862</v>
      </c>
      <c r="B2557" s="232">
        <v>32723.0</v>
      </c>
      <c r="C2557" s="232">
        <v>0.0</v>
      </c>
      <c r="D2557" s="232">
        <v>0.0</v>
      </c>
      <c r="F2557" t="s">
        <v>7702</v>
      </c>
      <c r="G2557" t="s">
        <v>310</v>
      </c>
      <c r="H2557" t="s">
        <v>7703</v>
      </c>
      <c r="I2557" t="s">
        <v>7745</v>
      </c>
    </row>
    <row r="2558">
      <c r="A2558" t="s">
        <v>5863</v>
      </c>
      <c r="B2558" s="232">
        <v>32705.0</v>
      </c>
      <c r="C2558" s="232">
        <v>0.0</v>
      </c>
      <c r="D2558" s="232">
        <v>0.0</v>
      </c>
      <c r="F2558" t="s">
        <v>7702</v>
      </c>
      <c r="G2558" t="s">
        <v>310</v>
      </c>
      <c r="H2558" t="s">
        <v>7703</v>
      </c>
      <c r="I2558" t="s">
        <v>7745</v>
      </c>
    </row>
    <row r="2559">
      <c r="A2559" t="s">
        <v>5864</v>
      </c>
      <c r="B2559" s="232">
        <v>32724.0</v>
      </c>
      <c r="C2559" s="232">
        <v>0.0</v>
      </c>
      <c r="D2559" s="232">
        <v>0.0</v>
      </c>
      <c r="F2559" t="s">
        <v>7702</v>
      </c>
      <c r="G2559" t="s">
        <v>310</v>
      </c>
      <c r="H2559" t="s">
        <v>7703</v>
      </c>
      <c r="I2559" t="s">
        <v>7745</v>
      </c>
    </row>
    <row r="2560">
      <c r="A2560" t="s">
        <v>5865</v>
      </c>
      <c r="B2560" s="232">
        <v>32708.0</v>
      </c>
      <c r="C2560" s="232">
        <v>0.0</v>
      </c>
      <c r="D2560" s="232">
        <v>0.0</v>
      </c>
      <c r="F2560" t="s">
        <v>7702</v>
      </c>
      <c r="G2560" t="s">
        <v>310</v>
      </c>
      <c r="H2560" t="s">
        <v>7703</v>
      </c>
      <c r="I2560" t="s">
        <v>7745</v>
      </c>
    </row>
    <row r="2561">
      <c r="A2561" t="s">
        <v>5866</v>
      </c>
      <c r="B2561" s="232">
        <v>32725.0</v>
      </c>
      <c r="C2561" s="232">
        <v>0.0</v>
      </c>
      <c r="D2561" s="232">
        <v>0.0</v>
      </c>
      <c r="F2561" t="s">
        <v>7702</v>
      </c>
      <c r="G2561" t="s">
        <v>310</v>
      </c>
      <c r="H2561" t="s">
        <v>7703</v>
      </c>
      <c r="I2561" t="s">
        <v>7745</v>
      </c>
    </row>
    <row r="2562">
      <c r="A2562" t="s">
        <v>5867</v>
      </c>
      <c r="B2562" s="232">
        <v>32726.0</v>
      </c>
      <c r="C2562" s="232">
        <v>0.0</v>
      </c>
      <c r="D2562" s="232">
        <v>0.0</v>
      </c>
      <c r="F2562" t="s">
        <v>7702</v>
      </c>
      <c r="G2562" t="s">
        <v>310</v>
      </c>
      <c r="H2562" t="s">
        <v>7703</v>
      </c>
      <c r="I2562" t="s">
        <v>7745</v>
      </c>
    </row>
    <row r="2563">
      <c r="A2563" t="s">
        <v>5868</v>
      </c>
      <c r="B2563" s="232">
        <v>32727.0</v>
      </c>
      <c r="C2563" s="232">
        <v>0.0</v>
      </c>
      <c r="D2563" s="232">
        <v>0.0</v>
      </c>
      <c r="F2563" t="s">
        <v>7702</v>
      </c>
      <c r="G2563" t="s">
        <v>310</v>
      </c>
      <c r="H2563" t="s">
        <v>7703</v>
      </c>
      <c r="I2563" t="s">
        <v>7745</v>
      </c>
    </row>
    <row r="2564">
      <c r="A2564" t="s">
        <v>5869</v>
      </c>
      <c r="B2564" s="232">
        <v>32728.0</v>
      </c>
      <c r="C2564" s="232">
        <v>0.0</v>
      </c>
      <c r="D2564" s="232">
        <v>0.0</v>
      </c>
      <c r="F2564" t="s">
        <v>7702</v>
      </c>
      <c r="G2564" t="s">
        <v>310</v>
      </c>
      <c r="H2564" t="s">
        <v>7703</v>
      </c>
      <c r="I2564" t="s">
        <v>7745</v>
      </c>
    </row>
    <row r="2565">
      <c r="A2565" t="s">
        <v>5870</v>
      </c>
      <c r="B2565" s="232">
        <v>32709.0</v>
      </c>
      <c r="C2565" s="232">
        <v>0.0</v>
      </c>
      <c r="D2565" s="232">
        <v>0.0</v>
      </c>
      <c r="F2565" t="s">
        <v>7702</v>
      </c>
      <c r="G2565" t="s">
        <v>310</v>
      </c>
      <c r="H2565" t="s">
        <v>7703</v>
      </c>
      <c r="I2565" t="s">
        <v>7745</v>
      </c>
    </row>
    <row r="2566">
      <c r="A2566" t="s">
        <v>5871</v>
      </c>
      <c r="B2566" s="232">
        <v>32710.0</v>
      </c>
      <c r="C2566" s="232">
        <v>0.0</v>
      </c>
      <c r="D2566" s="232">
        <v>0.0</v>
      </c>
      <c r="F2566" t="s">
        <v>7702</v>
      </c>
      <c r="G2566" t="s">
        <v>310</v>
      </c>
      <c r="H2566" t="s">
        <v>7703</v>
      </c>
      <c r="I2566" t="s">
        <v>7745</v>
      </c>
    </row>
    <row r="2567">
      <c r="A2567" t="s">
        <v>5872</v>
      </c>
      <c r="B2567" s="232">
        <v>32729.0</v>
      </c>
      <c r="C2567" s="232">
        <v>0.0</v>
      </c>
      <c r="D2567" s="232">
        <v>0.0</v>
      </c>
      <c r="F2567" t="s">
        <v>7702</v>
      </c>
      <c r="G2567" t="s">
        <v>310</v>
      </c>
      <c r="H2567" t="s">
        <v>7703</v>
      </c>
      <c r="I2567" t="s">
        <v>7745</v>
      </c>
    </row>
    <row r="2568">
      <c r="A2568" t="s">
        <v>5873</v>
      </c>
      <c r="B2568" s="232">
        <v>32711.0</v>
      </c>
      <c r="C2568" s="232">
        <v>0.0</v>
      </c>
      <c r="D2568" s="232">
        <v>0.0</v>
      </c>
      <c r="F2568" t="s">
        <v>7702</v>
      </c>
      <c r="G2568" t="s">
        <v>310</v>
      </c>
      <c r="H2568" t="s">
        <v>7703</v>
      </c>
      <c r="I2568" t="s">
        <v>7745</v>
      </c>
    </row>
    <row r="2569">
      <c r="A2569" t="s">
        <v>5875</v>
      </c>
      <c r="B2569" s="232" t="s">
        <v>5874</v>
      </c>
      <c r="C2569" s="232">
        <v>0.0</v>
      </c>
      <c r="D2569" s="232">
        <v>0.0</v>
      </c>
      <c r="F2569" t="s">
        <v>7711</v>
      </c>
      <c r="G2569" t="s">
        <v>310</v>
      </c>
      <c r="H2569" t="s">
        <v>7703</v>
      </c>
    </row>
    <row r="2570">
      <c r="A2570" t="s">
        <v>5876</v>
      </c>
      <c r="B2570" s="232">
        <v>32730.0</v>
      </c>
      <c r="C2570" s="232">
        <v>0.0</v>
      </c>
      <c r="D2570" s="232">
        <v>0.0</v>
      </c>
      <c r="F2570" t="s">
        <v>7702</v>
      </c>
      <c r="G2570" t="s">
        <v>310</v>
      </c>
      <c r="H2570" t="s">
        <v>7703</v>
      </c>
      <c r="I2570" t="s">
        <v>7745</v>
      </c>
    </row>
    <row r="2571">
      <c r="A2571" t="s">
        <v>5878</v>
      </c>
      <c r="B2571" s="232">
        <v>32714.0</v>
      </c>
      <c r="C2571" s="232">
        <v>0.0</v>
      </c>
      <c r="D2571" s="232">
        <v>0.0</v>
      </c>
      <c r="F2571" t="s">
        <v>7702</v>
      </c>
      <c r="G2571" t="s">
        <v>310</v>
      </c>
      <c r="H2571" t="s">
        <v>7703</v>
      </c>
      <c r="I2571" t="s">
        <v>7745</v>
      </c>
    </row>
    <row r="2572">
      <c r="A2572" t="s">
        <v>5879</v>
      </c>
      <c r="B2572" s="232">
        <v>32721.0</v>
      </c>
      <c r="C2572" s="232">
        <v>0.0</v>
      </c>
      <c r="D2572" s="232">
        <v>0.0</v>
      </c>
      <c r="F2572" t="s">
        <v>7702</v>
      </c>
      <c r="G2572" t="s">
        <v>310</v>
      </c>
      <c r="H2572" t="s">
        <v>7703</v>
      </c>
      <c r="I2572" t="s">
        <v>7745</v>
      </c>
    </row>
    <row r="2573">
      <c r="A2573" t="s">
        <v>5880</v>
      </c>
      <c r="B2573" s="232">
        <v>32718.0</v>
      </c>
      <c r="C2573" s="232">
        <v>0.0</v>
      </c>
      <c r="D2573" s="232">
        <v>0.0</v>
      </c>
      <c r="F2573" t="s">
        <v>7702</v>
      </c>
      <c r="G2573" t="s">
        <v>310</v>
      </c>
      <c r="H2573" t="s">
        <v>7703</v>
      </c>
      <c r="I2573" t="s">
        <v>7745</v>
      </c>
    </row>
    <row r="2574">
      <c r="A2574" t="s">
        <v>5881</v>
      </c>
      <c r="B2574" s="232">
        <v>32715.0</v>
      </c>
      <c r="C2574" s="232">
        <v>0.0</v>
      </c>
      <c r="D2574" s="232">
        <v>0.0</v>
      </c>
      <c r="F2574" t="s">
        <v>7702</v>
      </c>
      <c r="G2574" t="s">
        <v>310</v>
      </c>
      <c r="H2574" t="s">
        <v>7703</v>
      </c>
      <c r="I2574" t="s">
        <v>7745</v>
      </c>
    </row>
    <row r="2575">
      <c r="A2575" t="s">
        <v>5882</v>
      </c>
      <c r="B2575" s="232">
        <v>32716.0</v>
      </c>
      <c r="C2575" s="232">
        <v>0.0</v>
      </c>
      <c r="D2575" s="232">
        <v>0.0</v>
      </c>
      <c r="F2575" t="s">
        <v>7702</v>
      </c>
      <c r="G2575" t="s">
        <v>310</v>
      </c>
      <c r="H2575" t="s">
        <v>7703</v>
      </c>
      <c r="I2575" t="s">
        <v>7745</v>
      </c>
    </row>
    <row r="2576">
      <c r="A2576" t="s">
        <v>5883</v>
      </c>
      <c r="B2576" s="232">
        <v>32731.0</v>
      </c>
      <c r="C2576" s="232">
        <v>0.0</v>
      </c>
      <c r="D2576" s="232">
        <v>0.0</v>
      </c>
      <c r="F2576" t="s">
        <v>7702</v>
      </c>
      <c r="G2576" t="s">
        <v>310</v>
      </c>
      <c r="H2576" t="s">
        <v>7703</v>
      </c>
      <c r="I2576" t="s">
        <v>7745</v>
      </c>
    </row>
    <row r="2577">
      <c r="A2577" t="s">
        <v>5885</v>
      </c>
      <c r="B2577" s="232" t="s">
        <v>5884</v>
      </c>
      <c r="C2577" s="232">
        <v>0.0</v>
      </c>
      <c r="D2577" s="232">
        <v>0.0</v>
      </c>
      <c r="F2577" t="s">
        <v>7711</v>
      </c>
      <c r="G2577" t="s">
        <v>310</v>
      </c>
      <c r="H2577" t="s">
        <v>7703</v>
      </c>
      <c r="I2577" t="s">
        <v>7745</v>
      </c>
    </row>
    <row r="2578">
      <c r="A2578" t="s">
        <v>5889</v>
      </c>
      <c r="B2578" s="232" t="s">
        <v>5888</v>
      </c>
      <c r="C2578" s="232">
        <v>1.0</v>
      </c>
      <c r="D2578" s="232">
        <v>78.59</v>
      </c>
      <c r="E2578" s="232">
        <v>78.59</v>
      </c>
      <c r="F2578" t="s">
        <v>7702</v>
      </c>
      <c r="G2578" t="s">
        <v>330</v>
      </c>
      <c r="H2578" t="s">
        <v>45</v>
      </c>
      <c r="I2578" t="s">
        <v>7758</v>
      </c>
    </row>
    <row r="2579">
      <c r="A2579" t="s">
        <v>5891</v>
      </c>
      <c r="B2579" s="232" t="s">
        <v>5890</v>
      </c>
      <c r="C2579" s="232">
        <v>0.0</v>
      </c>
      <c r="D2579" s="232">
        <v>0.0</v>
      </c>
      <c r="F2579" t="s">
        <v>7702</v>
      </c>
      <c r="G2579" t="s">
        <v>310</v>
      </c>
      <c r="H2579" t="s">
        <v>7725</v>
      </c>
      <c r="I2579" t="s">
        <v>7758</v>
      </c>
    </row>
    <row r="2580">
      <c r="A2580" t="s">
        <v>5893</v>
      </c>
      <c r="B2580" s="232" t="s">
        <v>5892</v>
      </c>
      <c r="C2580" s="232">
        <v>0.0</v>
      </c>
      <c r="D2580" s="232">
        <v>0.0</v>
      </c>
      <c r="F2580" t="s">
        <v>7702</v>
      </c>
      <c r="G2580" t="s">
        <v>330</v>
      </c>
      <c r="H2580" t="s">
        <v>7747</v>
      </c>
      <c r="I2580" t="s">
        <v>29</v>
      </c>
    </row>
    <row r="2581">
      <c r="A2581" t="s">
        <v>5895</v>
      </c>
      <c r="B2581" s="232" t="s">
        <v>5894</v>
      </c>
      <c r="C2581" s="232">
        <v>0.0</v>
      </c>
      <c r="D2581" s="232">
        <v>0.0</v>
      </c>
      <c r="F2581" t="s">
        <v>7702</v>
      </c>
      <c r="G2581" t="s">
        <v>330</v>
      </c>
      <c r="H2581" t="s">
        <v>7747</v>
      </c>
      <c r="I2581" t="s">
        <v>29</v>
      </c>
    </row>
    <row r="2582">
      <c r="A2582" t="s">
        <v>5901</v>
      </c>
      <c r="B2582" s="232" t="s">
        <v>5900</v>
      </c>
      <c r="C2582" s="232">
        <v>0.0</v>
      </c>
      <c r="D2582" s="232">
        <v>0.0</v>
      </c>
      <c r="F2582" t="s">
        <v>7702</v>
      </c>
      <c r="G2582" t="s">
        <v>330</v>
      </c>
      <c r="H2582" t="s">
        <v>7747</v>
      </c>
      <c r="I2582" t="s">
        <v>29</v>
      </c>
    </row>
    <row r="2583">
      <c r="A2583" t="s">
        <v>5907</v>
      </c>
      <c r="B2583" s="232" t="s">
        <v>5906</v>
      </c>
      <c r="C2583" s="232">
        <v>138.0</v>
      </c>
      <c r="D2583" s="232">
        <v>745.6</v>
      </c>
      <c r="E2583" s="232">
        <v>5.4029</v>
      </c>
      <c r="F2583" t="s">
        <v>7702</v>
      </c>
      <c r="G2583" t="s">
        <v>330</v>
      </c>
      <c r="H2583" t="s">
        <v>7709</v>
      </c>
      <c r="I2583" t="s">
        <v>7831</v>
      </c>
    </row>
    <row r="2584">
      <c r="A2584" t="s">
        <v>5911</v>
      </c>
      <c r="B2584" s="232" t="s">
        <v>5910</v>
      </c>
      <c r="C2584" s="232">
        <v>13.0</v>
      </c>
      <c r="D2584" s="232">
        <v>70.62</v>
      </c>
      <c r="E2584" s="232">
        <v>5.4323</v>
      </c>
      <c r="F2584" t="s">
        <v>7702</v>
      </c>
      <c r="G2584" t="s">
        <v>330</v>
      </c>
      <c r="H2584" t="s">
        <v>7709</v>
      </c>
      <c r="I2584" t="s">
        <v>7831</v>
      </c>
    </row>
    <row r="2585">
      <c r="A2585" t="s">
        <v>5913</v>
      </c>
      <c r="B2585" s="232" t="s">
        <v>5912</v>
      </c>
      <c r="C2585" s="232">
        <v>0.0</v>
      </c>
      <c r="D2585" s="232">
        <v>0.0</v>
      </c>
      <c r="F2585" t="s">
        <v>7702</v>
      </c>
      <c r="G2585" t="s">
        <v>330</v>
      </c>
      <c r="H2585" t="s">
        <v>7709</v>
      </c>
      <c r="I2585" t="s">
        <v>7831</v>
      </c>
    </row>
    <row r="2586">
      <c r="A2586" t="s">
        <v>5915</v>
      </c>
      <c r="B2586" s="232" t="s">
        <v>5914</v>
      </c>
      <c r="C2586" s="232">
        <v>61.0</v>
      </c>
      <c r="D2586" s="232">
        <v>329.79</v>
      </c>
      <c r="E2586" s="232">
        <v>5.4064</v>
      </c>
      <c r="F2586" t="s">
        <v>7702</v>
      </c>
      <c r="G2586" t="s">
        <v>330</v>
      </c>
      <c r="H2586" t="s">
        <v>45</v>
      </c>
      <c r="I2586" t="s">
        <v>7831</v>
      </c>
    </row>
    <row r="2587">
      <c r="A2587" t="s">
        <v>5921</v>
      </c>
      <c r="B2587" s="232" t="s">
        <v>5920</v>
      </c>
      <c r="C2587" s="232">
        <v>0.0</v>
      </c>
      <c r="D2587" s="232">
        <v>0.0</v>
      </c>
      <c r="F2587" t="s">
        <v>7702</v>
      </c>
      <c r="G2587" t="s">
        <v>330</v>
      </c>
      <c r="H2587" t="s">
        <v>7747</v>
      </c>
      <c r="I2587" t="s">
        <v>29</v>
      </c>
    </row>
    <row r="2588">
      <c r="A2588" t="s">
        <v>5923</v>
      </c>
      <c r="B2588" s="232" t="s">
        <v>5922</v>
      </c>
      <c r="C2588" s="232">
        <v>0.0</v>
      </c>
      <c r="D2588" s="232">
        <v>0.0</v>
      </c>
      <c r="F2588" t="s">
        <v>7702</v>
      </c>
      <c r="G2588" t="s">
        <v>330</v>
      </c>
      <c r="H2588" t="s">
        <v>7747</v>
      </c>
      <c r="I2588" t="s">
        <v>29</v>
      </c>
    </row>
    <row r="2589">
      <c r="A2589" t="s">
        <v>5923</v>
      </c>
      <c r="B2589" s="232" t="s">
        <v>5924</v>
      </c>
      <c r="C2589" s="232">
        <v>0.0</v>
      </c>
      <c r="D2589" s="232">
        <v>0.0</v>
      </c>
      <c r="F2589" t="s">
        <v>7702</v>
      </c>
      <c r="G2589" t="s">
        <v>330</v>
      </c>
      <c r="H2589" t="s">
        <v>7747</v>
      </c>
      <c r="I2589" t="s">
        <v>29</v>
      </c>
    </row>
    <row r="2590">
      <c r="A2590" t="s">
        <v>5928</v>
      </c>
      <c r="B2590" s="232" t="s">
        <v>5927</v>
      </c>
      <c r="C2590" s="232">
        <v>60.0</v>
      </c>
      <c r="D2590" s="232">
        <v>28.8</v>
      </c>
      <c r="E2590" s="232">
        <v>0.48</v>
      </c>
      <c r="F2590" t="s">
        <v>7702</v>
      </c>
      <c r="G2590" t="s">
        <v>330</v>
      </c>
      <c r="H2590" t="s">
        <v>7725</v>
      </c>
      <c r="I2590" t="s">
        <v>7739</v>
      </c>
    </row>
    <row r="2591">
      <c r="A2591" t="s">
        <v>5930</v>
      </c>
      <c r="B2591" s="232" t="s">
        <v>5929</v>
      </c>
      <c r="C2591" s="232">
        <v>0.0</v>
      </c>
      <c r="D2591" s="232">
        <v>0.0</v>
      </c>
      <c r="F2591" t="s">
        <v>7702</v>
      </c>
      <c r="G2591" t="s">
        <v>310</v>
      </c>
      <c r="H2591" t="s">
        <v>7703</v>
      </c>
      <c r="I2591" t="s">
        <v>7731</v>
      </c>
    </row>
    <row r="2592">
      <c r="A2592" t="s">
        <v>5934</v>
      </c>
      <c r="B2592" s="232" t="s">
        <v>5933</v>
      </c>
      <c r="C2592" s="232">
        <v>0.0</v>
      </c>
      <c r="D2592" s="232">
        <v>0.0</v>
      </c>
      <c r="F2592" t="s">
        <v>7702</v>
      </c>
      <c r="G2592" t="s">
        <v>310</v>
      </c>
      <c r="H2592" t="s">
        <v>7703</v>
      </c>
      <c r="I2592" t="s">
        <v>151</v>
      </c>
    </row>
    <row r="2593">
      <c r="A2593" t="s">
        <v>5936</v>
      </c>
      <c r="B2593" s="232" t="s">
        <v>5935</v>
      </c>
      <c r="C2593" s="232">
        <v>0.0</v>
      </c>
      <c r="D2593" s="232">
        <v>0.0</v>
      </c>
      <c r="F2593" t="s">
        <v>7702</v>
      </c>
      <c r="G2593" t="s">
        <v>310</v>
      </c>
      <c r="H2593" t="s">
        <v>7703</v>
      </c>
      <c r="I2593" t="s">
        <v>151</v>
      </c>
    </row>
    <row r="2594">
      <c r="A2594" t="s">
        <v>5938</v>
      </c>
      <c r="B2594" s="232" t="s">
        <v>5937</v>
      </c>
      <c r="C2594" s="232">
        <v>0.0</v>
      </c>
      <c r="D2594" s="232">
        <v>0.0</v>
      </c>
      <c r="F2594" t="s">
        <v>7702</v>
      </c>
      <c r="G2594" t="s">
        <v>310</v>
      </c>
      <c r="H2594" t="s">
        <v>7703</v>
      </c>
      <c r="I2594" t="s">
        <v>166</v>
      </c>
    </row>
    <row r="2595">
      <c r="A2595" t="s">
        <v>5940</v>
      </c>
      <c r="B2595" s="232" t="s">
        <v>5939</v>
      </c>
      <c r="C2595" s="232">
        <v>735.0</v>
      </c>
      <c r="D2595" s="232">
        <v>979.98</v>
      </c>
      <c r="E2595" s="232">
        <v>1.3333</v>
      </c>
      <c r="F2595" t="s">
        <v>7702</v>
      </c>
      <c r="G2595" t="s">
        <v>330</v>
      </c>
      <c r="H2595" t="s">
        <v>7709</v>
      </c>
      <c r="I2595" t="s">
        <v>7748</v>
      </c>
    </row>
    <row r="2596">
      <c r="A2596" t="s">
        <v>5942</v>
      </c>
      <c r="B2596" s="232" t="s">
        <v>5941</v>
      </c>
      <c r="C2596" s="232">
        <v>691.0</v>
      </c>
      <c r="D2596" s="232">
        <v>954.11</v>
      </c>
      <c r="E2596" s="232">
        <v>1.3808</v>
      </c>
      <c r="F2596" t="s">
        <v>7702</v>
      </c>
      <c r="G2596" t="s">
        <v>330</v>
      </c>
      <c r="H2596" t="s">
        <v>150</v>
      </c>
      <c r="I2596" t="s">
        <v>7748</v>
      </c>
    </row>
    <row r="2597">
      <c r="A2597" t="s">
        <v>5944</v>
      </c>
      <c r="B2597" s="232" t="s">
        <v>5943</v>
      </c>
      <c r="C2597" s="232">
        <v>872.0</v>
      </c>
      <c r="D2597" s="232">
        <v>1162.54</v>
      </c>
      <c r="E2597" s="232">
        <v>1.3332</v>
      </c>
      <c r="F2597" t="s">
        <v>7702</v>
      </c>
      <c r="G2597" t="s">
        <v>330</v>
      </c>
      <c r="H2597" t="s">
        <v>7709</v>
      </c>
      <c r="I2597" t="s">
        <v>7748</v>
      </c>
    </row>
    <row r="2598">
      <c r="A2598" t="s">
        <v>5946</v>
      </c>
      <c r="B2598" s="232" t="s">
        <v>5945</v>
      </c>
      <c r="C2598" s="232">
        <v>495.0</v>
      </c>
      <c r="D2598" s="232">
        <v>683.62</v>
      </c>
      <c r="E2598" s="232">
        <v>1.3811</v>
      </c>
      <c r="F2598" t="s">
        <v>7702</v>
      </c>
      <c r="G2598" t="s">
        <v>330</v>
      </c>
      <c r="H2598" t="s">
        <v>150</v>
      </c>
      <c r="I2598" t="s">
        <v>7748</v>
      </c>
    </row>
    <row r="2599">
      <c r="A2599" t="s">
        <v>5948</v>
      </c>
      <c r="B2599" s="232" t="s">
        <v>5947</v>
      </c>
      <c r="C2599" s="232">
        <v>314.0</v>
      </c>
      <c r="D2599" s="232">
        <v>433.83</v>
      </c>
      <c r="E2599" s="232">
        <v>1.3816</v>
      </c>
      <c r="F2599" t="s">
        <v>7702</v>
      </c>
      <c r="G2599" t="s">
        <v>330</v>
      </c>
      <c r="H2599" t="s">
        <v>150</v>
      </c>
      <c r="I2599" t="s">
        <v>7748</v>
      </c>
    </row>
    <row r="2600">
      <c r="A2600" t="s">
        <v>5950</v>
      </c>
      <c r="B2600" s="232" t="s">
        <v>5949</v>
      </c>
      <c r="C2600" s="232">
        <v>952.0</v>
      </c>
      <c r="D2600" s="232">
        <v>1269.17</v>
      </c>
      <c r="E2600" s="232">
        <v>1.3332</v>
      </c>
      <c r="F2600" t="s">
        <v>7702</v>
      </c>
      <c r="G2600" t="s">
        <v>330</v>
      </c>
      <c r="H2600" t="s">
        <v>7709</v>
      </c>
      <c r="I2600" t="s">
        <v>7748</v>
      </c>
    </row>
    <row r="2601">
      <c r="A2601" t="s">
        <v>5952</v>
      </c>
      <c r="B2601" s="232" t="s">
        <v>5951</v>
      </c>
      <c r="C2601" s="232">
        <v>486.0</v>
      </c>
      <c r="D2601" s="232">
        <v>671.21</v>
      </c>
      <c r="E2601" s="232">
        <v>1.3811</v>
      </c>
      <c r="F2601" t="s">
        <v>7702</v>
      </c>
      <c r="G2601" t="s">
        <v>330</v>
      </c>
      <c r="H2601" t="s">
        <v>45</v>
      </c>
      <c r="I2601" t="s">
        <v>7748</v>
      </c>
    </row>
    <row r="2602">
      <c r="A2602" t="s">
        <v>5954</v>
      </c>
      <c r="B2602" s="232" t="s">
        <v>5953</v>
      </c>
      <c r="C2602" s="232">
        <v>370.0</v>
      </c>
      <c r="D2602" s="232">
        <v>1496.67</v>
      </c>
      <c r="E2602" s="232">
        <v>4.0451</v>
      </c>
      <c r="F2602" t="s">
        <v>7702</v>
      </c>
      <c r="G2602" t="s">
        <v>330</v>
      </c>
      <c r="H2602" t="s">
        <v>150</v>
      </c>
      <c r="I2602" t="s">
        <v>7832</v>
      </c>
    </row>
    <row r="2603">
      <c r="A2603" t="s">
        <v>5956</v>
      </c>
      <c r="B2603" s="232" t="s">
        <v>5955</v>
      </c>
      <c r="C2603" s="232">
        <v>650.0</v>
      </c>
      <c r="D2603" s="232">
        <v>2969.23</v>
      </c>
      <c r="E2603" s="232">
        <v>4.568</v>
      </c>
      <c r="F2603" t="s">
        <v>7702</v>
      </c>
      <c r="G2603" t="s">
        <v>330</v>
      </c>
      <c r="H2603" t="s">
        <v>150</v>
      </c>
      <c r="I2603" t="s">
        <v>7832</v>
      </c>
    </row>
    <row r="2604">
      <c r="A2604" t="s">
        <v>5958</v>
      </c>
      <c r="B2604" s="232" t="s">
        <v>5957</v>
      </c>
      <c r="C2604" s="232">
        <v>620.0</v>
      </c>
      <c r="D2604" s="232">
        <v>2590.81</v>
      </c>
      <c r="E2604" s="232">
        <v>4.1787</v>
      </c>
      <c r="F2604" t="s">
        <v>7702</v>
      </c>
      <c r="G2604" t="s">
        <v>330</v>
      </c>
      <c r="H2604" t="s">
        <v>150</v>
      </c>
      <c r="I2604" t="s">
        <v>7832</v>
      </c>
    </row>
    <row r="2605">
      <c r="A2605" t="s">
        <v>5960</v>
      </c>
      <c r="B2605" s="232" t="s">
        <v>5959</v>
      </c>
      <c r="C2605" s="232">
        <v>771.0</v>
      </c>
      <c r="D2605" s="232">
        <v>3384.42</v>
      </c>
      <c r="E2605" s="232">
        <v>4.3896</v>
      </c>
      <c r="F2605" t="s">
        <v>7702</v>
      </c>
      <c r="G2605" t="s">
        <v>330</v>
      </c>
      <c r="H2605" t="s">
        <v>150</v>
      </c>
      <c r="I2605" t="s">
        <v>7832</v>
      </c>
    </row>
    <row r="2606">
      <c r="A2606" t="s">
        <v>5962</v>
      </c>
      <c r="B2606" s="232" t="s">
        <v>5961</v>
      </c>
      <c r="C2606" s="232">
        <v>103.0</v>
      </c>
      <c r="D2606" s="232">
        <v>454.01</v>
      </c>
      <c r="E2606" s="232">
        <v>4.4079</v>
      </c>
      <c r="F2606" t="s">
        <v>7702</v>
      </c>
      <c r="G2606" t="s">
        <v>330</v>
      </c>
      <c r="H2606" t="s">
        <v>150</v>
      </c>
      <c r="I2606" t="s">
        <v>7832</v>
      </c>
    </row>
    <row r="2607">
      <c r="A2607" t="s">
        <v>5964</v>
      </c>
      <c r="B2607" s="232" t="s">
        <v>5963</v>
      </c>
      <c r="C2607" s="232">
        <v>256.0</v>
      </c>
      <c r="D2607" s="232">
        <v>1200.14</v>
      </c>
      <c r="E2607" s="232">
        <v>4.688</v>
      </c>
      <c r="F2607" t="s">
        <v>7702</v>
      </c>
      <c r="G2607" t="s">
        <v>330</v>
      </c>
      <c r="H2607" t="s">
        <v>150</v>
      </c>
      <c r="I2607" t="s">
        <v>7832</v>
      </c>
    </row>
    <row r="2608">
      <c r="A2608" t="s">
        <v>5966</v>
      </c>
      <c r="B2608" s="232" t="s">
        <v>5965</v>
      </c>
      <c r="C2608" s="232">
        <v>2.0</v>
      </c>
      <c r="D2608" s="232">
        <v>105.23</v>
      </c>
      <c r="E2608" s="232">
        <v>52.615</v>
      </c>
      <c r="F2608" t="s">
        <v>7702</v>
      </c>
      <c r="G2608" t="s">
        <v>330</v>
      </c>
      <c r="H2608" t="s">
        <v>150</v>
      </c>
      <c r="I2608" t="s">
        <v>7832</v>
      </c>
    </row>
    <row r="2609">
      <c r="A2609" t="s">
        <v>5972</v>
      </c>
      <c r="B2609" s="232" t="s">
        <v>5971</v>
      </c>
      <c r="C2609" s="232">
        <v>135.0</v>
      </c>
      <c r="D2609" s="232">
        <v>441.79</v>
      </c>
      <c r="E2609" s="232">
        <v>3.2725</v>
      </c>
      <c r="F2609" t="s">
        <v>7702</v>
      </c>
      <c r="G2609" t="s">
        <v>330</v>
      </c>
      <c r="H2609" t="s">
        <v>7709</v>
      </c>
      <c r="I2609" t="s">
        <v>7764</v>
      </c>
    </row>
    <row r="2610">
      <c r="A2610" t="s">
        <v>5976</v>
      </c>
      <c r="B2610" s="232" t="s">
        <v>5975</v>
      </c>
      <c r="C2610" s="232">
        <v>167.0</v>
      </c>
      <c r="D2610" s="232">
        <v>553.64</v>
      </c>
      <c r="E2610" s="232">
        <v>3.3152</v>
      </c>
      <c r="F2610" t="s">
        <v>7702</v>
      </c>
      <c r="G2610" t="s">
        <v>330</v>
      </c>
      <c r="H2610" t="s">
        <v>7709</v>
      </c>
      <c r="I2610" t="s">
        <v>7764</v>
      </c>
    </row>
    <row r="2611">
      <c r="A2611" t="s">
        <v>5978</v>
      </c>
      <c r="B2611" s="232" t="s">
        <v>5977</v>
      </c>
      <c r="C2611" s="232">
        <v>564.0</v>
      </c>
      <c r="D2611" s="232">
        <v>1843.31</v>
      </c>
      <c r="E2611" s="232">
        <v>3.2683</v>
      </c>
      <c r="F2611" t="s">
        <v>7702</v>
      </c>
      <c r="G2611" t="s">
        <v>330</v>
      </c>
      <c r="H2611" t="s">
        <v>7709</v>
      </c>
      <c r="I2611" t="s">
        <v>7764</v>
      </c>
    </row>
    <row r="2612">
      <c r="A2612" t="s">
        <v>5980</v>
      </c>
      <c r="B2612" s="232" t="s">
        <v>5979</v>
      </c>
      <c r="C2612" s="232">
        <v>238.0</v>
      </c>
      <c r="D2612" s="232">
        <v>789.13</v>
      </c>
      <c r="E2612" s="232">
        <v>3.3157</v>
      </c>
      <c r="F2612" t="s">
        <v>7702</v>
      </c>
      <c r="G2612" t="s">
        <v>330</v>
      </c>
      <c r="H2612" t="s">
        <v>7709</v>
      </c>
      <c r="I2612" t="s">
        <v>7764</v>
      </c>
    </row>
    <row r="2613">
      <c r="A2613" t="s">
        <v>5982</v>
      </c>
      <c r="B2613" s="232" t="s">
        <v>5981</v>
      </c>
      <c r="C2613" s="232">
        <v>94.0</v>
      </c>
      <c r="D2613" s="232">
        <v>311.53</v>
      </c>
      <c r="E2613" s="232">
        <v>3.3141</v>
      </c>
      <c r="F2613" t="s">
        <v>7702</v>
      </c>
      <c r="G2613" t="s">
        <v>330</v>
      </c>
      <c r="H2613" t="s">
        <v>7709</v>
      </c>
      <c r="I2613" t="s">
        <v>7764</v>
      </c>
    </row>
    <row r="2614">
      <c r="A2614" t="s">
        <v>5986</v>
      </c>
      <c r="B2614" s="232" t="s">
        <v>5985</v>
      </c>
      <c r="C2614" s="232">
        <v>129.0</v>
      </c>
      <c r="D2614" s="232">
        <v>453.02</v>
      </c>
      <c r="E2614" s="232">
        <v>3.5118</v>
      </c>
      <c r="F2614" t="s">
        <v>7702</v>
      </c>
      <c r="G2614" t="s">
        <v>330</v>
      </c>
      <c r="H2614" t="s">
        <v>7709</v>
      </c>
      <c r="I2614" t="s">
        <v>7764</v>
      </c>
    </row>
    <row r="2615">
      <c r="A2615" t="s">
        <v>5988</v>
      </c>
      <c r="B2615" s="232" t="s">
        <v>5987</v>
      </c>
      <c r="C2615" s="232">
        <v>188.0</v>
      </c>
      <c r="D2615" s="232">
        <v>660.32</v>
      </c>
      <c r="E2615" s="232">
        <v>3.5123</v>
      </c>
      <c r="F2615" t="s">
        <v>7702</v>
      </c>
      <c r="G2615" t="s">
        <v>330</v>
      </c>
      <c r="H2615" t="s">
        <v>45</v>
      </c>
      <c r="I2615" t="s">
        <v>7764</v>
      </c>
    </row>
    <row r="2616">
      <c r="A2616" t="s">
        <v>5990</v>
      </c>
      <c r="B2616" s="232" t="s">
        <v>5989</v>
      </c>
      <c r="C2616" s="232">
        <v>296.0</v>
      </c>
      <c r="D2616" s="232">
        <v>967.78</v>
      </c>
      <c r="E2616" s="232">
        <v>3.2695</v>
      </c>
      <c r="F2616" t="s">
        <v>7702</v>
      </c>
      <c r="G2616" t="s">
        <v>330</v>
      </c>
      <c r="H2616" t="s">
        <v>7709</v>
      </c>
      <c r="I2616" t="s">
        <v>7764</v>
      </c>
    </row>
    <row r="2617">
      <c r="A2617" t="s">
        <v>5992</v>
      </c>
      <c r="B2617" s="232" t="s">
        <v>5991</v>
      </c>
      <c r="C2617" s="232">
        <v>421.0</v>
      </c>
      <c r="D2617" s="232">
        <v>1479.7</v>
      </c>
      <c r="E2617" s="232">
        <v>3.5147</v>
      </c>
      <c r="F2617" t="s">
        <v>7702</v>
      </c>
      <c r="G2617" t="s">
        <v>330</v>
      </c>
      <c r="H2617" t="s">
        <v>7709</v>
      </c>
      <c r="I2617" t="s">
        <v>7764</v>
      </c>
    </row>
    <row r="2618">
      <c r="A2618" t="s">
        <v>5994</v>
      </c>
      <c r="B2618" s="232" t="s">
        <v>5993</v>
      </c>
      <c r="C2618" s="232">
        <v>155.0</v>
      </c>
      <c r="D2618" s="232">
        <v>932.98</v>
      </c>
      <c r="E2618" s="232">
        <v>6.0192</v>
      </c>
      <c r="F2618" t="s">
        <v>7702</v>
      </c>
      <c r="G2618" t="s">
        <v>330</v>
      </c>
      <c r="H2618" t="s">
        <v>45</v>
      </c>
      <c r="I2618" t="s">
        <v>7833</v>
      </c>
    </row>
    <row r="2619">
      <c r="A2619" t="s">
        <v>5996</v>
      </c>
      <c r="B2619" s="232" t="s">
        <v>5995</v>
      </c>
      <c r="C2619" s="232">
        <v>77.0</v>
      </c>
      <c r="D2619" s="232">
        <v>463.22</v>
      </c>
      <c r="E2619" s="232">
        <v>6.0158</v>
      </c>
      <c r="F2619" t="s">
        <v>7702</v>
      </c>
      <c r="G2619" t="s">
        <v>330</v>
      </c>
      <c r="H2619" t="s">
        <v>45</v>
      </c>
      <c r="I2619" t="s">
        <v>7833</v>
      </c>
    </row>
    <row r="2620">
      <c r="A2620" t="s">
        <v>5998</v>
      </c>
      <c r="B2620" s="232" t="s">
        <v>5997</v>
      </c>
      <c r="C2620" s="232">
        <v>87.0</v>
      </c>
      <c r="D2620" s="232">
        <v>523.74</v>
      </c>
      <c r="E2620" s="232">
        <v>6.02</v>
      </c>
      <c r="F2620" t="s">
        <v>7702</v>
      </c>
      <c r="G2620" t="s">
        <v>330</v>
      </c>
      <c r="H2620" t="s">
        <v>45</v>
      </c>
      <c r="I2620" t="s">
        <v>7833</v>
      </c>
    </row>
    <row r="2621">
      <c r="A2621" t="s">
        <v>6000</v>
      </c>
      <c r="B2621" s="232" t="s">
        <v>5999</v>
      </c>
      <c r="C2621" s="232">
        <v>127.0</v>
      </c>
      <c r="D2621" s="232">
        <v>764.36</v>
      </c>
      <c r="E2621" s="232">
        <v>6.0186</v>
      </c>
      <c r="F2621" t="s">
        <v>7702</v>
      </c>
      <c r="G2621" t="s">
        <v>330</v>
      </c>
      <c r="H2621" t="s">
        <v>45</v>
      </c>
      <c r="I2621" t="s">
        <v>7833</v>
      </c>
    </row>
    <row r="2622">
      <c r="A2622" t="s">
        <v>6002</v>
      </c>
      <c r="B2622" s="232" t="s">
        <v>6001</v>
      </c>
      <c r="C2622" s="232">
        <v>187.0</v>
      </c>
      <c r="D2622" s="232">
        <v>1125.7</v>
      </c>
      <c r="E2622" s="232">
        <v>6.0198</v>
      </c>
      <c r="F2622" t="s">
        <v>7702</v>
      </c>
      <c r="G2622" t="s">
        <v>330</v>
      </c>
      <c r="H2622" t="s">
        <v>45</v>
      </c>
      <c r="I2622" t="s">
        <v>7833</v>
      </c>
    </row>
    <row r="2623">
      <c r="A2623" t="s">
        <v>6004</v>
      </c>
      <c r="B2623" s="232" t="s">
        <v>6003</v>
      </c>
      <c r="C2623" s="232">
        <v>1.0</v>
      </c>
      <c r="D2623" s="232">
        <v>144.51</v>
      </c>
      <c r="E2623" s="232">
        <v>144.51</v>
      </c>
      <c r="F2623" t="s">
        <v>7702</v>
      </c>
      <c r="G2623" t="s">
        <v>330</v>
      </c>
      <c r="H2623" t="s">
        <v>45</v>
      </c>
      <c r="I2623" t="s">
        <v>7833</v>
      </c>
    </row>
    <row r="2624">
      <c r="A2624" t="s">
        <v>6006</v>
      </c>
      <c r="B2624" s="232" t="s">
        <v>6005</v>
      </c>
      <c r="C2624" s="232">
        <v>170.0</v>
      </c>
      <c r="D2624" s="232">
        <v>1023.31</v>
      </c>
      <c r="E2624" s="232">
        <v>6.0195</v>
      </c>
      <c r="F2624" t="s">
        <v>7702</v>
      </c>
      <c r="G2624" t="s">
        <v>330</v>
      </c>
      <c r="H2624" t="s">
        <v>45</v>
      </c>
      <c r="I2624" t="s">
        <v>7833</v>
      </c>
    </row>
    <row r="2625">
      <c r="A2625" t="s">
        <v>6008</v>
      </c>
      <c r="B2625" s="232" t="s">
        <v>6007</v>
      </c>
      <c r="C2625" s="232">
        <v>123.0</v>
      </c>
      <c r="D2625" s="232">
        <v>194.9</v>
      </c>
      <c r="E2625" s="232">
        <v>1.5846</v>
      </c>
      <c r="F2625" t="s">
        <v>7702</v>
      </c>
      <c r="G2625" t="s">
        <v>330</v>
      </c>
      <c r="H2625" t="s">
        <v>45</v>
      </c>
      <c r="I2625" t="s">
        <v>7742</v>
      </c>
    </row>
    <row r="2626">
      <c r="A2626" t="s">
        <v>6010</v>
      </c>
      <c r="B2626" s="232" t="s">
        <v>6009</v>
      </c>
      <c r="C2626" s="232">
        <v>370.0</v>
      </c>
      <c r="D2626" s="232">
        <v>586.77</v>
      </c>
      <c r="E2626" s="232">
        <v>1.5859</v>
      </c>
      <c r="F2626" t="s">
        <v>7702</v>
      </c>
      <c r="G2626" t="s">
        <v>330</v>
      </c>
      <c r="H2626" t="s">
        <v>45</v>
      </c>
      <c r="I2626" t="s">
        <v>7742</v>
      </c>
    </row>
    <row r="2627">
      <c r="A2627" t="s">
        <v>6012</v>
      </c>
      <c r="B2627" s="232" t="s">
        <v>6011</v>
      </c>
      <c r="C2627" s="232">
        <v>0.0</v>
      </c>
      <c r="D2627" s="232">
        <v>0.0</v>
      </c>
      <c r="F2627" t="s">
        <v>7702</v>
      </c>
      <c r="G2627" t="s">
        <v>310</v>
      </c>
      <c r="H2627" t="s">
        <v>45</v>
      </c>
      <c r="I2627" t="s">
        <v>7742</v>
      </c>
    </row>
    <row r="2628">
      <c r="A2628" t="s">
        <v>6014</v>
      </c>
      <c r="B2628" s="232" t="s">
        <v>6013</v>
      </c>
      <c r="C2628" s="232">
        <v>0.0</v>
      </c>
      <c r="D2628" s="232">
        <v>0.0</v>
      </c>
      <c r="F2628" t="s">
        <v>7702</v>
      </c>
      <c r="G2628" t="s">
        <v>310</v>
      </c>
      <c r="H2628" t="s">
        <v>45</v>
      </c>
      <c r="I2628" t="s">
        <v>7742</v>
      </c>
    </row>
    <row r="2629">
      <c r="A2629" t="s">
        <v>6016</v>
      </c>
      <c r="B2629" s="232" t="s">
        <v>6015</v>
      </c>
      <c r="C2629" s="232">
        <v>454.0</v>
      </c>
      <c r="D2629" s="232">
        <v>720.07</v>
      </c>
      <c r="E2629" s="232">
        <v>1.5861</v>
      </c>
      <c r="F2629" t="s">
        <v>7702</v>
      </c>
      <c r="G2629" t="s">
        <v>330</v>
      </c>
      <c r="H2629" t="s">
        <v>45</v>
      </c>
      <c r="I2629" t="s">
        <v>7742</v>
      </c>
    </row>
    <row r="2630">
      <c r="A2630" t="s">
        <v>6018</v>
      </c>
      <c r="B2630" s="232" t="s">
        <v>6017</v>
      </c>
      <c r="C2630" s="232">
        <v>0.0</v>
      </c>
      <c r="D2630" s="232">
        <v>0.0</v>
      </c>
      <c r="F2630" t="s">
        <v>7702</v>
      </c>
      <c r="G2630" t="s">
        <v>310</v>
      </c>
      <c r="H2630" t="s">
        <v>45</v>
      </c>
      <c r="I2630" t="s">
        <v>7742</v>
      </c>
    </row>
    <row r="2631">
      <c r="A2631" t="s">
        <v>6020</v>
      </c>
      <c r="B2631" s="232" t="s">
        <v>6019</v>
      </c>
      <c r="C2631" s="232">
        <v>125.0</v>
      </c>
      <c r="D2631" s="232">
        <v>198.0</v>
      </c>
      <c r="E2631" s="232">
        <v>1.584</v>
      </c>
      <c r="F2631" t="s">
        <v>7702</v>
      </c>
      <c r="G2631" t="s">
        <v>330</v>
      </c>
      <c r="H2631" t="s">
        <v>45</v>
      </c>
      <c r="I2631" t="s">
        <v>7742</v>
      </c>
    </row>
    <row r="2632">
      <c r="A2632" t="s">
        <v>6022</v>
      </c>
      <c r="B2632" s="232" t="s">
        <v>6021</v>
      </c>
      <c r="C2632" s="232">
        <v>0.0</v>
      </c>
      <c r="D2632" s="232">
        <v>0.0</v>
      </c>
      <c r="F2632" t="s">
        <v>7702</v>
      </c>
      <c r="G2632" t="s">
        <v>310</v>
      </c>
      <c r="H2632" t="s">
        <v>7703</v>
      </c>
      <c r="I2632" t="s">
        <v>7742</v>
      </c>
    </row>
    <row r="2633">
      <c r="A2633" t="s">
        <v>6024</v>
      </c>
      <c r="B2633" s="232" t="s">
        <v>6023</v>
      </c>
      <c r="C2633" s="232">
        <v>0.0</v>
      </c>
      <c r="D2633" s="232">
        <v>0.0</v>
      </c>
      <c r="F2633" t="s">
        <v>7702</v>
      </c>
      <c r="G2633" t="s">
        <v>310</v>
      </c>
      <c r="H2633" t="s">
        <v>45</v>
      </c>
      <c r="I2633" t="s">
        <v>7742</v>
      </c>
    </row>
    <row r="2634">
      <c r="A2634" t="s">
        <v>6026</v>
      </c>
      <c r="B2634" s="232" t="s">
        <v>6025</v>
      </c>
      <c r="C2634" s="232">
        <v>0.0</v>
      </c>
      <c r="D2634" s="232">
        <v>0.0</v>
      </c>
      <c r="F2634" t="s">
        <v>7702</v>
      </c>
      <c r="G2634" t="s">
        <v>310</v>
      </c>
      <c r="H2634" t="s">
        <v>45</v>
      </c>
      <c r="I2634" t="s">
        <v>7742</v>
      </c>
    </row>
    <row r="2635">
      <c r="A2635" t="s">
        <v>6028</v>
      </c>
      <c r="B2635" s="232" t="s">
        <v>6027</v>
      </c>
      <c r="C2635" s="232">
        <v>0.0</v>
      </c>
      <c r="D2635" s="232">
        <v>0.0</v>
      </c>
      <c r="F2635" t="s">
        <v>7702</v>
      </c>
      <c r="G2635" t="s">
        <v>310</v>
      </c>
      <c r="H2635" t="s">
        <v>45</v>
      </c>
      <c r="I2635" t="s">
        <v>7742</v>
      </c>
    </row>
    <row r="2636">
      <c r="A2636" t="s">
        <v>6030</v>
      </c>
      <c r="B2636" s="232" t="s">
        <v>6029</v>
      </c>
      <c r="C2636" s="232">
        <v>0.0</v>
      </c>
      <c r="D2636" s="232">
        <v>0.0</v>
      </c>
      <c r="F2636" t="s">
        <v>7702</v>
      </c>
      <c r="G2636" t="s">
        <v>310</v>
      </c>
      <c r="H2636" t="s">
        <v>7703</v>
      </c>
      <c r="I2636" t="s">
        <v>7773</v>
      </c>
    </row>
    <row r="2637">
      <c r="A2637" t="s">
        <v>6032</v>
      </c>
      <c r="B2637" s="232" t="s">
        <v>6031</v>
      </c>
      <c r="C2637" s="232">
        <v>0.0</v>
      </c>
      <c r="D2637" s="232">
        <v>0.0</v>
      </c>
      <c r="F2637" t="s">
        <v>7702</v>
      </c>
      <c r="G2637" t="s">
        <v>310</v>
      </c>
      <c r="H2637" t="s">
        <v>7703</v>
      </c>
      <c r="I2637" t="s">
        <v>7773</v>
      </c>
    </row>
    <row r="2638">
      <c r="A2638" t="s">
        <v>6034</v>
      </c>
      <c r="B2638" s="232" t="s">
        <v>6033</v>
      </c>
      <c r="C2638" s="232">
        <v>0.0</v>
      </c>
      <c r="D2638" s="232">
        <v>0.0</v>
      </c>
      <c r="F2638" t="s">
        <v>7702</v>
      </c>
      <c r="G2638" t="s">
        <v>310</v>
      </c>
      <c r="H2638" t="s">
        <v>7703</v>
      </c>
      <c r="I2638" t="s">
        <v>7773</v>
      </c>
    </row>
    <row r="2639">
      <c r="A2639" t="s">
        <v>6036</v>
      </c>
      <c r="B2639" s="232" t="s">
        <v>6035</v>
      </c>
      <c r="C2639" s="232">
        <v>0.0</v>
      </c>
      <c r="D2639" s="232">
        <v>0.0</v>
      </c>
      <c r="F2639" t="s">
        <v>7702</v>
      </c>
      <c r="G2639" t="s">
        <v>310</v>
      </c>
      <c r="H2639" t="s">
        <v>7703</v>
      </c>
      <c r="I2639" t="s">
        <v>7773</v>
      </c>
    </row>
    <row r="2640">
      <c r="A2640" t="s">
        <v>6038</v>
      </c>
      <c r="B2640" s="232" t="s">
        <v>6037</v>
      </c>
      <c r="C2640" s="232">
        <v>600.0</v>
      </c>
      <c r="D2640" s="232">
        <v>317.22</v>
      </c>
      <c r="E2640" s="232">
        <v>0.5287</v>
      </c>
      <c r="F2640" t="s">
        <v>7702</v>
      </c>
      <c r="G2640" t="s">
        <v>330</v>
      </c>
      <c r="H2640" t="s">
        <v>7733</v>
      </c>
    </row>
    <row r="2641">
      <c r="A2641" t="s">
        <v>6040</v>
      </c>
      <c r="B2641" s="232">
        <v>40407.0</v>
      </c>
      <c r="C2641" s="232">
        <v>45.0</v>
      </c>
      <c r="D2641" s="232">
        <v>396.29</v>
      </c>
      <c r="E2641" s="232">
        <v>8.8064</v>
      </c>
      <c r="F2641" t="s">
        <v>7702</v>
      </c>
      <c r="G2641" t="s">
        <v>330</v>
      </c>
      <c r="H2641" t="s">
        <v>7774</v>
      </c>
      <c r="I2641" t="s">
        <v>7704</v>
      </c>
    </row>
    <row r="2642">
      <c r="A2642" t="s">
        <v>6041</v>
      </c>
      <c r="B2642" s="232">
        <v>40408.0</v>
      </c>
      <c r="C2642" s="232">
        <v>72.0</v>
      </c>
      <c r="D2642" s="232">
        <v>645.95</v>
      </c>
      <c r="E2642" s="232">
        <v>8.9715</v>
      </c>
      <c r="F2642" t="s">
        <v>7702</v>
      </c>
      <c r="G2642" t="s">
        <v>330</v>
      </c>
      <c r="H2642" t="s">
        <v>7774</v>
      </c>
      <c r="I2642" t="s">
        <v>7704</v>
      </c>
    </row>
    <row r="2643">
      <c r="A2643" t="s">
        <v>6042</v>
      </c>
      <c r="B2643" s="232">
        <v>40409.0</v>
      </c>
      <c r="C2643" s="232">
        <v>39.0</v>
      </c>
      <c r="D2643" s="232">
        <v>351.32</v>
      </c>
      <c r="E2643" s="232">
        <v>9.0082</v>
      </c>
      <c r="F2643" t="s">
        <v>7702</v>
      </c>
      <c r="G2643" t="s">
        <v>330</v>
      </c>
      <c r="H2643" t="s">
        <v>7774</v>
      </c>
      <c r="I2643" t="s">
        <v>7704</v>
      </c>
    </row>
    <row r="2644">
      <c r="A2644" t="s">
        <v>6043</v>
      </c>
      <c r="B2644" s="232">
        <v>40402.0</v>
      </c>
      <c r="C2644" s="232">
        <v>66.0</v>
      </c>
      <c r="D2644" s="232">
        <v>589.33</v>
      </c>
      <c r="E2644" s="232">
        <v>8.9292</v>
      </c>
      <c r="F2644" t="s">
        <v>7702</v>
      </c>
      <c r="G2644" t="s">
        <v>330</v>
      </c>
      <c r="H2644" t="s">
        <v>7774</v>
      </c>
      <c r="I2644" t="s">
        <v>7704</v>
      </c>
    </row>
    <row r="2645">
      <c r="A2645" t="s">
        <v>6044</v>
      </c>
      <c r="B2645" s="232">
        <v>40403.0</v>
      </c>
      <c r="C2645" s="232">
        <v>100.0</v>
      </c>
      <c r="D2645" s="232">
        <v>878.35</v>
      </c>
      <c r="E2645" s="232">
        <v>8.7835</v>
      </c>
      <c r="F2645" t="s">
        <v>7702</v>
      </c>
      <c r="G2645" t="s">
        <v>330</v>
      </c>
      <c r="H2645" t="s">
        <v>7774</v>
      </c>
      <c r="I2645" t="s">
        <v>7704</v>
      </c>
    </row>
    <row r="2646">
      <c r="A2646" t="s">
        <v>6045</v>
      </c>
      <c r="B2646" s="232">
        <v>40404.0</v>
      </c>
      <c r="C2646" s="232">
        <v>61.0</v>
      </c>
      <c r="D2646" s="232">
        <v>538.64</v>
      </c>
      <c r="E2646" s="232">
        <v>8.8302</v>
      </c>
      <c r="F2646" t="s">
        <v>7702</v>
      </c>
      <c r="G2646" t="s">
        <v>330</v>
      </c>
      <c r="H2646" t="s">
        <v>7774</v>
      </c>
      <c r="I2646" t="s">
        <v>7704</v>
      </c>
    </row>
    <row r="2647">
      <c r="A2647" t="s">
        <v>6047</v>
      </c>
      <c r="B2647" s="232" t="s">
        <v>6046</v>
      </c>
      <c r="C2647" s="232">
        <v>0.0</v>
      </c>
      <c r="D2647" s="232">
        <v>0.0</v>
      </c>
      <c r="F2647" t="s">
        <v>7702</v>
      </c>
      <c r="G2647" t="s">
        <v>330</v>
      </c>
      <c r="H2647" t="s">
        <v>7774</v>
      </c>
      <c r="I2647" t="s">
        <v>7744</v>
      </c>
    </row>
    <row r="2648">
      <c r="A2648" t="s">
        <v>6051</v>
      </c>
      <c r="B2648" s="232" t="s">
        <v>6050</v>
      </c>
      <c r="C2648" s="232">
        <v>0.0</v>
      </c>
      <c r="D2648" s="232">
        <v>0.0</v>
      </c>
      <c r="F2648" t="s">
        <v>7702</v>
      </c>
      <c r="G2648" t="s">
        <v>310</v>
      </c>
      <c r="H2648" t="s">
        <v>45</v>
      </c>
      <c r="I2648" t="s">
        <v>7719</v>
      </c>
    </row>
    <row r="2649">
      <c r="A2649" t="s">
        <v>6054</v>
      </c>
      <c r="B2649" s="232">
        <v>33004.0</v>
      </c>
      <c r="C2649" s="232">
        <v>0.0</v>
      </c>
      <c r="D2649" s="232">
        <v>0.0</v>
      </c>
      <c r="F2649" t="s">
        <v>7702</v>
      </c>
      <c r="G2649" t="s">
        <v>310</v>
      </c>
      <c r="H2649" t="s">
        <v>7703</v>
      </c>
      <c r="I2649" t="s">
        <v>98</v>
      </c>
    </row>
    <row r="2650">
      <c r="A2650" t="s">
        <v>6055</v>
      </c>
      <c r="B2650" s="232">
        <v>33001.0</v>
      </c>
      <c r="C2650" s="232">
        <v>0.0</v>
      </c>
      <c r="D2650" s="232">
        <v>0.0</v>
      </c>
      <c r="F2650" t="s">
        <v>7702</v>
      </c>
      <c r="G2650" t="s">
        <v>310</v>
      </c>
      <c r="H2650" t="s">
        <v>7703</v>
      </c>
      <c r="I2650" t="s">
        <v>98</v>
      </c>
    </row>
    <row r="2651">
      <c r="A2651" t="s">
        <v>6056</v>
      </c>
      <c r="B2651" s="232">
        <v>33003.0</v>
      </c>
      <c r="C2651" s="232">
        <v>0.0</v>
      </c>
      <c r="D2651" s="232">
        <v>0.0</v>
      </c>
      <c r="F2651" t="s">
        <v>7702</v>
      </c>
      <c r="G2651" t="s">
        <v>310</v>
      </c>
      <c r="H2651" t="s">
        <v>7703</v>
      </c>
      <c r="I2651" t="s">
        <v>98</v>
      </c>
    </row>
    <row r="2652">
      <c r="A2652" t="s">
        <v>6057</v>
      </c>
      <c r="B2652" s="232">
        <v>33005.0</v>
      </c>
      <c r="C2652" s="232">
        <v>0.0</v>
      </c>
      <c r="D2652" s="232">
        <v>0.0</v>
      </c>
      <c r="F2652" t="s">
        <v>7702</v>
      </c>
      <c r="G2652" t="s">
        <v>310</v>
      </c>
      <c r="H2652" t="s">
        <v>7703</v>
      </c>
      <c r="I2652" t="s">
        <v>98</v>
      </c>
    </row>
    <row r="2653">
      <c r="A2653" t="s">
        <v>6064</v>
      </c>
      <c r="B2653" s="232" t="s">
        <v>6063</v>
      </c>
      <c r="C2653" s="232">
        <v>0.0</v>
      </c>
      <c r="D2653" s="232">
        <v>0.0</v>
      </c>
      <c r="F2653" t="s">
        <v>7702</v>
      </c>
      <c r="G2653" t="s">
        <v>310</v>
      </c>
      <c r="H2653" t="s">
        <v>7703</v>
      </c>
      <c r="I2653" t="s">
        <v>151</v>
      </c>
    </row>
    <row r="2654">
      <c r="A2654" t="s">
        <v>6066</v>
      </c>
      <c r="B2654" s="232" t="s">
        <v>6065</v>
      </c>
      <c r="C2654" s="232">
        <v>0.0</v>
      </c>
      <c r="D2654" s="232">
        <v>0.0</v>
      </c>
      <c r="F2654" t="s">
        <v>7702</v>
      </c>
      <c r="G2654" t="s">
        <v>310</v>
      </c>
      <c r="H2654" t="s">
        <v>7703</v>
      </c>
      <c r="I2654" t="s">
        <v>7809</v>
      </c>
    </row>
    <row r="2655">
      <c r="A2655" t="s">
        <v>6068</v>
      </c>
      <c r="B2655" s="232" t="s">
        <v>6067</v>
      </c>
      <c r="C2655" s="232">
        <v>0.0</v>
      </c>
      <c r="D2655" s="232">
        <v>0.0</v>
      </c>
      <c r="F2655" t="s">
        <v>7702</v>
      </c>
      <c r="G2655" t="s">
        <v>310</v>
      </c>
      <c r="H2655" t="s">
        <v>7703</v>
      </c>
      <c r="I2655" t="s">
        <v>7809</v>
      </c>
    </row>
    <row r="2656">
      <c r="A2656" t="s">
        <v>6070</v>
      </c>
      <c r="B2656" s="232" t="s">
        <v>6069</v>
      </c>
      <c r="C2656" s="232">
        <v>0.0</v>
      </c>
      <c r="D2656" s="232">
        <v>0.0</v>
      </c>
      <c r="F2656" t="s">
        <v>7702</v>
      </c>
      <c r="G2656" t="s">
        <v>310</v>
      </c>
      <c r="H2656" t="s">
        <v>7703</v>
      </c>
    </row>
    <row r="2657">
      <c r="A2657" t="s">
        <v>6072</v>
      </c>
      <c r="B2657" s="232" t="s">
        <v>6071</v>
      </c>
      <c r="C2657" s="232">
        <v>0.0</v>
      </c>
      <c r="D2657" s="232">
        <v>0.0</v>
      </c>
      <c r="F2657" t="s">
        <v>7702</v>
      </c>
      <c r="G2657" t="s">
        <v>310</v>
      </c>
      <c r="H2657" t="s">
        <v>7703</v>
      </c>
    </row>
    <row r="2658">
      <c r="A2658" t="s">
        <v>6074</v>
      </c>
      <c r="B2658" s="232" t="s">
        <v>6073</v>
      </c>
      <c r="C2658" s="232">
        <v>0.0</v>
      </c>
      <c r="D2658" s="232">
        <v>0.0</v>
      </c>
      <c r="F2658" t="s">
        <v>7702</v>
      </c>
      <c r="G2658" t="s">
        <v>310</v>
      </c>
      <c r="H2658" t="s">
        <v>7703</v>
      </c>
      <c r="I2658" t="s">
        <v>7809</v>
      </c>
    </row>
    <row r="2659">
      <c r="A2659" t="s">
        <v>6076</v>
      </c>
      <c r="B2659" s="232" t="s">
        <v>6075</v>
      </c>
      <c r="C2659" s="232">
        <v>0.0</v>
      </c>
      <c r="D2659" s="232">
        <v>0.0</v>
      </c>
      <c r="F2659" t="s">
        <v>7702</v>
      </c>
      <c r="G2659" t="s">
        <v>310</v>
      </c>
      <c r="H2659" t="s">
        <v>7703</v>
      </c>
      <c r="I2659" t="s">
        <v>7809</v>
      </c>
    </row>
    <row r="2660">
      <c r="A2660" t="s">
        <v>6078</v>
      </c>
      <c r="B2660" s="232" t="s">
        <v>6077</v>
      </c>
      <c r="C2660" s="232">
        <v>0.0</v>
      </c>
      <c r="D2660" s="232">
        <v>0.0</v>
      </c>
      <c r="F2660" t="s">
        <v>7702</v>
      </c>
      <c r="G2660" t="s">
        <v>310</v>
      </c>
      <c r="H2660" t="s">
        <v>7703</v>
      </c>
      <c r="I2660" t="s">
        <v>7716</v>
      </c>
    </row>
    <row r="2661">
      <c r="A2661" t="s">
        <v>6080</v>
      </c>
      <c r="B2661" s="232" t="s">
        <v>6079</v>
      </c>
      <c r="C2661" s="232">
        <v>0.0</v>
      </c>
      <c r="D2661" s="232">
        <v>0.0</v>
      </c>
      <c r="F2661" t="s">
        <v>7702</v>
      </c>
      <c r="G2661" t="s">
        <v>310</v>
      </c>
      <c r="H2661" t="s">
        <v>7703</v>
      </c>
      <c r="I2661" t="s">
        <v>7724</v>
      </c>
    </row>
    <row r="2662">
      <c r="A2662" t="s">
        <v>6082</v>
      </c>
      <c r="B2662" s="232" t="s">
        <v>6081</v>
      </c>
      <c r="C2662" s="232">
        <v>0.0</v>
      </c>
      <c r="D2662" s="232">
        <v>0.0</v>
      </c>
      <c r="F2662" t="s">
        <v>7702</v>
      </c>
      <c r="G2662" t="s">
        <v>330</v>
      </c>
      <c r="H2662" t="s">
        <v>7725</v>
      </c>
    </row>
    <row r="2663">
      <c r="A2663" t="s">
        <v>6084</v>
      </c>
      <c r="B2663" s="232" t="s">
        <v>6083</v>
      </c>
      <c r="C2663" s="232">
        <v>0.0</v>
      </c>
      <c r="D2663" s="232">
        <v>0.0</v>
      </c>
      <c r="F2663" t="s">
        <v>7702</v>
      </c>
      <c r="G2663" t="s">
        <v>310</v>
      </c>
      <c r="H2663" t="s">
        <v>7703</v>
      </c>
      <c r="I2663" t="s">
        <v>7714</v>
      </c>
    </row>
    <row r="2664">
      <c r="A2664" t="s">
        <v>6086</v>
      </c>
      <c r="B2664" s="232" t="s">
        <v>6085</v>
      </c>
      <c r="C2664" s="232">
        <v>0.0</v>
      </c>
      <c r="D2664" s="232">
        <v>0.0</v>
      </c>
      <c r="F2664" t="s">
        <v>7702</v>
      </c>
      <c r="G2664" t="s">
        <v>310</v>
      </c>
      <c r="H2664" t="s">
        <v>7703</v>
      </c>
      <c r="I2664" t="s">
        <v>7714</v>
      </c>
    </row>
    <row r="2665">
      <c r="A2665" t="s">
        <v>6088</v>
      </c>
      <c r="B2665" s="232" t="s">
        <v>6087</v>
      </c>
      <c r="C2665" s="232">
        <v>66.0</v>
      </c>
      <c r="D2665" s="232">
        <v>21.84</v>
      </c>
      <c r="E2665" s="232">
        <v>0.3309</v>
      </c>
      <c r="F2665" t="s">
        <v>7702</v>
      </c>
      <c r="G2665" t="s">
        <v>330</v>
      </c>
      <c r="H2665" t="s">
        <v>45</v>
      </c>
      <c r="I2665" t="s">
        <v>98</v>
      </c>
    </row>
    <row r="2666">
      <c r="A2666" t="s">
        <v>6090</v>
      </c>
      <c r="B2666" s="232" t="s">
        <v>6089</v>
      </c>
      <c r="C2666" s="232">
        <v>0.0</v>
      </c>
      <c r="D2666" s="232">
        <v>0.0</v>
      </c>
      <c r="F2666" t="s">
        <v>7711</v>
      </c>
      <c r="G2666" t="s">
        <v>310</v>
      </c>
      <c r="H2666" t="s">
        <v>7703</v>
      </c>
      <c r="I2666" t="s">
        <v>98</v>
      </c>
    </row>
    <row r="2667">
      <c r="A2667" t="s">
        <v>6092</v>
      </c>
      <c r="B2667" s="232" t="s">
        <v>6091</v>
      </c>
      <c r="C2667" s="232">
        <v>0.0</v>
      </c>
      <c r="D2667" s="232">
        <v>0.0</v>
      </c>
      <c r="F2667" t="s">
        <v>7702</v>
      </c>
      <c r="G2667" t="s">
        <v>310</v>
      </c>
      <c r="H2667" t="s">
        <v>7703</v>
      </c>
      <c r="I2667" t="s">
        <v>7714</v>
      </c>
    </row>
    <row r="2668">
      <c r="A2668" t="s">
        <v>6094</v>
      </c>
      <c r="B2668" s="232" t="s">
        <v>6093</v>
      </c>
      <c r="C2668" s="232">
        <v>0.0</v>
      </c>
      <c r="D2668" s="232">
        <v>0.0</v>
      </c>
      <c r="F2668" t="s">
        <v>7711</v>
      </c>
      <c r="G2668" t="s">
        <v>310</v>
      </c>
      <c r="H2668" t="s">
        <v>7703</v>
      </c>
    </row>
    <row r="2669">
      <c r="A2669" t="s">
        <v>6096</v>
      </c>
      <c r="B2669" s="232" t="s">
        <v>6095</v>
      </c>
      <c r="C2669" s="232">
        <v>0.0</v>
      </c>
      <c r="D2669" s="232">
        <v>0.0</v>
      </c>
      <c r="F2669" t="s">
        <v>7702</v>
      </c>
      <c r="G2669" t="s">
        <v>310</v>
      </c>
      <c r="H2669" t="s">
        <v>7703</v>
      </c>
      <c r="I2669" t="s">
        <v>98</v>
      </c>
    </row>
    <row r="2670">
      <c r="A2670" t="s">
        <v>6098</v>
      </c>
      <c r="B2670" s="232" t="s">
        <v>6097</v>
      </c>
      <c r="C2670" s="232">
        <v>0.0</v>
      </c>
      <c r="D2670" s="232">
        <v>0.0</v>
      </c>
      <c r="F2670" t="s">
        <v>7702</v>
      </c>
      <c r="G2670" t="s">
        <v>310</v>
      </c>
      <c r="H2670" t="s">
        <v>45</v>
      </c>
      <c r="I2670" t="s">
        <v>98</v>
      </c>
    </row>
    <row r="2671">
      <c r="A2671" t="s">
        <v>6100</v>
      </c>
      <c r="B2671" s="232" t="s">
        <v>6099</v>
      </c>
      <c r="C2671" s="232">
        <v>0.0</v>
      </c>
      <c r="D2671" s="232">
        <v>0.0</v>
      </c>
      <c r="F2671" t="s">
        <v>7702</v>
      </c>
      <c r="G2671" t="s">
        <v>310</v>
      </c>
      <c r="H2671" t="s">
        <v>45</v>
      </c>
      <c r="I2671" t="s">
        <v>98</v>
      </c>
    </row>
    <row r="2672">
      <c r="A2672" t="s">
        <v>6102</v>
      </c>
      <c r="B2672" s="232" t="s">
        <v>6101</v>
      </c>
      <c r="C2672" s="232">
        <v>744.0</v>
      </c>
      <c r="D2672" s="232">
        <v>242.53</v>
      </c>
      <c r="E2672" s="232">
        <v>0.326</v>
      </c>
      <c r="F2672" t="s">
        <v>7702</v>
      </c>
      <c r="G2672" t="s">
        <v>330</v>
      </c>
      <c r="H2672" t="s">
        <v>45</v>
      </c>
      <c r="I2672" t="s">
        <v>98</v>
      </c>
    </row>
    <row r="2673">
      <c r="A2673" t="s">
        <v>6104</v>
      </c>
      <c r="B2673" s="232" t="s">
        <v>6103</v>
      </c>
      <c r="C2673" s="232">
        <v>0.0</v>
      </c>
      <c r="D2673" s="232">
        <v>0.0</v>
      </c>
      <c r="F2673" t="s">
        <v>7702</v>
      </c>
      <c r="G2673" t="s">
        <v>310</v>
      </c>
      <c r="H2673" t="s">
        <v>45</v>
      </c>
      <c r="I2673" t="s">
        <v>98</v>
      </c>
    </row>
    <row r="2674">
      <c r="A2674" t="s">
        <v>6106</v>
      </c>
      <c r="B2674" s="232" t="s">
        <v>6105</v>
      </c>
      <c r="C2674" s="232">
        <v>90.0</v>
      </c>
      <c r="D2674" s="232">
        <v>29.71</v>
      </c>
      <c r="E2674" s="232">
        <v>0.3301</v>
      </c>
      <c r="F2674" t="s">
        <v>7702</v>
      </c>
      <c r="G2674" t="s">
        <v>330</v>
      </c>
      <c r="H2674" t="s">
        <v>45</v>
      </c>
      <c r="I2674" t="s">
        <v>98</v>
      </c>
    </row>
    <row r="2675">
      <c r="A2675" t="s">
        <v>6108</v>
      </c>
      <c r="B2675" s="232" t="s">
        <v>6107</v>
      </c>
      <c r="C2675" s="232">
        <v>0.0</v>
      </c>
      <c r="D2675" s="232">
        <v>0.0</v>
      </c>
      <c r="F2675" t="s">
        <v>7702</v>
      </c>
      <c r="G2675" t="s">
        <v>310</v>
      </c>
      <c r="H2675" t="s">
        <v>45</v>
      </c>
      <c r="I2675" t="s">
        <v>98</v>
      </c>
    </row>
    <row r="2676">
      <c r="A2676" t="s">
        <v>6110</v>
      </c>
      <c r="B2676" s="232" t="s">
        <v>6109</v>
      </c>
      <c r="C2676" s="232">
        <v>0.0</v>
      </c>
      <c r="D2676" s="232">
        <v>0.0</v>
      </c>
      <c r="F2676" t="s">
        <v>7702</v>
      </c>
      <c r="G2676" t="s">
        <v>310</v>
      </c>
      <c r="H2676" t="s">
        <v>45</v>
      </c>
      <c r="I2676" t="s">
        <v>98</v>
      </c>
    </row>
    <row r="2677">
      <c r="A2677" t="s">
        <v>6112</v>
      </c>
      <c r="B2677" s="232" t="s">
        <v>6111</v>
      </c>
      <c r="C2677" s="232">
        <v>0.0</v>
      </c>
      <c r="D2677" s="232">
        <v>0.0</v>
      </c>
      <c r="F2677" t="s">
        <v>7702</v>
      </c>
      <c r="G2677" t="s">
        <v>310</v>
      </c>
      <c r="H2677" t="s">
        <v>45</v>
      </c>
      <c r="I2677" t="s">
        <v>98</v>
      </c>
    </row>
    <row r="2678">
      <c r="A2678" t="s">
        <v>6114</v>
      </c>
      <c r="B2678" s="232" t="s">
        <v>6113</v>
      </c>
      <c r="C2678" s="232">
        <v>0.0</v>
      </c>
      <c r="D2678" s="232">
        <v>0.0</v>
      </c>
      <c r="F2678" t="s">
        <v>7702</v>
      </c>
      <c r="G2678" t="s">
        <v>310</v>
      </c>
      <c r="H2678" t="s">
        <v>45</v>
      </c>
      <c r="I2678" t="s">
        <v>98</v>
      </c>
    </row>
    <row r="2679">
      <c r="A2679" t="s">
        <v>6116</v>
      </c>
      <c r="B2679" s="232" t="s">
        <v>6115</v>
      </c>
      <c r="C2679" s="232">
        <v>60.0</v>
      </c>
      <c r="D2679" s="232">
        <v>19.98</v>
      </c>
      <c r="E2679" s="232">
        <v>0.333</v>
      </c>
      <c r="F2679" t="s">
        <v>7702</v>
      </c>
      <c r="G2679" t="s">
        <v>330</v>
      </c>
      <c r="H2679" t="s">
        <v>45</v>
      </c>
      <c r="I2679" t="s">
        <v>98</v>
      </c>
    </row>
    <row r="2680">
      <c r="A2680" t="s">
        <v>6118</v>
      </c>
      <c r="B2680" s="232" t="s">
        <v>6117</v>
      </c>
      <c r="C2680" s="232">
        <v>839.0</v>
      </c>
      <c r="D2680" s="232">
        <v>2095.4</v>
      </c>
      <c r="E2680" s="232">
        <v>2.4975</v>
      </c>
      <c r="F2680" t="s">
        <v>7702</v>
      </c>
      <c r="G2680" t="s">
        <v>330</v>
      </c>
      <c r="H2680" t="s">
        <v>7709</v>
      </c>
      <c r="I2680" t="s">
        <v>7748</v>
      </c>
    </row>
    <row r="2681">
      <c r="A2681" t="s">
        <v>6120</v>
      </c>
      <c r="B2681" s="232" t="s">
        <v>6119</v>
      </c>
      <c r="C2681" s="232">
        <v>610.0</v>
      </c>
      <c r="D2681" s="232">
        <v>1577.33</v>
      </c>
      <c r="E2681" s="232">
        <v>2.5858</v>
      </c>
      <c r="F2681" t="s">
        <v>7702</v>
      </c>
      <c r="G2681" t="s">
        <v>330</v>
      </c>
      <c r="H2681" t="s">
        <v>150</v>
      </c>
      <c r="I2681" t="s">
        <v>7748</v>
      </c>
    </row>
    <row r="2682">
      <c r="A2682" t="s">
        <v>6122</v>
      </c>
      <c r="B2682" s="232" t="s">
        <v>6121</v>
      </c>
      <c r="C2682" s="232">
        <v>912.0</v>
      </c>
      <c r="D2682" s="232">
        <v>2277.72</v>
      </c>
      <c r="E2682" s="232">
        <v>2.4975</v>
      </c>
      <c r="F2682" t="s">
        <v>7702</v>
      </c>
      <c r="G2682" t="s">
        <v>330</v>
      </c>
      <c r="H2682" t="s">
        <v>7709</v>
      </c>
      <c r="I2682" t="s">
        <v>7748</v>
      </c>
    </row>
    <row r="2683">
      <c r="A2683" t="s">
        <v>6124</v>
      </c>
      <c r="B2683" s="232" t="s">
        <v>6123</v>
      </c>
      <c r="C2683" s="232">
        <v>575.0</v>
      </c>
      <c r="D2683" s="232">
        <v>1486.86</v>
      </c>
      <c r="E2683" s="232">
        <v>2.5858</v>
      </c>
      <c r="F2683" t="s">
        <v>7702</v>
      </c>
      <c r="G2683" t="s">
        <v>330</v>
      </c>
      <c r="H2683" t="s">
        <v>150</v>
      </c>
      <c r="I2683" t="s">
        <v>7748</v>
      </c>
    </row>
    <row r="2684">
      <c r="A2684" t="s">
        <v>6126</v>
      </c>
      <c r="B2684" s="232" t="s">
        <v>6125</v>
      </c>
      <c r="C2684" s="232">
        <v>445.0</v>
      </c>
      <c r="D2684" s="232">
        <v>1150.43</v>
      </c>
      <c r="E2684" s="232">
        <v>2.5852</v>
      </c>
      <c r="F2684" t="s">
        <v>7702</v>
      </c>
      <c r="G2684" t="s">
        <v>330</v>
      </c>
      <c r="H2684" t="s">
        <v>150</v>
      </c>
      <c r="I2684" t="s">
        <v>7748</v>
      </c>
    </row>
    <row r="2685">
      <c r="A2685" t="s">
        <v>6128</v>
      </c>
      <c r="B2685" s="232" t="s">
        <v>6127</v>
      </c>
      <c r="C2685" s="232">
        <v>956.0</v>
      </c>
      <c r="D2685" s="232">
        <v>2387.61</v>
      </c>
      <c r="E2685" s="232">
        <v>2.4975</v>
      </c>
      <c r="F2685" t="s">
        <v>7702</v>
      </c>
      <c r="G2685" t="s">
        <v>330</v>
      </c>
      <c r="H2685" t="s">
        <v>7709</v>
      </c>
      <c r="I2685" t="s">
        <v>7748</v>
      </c>
    </row>
    <row r="2686">
      <c r="A2686" t="s">
        <v>6130</v>
      </c>
      <c r="B2686" s="232" t="s">
        <v>6129</v>
      </c>
      <c r="C2686" s="232">
        <v>531.0</v>
      </c>
      <c r="D2686" s="232">
        <v>1373.01</v>
      </c>
      <c r="E2686" s="232">
        <v>2.5857</v>
      </c>
      <c r="F2686" t="s">
        <v>7702</v>
      </c>
      <c r="G2686" t="s">
        <v>330</v>
      </c>
      <c r="H2686" t="s">
        <v>45</v>
      </c>
      <c r="I2686" t="s">
        <v>7748</v>
      </c>
    </row>
    <row r="2687">
      <c r="A2687" t="s">
        <v>6134</v>
      </c>
      <c r="B2687" s="232" t="s">
        <v>6133</v>
      </c>
      <c r="C2687" s="232">
        <v>522.0</v>
      </c>
      <c r="D2687" s="232">
        <v>287.1</v>
      </c>
      <c r="E2687" s="232">
        <v>0.55</v>
      </c>
      <c r="F2687" t="s">
        <v>7702</v>
      </c>
      <c r="G2687" t="s">
        <v>330</v>
      </c>
      <c r="H2687" t="s">
        <v>7725</v>
      </c>
      <c r="I2687" t="s">
        <v>7727</v>
      </c>
    </row>
    <row r="2688">
      <c r="A2688" t="s">
        <v>6136</v>
      </c>
      <c r="B2688" s="232" t="s">
        <v>6135</v>
      </c>
      <c r="C2688" s="232">
        <v>462.0</v>
      </c>
      <c r="D2688" s="232">
        <v>231.0</v>
      </c>
      <c r="E2688" s="232">
        <v>0.5</v>
      </c>
      <c r="F2688" t="s">
        <v>7702</v>
      </c>
      <c r="G2688" t="s">
        <v>330</v>
      </c>
      <c r="H2688" t="s">
        <v>7725</v>
      </c>
      <c r="I2688" t="s">
        <v>7745</v>
      </c>
    </row>
    <row r="2689">
      <c r="A2689" t="s">
        <v>6140</v>
      </c>
      <c r="B2689" s="232" t="s">
        <v>6139</v>
      </c>
      <c r="C2689" s="232">
        <v>102.0</v>
      </c>
      <c r="D2689" s="232">
        <v>43.86</v>
      </c>
      <c r="E2689" s="232">
        <v>0.43</v>
      </c>
      <c r="F2689" t="s">
        <v>7702</v>
      </c>
      <c r="G2689" t="s">
        <v>330</v>
      </c>
      <c r="H2689" t="s">
        <v>7725</v>
      </c>
      <c r="I2689" t="s">
        <v>7739</v>
      </c>
    </row>
    <row r="2690">
      <c r="A2690" t="s">
        <v>6142</v>
      </c>
      <c r="B2690" s="232" t="s">
        <v>6141</v>
      </c>
      <c r="C2690" s="232">
        <v>0.0</v>
      </c>
      <c r="D2690" s="232">
        <v>0.0</v>
      </c>
      <c r="F2690" t="s">
        <v>7702</v>
      </c>
      <c r="G2690" t="s">
        <v>310</v>
      </c>
      <c r="H2690" t="s">
        <v>7703</v>
      </c>
      <c r="I2690" t="s">
        <v>151</v>
      </c>
    </row>
    <row r="2691">
      <c r="A2691" t="s">
        <v>6144</v>
      </c>
      <c r="B2691" s="232" t="s">
        <v>6143</v>
      </c>
      <c r="C2691" s="232">
        <v>0.0</v>
      </c>
      <c r="D2691" s="232">
        <v>0.0</v>
      </c>
      <c r="F2691" t="s">
        <v>7702</v>
      </c>
      <c r="G2691" t="s">
        <v>310</v>
      </c>
      <c r="H2691" t="s">
        <v>7703</v>
      </c>
      <c r="I2691" t="s">
        <v>151</v>
      </c>
    </row>
    <row r="2692">
      <c r="A2692" t="s">
        <v>6146</v>
      </c>
      <c r="B2692" s="232" t="s">
        <v>6145</v>
      </c>
      <c r="C2692" s="232">
        <v>493.0</v>
      </c>
      <c r="D2692" s="232">
        <v>271.15</v>
      </c>
      <c r="E2692" s="232">
        <v>0.55</v>
      </c>
      <c r="F2692" t="s">
        <v>7702</v>
      </c>
      <c r="G2692" t="s">
        <v>330</v>
      </c>
      <c r="H2692" t="s">
        <v>7725</v>
      </c>
      <c r="I2692" t="s">
        <v>7727</v>
      </c>
    </row>
    <row r="2693">
      <c r="A2693" t="s">
        <v>6148</v>
      </c>
      <c r="B2693" s="232" t="s">
        <v>6147</v>
      </c>
      <c r="C2693" s="232">
        <v>463.0</v>
      </c>
      <c r="D2693" s="232">
        <v>231.5</v>
      </c>
      <c r="E2693" s="232">
        <v>0.5</v>
      </c>
      <c r="F2693" t="s">
        <v>7702</v>
      </c>
      <c r="G2693" t="s">
        <v>330</v>
      </c>
      <c r="H2693" t="s">
        <v>7725</v>
      </c>
      <c r="I2693" t="s">
        <v>7745</v>
      </c>
    </row>
    <row r="2694">
      <c r="A2694" t="s">
        <v>6150</v>
      </c>
      <c r="B2694" s="232" t="s">
        <v>6149</v>
      </c>
      <c r="C2694" s="232">
        <v>491.0</v>
      </c>
      <c r="D2694" s="232">
        <v>265.14</v>
      </c>
      <c r="E2694" s="232">
        <v>0.54</v>
      </c>
      <c r="F2694" t="s">
        <v>7702</v>
      </c>
      <c r="G2694" t="s">
        <v>330</v>
      </c>
      <c r="H2694" t="s">
        <v>7725</v>
      </c>
      <c r="I2694" t="s">
        <v>7739</v>
      </c>
    </row>
    <row r="2695">
      <c r="A2695" t="s">
        <v>6152</v>
      </c>
      <c r="B2695" s="232" t="s">
        <v>6151</v>
      </c>
      <c r="C2695" s="232">
        <v>279.0</v>
      </c>
      <c r="D2695" s="232">
        <v>2152.76</v>
      </c>
      <c r="E2695" s="232">
        <v>7.716</v>
      </c>
      <c r="F2695" t="s">
        <v>7702</v>
      </c>
      <c r="G2695" t="s">
        <v>330</v>
      </c>
      <c r="H2695" t="s">
        <v>7709</v>
      </c>
      <c r="I2695" t="s">
        <v>7767</v>
      </c>
    </row>
    <row r="2696">
      <c r="A2696" t="s">
        <v>6154</v>
      </c>
      <c r="B2696" s="232" t="s">
        <v>6153</v>
      </c>
      <c r="C2696" s="232">
        <v>333.0</v>
      </c>
      <c r="D2696" s="232">
        <v>2569.49</v>
      </c>
      <c r="E2696" s="232">
        <v>7.7162</v>
      </c>
      <c r="F2696" t="s">
        <v>7702</v>
      </c>
      <c r="G2696" t="s">
        <v>330</v>
      </c>
      <c r="H2696" t="s">
        <v>7709</v>
      </c>
      <c r="I2696" t="s">
        <v>7767</v>
      </c>
    </row>
    <row r="2697">
      <c r="A2697" t="s">
        <v>6156</v>
      </c>
      <c r="B2697" s="232" t="s">
        <v>6155</v>
      </c>
      <c r="C2697" s="232">
        <v>995.0</v>
      </c>
      <c r="D2697" s="232">
        <v>6880.58</v>
      </c>
      <c r="E2697" s="232">
        <v>6.9152</v>
      </c>
      <c r="F2697" t="s">
        <v>7702</v>
      </c>
      <c r="G2697" t="s">
        <v>330</v>
      </c>
      <c r="H2697" t="s">
        <v>7709</v>
      </c>
      <c r="I2697" t="s">
        <v>7767</v>
      </c>
    </row>
    <row r="2698">
      <c r="A2698" t="s">
        <v>6158</v>
      </c>
      <c r="B2698" s="232" t="s">
        <v>6157</v>
      </c>
      <c r="C2698" s="232">
        <v>317.0</v>
      </c>
      <c r="D2698" s="232">
        <v>2446.02</v>
      </c>
      <c r="E2698" s="232">
        <v>7.7162</v>
      </c>
      <c r="F2698" t="s">
        <v>7702</v>
      </c>
      <c r="G2698" t="s">
        <v>330</v>
      </c>
      <c r="H2698" t="s">
        <v>45</v>
      </c>
      <c r="I2698" t="s">
        <v>7767</v>
      </c>
    </row>
    <row r="2699">
      <c r="A2699" t="s">
        <v>6160</v>
      </c>
      <c r="B2699" s="232" t="s">
        <v>6159</v>
      </c>
      <c r="C2699" s="232">
        <v>500.0</v>
      </c>
      <c r="D2699" s="232">
        <v>2090.75</v>
      </c>
      <c r="E2699" s="232">
        <v>4.1815</v>
      </c>
      <c r="F2699" t="s">
        <v>7702</v>
      </c>
      <c r="G2699" t="s">
        <v>330</v>
      </c>
      <c r="H2699" t="s">
        <v>7709</v>
      </c>
      <c r="I2699" t="s">
        <v>7767</v>
      </c>
    </row>
    <row r="2700">
      <c r="A2700" t="s">
        <v>6162</v>
      </c>
      <c r="B2700" s="232" t="s">
        <v>6161</v>
      </c>
      <c r="C2700" s="232">
        <v>1.0</v>
      </c>
      <c r="D2700" s="232">
        <v>4.47</v>
      </c>
      <c r="E2700" s="232">
        <v>4.47</v>
      </c>
      <c r="F2700" t="s">
        <v>7702</v>
      </c>
      <c r="G2700" t="s">
        <v>330</v>
      </c>
      <c r="H2700" t="s">
        <v>45</v>
      </c>
      <c r="I2700" t="s">
        <v>7767</v>
      </c>
    </row>
    <row r="2701">
      <c r="A2701" t="s">
        <v>6164</v>
      </c>
      <c r="B2701" s="232" t="s">
        <v>6163</v>
      </c>
      <c r="C2701" s="232">
        <v>221.0</v>
      </c>
      <c r="D2701" s="232">
        <v>1007.59</v>
      </c>
      <c r="E2701" s="232">
        <v>4.5592</v>
      </c>
      <c r="F2701" t="s">
        <v>7702</v>
      </c>
      <c r="G2701" t="s">
        <v>330</v>
      </c>
      <c r="H2701" t="s">
        <v>7709</v>
      </c>
      <c r="I2701" t="s">
        <v>7767</v>
      </c>
    </row>
    <row r="2702">
      <c r="A2702" t="s">
        <v>6166</v>
      </c>
      <c r="B2702" s="232" t="s">
        <v>6165</v>
      </c>
      <c r="C2702" s="232">
        <v>348.0</v>
      </c>
      <c r="D2702" s="232">
        <v>1586.71</v>
      </c>
      <c r="E2702" s="232">
        <v>4.5595</v>
      </c>
      <c r="F2702" t="s">
        <v>7702</v>
      </c>
      <c r="G2702" t="s">
        <v>330</v>
      </c>
      <c r="H2702" t="s">
        <v>7709</v>
      </c>
      <c r="I2702" t="s">
        <v>7767</v>
      </c>
    </row>
    <row r="2703">
      <c r="A2703" t="s">
        <v>6170</v>
      </c>
      <c r="B2703" s="232" t="s">
        <v>6169</v>
      </c>
      <c r="C2703" s="232">
        <v>504.0</v>
      </c>
      <c r="D2703" s="232">
        <v>2351.95</v>
      </c>
      <c r="E2703" s="232">
        <v>4.6666</v>
      </c>
      <c r="F2703" t="s">
        <v>7702</v>
      </c>
      <c r="G2703" t="s">
        <v>330</v>
      </c>
      <c r="H2703" t="s">
        <v>7709</v>
      </c>
      <c r="I2703" t="s">
        <v>7767</v>
      </c>
    </row>
    <row r="2704">
      <c r="A2704" t="s">
        <v>6172</v>
      </c>
      <c r="B2704" s="232" t="s">
        <v>6171</v>
      </c>
      <c r="C2704" s="232">
        <v>411.0</v>
      </c>
      <c r="D2704" s="232">
        <v>1718.76</v>
      </c>
      <c r="E2704" s="232">
        <v>4.1819</v>
      </c>
      <c r="F2704" t="s">
        <v>7702</v>
      </c>
      <c r="G2704" t="s">
        <v>330</v>
      </c>
      <c r="H2704" t="s">
        <v>7709</v>
      </c>
      <c r="I2704" t="s">
        <v>7767</v>
      </c>
    </row>
    <row r="2705">
      <c r="A2705" t="s">
        <v>6174</v>
      </c>
      <c r="B2705" s="232" t="s">
        <v>6173</v>
      </c>
      <c r="C2705" s="232">
        <v>245.0</v>
      </c>
      <c r="D2705" s="232">
        <v>1096.06</v>
      </c>
      <c r="E2705" s="232">
        <v>4.4737</v>
      </c>
      <c r="F2705" t="s">
        <v>7702</v>
      </c>
      <c r="G2705" t="s">
        <v>330</v>
      </c>
      <c r="H2705" t="s">
        <v>7709</v>
      </c>
      <c r="I2705" t="s">
        <v>7767</v>
      </c>
    </row>
    <row r="2706">
      <c r="A2706" t="s">
        <v>6176</v>
      </c>
      <c r="B2706" s="232" t="s">
        <v>6175</v>
      </c>
      <c r="C2706" s="232">
        <v>504.0</v>
      </c>
      <c r="D2706" s="232">
        <v>2107.73</v>
      </c>
      <c r="E2706" s="232">
        <v>4.182</v>
      </c>
      <c r="F2706" t="s">
        <v>7702</v>
      </c>
      <c r="G2706" t="s">
        <v>330</v>
      </c>
      <c r="H2706" t="s">
        <v>7709</v>
      </c>
      <c r="I2706" t="s">
        <v>7767</v>
      </c>
    </row>
    <row r="2707">
      <c r="A2707" t="s">
        <v>6178</v>
      </c>
      <c r="B2707" s="232" t="s">
        <v>6177</v>
      </c>
      <c r="C2707" s="232">
        <v>440.0</v>
      </c>
      <c r="D2707" s="232">
        <v>2053.24</v>
      </c>
      <c r="E2707" s="232">
        <v>4.6665</v>
      </c>
      <c r="F2707" t="s">
        <v>7702</v>
      </c>
      <c r="G2707" t="s">
        <v>330</v>
      </c>
      <c r="H2707" t="s">
        <v>7709</v>
      </c>
      <c r="I2707" t="s">
        <v>7767</v>
      </c>
    </row>
    <row r="2708">
      <c r="A2708" t="s">
        <v>6180</v>
      </c>
      <c r="B2708" s="232" t="s">
        <v>6179</v>
      </c>
      <c r="C2708" s="232">
        <v>0.0</v>
      </c>
      <c r="D2708" s="232">
        <v>0.0</v>
      </c>
      <c r="F2708" t="s">
        <v>7702</v>
      </c>
      <c r="G2708" t="s">
        <v>310</v>
      </c>
      <c r="H2708" t="s">
        <v>45</v>
      </c>
      <c r="I2708" t="s">
        <v>7767</v>
      </c>
    </row>
    <row r="2709">
      <c r="A2709" t="s">
        <v>6182</v>
      </c>
      <c r="B2709" s="232" t="s">
        <v>6181</v>
      </c>
      <c r="C2709" s="232">
        <v>544.0</v>
      </c>
      <c r="D2709" s="232">
        <v>2541.88</v>
      </c>
      <c r="E2709" s="232">
        <v>4.6726</v>
      </c>
      <c r="F2709" t="s">
        <v>7702</v>
      </c>
      <c r="G2709" t="s">
        <v>330</v>
      </c>
      <c r="H2709" t="s">
        <v>7709</v>
      </c>
      <c r="I2709" t="s">
        <v>7767</v>
      </c>
    </row>
    <row r="2710">
      <c r="A2710" t="s">
        <v>6184</v>
      </c>
      <c r="B2710" s="232" t="s">
        <v>6183</v>
      </c>
      <c r="C2710" s="232">
        <v>282.0</v>
      </c>
      <c r="D2710" s="232">
        <v>1179.21</v>
      </c>
      <c r="E2710" s="232">
        <v>4.1816</v>
      </c>
      <c r="F2710" t="s">
        <v>7702</v>
      </c>
      <c r="G2710" t="s">
        <v>330</v>
      </c>
      <c r="H2710" t="s">
        <v>7709</v>
      </c>
      <c r="I2710" t="s">
        <v>7767</v>
      </c>
    </row>
    <row r="2711">
      <c r="A2711" t="s">
        <v>6186</v>
      </c>
      <c r="B2711" s="232" t="s">
        <v>6185</v>
      </c>
      <c r="C2711" s="232">
        <v>372.0</v>
      </c>
      <c r="D2711" s="232">
        <v>1696.17</v>
      </c>
      <c r="E2711" s="232">
        <v>4.5596</v>
      </c>
      <c r="F2711" t="s">
        <v>7702</v>
      </c>
      <c r="G2711" t="s">
        <v>330</v>
      </c>
      <c r="H2711" t="s">
        <v>7709</v>
      </c>
      <c r="I2711" t="s">
        <v>7767</v>
      </c>
    </row>
    <row r="2712">
      <c r="A2712" t="s">
        <v>6188</v>
      </c>
      <c r="B2712" s="232" t="s">
        <v>6187</v>
      </c>
      <c r="C2712" s="232">
        <v>367.0</v>
      </c>
      <c r="D2712" s="232">
        <v>1712.46</v>
      </c>
      <c r="E2712" s="232">
        <v>4.6661</v>
      </c>
      <c r="F2712" t="s">
        <v>7702</v>
      </c>
      <c r="G2712" t="s">
        <v>330</v>
      </c>
      <c r="H2712" t="s">
        <v>7709</v>
      </c>
      <c r="I2712" t="s">
        <v>7767</v>
      </c>
    </row>
    <row r="2713">
      <c r="A2713" t="s">
        <v>6192</v>
      </c>
      <c r="B2713" s="232" t="s">
        <v>6191</v>
      </c>
      <c r="C2713" s="232">
        <v>64.0</v>
      </c>
      <c r="D2713" s="232">
        <v>267.46</v>
      </c>
      <c r="E2713" s="232">
        <v>4.1791</v>
      </c>
      <c r="F2713" t="s">
        <v>7702</v>
      </c>
      <c r="G2713" t="s">
        <v>330</v>
      </c>
      <c r="H2713" t="s">
        <v>7709</v>
      </c>
      <c r="I2713" t="s">
        <v>7767</v>
      </c>
    </row>
    <row r="2714">
      <c r="A2714" t="s">
        <v>6194</v>
      </c>
      <c r="B2714" s="232" t="s">
        <v>6193</v>
      </c>
      <c r="C2714" s="232">
        <v>405.0</v>
      </c>
      <c r="D2714" s="232">
        <v>1846.63</v>
      </c>
      <c r="E2714" s="232">
        <v>4.5596</v>
      </c>
      <c r="F2714" t="s">
        <v>7702</v>
      </c>
      <c r="G2714" t="s">
        <v>330</v>
      </c>
      <c r="H2714" t="s">
        <v>7709</v>
      </c>
      <c r="I2714" t="s">
        <v>7767</v>
      </c>
    </row>
    <row r="2715">
      <c r="A2715" t="s">
        <v>6196</v>
      </c>
      <c r="B2715" s="232" t="s">
        <v>6195</v>
      </c>
      <c r="C2715" s="232">
        <v>505.0</v>
      </c>
      <c r="D2715" s="232">
        <v>2356.48</v>
      </c>
      <c r="E2715" s="232">
        <v>4.6663</v>
      </c>
      <c r="F2715" t="s">
        <v>7702</v>
      </c>
      <c r="G2715" t="s">
        <v>330</v>
      </c>
      <c r="H2715" t="s">
        <v>45</v>
      </c>
      <c r="I2715" t="s">
        <v>7767</v>
      </c>
    </row>
    <row r="2716">
      <c r="A2716" t="s">
        <v>6198</v>
      </c>
      <c r="B2716" s="232" t="s">
        <v>6197</v>
      </c>
      <c r="C2716" s="232">
        <v>494.0</v>
      </c>
      <c r="D2716" s="232">
        <v>2304.69</v>
      </c>
      <c r="E2716" s="232">
        <v>4.6654</v>
      </c>
      <c r="F2716" t="s">
        <v>7702</v>
      </c>
      <c r="G2716" t="s">
        <v>330</v>
      </c>
      <c r="H2716" t="s">
        <v>7709</v>
      </c>
      <c r="I2716" t="s">
        <v>7767</v>
      </c>
    </row>
    <row r="2717">
      <c r="A2717" t="s">
        <v>6200</v>
      </c>
      <c r="B2717" s="232" t="s">
        <v>6199</v>
      </c>
      <c r="C2717" s="232">
        <v>320.0</v>
      </c>
      <c r="D2717" s="232">
        <v>1338.16</v>
      </c>
      <c r="E2717" s="232">
        <v>4.1818</v>
      </c>
      <c r="F2717" t="s">
        <v>7702</v>
      </c>
      <c r="G2717" t="s">
        <v>330</v>
      </c>
      <c r="H2717" t="s">
        <v>7709</v>
      </c>
      <c r="I2717" t="s">
        <v>7767</v>
      </c>
    </row>
    <row r="2718">
      <c r="A2718" t="s">
        <v>6202</v>
      </c>
      <c r="B2718" s="232" t="s">
        <v>6201</v>
      </c>
      <c r="C2718" s="232">
        <v>4.0</v>
      </c>
      <c r="D2718" s="232">
        <v>18.8</v>
      </c>
      <c r="E2718" s="232">
        <v>4.7</v>
      </c>
      <c r="F2718" t="s">
        <v>7702</v>
      </c>
      <c r="G2718" t="s">
        <v>330</v>
      </c>
      <c r="H2718" t="s">
        <v>45</v>
      </c>
      <c r="I2718" t="s">
        <v>7767</v>
      </c>
    </row>
    <row r="2719">
      <c r="A2719" t="s">
        <v>6204</v>
      </c>
      <c r="B2719" s="232" t="s">
        <v>6203</v>
      </c>
      <c r="C2719" s="232">
        <v>0.0</v>
      </c>
      <c r="D2719" s="232">
        <v>0.0</v>
      </c>
      <c r="F2719" t="s">
        <v>7702</v>
      </c>
      <c r="G2719" t="s">
        <v>330</v>
      </c>
      <c r="H2719" t="s">
        <v>7709</v>
      </c>
      <c r="I2719" t="s">
        <v>7767</v>
      </c>
    </row>
    <row r="2720">
      <c r="A2720" t="s">
        <v>6206</v>
      </c>
      <c r="B2720" s="232" t="s">
        <v>6205</v>
      </c>
      <c r="C2720" s="232">
        <v>467.0</v>
      </c>
      <c r="D2720" s="232">
        <v>1299.74</v>
      </c>
      <c r="E2720" s="232">
        <v>2.7832</v>
      </c>
      <c r="F2720" t="s">
        <v>7702</v>
      </c>
      <c r="G2720" t="s">
        <v>330</v>
      </c>
      <c r="H2720" t="s">
        <v>7709</v>
      </c>
      <c r="I2720" t="s">
        <v>7834</v>
      </c>
    </row>
    <row r="2721">
      <c r="A2721" t="s">
        <v>6208</v>
      </c>
      <c r="B2721" s="232" t="s">
        <v>6207</v>
      </c>
      <c r="C2721" s="232">
        <v>0.0</v>
      </c>
      <c r="D2721" s="232">
        <v>0.0</v>
      </c>
      <c r="F2721" t="s">
        <v>7702</v>
      </c>
      <c r="G2721" t="s">
        <v>310</v>
      </c>
      <c r="H2721" t="s">
        <v>7703</v>
      </c>
      <c r="I2721" t="s">
        <v>7731</v>
      </c>
    </row>
    <row r="2722">
      <c r="A2722" t="s">
        <v>6210</v>
      </c>
      <c r="B2722" s="232" t="s">
        <v>6209</v>
      </c>
      <c r="C2722" s="232">
        <v>0.0</v>
      </c>
      <c r="D2722" s="232">
        <v>0.0</v>
      </c>
      <c r="F2722" t="s">
        <v>7702</v>
      </c>
      <c r="G2722" t="s">
        <v>310</v>
      </c>
      <c r="H2722" t="s">
        <v>7703</v>
      </c>
      <c r="I2722" t="s">
        <v>7730</v>
      </c>
    </row>
    <row r="2723">
      <c r="A2723" t="s">
        <v>6214</v>
      </c>
      <c r="B2723" s="232" t="s">
        <v>6213</v>
      </c>
      <c r="C2723" s="232">
        <v>48.0</v>
      </c>
      <c r="D2723" s="232">
        <v>154.59</v>
      </c>
      <c r="E2723" s="232">
        <v>3.2206</v>
      </c>
      <c r="F2723" t="s">
        <v>7702</v>
      </c>
      <c r="G2723" t="s">
        <v>330</v>
      </c>
      <c r="H2723" t="s">
        <v>7709</v>
      </c>
      <c r="I2723" t="s">
        <v>7834</v>
      </c>
    </row>
    <row r="2724">
      <c r="A2724" t="s">
        <v>6216</v>
      </c>
      <c r="B2724" s="232" t="s">
        <v>6215</v>
      </c>
      <c r="C2724" s="232">
        <v>667.0</v>
      </c>
      <c r="D2724" s="232">
        <v>1932.48</v>
      </c>
      <c r="E2724" s="232">
        <v>2.8973</v>
      </c>
      <c r="F2724" t="s">
        <v>7702</v>
      </c>
      <c r="G2724" t="s">
        <v>330</v>
      </c>
      <c r="H2724" t="s">
        <v>7709</v>
      </c>
      <c r="I2724" t="s">
        <v>7834</v>
      </c>
    </row>
    <row r="2725">
      <c r="A2725" t="s">
        <v>6220</v>
      </c>
      <c r="B2725" s="232" t="s">
        <v>6219</v>
      </c>
      <c r="C2725" s="232">
        <v>0.0</v>
      </c>
      <c r="D2725" s="232">
        <v>0.0</v>
      </c>
      <c r="F2725" t="s">
        <v>7702</v>
      </c>
      <c r="G2725" t="s">
        <v>310</v>
      </c>
      <c r="H2725" t="s">
        <v>7703</v>
      </c>
      <c r="I2725" t="s">
        <v>7731</v>
      </c>
    </row>
    <row r="2726">
      <c r="A2726" t="s">
        <v>6222</v>
      </c>
      <c r="B2726" s="232" t="s">
        <v>6221</v>
      </c>
      <c r="C2726" s="232">
        <v>0.0</v>
      </c>
      <c r="D2726" s="232">
        <v>0.0</v>
      </c>
      <c r="F2726" t="s">
        <v>7702</v>
      </c>
      <c r="G2726" t="s">
        <v>310</v>
      </c>
      <c r="H2726" t="s">
        <v>7703</v>
      </c>
      <c r="I2726" t="s">
        <v>7731</v>
      </c>
    </row>
    <row r="2727">
      <c r="A2727" t="s">
        <v>6224</v>
      </c>
      <c r="B2727" s="232" t="s">
        <v>6223</v>
      </c>
      <c r="C2727" s="232">
        <v>0.0</v>
      </c>
      <c r="D2727" s="232">
        <v>0.0</v>
      </c>
      <c r="F2727" t="s">
        <v>7702</v>
      </c>
      <c r="G2727" t="s">
        <v>310</v>
      </c>
      <c r="H2727" t="s">
        <v>7703</v>
      </c>
      <c r="I2727" t="s">
        <v>7731</v>
      </c>
    </row>
    <row r="2728">
      <c r="A2728" t="s">
        <v>6226</v>
      </c>
      <c r="B2728" s="232" t="s">
        <v>6225</v>
      </c>
      <c r="C2728" s="232">
        <v>214.0</v>
      </c>
      <c r="D2728" s="232">
        <v>687.88</v>
      </c>
      <c r="E2728" s="232">
        <v>3.2144</v>
      </c>
      <c r="F2728" t="s">
        <v>7702</v>
      </c>
      <c r="G2728" t="s">
        <v>330</v>
      </c>
      <c r="H2728" t="s">
        <v>7709</v>
      </c>
      <c r="I2728" t="s">
        <v>7834</v>
      </c>
    </row>
    <row r="2729">
      <c r="A2729" t="s">
        <v>6230</v>
      </c>
      <c r="B2729" s="232" t="s">
        <v>6229</v>
      </c>
      <c r="C2729" s="232">
        <v>442.0</v>
      </c>
      <c r="D2729" s="232">
        <v>1437.69</v>
      </c>
      <c r="E2729" s="232">
        <v>3.2527</v>
      </c>
      <c r="F2729" t="s">
        <v>7702</v>
      </c>
      <c r="G2729" t="s">
        <v>330</v>
      </c>
      <c r="H2729" t="s">
        <v>7709</v>
      </c>
      <c r="I2729" t="s">
        <v>7834</v>
      </c>
    </row>
    <row r="2730">
      <c r="A2730" t="s">
        <v>6234</v>
      </c>
      <c r="B2730" s="232" t="s">
        <v>6233</v>
      </c>
      <c r="C2730" s="232">
        <v>0.0</v>
      </c>
      <c r="D2730" s="232">
        <v>0.0</v>
      </c>
      <c r="F2730" t="s">
        <v>7702</v>
      </c>
      <c r="G2730" t="s">
        <v>310</v>
      </c>
      <c r="H2730" t="s">
        <v>7703</v>
      </c>
      <c r="I2730" t="s">
        <v>7731</v>
      </c>
    </row>
    <row r="2731">
      <c r="A2731" t="s">
        <v>6236</v>
      </c>
      <c r="B2731" s="232" t="s">
        <v>6235</v>
      </c>
      <c r="C2731" s="232">
        <v>60.0</v>
      </c>
      <c r="D2731" s="232">
        <v>193.16</v>
      </c>
      <c r="E2731" s="232">
        <v>3.2193</v>
      </c>
      <c r="F2731" t="s">
        <v>7702</v>
      </c>
      <c r="G2731" t="s">
        <v>330</v>
      </c>
      <c r="H2731" t="s">
        <v>7709</v>
      </c>
      <c r="I2731" t="s">
        <v>7834</v>
      </c>
    </row>
    <row r="2732">
      <c r="A2732" t="s">
        <v>6238</v>
      </c>
      <c r="B2732" s="232" t="s">
        <v>6237</v>
      </c>
      <c r="C2732" s="232">
        <v>0.0</v>
      </c>
      <c r="D2732" s="232">
        <v>0.0</v>
      </c>
      <c r="F2732" t="s">
        <v>7702</v>
      </c>
      <c r="G2732" t="s">
        <v>310</v>
      </c>
      <c r="H2732" t="s">
        <v>7703</v>
      </c>
      <c r="I2732" t="s">
        <v>7716</v>
      </c>
    </row>
    <row r="2733">
      <c r="A2733" t="s">
        <v>6240</v>
      </c>
      <c r="B2733" s="232" t="s">
        <v>6239</v>
      </c>
      <c r="C2733" s="232">
        <v>223.0</v>
      </c>
      <c r="D2733" s="232">
        <v>725.4</v>
      </c>
      <c r="E2733" s="232">
        <v>3.2529</v>
      </c>
      <c r="F2733" t="s">
        <v>7702</v>
      </c>
      <c r="G2733" t="s">
        <v>330</v>
      </c>
      <c r="H2733" t="s">
        <v>7709</v>
      </c>
      <c r="I2733" t="s">
        <v>7834</v>
      </c>
    </row>
    <row r="2734">
      <c r="A2734" t="s">
        <v>6242</v>
      </c>
      <c r="B2734" s="232" t="s">
        <v>6241</v>
      </c>
      <c r="C2734" s="232">
        <v>390.0</v>
      </c>
      <c r="D2734" s="232">
        <v>1085.51</v>
      </c>
      <c r="E2734" s="232">
        <v>2.7834</v>
      </c>
      <c r="F2734" t="s">
        <v>7702</v>
      </c>
      <c r="G2734" t="s">
        <v>330</v>
      </c>
      <c r="H2734" t="s">
        <v>7709</v>
      </c>
      <c r="I2734" t="s">
        <v>7834</v>
      </c>
    </row>
    <row r="2735">
      <c r="A2735" t="s">
        <v>6244</v>
      </c>
      <c r="B2735" s="232" t="s">
        <v>6243</v>
      </c>
      <c r="C2735" s="232">
        <v>328.0</v>
      </c>
      <c r="D2735" s="232">
        <v>1066.91</v>
      </c>
      <c r="E2735" s="232">
        <v>3.2528</v>
      </c>
      <c r="F2735" t="s">
        <v>7702</v>
      </c>
      <c r="G2735" t="s">
        <v>330</v>
      </c>
      <c r="H2735" t="s">
        <v>45</v>
      </c>
      <c r="I2735" t="s">
        <v>7834</v>
      </c>
    </row>
    <row r="2736">
      <c r="A2736" t="s">
        <v>6246</v>
      </c>
      <c r="B2736" s="232" t="s">
        <v>6245</v>
      </c>
      <c r="C2736" s="232">
        <v>0.0</v>
      </c>
      <c r="D2736" s="232">
        <v>0.0</v>
      </c>
      <c r="F2736" t="s">
        <v>7702</v>
      </c>
      <c r="G2736" t="s">
        <v>310</v>
      </c>
      <c r="H2736" t="s">
        <v>7703</v>
      </c>
      <c r="I2736" t="s">
        <v>7731</v>
      </c>
    </row>
    <row r="2737">
      <c r="A2737" t="s">
        <v>6248</v>
      </c>
      <c r="B2737" s="232" t="s">
        <v>6247</v>
      </c>
      <c r="C2737" s="232">
        <v>1.0</v>
      </c>
      <c r="D2737" s="232">
        <v>77.6</v>
      </c>
      <c r="E2737" s="232">
        <v>77.6</v>
      </c>
      <c r="F2737" t="s">
        <v>7702</v>
      </c>
      <c r="G2737" t="s">
        <v>330</v>
      </c>
      <c r="H2737" t="s">
        <v>7709</v>
      </c>
      <c r="I2737" t="s">
        <v>7834</v>
      </c>
    </row>
    <row r="2738">
      <c r="A2738" t="s">
        <v>6250</v>
      </c>
      <c r="B2738" s="232">
        <v>36901.0</v>
      </c>
      <c r="C2738" s="232">
        <v>0.0</v>
      </c>
      <c r="D2738" s="232">
        <v>0.0</v>
      </c>
      <c r="F2738" t="s">
        <v>7702</v>
      </c>
      <c r="G2738" t="s">
        <v>310</v>
      </c>
      <c r="H2738" t="s">
        <v>7703</v>
      </c>
      <c r="I2738" t="s">
        <v>98</v>
      </c>
    </row>
    <row r="2739">
      <c r="A2739" t="s">
        <v>6254</v>
      </c>
      <c r="B2739" s="232" t="s">
        <v>6253</v>
      </c>
      <c r="C2739" s="232">
        <v>0.0</v>
      </c>
      <c r="D2739" s="232">
        <v>0.0</v>
      </c>
      <c r="F2739" t="s">
        <v>7711</v>
      </c>
      <c r="G2739" t="s">
        <v>310</v>
      </c>
      <c r="H2739" t="s">
        <v>7703</v>
      </c>
      <c r="I2739" t="s">
        <v>98</v>
      </c>
    </row>
    <row r="2740">
      <c r="A2740" t="s">
        <v>6255</v>
      </c>
      <c r="B2740" s="232">
        <v>36902.0</v>
      </c>
      <c r="C2740" s="232">
        <v>0.0</v>
      </c>
      <c r="D2740" s="232">
        <v>0.0</v>
      </c>
      <c r="F2740" t="s">
        <v>7702</v>
      </c>
      <c r="G2740" t="s">
        <v>310</v>
      </c>
      <c r="H2740" t="s">
        <v>7703</v>
      </c>
      <c r="I2740" t="s">
        <v>98</v>
      </c>
    </row>
    <row r="2741">
      <c r="A2741" t="s">
        <v>6256</v>
      </c>
      <c r="B2741" s="232">
        <v>36903.0</v>
      </c>
      <c r="C2741" s="232">
        <v>0.0</v>
      </c>
      <c r="D2741" s="232">
        <v>0.0</v>
      </c>
      <c r="F2741" t="s">
        <v>7702</v>
      </c>
      <c r="G2741" t="s">
        <v>310</v>
      </c>
      <c r="H2741" t="s">
        <v>7703</v>
      </c>
      <c r="I2741" t="s">
        <v>98</v>
      </c>
    </row>
    <row r="2742">
      <c r="A2742" t="s">
        <v>6257</v>
      </c>
      <c r="B2742" s="232">
        <v>36904.0</v>
      </c>
      <c r="C2742" s="232">
        <v>0.0</v>
      </c>
      <c r="D2742" s="232">
        <v>0.0</v>
      </c>
      <c r="F2742" t="s">
        <v>7702</v>
      </c>
      <c r="G2742" t="s">
        <v>310</v>
      </c>
      <c r="H2742" t="s">
        <v>7703</v>
      </c>
      <c r="I2742" t="s">
        <v>98</v>
      </c>
    </row>
    <row r="2743">
      <c r="A2743" t="s">
        <v>6258</v>
      </c>
      <c r="B2743" s="232">
        <v>36905.0</v>
      </c>
      <c r="C2743" s="232">
        <v>0.0</v>
      </c>
      <c r="D2743" s="232">
        <v>0.0</v>
      </c>
      <c r="F2743" t="s">
        <v>7702</v>
      </c>
      <c r="G2743" t="s">
        <v>310</v>
      </c>
      <c r="H2743" t="s">
        <v>7703</v>
      </c>
      <c r="I2743" t="s">
        <v>98</v>
      </c>
    </row>
    <row r="2744">
      <c r="A2744" t="s">
        <v>6259</v>
      </c>
      <c r="B2744" s="232">
        <v>36906.0</v>
      </c>
      <c r="C2744" s="232">
        <v>0.0</v>
      </c>
      <c r="D2744" s="232">
        <v>0.0</v>
      </c>
      <c r="F2744" t="s">
        <v>7702</v>
      </c>
      <c r="G2744" t="s">
        <v>310</v>
      </c>
      <c r="H2744" t="s">
        <v>7703</v>
      </c>
      <c r="I2744" t="s">
        <v>98</v>
      </c>
    </row>
    <row r="2745">
      <c r="A2745" t="s">
        <v>6261</v>
      </c>
      <c r="B2745" s="232" t="s">
        <v>6260</v>
      </c>
      <c r="C2745" s="232">
        <v>0.0</v>
      </c>
      <c r="D2745" s="232">
        <v>0.0</v>
      </c>
      <c r="F2745" t="s">
        <v>7702</v>
      </c>
      <c r="G2745" t="s">
        <v>310</v>
      </c>
      <c r="H2745" t="s">
        <v>7703</v>
      </c>
      <c r="I2745" t="s">
        <v>7714</v>
      </c>
    </row>
    <row r="2746">
      <c r="A2746" t="s">
        <v>6264</v>
      </c>
      <c r="B2746" s="232" t="s">
        <v>6263</v>
      </c>
      <c r="C2746" s="232">
        <v>135.0</v>
      </c>
      <c r="D2746" s="232">
        <v>447.52</v>
      </c>
      <c r="E2746" s="232">
        <v>3.315</v>
      </c>
      <c r="F2746" t="s">
        <v>7702</v>
      </c>
      <c r="G2746" t="s">
        <v>330</v>
      </c>
      <c r="H2746" t="s">
        <v>45</v>
      </c>
      <c r="I2746" t="s">
        <v>7835</v>
      </c>
    </row>
    <row r="2747">
      <c r="A2747" t="s">
        <v>6266</v>
      </c>
      <c r="B2747" s="232" t="s">
        <v>6265</v>
      </c>
      <c r="C2747" s="232">
        <v>127.0</v>
      </c>
      <c r="D2747" s="232">
        <v>421.06</v>
      </c>
      <c r="E2747" s="232">
        <v>3.3154</v>
      </c>
      <c r="F2747" t="s">
        <v>7702</v>
      </c>
      <c r="G2747" t="s">
        <v>330</v>
      </c>
      <c r="H2747" t="s">
        <v>45</v>
      </c>
      <c r="I2747" t="s">
        <v>7835</v>
      </c>
    </row>
    <row r="2748">
      <c r="A2748" t="s">
        <v>6268</v>
      </c>
      <c r="B2748" s="232" t="s">
        <v>6267</v>
      </c>
      <c r="C2748" s="232">
        <v>251.0</v>
      </c>
      <c r="D2748" s="232">
        <v>832.22</v>
      </c>
      <c r="E2748" s="232">
        <v>3.3156</v>
      </c>
      <c r="F2748" t="s">
        <v>7702</v>
      </c>
      <c r="G2748" t="s">
        <v>330</v>
      </c>
      <c r="H2748" t="s">
        <v>45</v>
      </c>
      <c r="I2748" t="s">
        <v>7835</v>
      </c>
    </row>
    <row r="2749">
      <c r="A2749" t="s">
        <v>6270</v>
      </c>
      <c r="B2749" s="232" t="s">
        <v>6269</v>
      </c>
      <c r="C2749" s="232">
        <v>135.0</v>
      </c>
      <c r="D2749" s="232">
        <v>447.67</v>
      </c>
      <c r="E2749" s="232">
        <v>3.3161</v>
      </c>
      <c r="F2749" t="s">
        <v>7702</v>
      </c>
      <c r="G2749" t="s">
        <v>330</v>
      </c>
      <c r="H2749" t="s">
        <v>45</v>
      </c>
      <c r="I2749" t="s">
        <v>7835</v>
      </c>
    </row>
    <row r="2750">
      <c r="A2750" t="s">
        <v>6272</v>
      </c>
      <c r="B2750" s="232" t="s">
        <v>6271</v>
      </c>
      <c r="C2750" s="232">
        <v>0.0</v>
      </c>
      <c r="D2750" s="232">
        <v>0.0</v>
      </c>
      <c r="F2750" t="s">
        <v>7702</v>
      </c>
      <c r="G2750" t="s">
        <v>310</v>
      </c>
      <c r="H2750" t="s">
        <v>45</v>
      </c>
      <c r="I2750" t="s">
        <v>7835</v>
      </c>
    </row>
    <row r="2751">
      <c r="A2751" t="s">
        <v>6274</v>
      </c>
      <c r="B2751" s="232" t="s">
        <v>6273</v>
      </c>
      <c r="C2751" s="232">
        <v>79.0</v>
      </c>
      <c r="D2751" s="232">
        <v>261.79</v>
      </c>
      <c r="E2751" s="232">
        <v>3.3138</v>
      </c>
      <c r="F2751" t="s">
        <v>7702</v>
      </c>
      <c r="G2751" t="s">
        <v>330</v>
      </c>
      <c r="H2751" t="s">
        <v>45</v>
      </c>
      <c r="I2751" t="s">
        <v>7835</v>
      </c>
    </row>
    <row r="2752">
      <c r="A2752" t="s">
        <v>6276</v>
      </c>
      <c r="B2752" s="232" t="s">
        <v>6275</v>
      </c>
      <c r="C2752" s="232">
        <v>0.0</v>
      </c>
      <c r="D2752" s="232">
        <v>0.0</v>
      </c>
      <c r="F2752" t="s">
        <v>7702</v>
      </c>
      <c r="G2752" t="s">
        <v>310</v>
      </c>
      <c r="H2752" t="s">
        <v>7703</v>
      </c>
      <c r="I2752" t="s">
        <v>98</v>
      </c>
    </row>
    <row r="2753">
      <c r="A2753" t="s">
        <v>6278</v>
      </c>
      <c r="B2753" s="232" t="s">
        <v>6277</v>
      </c>
      <c r="C2753" s="232">
        <v>0.0</v>
      </c>
      <c r="D2753" s="232">
        <v>0.0</v>
      </c>
      <c r="F2753" t="s">
        <v>7702</v>
      </c>
      <c r="G2753" t="s">
        <v>310</v>
      </c>
      <c r="H2753" t="s">
        <v>7703</v>
      </c>
      <c r="I2753" t="s">
        <v>98</v>
      </c>
    </row>
    <row r="2754">
      <c r="A2754" t="s">
        <v>6280</v>
      </c>
      <c r="B2754" s="232" t="s">
        <v>6279</v>
      </c>
      <c r="C2754" s="232">
        <v>0.0</v>
      </c>
      <c r="D2754" s="232">
        <v>0.0</v>
      </c>
      <c r="F2754" t="s">
        <v>7702</v>
      </c>
      <c r="G2754" t="s">
        <v>310</v>
      </c>
      <c r="H2754" t="s">
        <v>7703</v>
      </c>
      <c r="I2754" t="s">
        <v>98</v>
      </c>
    </row>
    <row r="2755">
      <c r="A2755" t="s">
        <v>6282</v>
      </c>
      <c r="B2755" s="232" t="s">
        <v>6281</v>
      </c>
      <c r="C2755" s="232">
        <v>0.0</v>
      </c>
      <c r="D2755" s="232">
        <v>0.0</v>
      </c>
      <c r="F2755" t="s">
        <v>7702</v>
      </c>
      <c r="G2755" t="s">
        <v>310</v>
      </c>
      <c r="H2755" t="s">
        <v>7703</v>
      </c>
      <c r="I2755" t="s">
        <v>98</v>
      </c>
    </row>
    <row r="2756">
      <c r="A2756" t="s">
        <v>6284</v>
      </c>
      <c r="B2756" s="232" t="s">
        <v>6283</v>
      </c>
      <c r="C2756" s="232">
        <v>0.0</v>
      </c>
      <c r="D2756" s="232">
        <v>0.0</v>
      </c>
      <c r="F2756" t="s">
        <v>7702</v>
      </c>
      <c r="G2756" t="s">
        <v>310</v>
      </c>
      <c r="H2756" t="s">
        <v>7703</v>
      </c>
      <c r="I2756" t="s">
        <v>98</v>
      </c>
    </row>
    <row r="2757">
      <c r="A2757" t="s">
        <v>6286</v>
      </c>
      <c r="B2757" s="232" t="s">
        <v>6285</v>
      </c>
      <c r="C2757" s="232">
        <v>0.0</v>
      </c>
      <c r="D2757" s="232">
        <v>0.0</v>
      </c>
      <c r="F2757" t="s">
        <v>7702</v>
      </c>
      <c r="G2757" t="s">
        <v>310</v>
      </c>
      <c r="H2757" t="s">
        <v>7703</v>
      </c>
      <c r="I2757" t="s">
        <v>98</v>
      </c>
    </row>
    <row r="2758">
      <c r="A2758" t="s">
        <v>6288</v>
      </c>
      <c r="B2758" s="232" t="s">
        <v>6287</v>
      </c>
      <c r="C2758" s="232">
        <v>0.0</v>
      </c>
      <c r="D2758" s="232">
        <v>0.0</v>
      </c>
      <c r="F2758" t="s">
        <v>7702</v>
      </c>
      <c r="G2758" t="s">
        <v>310</v>
      </c>
      <c r="H2758" t="s">
        <v>7703</v>
      </c>
      <c r="I2758" t="s">
        <v>98</v>
      </c>
    </row>
    <row r="2759">
      <c r="A2759" t="s">
        <v>6290</v>
      </c>
      <c r="B2759" s="232" t="s">
        <v>6289</v>
      </c>
      <c r="C2759" s="232">
        <v>0.0</v>
      </c>
      <c r="D2759" s="232">
        <v>0.0</v>
      </c>
      <c r="F2759" t="s">
        <v>7702</v>
      </c>
      <c r="G2759" t="s">
        <v>310</v>
      </c>
      <c r="H2759" t="s">
        <v>7703</v>
      </c>
      <c r="I2759" t="s">
        <v>98</v>
      </c>
    </row>
    <row r="2760">
      <c r="A2760" t="s">
        <v>6292</v>
      </c>
      <c r="B2760" s="232" t="s">
        <v>6291</v>
      </c>
      <c r="C2760" s="232">
        <v>0.0</v>
      </c>
      <c r="D2760" s="232">
        <v>0.0</v>
      </c>
      <c r="F2760" t="s">
        <v>7702</v>
      </c>
      <c r="G2760" t="s">
        <v>310</v>
      </c>
      <c r="H2760" t="s">
        <v>7703</v>
      </c>
      <c r="I2760" t="s">
        <v>98</v>
      </c>
    </row>
    <row r="2761">
      <c r="A2761" t="s">
        <v>6294</v>
      </c>
      <c r="B2761" s="232" t="s">
        <v>6293</v>
      </c>
      <c r="C2761" s="232">
        <v>0.0</v>
      </c>
      <c r="D2761" s="232">
        <v>0.0</v>
      </c>
      <c r="F2761" t="s">
        <v>7702</v>
      </c>
      <c r="G2761" t="s">
        <v>310</v>
      </c>
      <c r="H2761" t="s">
        <v>7703</v>
      </c>
      <c r="I2761" t="s">
        <v>98</v>
      </c>
    </row>
    <row r="2762">
      <c r="A2762" t="s">
        <v>6296</v>
      </c>
      <c r="B2762" s="232" t="s">
        <v>6295</v>
      </c>
      <c r="C2762" s="232">
        <v>0.0</v>
      </c>
      <c r="D2762" s="232">
        <v>0.0</v>
      </c>
      <c r="F2762" t="s">
        <v>7702</v>
      </c>
      <c r="G2762" t="s">
        <v>310</v>
      </c>
      <c r="H2762" t="s">
        <v>7703</v>
      </c>
      <c r="I2762" t="s">
        <v>98</v>
      </c>
    </row>
    <row r="2763">
      <c r="A2763" t="s">
        <v>6298</v>
      </c>
      <c r="B2763" s="232" t="s">
        <v>6297</v>
      </c>
      <c r="C2763" s="232">
        <v>0.0</v>
      </c>
      <c r="D2763" s="232">
        <v>0.0</v>
      </c>
      <c r="F2763" t="s">
        <v>7702</v>
      </c>
      <c r="G2763" t="s">
        <v>310</v>
      </c>
      <c r="H2763" t="s">
        <v>7703</v>
      </c>
      <c r="I2763" t="s">
        <v>98</v>
      </c>
    </row>
    <row r="2764">
      <c r="A2764" t="s">
        <v>6300</v>
      </c>
      <c r="B2764" s="232" t="s">
        <v>6299</v>
      </c>
      <c r="C2764" s="232">
        <v>0.0</v>
      </c>
      <c r="D2764" s="232">
        <v>0.0</v>
      </c>
      <c r="F2764" t="s">
        <v>7711</v>
      </c>
      <c r="G2764" t="s">
        <v>310</v>
      </c>
      <c r="H2764" t="s">
        <v>7703</v>
      </c>
      <c r="I2764" t="s">
        <v>98</v>
      </c>
    </row>
    <row r="2765">
      <c r="A2765" t="s">
        <v>6302</v>
      </c>
      <c r="B2765" s="232" t="s">
        <v>6301</v>
      </c>
      <c r="C2765" s="232">
        <v>0.0</v>
      </c>
      <c r="D2765" s="232">
        <v>0.0</v>
      </c>
      <c r="F2765" t="s">
        <v>7702</v>
      </c>
      <c r="G2765" t="s">
        <v>310</v>
      </c>
      <c r="H2765" t="s">
        <v>7703</v>
      </c>
      <c r="I2765" t="s">
        <v>7714</v>
      </c>
    </row>
    <row r="2766">
      <c r="A2766" t="s">
        <v>6304</v>
      </c>
      <c r="B2766" s="232" t="s">
        <v>6303</v>
      </c>
      <c r="C2766" s="232">
        <v>0.0</v>
      </c>
      <c r="D2766" s="232">
        <v>0.0</v>
      </c>
      <c r="F2766" t="s">
        <v>7702</v>
      </c>
      <c r="G2766" t="s">
        <v>310</v>
      </c>
      <c r="H2766" t="s">
        <v>7703</v>
      </c>
      <c r="I2766" t="s">
        <v>7704</v>
      </c>
    </row>
    <row r="2767">
      <c r="A2767" t="s">
        <v>6310</v>
      </c>
      <c r="B2767" s="232" t="s">
        <v>6309</v>
      </c>
      <c r="C2767" s="232">
        <v>0.0</v>
      </c>
      <c r="D2767" s="232">
        <v>0.0</v>
      </c>
      <c r="F2767" t="s">
        <v>7711</v>
      </c>
      <c r="G2767" t="s">
        <v>310</v>
      </c>
      <c r="H2767" t="s">
        <v>7703</v>
      </c>
      <c r="I2767" t="s">
        <v>7772</v>
      </c>
    </row>
    <row r="2768">
      <c r="A2768" t="s">
        <v>6311</v>
      </c>
      <c r="B2768" s="232">
        <v>94404.0</v>
      </c>
      <c r="C2768" s="232">
        <v>0.0</v>
      </c>
      <c r="D2768" s="232">
        <v>0.0</v>
      </c>
      <c r="F2768" t="s">
        <v>7702</v>
      </c>
      <c r="G2768" t="s">
        <v>310</v>
      </c>
      <c r="H2768" t="s">
        <v>7703</v>
      </c>
      <c r="I2768" t="s">
        <v>29</v>
      </c>
    </row>
    <row r="2769">
      <c r="A2769" t="s">
        <v>6312</v>
      </c>
      <c r="B2769" s="232">
        <v>94403.0</v>
      </c>
      <c r="C2769" s="232">
        <v>0.0</v>
      </c>
      <c r="D2769" s="232">
        <v>0.0</v>
      </c>
      <c r="F2769" t="s">
        <v>7702</v>
      </c>
      <c r="G2769" t="s">
        <v>310</v>
      </c>
      <c r="H2769" t="s">
        <v>7703</v>
      </c>
      <c r="I2769" t="s">
        <v>29</v>
      </c>
    </row>
    <row r="2770">
      <c r="A2770" t="s">
        <v>50</v>
      </c>
      <c r="B2770" s="232" t="s">
        <v>51</v>
      </c>
      <c r="C2770" s="232">
        <v>12.0</v>
      </c>
      <c r="D2770" s="232">
        <v>36.13</v>
      </c>
      <c r="E2770" s="232">
        <v>3.0108</v>
      </c>
      <c r="F2770" t="s">
        <v>7702</v>
      </c>
      <c r="G2770" t="s">
        <v>330</v>
      </c>
      <c r="H2770" t="s">
        <v>45</v>
      </c>
      <c r="I2770" t="s">
        <v>29</v>
      </c>
    </row>
    <row r="2771">
      <c r="A2771" t="s">
        <v>54</v>
      </c>
      <c r="B2771" s="232" t="s">
        <v>55</v>
      </c>
      <c r="C2771" s="232">
        <v>7.0</v>
      </c>
      <c r="D2771" s="232">
        <v>22.16</v>
      </c>
      <c r="E2771" s="232">
        <v>3.1657</v>
      </c>
      <c r="F2771" t="s">
        <v>7702</v>
      </c>
      <c r="G2771" t="s">
        <v>330</v>
      </c>
      <c r="H2771" t="s">
        <v>45</v>
      </c>
      <c r="I2771" t="s">
        <v>29</v>
      </c>
    </row>
    <row r="2772">
      <c r="A2772" t="s">
        <v>56</v>
      </c>
      <c r="B2772" s="232" t="s">
        <v>57</v>
      </c>
      <c r="C2772" s="232">
        <v>0.0</v>
      </c>
      <c r="D2772" s="232">
        <v>0.0</v>
      </c>
      <c r="F2772" t="s">
        <v>7702</v>
      </c>
      <c r="G2772" t="s">
        <v>310</v>
      </c>
      <c r="H2772" t="s">
        <v>45</v>
      </c>
      <c r="I2772" t="s">
        <v>29</v>
      </c>
    </row>
    <row r="2773">
      <c r="A2773" t="s">
        <v>52</v>
      </c>
      <c r="B2773" s="232" t="s">
        <v>53</v>
      </c>
      <c r="C2773" s="232">
        <v>17.0</v>
      </c>
      <c r="D2773" s="232">
        <v>51.19</v>
      </c>
      <c r="E2773" s="232">
        <v>3.0112</v>
      </c>
      <c r="F2773" t="s">
        <v>7702</v>
      </c>
      <c r="G2773" t="s">
        <v>330</v>
      </c>
      <c r="H2773" t="s">
        <v>45</v>
      </c>
      <c r="I2773" t="s">
        <v>29</v>
      </c>
    </row>
    <row r="2774">
      <c r="A2774" t="s">
        <v>69</v>
      </c>
      <c r="B2774" s="232" t="s">
        <v>70</v>
      </c>
      <c r="C2774" s="232">
        <v>10.0</v>
      </c>
      <c r="D2774" s="232">
        <v>43.74</v>
      </c>
      <c r="E2774" s="232">
        <v>4.374</v>
      </c>
      <c r="F2774" t="s">
        <v>7702</v>
      </c>
      <c r="G2774" t="s">
        <v>330</v>
      </c>
      <c r="H2774" t="s">
        <v>45</v>
      </c>
      <c r="I2774" t="s">
        <v>29</v>
      </c>
    </row>
    <row r="2775">
      <c r="A2775" t="s">
        <v>73</v>
      </c>
      <c r="B2775" s="232" t="s">
        <v>74</v>
      </c>
      <c r="C2775" s="232">
        <v>0.0</v>
      </c>
      <c r="D2775" s="232">
        <v>0.0</v>
      </c>
      <c r="F2775" t="s">
        <v>7702</v>
      </c>
      <c r="G2775" t="s">
        <v>310</v>
      </c>
      <c r="H2775" t="s">
        <v>45</v>
      </c>
      <c r="I2775" t="s">
        <v>29</v>
      </c>
    </row>
    <row r="2776">
      <c r="A2776" t="s">
        <v>71</v>
      </c>
      <c r="B2776" s="232" t="s">
        <v>72</v>
      </c>
      <c r="C2776" s="232">
        <v>0.0</v>
      </c>
      <c r="D2776" s="232">
        <v>0.0</v>
      </c>
      <c r="F2776" t="s">
        <v>7702</v>
      </c>
      <c r="G2776" t="s">
        <v>330</v>
      </c>
      <c r="H2776" t="s">
        <v>45</v>
      </c>
      <c r="I2776" t="s">
        <v>29</v>
      </c>
    </row>
    <row r="2777">
      <c r="A2777" t="s">
        <v>75</v>
      </c>
      <c r="B2777" s="232" t="s">
        <v>76</v>
      </c>
      <c r="C2777" s="232">
        <v>4.0</v>
      </c>
      <c r="D2777" s="232">
        <v>17.48</v>
      </c>
      <c r="E2777" s="232">
        <v>4.37</v>
      </c>
      <c r="F2777" t="s">
        <v>7702</v>
      </c>
      <c r="G2777" t="s">
        <v>310</v>
      </c>
      <c r="H2777" t="s">
        <v>45</v>
      </c>
      <c r="I2777" t="s">
        <v>29</v>
      </c>
    </row>
    <row r="2778">
      <c r="A2778" t="s">
        <v>192</v>
      </c>
      <c r="B2778" s="232" t="s">
        <v>193</v>
      </c>
      <c r="C2778" s="232">
        <v>6810.0</v>
      </c>
      <c r="D2778" s="232">
        <v>26160.92</v>
      </c>
      <c r="E2778" s="232">
        <v>3.8415</v>
      </c>
      <c r="F2778" t="s">
        <v>7702</v>
      </c>
      <c r="G2778" t="s">
        <v>330</v>
      </c>
      <c r="H2778" t="s">
        <v>28</v>
      </c>
      <c r="I2778" t="s">
        <v>29</v>
      </c>
    </row>
    <row r="2779">
      <c r="A2779" t="s">
        <v>196</v>
      </c>
      <c r="B2779" s="232" t="s">
        <v>197</v>
      </c>
      <c r="C2779" s="232">
        <v>2860.0</v>
      </c>
      <c r="D2779" s="232">
        <v>10910.12</v>
      </c>
      <c r="E2779" s="232">
        <v>3.8147</v>
      </c>
      <c r="F2779" t="s">
        <v>7702</v>
      </c>
      <c r="G2779" t="s">
        <v>330</v>
      </c>
      <c r="H2779" t="s">
        <v>28</v>
      </c>
      <c r="I2779" t="s">
        <v>29</v>
      </c>
    </row>
    <row r="2780">
      <c r="A2780" t="s">
        <v>194</v>
      </c>
      <c r="B2780" s="232" t="s">
        <v>195</v>
      </c>
      <c r="C2780" s="232">
        <v>2108.0</v>
      </c>
      <c r="D2780" s="232">
        <v>8043.95</v>
      </c>
      <c r="E2780" s="232">
        <v>3.8159</v>
      </c>
      <c r="F2780" t="s">
        <v>7702</v>
      </c>
      <c r="G2780" t="s">
        <v>330</v>
      </c>
      <c r="H2780" t="s">
        <v>28</v>
      </c>
      <c r="I2780" t="s">
        <v>29</v>
      </c>
    </row>
    <row r="2781">
      <c r="A2781" t="s">
        <v>198</v>
      </c>
      <c r="B2781" s="232" t="s">
        <v>199</v>
      </c>
      <c r="C2781" s="232">
        <v>3513.0</v>
      </c>
      <c r="D2781" s="232">
        <v>13406.9</v>
      </c>
      <c r="E2781" s="232">
        <v>3.8164</v>
      </c>
      <c r="F2781" t="s">
        <v>7702</v>
      </c>
      <c r="G2781" t="s">
        <v>330</v>
      </c>
      <c r="H2781" t="s">
        <v>28</v>
      </c>
      <c r="I2781" t="s">
        <v>29</v>
      </c>
    </row>
    <row r="2782">
      <c r="A2782" t="s">
        <v>78</v>
      </c>
      <c r="B2782" s="232" t="s">
        <v>79</v>
      </c>
      <c r="C2782" s="232">
        <v>0.0</v>
      </c>
      <c r="D2782" s="232">
        <v>0.0</v>
      </c>
      <c r="F2782" t="s">
        <v>7711</v>
      </c>
      <c r="G2782" t="s">
        <v>310</v>
      </c>
      <c r="H2782" t="s">
        <v>28</v>
      </c>
      <c r="I2782" t="s">
        <v>29</v>
      </c>
    </row>
    <row r="2783">
      <c r="A2783" t="s">
        <v>6313</v>
      </c>
      <c r="B2783" s="232">
        <v>94201.0</v>
      </c>
      <c r="C2783" s="232">
        <v>0.0</v>
      </c>
      <c r="D2783" s="232">
        <v>0.0</v>
      </c>
      <c r="F2783" t="s">
        <v>7702</v>
      </c>
      <c r="G2783" t="s">
        <v>310</v>
      </c>
      <c r="H2783" t="s">
        <v>7703</v>
      </c>
      <c r="I2783" t="s">
        <v>7744</v>
      </c>
    </row>
    <row r="2784">
      <c r="A2784" t="s">
        <v>6315</v>
      </c>
      <c r="B2784" s="232">
        <v>94205.0</v>
      </c>
      <c r="C2784" s="232">
        <v>0.0</v>
      </c>
      <c r="D2784" s="232">
        <v>0.0</v>
      </c>
      <c r="F2784" t="s">
        <v>7702</v>
      </c>
      <c r="G2784" t="s">
        <v>310</v>
      </c>
      <c r="H2784" t="s">
        <v>7703</v>
      </c>
      <c r="I2784" t="s">
        <v>7744</v>
      </c>
    </row>
    <row r="2785">
      <c r="A2785" t="s">
        <v>6317</v>
      </c>
      <c r="B2785" s="232" t="s">
        <v>6316</v>
      </c>
      <c r="C2785" s="232">
        <v>156.0</v>
      </c>
      <c r="D2785" s="232">
        <v>771.0</v>
      </c>
      <c r="E2785" s="232">
        <v>4.9423</v>
      </c>
      <c r="F2785" t="s">
        <v>7702</v>
      </c>
      <c r="G2785" t="s">
        <v>330</v>
      </c>
      <c r="H2785" t="s">
        <v>214</v>
      </c>
      <c r="I2785" t="s">
        <v>7712</v>
      </c>
    </row>
    <row r="2786">
      <c r="A2786" t="s">
        <v>6326</v>
      </c>
      <c r="B2786" s="232" t="s">
        <v>6325</v>
      </c>
      <c r="C2786" s="232">
        <v>1910.0</v>
      </c>
      <c r="D2786" s="232">
        <v>18818.77</v>
      </c>
      <c r="E2786" s="232">
        <v>9.8528</v>
      </c>
      <c r="F2786" t="s">
        <v>7702</v>
      </c>
      <c r="G2786" t="s">
        <v>330</v>
      </c>
      <c r="H2786" t="s">
        <v>214</v>
      </c>
      <c r="I2786" t="s">
        <v>170</v>
      </c>
    </row>
    <row r="2787">
      <c r="A2787" t="s">
        <v>6328</v>
      </c>
      <c r="B2787" s="232" t="s">
        <v>6327</v>
      </c>
      <c r="C2787" s="232">
        <v>0.0</v>
      </c>
      <c r="D2787" s="232">
        <v>0.0</v>
      </c>
      <c r="F2787" t="s">
        <v>7711</v>
      </c>
      <c r="G2787" t="s">
        <v>310</v>
      </c>
      <c r="H2787" t="s">
        <v>7703</v>
      </c>
    </row>
    <row r="2788">
      <c r="A2788" t="s">
        <v>6330</v>
      </c>
      <c r="B2788" s="232" t="s">
        <v>6329</v>
      </c>
      <c r="C2788" s="232">
        <v>0.0</v>
      </c>
      <c r="D2788" s="232">
        <v>0.0</v>
      </c>
      <c r="F2788" t="s">
        <v>7702</v>
      </c>
      <c r="G2788" t="s">
        <v>310</v>
      </c>
      <c r="H2788" t="s">
        <v>7703</v>
      </c>
      <c r="I2788" t="s">
        <v>29</v>
      </c>
    </row>
    <row r="2789">
      <c r="A2789" t="s">
        <v>6332</v>
      </c>
      <c r="B2789" s="232" t="s">
        <v>6331</v>
      </c>
      <c r="C2789" s="232">
        <v>0.0</v>
      </c>
      <c r="D2789" s="232">
        <v>0.0</v>
      </c>
      <c r="F2789" t="s">
        <v>7702</v>
      </c>
      <c r="G2789" t="s">
        <v>310</v>
      </c>
      <c r="H2789" t="s">
        <v>7703</v>
      </c>
      <c r="I2789" t="s">
        <v>29</v>
      </c>
    </row>
    <row r="2790">
      <c r="A2790" t="s">
        <v>6334</v>
      </c>
      <c r="B2790" s="232" t="s">
        <v>6333</v>
      </c>
      <c r="C2790" s="232">
        <v>0.0</v>
      </c>
      <c r="D2790" s="232">
        <v>0.0</v>
      </c>
      <c r="F2790" t="s">
        <v>7702</v>
      </c>
      <c r="G2790" t="s">
        <v>310</v>
      </c>
      <c r="H2790" t="s">
        <v>7703</v>
      </c>
      <c r="I2790" t="s">
        <v>29</v>
      </c>
    </row>
    <row r="2791">
      <c r="A2791" t="s">
        <v>6336</v>
      </c>
      <c r="B2791" s="232" t="s">
        <v>6335</v>
      </c>
      <c r="C2791" s="232">
        <v>0.0</v>
      </c>
      <c r="D2791" s="232">
        <v>0.0</v>
      </c>
      <c r="F2791" t="s">
        <v>7702</v>
      </c>
      <c r="G2791" t="s">
        <v>310</v>
      </c>
      <c r="H2791" t="s">
        <v>7703</v>
      </c>
      <c r="I2791" t="s">
        <v>29</v>
      </c>
    </row>
    <row r="2792">
      <c r="A2792" t="s">
        <v>6338</v>
      </c>
      <c r="B2792" s="232" t="s">
        <v>6337</v>
      </c>
      <c r="C2792" s="232">
        <v>0.0</v>
      </c>
      <c r="D2792" s="232">
        <v>0.0</v>
      </c>
      <c r="F2792" t="s">
        <v>7702</v>
      </c>
      <c r="G2792" t="s">
        <v>310</v>
      </c>
      <c r="H2792" t="s">
        <v>7703</v>
      </c>
      <c r="I2792" t="s">
        <v>29</v>
      </c>
    </row>
    <row r="2793">
      <c r="A2793" t="s">
        <v>6340</v>
      </c>
      <c r="B2793" s="232" t="s">
        <v>6339</v>
      </c>
      <c r="C2793" s="232">
        <v>0.0</v>
      </c>
      <c r="D2793" s="232">
        <v>0.0</v>
      </c>
      <c r="F2793" t="s">
        <v>7702</v>
      </c>
      <c r="G2793" t="s">
        <v>310</v>
      </c>
      <c r="H2793" t="s">
        <v>7703</v>
      </c>
      <c r="I2793" t="s">
        <v>29</v>
      </c>
    </row>
    <row r="2794">
      <c r="A2794" t="s">
        <v>6342</v>
      </c>
      <c r="B2794" s="232" t="s">
        <v>6341</v>
      </c>
      <c r="C2794" s="232">
        <v>281.0</v>
      </c>
      <c r="D2794" s="232">
        <v>1873.62</v>
      </c>
      <c r="E2794" s="232">
        <v>6.6677</v>
      </c>
      <c r="F2794" t="s">
        <v>7702</v>
      </c>
      <c r="G2794" t="s">
        <v>330</v>
      </c>
      <c r="H2794" t="s">
        <v>214</v>
      </c>
      <c r="I2794" t="s">
        <v>7788</v>
      </c>
    </row>
    <row r="2795">
      <c r="A2795" t="s">
        <v>6343</v>
      </c>
      <c r="B2795" s="232">
        <v>32511.0</v>
      </c>
      <c r="C2795" s="232">
        <v>0.0</v>
      </c>
      <c r="D2795" s="232">
        <v>0.0</v>
      </c>
      <c r="F2795" t="s">
        <v>7702</v>
      </c>
      <c r="G2795" t="s">
        <v>310</v>
      </c>
      <c r="H2795" t="s">
        <v>7703</v>
      </c>
      <c r="I2795" t="s">
        <v>7744</v>
      </c>
    </row>
    <row r="2796">
      <c r="A2796" t="s">
        <v>6344</v>
      </c>
      <c r="B2796" s="232">
        <v>32502.0</v>
      </c>
      <c r="C2796" s="232">
        <v>0.0</v>
      </c>
      <c r="D2796" s="232">
        <v>0.0</v>
      </c>
      <c r="F2796" t="s">
        <v>7702</v>
      </c>
      <c r="G2796" t="s">
        <v>310</v>
      </c>
      <c r="H2796" t="s">
        <v>7703</v>
      </c>
      <c r="I2796" t="s">
        <v>7744</v>
      </c>
    </row>
    <row r="2797">
      <c r="A2797" t="s">
        <v>6346</v>
      </c>
      <c r="B2797" s="232" t="s">
        <v>6345</v>
      </c>
      <c r="C2797" s="232">
        <v>0.0</v>
      </c>
      <c r="D2797" s="232">
        <v>0.0</v>
      </c>
      <c r="F2797" t="s">
        <v>7702</v>
      </c>
      <c r="G2797" t="s">
        <v>310</v>
      </c>
      <c r="H2797" t="s">
        <v>7703</v>
      </c>
      <c r="I2797" t="s">
        <v>29</v>
      </c>
    </row>
    <row r="2798">
      <c r="A2798" t="s">
        <v>6348</v>
      </c>
      <c r="B2798" s="232" t="s">
        <v>6347</v>
      </c>
      <c r="C2798" s="232">
        <v>0.0</v>
      </c>
      <c r="D2798" s="232">
        <v>0.0</v>
      </c>
      <c r="F2798" t="s">
        <v>7702</v>
      </c>
      <c r="G2798" t="s">
        <v>310</v>
      </c>
      <c r="H2798" t="s">
        <v>7703</v>
      </c>
      <c r="I2798" t="s">
        <v>29</v>
      </c>
    </row>
    <row r="2799">
      <c r="A2799" t="s">
        <v>6350</v>
      </c>
      <c r="B2799" s="232" t="s">
        <v>6349</v>
      </c>
      <c r="C2799" s="232">
        <v>0.0</v>
      </c>
      <c r="D2799" s="232">
        <v>0.0</v>
      </c>
      <c r="F2799" t="s">
        <v>7702</v>
      </c>
      <c r="G2799" t="s">
        <v>310</v>
      </c>
      <c r="H2799" t="s">
        <v>7703</v>
      </c>
      <c r="I2799" t="s">
        <v>29</v>
      </c>
    </row>
    <row r="2800">
      <c r="A2800" t="s">
        <v>6352</v>
      </c>
      <c r="B2800" s="232" t="s">
        <v>6351</v>
      </c>
      <c r="C2800" s="232">
        <v>0.0</v>
      </c>
      <c r="D2800" s="232">
        <v>0.0</v>
      </c>
      <c r="F2800" t="s">
        <v>7702</v>
      </c>
      <c r="G2800" t="s">
        <v>310</v>
      </c>
      <c r="H2800" t="s">
        <v>7703</v>
      </c>
      <c r="I2800" t="s">
        <v>29</v>
      </c>
    </row>
    <row r="2801">
      <c r="A2801" t="s">
        <v>6354</v>
      </c>
      <c r="B2801" s="232" t="s">
        <v>6353</v>
      </c>
      <c r="C2801" s="232">
        <v>345.0</v>
      </c>
      <c r="D2801" s="232">
        <v>1658.32</v>
      </c>
      <c r="E2801" s="232">
        <v>4.8067</v>
      </c>
      <c r="F2801" t="s">
        <v>7702</v>
      </c>
      <c r="G2801" t="s">
        <v>330</v>
      </c>
      <c r="H2801" t="s">
        <v>214</v>
      </c>
      <c r="I2801" t="s">
        <v>7712</v>
      </c>
    </row>
    <row r="2802">
      <c r="A2802" t="s">
        <v>6358</v>
      </c>
      <c r="B2802" s="232" t="s">
        <v>6357</v>
      </c>
      <c r="C2802" s="232">
        <v>6.0</v>
      </c>
      <c r="D2802" s="232">
        <v>2.4</v>
      </c>
      <c r="E2802" s="232">
        <v>0.4</v>
      </c>
      <c r="F2802" t="s">
        <v>7702</v>
      </c>
      <c r="G2802" t="s">
        <v>330</v>
      </c>
      <c r="H2802" t="s">
        <v>7725</v>
      </c>
      <c r="I2802" t="s">
        <v>7739</v>
      </c>
    </row>
    <row r="2803">
      <c r="A2803" t="s">
        <v>6364</v>
      </c>
      <c r="B2803" s="232" t="s">
        <v>6363</v>
      </c>
      <c r="C2803" s="232">
        <v>185.0</v>
      </c>
      <c r="D2803" s="232">
        <v>1258.22</v>
      </c>
      <c r="E2803" s="232">
        <v>6.8012</v>
      </c>
      <c r="F2803" t="s">
        <v>7702</v>
      </c>
      <c r="G2803" t="s">
        <v>330</v>
      </c>
      <c r="H2803" t="s">
        <v>214</v>
      </c>
      <c r="I2803" t="s">
        <v>170</v>
      </c>
    </row>
    <row r="2804">
      <c r="A2804" t="s">
        <v>6366</v>
      </c>
      <c r="B2804" s="232" t="s">
        <v>6365</v>
      </c>
      <c r="C2804" s="232">
        <v>326.0</v>
      </c>
      <c r="D2804" s="232">
        <v>2215.63</v>
      </c>
      <c r="E2804" s="232">
        <v>6.7964</v>
      </c>
      <c r="F2804" t="s">
        <v>7702</v>
      </c>
      <c r="G2804" t="s">
        <v>330</v>
      </c>
      <c r="H2804" t="s">
        <v>214</v>
      </c>
      <c r="I2804" t="s">
        <v>170</v>
      </c>
    </row>
    <row r="2805">
      <c r="A2805" t="s">
        <v>6368</v>
      </c>
      <c r="B2805" s="232" t="s">
        <v>6367</v>
      </c>
      <c r="C2805" s="232">
        <v>267.0</v>
      </c>
      <c r="D2805" s="232">
        <v>1783.51</v>
      </c>
      <c r="E2805" s="232">
        <v>6.6798</v>
      </c>
      <c r="F2805" t="s">
        <v>7702</v>
      </c>
      <c r="G2805" t="s">
        <v>330</v>
      </c>
      <c r="H2805" t="s">
        <v>214</v>
      </c>
      <c r="I2805" t="s">
        <v>170</v>
      </c>
    </row>
    <row r="2806">
      <c r="A2806" t="s">
        <v>6370</v>
      </c>
      <c r="B2806" s="232" t="s">
        <v>6369</v>
      </c>
      <c r="C2806" s="232">
        <v>474.0</v>
      </c>
      <c r="D2806" s="232">
        <v>3166.23</v>
      </c>
      <c r="E2806" s="232">
        <v>6.6798</v>
      </c>
      <c r="F2806" t="s">
        <v>7702</v>
      </c>
      <c r="G2806" t="s">
        <v>330</v>
      </c>
      <c r="H2806" t="s">
        <v>214</v>
      </c>
      <c r="I2806" t="s">
        <v>170</v>
      </c>
    </row>
    <row r="2807">
      <c r="A2807" t="s">
        <v>6374</v>
      </c>
      <c r="B2807" s="232" t="s">
        <v>6373</v>
      </c>
      <c r="C2807" s="232">
        <v>0.0</v>
      </c>
      <c r="D2807" s="232">
        <v>0.0</v>
      </c>
      <c r="F2807" t="s">
        <v>7702</v>
      </c>
      <c r="G2807" t="s">
        <v>310</v>
      </c>
      <c r="H2807" t="s">
        <v>7703</v>
      </c>
      <c r="I2807" t="s">
        <v>29</v>
      </c>
    </row>
    <row r="2808">
      <c r="A2808" t="s">
        <v>6378</v>
      </c>
      <c r="B2808" s="232" t="s">
        <v>6377</v>
      </c>
      <c r="C2808" s="232">
        <v>0.0</v>
      </c>
      <c r="D2808" s="232">
        <v>0.0</v>
      </c>
      <c r="F2808" t="s">
        <v>7711</v>
      </c>
      <c r="G2808" t="s">
        <v>330</v>
      </c>
      <c r="H2808" t="s">
        <v>7725</v>
      </c>
      <c r="I2808" t="s">
        <v>7720</v>
      </c>
    </row>
    <row r="2809">
      <c r="A2809" t="s">
        <v>6404</v>
      </c>
      <c r="B2809" s="232" t="s">
        <v>6403</v>
      </c>
      <c r="C2809" s="232">
        <v>0.0</v>
      </c>
      <c r="D2809" s="232">
        <v>0.0</v>
      </c>
      <c r="F2809" t="s">
        <v>7702</v>
      </c>
      <c r="G2809" t="s">
        <v>330</v>
      </c>
      <c r="H2809" t="s">
        <v>45</v>
      </c>
      <c r="I2809" t="s">
        <v>7769</v>
      </c>
    </row>
    <row r="2810">
      <c r="A2810" t="s">
        <v>6406</v>
      </c>
      <c r="B2810" s="232" t="s">
        <v>6405</v>
      </c>
      <c r="C2810" s="232">
        <v>0.0</v>
      </c>
      <c r="D2810" s="232">
        <v>0.0</v>
      </c>
      <c r="F2810" t="s">
        <v>7702</v>
      </c>
      <c r="G2810" t="s">
        <v>310</v>
      </c>
      <c r="H2810" t="s">
        <v>45</v>
      </c>
      <c r="I2810" t="s">
        <v>7769</v>
      </c>
    </row>
    <row r="2811">
      <c r="A2811" t="s">
        <v>6408</v>
      </c>
      <c r="B2811" s="232" t="s">
        <v>6407</v>
      </c>
      <c r="C2811" s="232">
        <v>0.0</v>
      </c>
      <c r="D2811" s="232">
        <v>0.0</v>
      </c>
      <c r="F2811" t="s">
        <v>7702</v>
      </c>
      <c r="G2811" t="s">
        <v>310</v>
      </c>
      <c r="H2811" t="s">
        <v>45</v>
      </c>
      <c r="I2811" t="s">
        <v>7769</v>
      </c>
    </row>
    <row r="2812">
      <c r="A2812" t="s">
        <v>6416</v>
      </c>
      <c r="B2812" s="232" t="s">
        <v>6415</v>
      </c>
      <c r="C2812" s="232">
        <v>313.0</v>
      </c>
      <c r="D2812" s="232">
        <v>1324.43</v>
      </c>
      <c r="E2812" s="232">
        <v>4.2314</v>
      </c>
      <c r="F2812" t="s">
        <v>7702</v>
      </c>
      <c r="G2812" t="s">
        <v>330</v>
      </c>
      <c r="H2812" t="s">
        <v>7709</v>
      </c>
      <c r="I2812" t="s">
        <v>7829</v>
      </c>
    </row>
    <row r="2813">
      <c r="A2813" t="s">
        <v>6418</v>
      </c>
      <c r="B2813" s="232" t="s">
        <v>6417</v>
      </c>
      <c r="C2813" s="232">
        <v>0.0</v>
      </c>
      <c r="D2813" s="232">
        <v>0.0</v>
      </c>
      <c r="F2813" t="s">
        <v>7702</v>
      </c>
      <c r="G2813" t="s">
        <v>310</v>
      </c>
      <c r="H2813" t="s">
        <v>7703</v>
      </c>
      <c r="I2813" t="s">
        <v>7824</v>
      </c>
    </row>
    <row r="2814">
      <c r="A2814" t="s">
        <v>6422</v>
      </c>
      <c r="B2814" s="232" t="s">
        <v>6421</v>
      </c>
      <c r="C2814" s="232">
        <v>505.0</v>
      </c>
      <c r="D2814" s="232">
        <v>2113.86</v>
      </c>
      <c r="E2814" s="232">
        <v>4.1859</v>
      </c>
      <c r="F2814" t="s">
        <v>7702</v>
      </c>
      <c r="G2814" t="s">
        <v>330</v>
      </c>
      <c r="H2814" t="s">
        <v>150</v>
      </c>
      <c r="I2814" t="s">
        <v>7829</v>
      </c>
    </row>
    <row r="2815">
      <c r="A2815" t="s">
        <v>6424</v>
      </c>
      <c r="B2815" s="232" t="s">
        <v>6423</v>
      </c>
      <c r="C2815" s="232">
        <v>466.0</v>
      </c>
      <c r="D2815" s="232">
        <v>1929.83</v>
      </c>
      <c r="E2815" s="232">
        <v>4.1413</v>
      </c>
      <c r="F2815" t="s">
        <v>7702</v>
      </c>
      <c r="G2815" t="s">
        <v>330</v>
      </c>
      <c r="H2815" t="s">
        <v>150</v>
      </c>
      <c r="I2815" t="s">
        <v>7829</v>
      </c>
    </row>
    <row r="2816">
      <c r="A2816" t="s">
        <v>6426</v>
      </c>
      <c r="B2816" s="232" t="s">
        <v>6425</v>
      </c>
      <c r="C2816" s="232">
        <v>0.0</v>
      </c>
      <c r="D2816" s="232">
        <v>0.0</v>
      </c>
      <c r="F2816" t="s">
        <v>7702</v>
      </c>
      <c r="G2816" t="s">
        <v>330</v>
      </c>
      <c r="H2816" t="s">
        <v>45</v>
      </c>
      <c r="I2816" t="s">
        <v>7829</v>
      </c>
    </row>
    <row r="2817">
      <c r="A2817" t="s">
        <v>6428</v>
      </c>
      <c r="B2817" s="232" t="s">
        <v>6427</v>
      </c>
      <c r="C2817" s="232">
        <v>0.0</v>
      </c>
      <c r="D2817" s="232">
        <v>0.0</v>
      </c>
      <c r="F2817" t="s">
        <v>7702</v>
      </c>
      <c r="G2817" t="s">
        <v>330</v>
      </c>
      <c r="H2817" t="s">
        <v>45</v>
      </c>
      <c r="I2817" t="s">
        <v>7829</v>
      </c>
    </row>
    <row r="2818">
      <c r="A2818" t="s">
        <v>6430</v>
      </c>
      <c r="B2818" s="232" t="s">
        <v>6429</v>
      </c>
      <c r="C2818" s="232">
        <v>130.0</v>
      </c>
      <c r="D2818" s="232">
        <v>538.73</v>
      </c>
      <c r="E2818" s="232">
        <v>4.1441</v>
      </c>
      <c r="F2818" t="s">
        <v>7702</v>
      </c>
      <c r="G2818" t="s">
        <v>330</v>
      </c>
      <c r="H2818" t="s">
        <v>150</v>
      </c>
      <c r="I2818" t="s">
        <v>7829</v>
      </c>
    </row>
    <row r="2819">
      <c r="A2819" t="s">
        <v>6432</v>
      </c>
      <c r="B2819" s="232" t="s">
        <v>6431</v>
      </c>
      <c r="C2819" s="232">
        <v>5.0</v>
      </c>
      <c r="D2819" s="232">
        <v>22.01</v>
      </c>
      <c r="E2819" s="232">
        <v>4.402</v>
      </c>
      <c r="F2819" t="s">
        <v>7702</v>
      </c>
      <c r="G2819" t="s">
        <v>330</v>
      </c>
      <c r="H2819" t="s">
        <v>45</v>
      </c>
      <c r="I2819" t="s">
        <v>7829</v>
      </c>
    </row>
    <row r="2820">
      <c r="A2820" t="s">
        <v>6434</v>
      </c>
      <c r="B2820" s="232" t="s">
        <v>6433</v>
      </c>
      <c r="C2820" s="232">
        <v>3.0</v>
      </c>
      <c r="D2820" s="232">
        <v>8.27</v>
      </c>
      <c r="E2820" s="232">
        <v>2.7567</v>
      </c>
      <c r="F2820" t="s">
        <v>7702</v>
      </c>
      <c r="G2820" t="s">
        <v>310</v>
      </c>
      <c r="H2820" t="s">
        <v>45</v>
      </c>
      <c r="I2820" t="s">
        <v>7829</v>
      </c>
    </row>
    <row r="2821">
      <c r="A2821" t="s">
        <v>6436</v>
      </c>
      <c r="B2821" s="232" t="s">
        <v>6435</v>
      </c>
      <c r="C2821" s="232">
        <v>0.0</v>
      </c>
      <c r="D2821" s="232">
        <v>0.0</v>
      </c>
      <c r="F2821" t="s">
        <v>7702</v>
      </c>
      <c r="G2821" t="s">
        <v>310</v>
      </c>
      <c r="H2821" t="s">
        <v>45</v>
      </c>
      <c r="I2821" t="s">
        <v>7829</v>
      </c>
    </row>
    <row r="2822">
      <c r="A2822" t="s">
        <v>6438</v>
      </c>
      <c r="B2822" s="232" t="s">
        <v>6437</v>
      </c>
      <c r="C2822" s="232">
        <v>32.0</v>
      </c>
      <c r="D2822" s="232">
        <v>135.69</v>
      </c>
      <c r="E2822" s="232">
        <v>4.2403</v>
      </c>
      <c r="F2822" t="s">
        <v>7702</v>
      </c>
      <c r="G2822" t="s">
        <v>330</v>
      </c>
      <c r="H2822" t="s">
        <v>7709</v>
      </c>
      <c r="I2822" t="s">
        <v>7829</v>
      </c>
    </row>
    <row r="2823">
      <c r="A2823" t="s">
        <v>6440</v>
      </c>
      <c r="B2823" s="232" t="s">
        <v>6439</v>
      </c>
      <c r="C2823" s="232">
        <v>35.0</v>
      </c>
      <c r="D2823" s="232">
        <v>148.35</v>
      </c>
      <c r="E2823" s="232">
        <v>4.2386</v>
      </c>
      <c r="F2823" t="s">
        <v>7702</v>
      </c>
      <c r="G2823" t="s">
        <v>330</v>
      </c>
      <c r="H2823" t="s">
        <v>7709</v>
      </c>
      <c r="I2823" t="s">
        <v>7829</v>
      </c>
    </row>
    <row r="2824">
      <c r="A2824" t="s">
        <v>6444</v>
      </c>
      <c r="B2824" s="232" t="s">
        <v>6443</v>
      </c>
      <c r="C2824" s="232">
        <v>429.0</v>
      </c>
      <c r="D2824" s="232">
        <v>1814.47</v>
      </c>
      <c r="E2824" s="232">
        <v>4.2295</v>
      </c>
      <c r="F2824" t="s">
        <v>7702</v>
      </c>
      <c r="G2824" t="s">
        <v>330</v>
      </c>
      <c r="H2824" t="s">
        <v>7709</v>
      </c>
      <c r="I2824" t="s">
        <v>7829</v>
      </c>
    </row>
    <row r="2825">
      <c r="A2825" t="s">
        <v>6446</v>
      </c>
      <c r="B2825" s="232" t="s">
        <v>6445</v>
      </c>
      <c r="C2825" s="232">
        <v>0.0</v>
      </c>
      <c r="D2825" s="232">
        <v>0.0</v>
      </c>
      <c r="F2825" t="s">
        <v>7702</v>
      </c>
      <c r="G2825" t="s">
        <v>310</v>
      </c>
      <c r="H2825" t="s">
        <v>150</v>
      </c>
      <c r="I2825" t="s">
        <v>7829</v>
      </c>
    </row>
    <row r="2826">
      <c r="A2826" t="s">
        <v>6448</v>
      </c>
      <c r="B2826" s="232" t="s">
        <v>6447</v>
      </c>
      <c r="C2826" s="232">
        <v>29.0</v>
      </c>
      <c r="D2826" s="232">
        <v>87.57</v>
      </c>
      <c r="E2826" s="232">
        <v>3.0197</v>
      </c>
      <c r="F2826" t="s">
        <v>7702</v>
      </c>
      <c r="G2826" t="s">
        <v>330</v>
      </c>
      <c r="H2826" t="s">
        <v>150</v>
      </c>
      <c r="I2826" t="s">
        <v>7829</v>
      </c>
    </row>
    <row r="2827">
      <c r="A2827" t="s">
        <v>6450</v>
      </c>
      <c r="B2827" s="232" t="s">
        <v>6449</v>
      </c>
      <c r="C2827" s="232">
        <v>554.0</v>
      </c>
      <c r="D2827" s="232">
        <v>2237.97</v>
      </c>
      <c r="E2827" s="232">
        <v>4.0397</v>
      </c>
      <c r="F2827" t="s">
        <v>7702</v>
      </c>
      <c r="G2827" t="s">
        <v>330</v>
      </c>
      <c r="H2827" t="s">
        <v>150</v>
      </c>
      <c r="I2827" t="s">
        <v>7829</v>
      </c>
    </row>
    <row r="2828">
      <c r="A2828" t="s">
        <v>6452</v>
      </c>
      <c r="B2828" s="232" t="s">
        <v>6451</v>
      </c>
      <c r="C2828" s="232">
        <v>323.0</v>
      </c>
      <c r="D2828" s="232">
        <v>1541.12</v>
      </c>
      <c r="E2828" s="232">
        <v>4.7713</v>
      </c>
      <c r="F2828" t="s">
        <v>7702</v>
      </c>
      <c r="G2828" t="s">
        <v>330</v>
      </c>
      <c r="H2828" t="s">
        <v>7709</v>
      </c>
      <c r="I2828" t="s">
        <v>7829</v>
      </c>
    </row>
    <row r="2829">
      <c r="A2829" t="s">
        <v>6454</v>
      </c>
      <c r="B2829" s="232" t="s">
        <v>6453</v>
      </c>
      <c r="C2829" s="232">
        <v>0.0</v>
      </c>
      <c r="D2829" s="232">
        <v>0.0</v>
      </c>
      <c r="F2829" t="s">
        <v>7702</v>
      </c>
      <c r="G2829" t="s">
        <v>310</v>
      </c>
      <c r="H2829" t="s">
        <v>45</v>
      </c>
      <c r="I2829" t="s">
        <v>7829</v>
      </c>
    </row>
    <row r="2830">
      <c r="A2830" t="s">
        <v>6456</v>
      </c>
      <c r="B2830" s="232" t="s">
        <v>6455</v>
      </c>
      <c r="C2830" s="232">
        <v>0.0</v>
      </c>
      <c r="D2830" s="232">
        <v>0.0</v>
      </c>
      <c r="F2830" t="s">
        <v>7702</v>
      </c>
      <c r="G2830" t="s">
        <v>310</v>
      </c>
      <c r="H2830" t="s">
        <v>7703</v>
      </c>
      <c r="I2830" t="s">
        <v>7824</v>
      </c>
    </row>
    <row r="2831">
      <c r="A2831" t="s">
        <v>6458</v>
      </c>
      <c r="B2831" s="232" t="s">
        <v>6457</v>
      </c>
      <c r="C2831" s="232">
        <v>12.0</v>
      </c>
      <c r="D2831" s="232">
        <v>51.21</v>
      </c>
      <c r="E2831" s="232">
        <v>4.2675</v>
      </c>
      <c r="F2831" t="s">
        <v>7702</v>
      </c>
      <c r="G2831" t="s">
        <v>330</v>
      </c>
      <c r="H2831" t="s">
        <v>7709</v>
      </c>
      <c r="I2831" t="s">
        <v>7829</v>
      </c>
    </row>
    <row r="2832">
      <c r="A2832" t="s">
        <v>6460</v>
      </c>
      <c r="B2832" s="232" t="s">
        <v>6459</v>
      </c>
      <c r="C2832" s="232">
        <v>3.0</v>
      </c>
      <c r="D2832" s="232">
        <v>8.27</v>
      </c>
      <c r="E2832" s="232">
        <v>2.7567</v>
      </c>
      <c r="F2832" t="s">
        <v>7702</v>
      </c>
      <c r="G2832" t="s">
        <v>310</v>
      </c>
      <c r="H2832" t="s">
        <v>45</v>
      </c>
      <c r="I2832" t="s">
        <v>7829</v>
      </c>
    </row>
    <row r="2833">
      <c r="A2833" t="s">
        <v>6464</v>
      </c>
      <c r="B2833" s="232" t="s">
        <v>6463</v>
      </c>
      <c r="C2833" s="232">
        <v>2.0</v>
      </c>
      <c r="D2833" s="232">
        <v>5.95</v>
      </c>
      <c r="E2833" s="232">
        <v>2.975</v>
      </c>
      <c r="F2833" t="s">
        <v>7702</v>
      </c>
      <c r="G2833" t="s">
        <v>310</v>
      </c>
      <c r="H2833" t="s">
        <v>45</v>
      </c>
      <c r="I2833" t="s">
        <v>7829</v>
      </c>
    </row>
    <row r="2834">
      <c r="A2834" t="s">
        <v>6466</v>
      </c>
      <c r="B2834" s="232" t="s">
        <v>6465</v>
      </c>
      <c r="C2834" s="232">
        <v>296.0</v>
      </c>
      <c r="D2834" s="232">
        <v>1303.62</v>
      </c>
      <c r="E2834" s="232">
        <v>4.4041</v>
      </c>
      <c r="F2834" t="s">
        <v>7702</v>
      </c>
      <c r="G2834" t="s">
        <v>330</v>
      </c>
      <c r="H2834" t="s">
        <v>7709</v>
      </c>
      <c r="I2834" t="s">
        <v>7829</v>
      </c>
    </row>
    <row r="2835">
      <c r="A2835" t="s">
        <v>6468</v>
      </c>
      <c r="B2835" s="232" t="s">
        <v>6467</v>
      </c>
      <c r="C2835" s="232">
        <v>0.0</v>
      </c>
      <c r="D2835" s="232">
        <v>0.0</v>
      </c>
      <c r="F2835" t="s">
        <v>7702</v>
      </c>
      <c r="G2835" t="s">
        <v>310</v>
      </c>
      <c r="H2835" t="s">
        <v>7703</v>
      </c>
      <c r="I2835" t="s">
        <v>7824</v>
      </c>
    </row>
    <row r="2836">
      <c r="A2836" t="s">
        <v>6470</v>
      </c>
      <c r="B2836" s="232" t="s">
        <v>6469</v>
      </c>
      <c r="C2836" s="232">
        <v>0.0</v>
      </c>
      <c r="D2836" s="232">
        <v>0.0</v>
      </c>
      <c r="F2836" t="s">
        <v>7702</v>
      </c>
      <c r="G2836" t="s">
        <v>310</v>
      </c>
      <c r="H2836" t="s">
        <v>45</v>
      </c>
      <c r="I2836" t="s">
        <v>7829</v>
      </c>
    </row>
    <row r="2837">
      <c r="A2837" t="s">
        <v>6472</v>
      </c>
      <c r="B2837" s="232" t="s">
        <v>6471</v>
      </c>
      <c r="C2837" s="232">
        <v>134.0</v>
      </c>
      <c r="D2837" s="232">
        <v>566.97</v>
      </c>
      <c r="E2837" s="232">
        <v>4.2311</v>
      </c>
      <c r="F2837" t="s">
        <v>7702</v>
      </c>
      <c r="G2837" t="s">
        <v>330</v>
      </c>
      <c r="H2837" t="s">
        <v>7709</v>
      </c>
      <c r="I2837" t="s">
        <v>7829</v>
      </c>
    </row>
    <row r="2838">
      <c r="A2838" t="s">
        <v>6474</v>
      </c>
      <c r="B2838" s="232" t="s">
        <v>6473</v>
      </c>
      <c r="C2838" s="232">
        <v>334.0</v>
      </c>
      <c r="D2838" s="232">
        <v>1383.3</v>
      </c>
      <c r="E2838" s="232">
        <v>4.1416</v>
      </c>
      <c r="F2838" t="s">
        <v>7702</v>
      </c>
      <c r="G2838" t="s">
        <v>330</v>
      </c>
      <c r="H2838" t="s">
        <v>45</v>
      </c>
      <c r="I2838" t="s">
        <v>7829</v>
      </c>
    </row>
    <row r="2839">
      <c r="A2839" t="s">
        <v>6476</v>
      </c>
      <c r="B2839" s="232" t="s">
        <v>6475</v>
      </c>
      <c r="C2839" s="232">
        <v>54.0</v>
      </c>
      <c r="D2839" s="232">
        <v>223.98</v>
      </c>
      <c r="E2839" s="232">
        <v>4.1478</v>
      </c>
      <c r="F2839" t="s">
        <v>7702</v>
      </c>
      <c r="G2839" t="s">
        <v>330</v>
      </c>
      <c r="H2839" t="s">
        <v>150</v>
      </c>
      <c r="I2839" t="s">
        <v>7829</v>
      </c>
    </row>
    <row r="2840">
      <c r="A2840" t="s">
        <v>6478</v>
      </c>
      <c r="B2840" s="232" t="s">
        <v>6477</v>
      </c>
      <c r="C2840" s="232">
        <v>4.0</v>
      </c>
      <c r="D2840" s="232">
        <v>16.0</v>
      </c>
      <c r="E2840" s="232">
        <v>4.0</v>
      </c>
      <c r="F2840" t="s">
        <v>7702</v>
      </c>
      <c r="G2840" t="s">
        <v>330</v>
      </c>
      <c r="H2840" t="s">
        <v>150</v>
      </c>
      <c r="I2840" t="s">
        <v>7829</v>
      </c>
    </row>
    <row r="2841">
      <c r="A2841" t="s">
        <v>6480</v>
      </c>
      <c r="B2841" s="232" t="s">
        <v>6479</v>
      </c>
      <c r="C2841" s="232">
        <v>166.0</v>
      </c>
      <c r="D2841" s="232">
        <v>688.17</v>
      </c>
      <c r="E2841" s="232">
        <v>4.1456</v>
      </c>
      <c r="F2841" t="s">
        <v>7702</v>
      </c>
      <c r="G2841" t="s">
        <v>330</v>
      </c>
      <c r="H2841" t="s">
        <v>45</v>
      </c>
      <c r="I2841" t="s">
        <v>7829</v>
      </c>
    </row>
    <row r="2842">
      <c r="A2842" t="s">
        <v>6482</v>
      </c>
      <c r="B2842" s="232" t="s">
        <v>6481</v>
      </c>
      <c r="C2842" s="232">
        <v>12.0</v>
      </c>
      <c r="D2842" s="232">
        <v>41.28</v>
      </c>
      <c r="E2842" s="232">
        <v>3.44</v>
      </c>
      <c r="F2842" t="s">
        <v>7702</v>
      </c>
      <c r="G2842" t="s">
        <v>330</v>
      </c>
      <c r="H2842" t="s">
        <v>45</v>
      </c>
      <c r="I2842" t="s">
        <v>7829</v>
      </c>
    </row>
    <row r="2843">
      <c r="A2843" t="s">
        <v>6484</v>
      </c>
      <c r="B2843" s="232" t="s">
        <v>6483</v>
      </c>
      <c r="C2843" s="232">
        <v>168.0</v>
      </c>
      <c r="D2843" s="232">
        <v>85.68</v>
      </c>
      <c r="E2843" s="232">
        <v>0.51</v>
      </c>
      <c r="F2843" t="s">
        <v>7702</v>
      </c>
      <c r="G2843" t="s">
        <v>330</v>
      </c>
      <c r="H2843" t="s">
        <v>7725</v>
      </c>
      <c r="I2843" t="s">
        <v>7739</v>
      </c>
    </row>
    <row r="2844">
      <c r="A2844" t="s">
        <v>6486</v>
      </c>
      <c r="B2844" s="232" t="s">
        <v>6485</v>
      </c>
      <c r="C2844" s="232">
        <v>36.0</v>
      </c>
      <c r="D2844" s="232">
        <v>19.44</v>
      </c>
      <c r="E2844" s="232">
        <v>0.54</v>
      </c>
      <c r="F2844" t="s">
        <v>7702</v>
      </c>
      <c r="G2844" t="s">
        <v>330</v>
      </c>
      <c r="H2844" t="s">
        <v>7725</v>
      </c>
      <c r="I2844" t="s">
        <v>7739</v>
      </c>
    </row>
    <row r="2845">
      <c r="A2845" t="s">
        <v>6487</v>
      </c>
      <c r="B2845" s="232">
        <v>35801.0</v>
      </c>
      <c r="C2845" s="232">
        <v>15.0</v>
      </c>
      <c r="D2845" s="232">
        <v>93.59</v>
      </c>
      <c r="E2845" s="232">
        <v>6.2393</v>
      </c>
      <c r="F2845" t="s">
        <v>7702</v>
      </c>
      <c r="G2845" t="s">
        <v>330</v>
      </c>
      <c r="H2845" t="s">
        <v>7774</v>
      </c>
      <c r="I2845" t="s">
        <v>7744</v>
      </c>
    </row>
    <row r="2846">
      <c r="A2846" t="s">
        <v>6488</v>
      </c>
      <c r="B2846" s="232">
        <v>35804.0</v>
      </c>
      <c r="C2846" s="232">
        <v>0.0</v>
      </c>
      <c r="D2846" s="232">
        <v>0.0</v>
      </c>
      <c r="F2846" t="s">
        <v>7702</v>
      </c>
      <c r="G2846" t="s">
        <v>330</v>
      </c>
      <c r="H2846" t="s">
        <v>7774</v>
      </c>
      <c r="I2846" t="s">
        <v>7744</v>
      </c>
    </row>
    <row r="2847">
      <c r="A2847" t="s">
        <v>6489</v>
      </c>
      <c r="B2847" s="232">
        <v>35805.0</v>
      </c>
      <c r="C2847" s="232">
        <v>56.0</v>
      </c>
      <c r="D2847" s="232">
        <v>349.23</v>
      </c>
      <c r="E2847" s="232">
        <v>6.2363</v>
      </c>
      <c r="F2847" t="s">
        <v>7702</v>
      </c>
      <c r="G2847" t="s">
        <v>330</v>
      </c>
      <c r="H2847" t="s">
        <v>7774</v>
      </c>
      <c r="I2847" t="s">
        <v>7744</v>
      </c>
    </row>
    <row r="2848">
      <c r="A2848" t="s">
        <v>6491</v>
      </c>
      <c r="B2848" s="232" t="s">
        <v>6490</v>
      </c>
      <c r="C2848" s="232">
        <v>0.0</v>
      </c>
      <c r="D2848" s="232">
        <v>0.0</v>
      </c>
      <c r="F2848" t="s">
        <v>7711</v>
      </c>
      <c r="G2848" t="s">
        <v>330</v>
      </c>
      <c r="H2848" t="s">
        <v>7774</v>
      </c>
      <c r="I2848" t="s">
        <v>7744</v>
      </c>
    </row>
    <row r="2849">
      <c r="A2849" t="s">
        <v>6493</v>
      </c>
      <c r="B2849" s="232" t="s">
        <v>6492</v>
      </c>
      <c r="C2849" s="232">
        <v>79.0</v>
      </c>
      <c r="D2849" s="232">
        <v>32.89</v>
      </c>
      <c r="E2849" s="232">
        <v>0.4163</v>
      </c>
      <c r="F2849" t="s">
        <v>7702</v>
      </c>
      <c r="G2849" t="s">
        <v>330</v>
      </c>
      <c r="H2849" t="s">
        <v>7774</v>
      </c>
      <c r="I2849" t="s">
        <v>7744</v>
      </c>
    </row>
    <row r="2850">
      <c r="A2850" t="s">
        <v>6495</v>
      </c>
      <c r="B2850" s="232" t="s">
        <v>6494</v>
      </c>
      <c r="C2850" s="232">
        <v>0.0</v>
      </c>
      <c r="D2850" s="232">
        <v>0.0</v>
      </c>
      <c r="F2850" t="s">
        <v>7702</v>
      </c>
      <c r="G2850" t="s">
        <v>330</v>
      </c>
      <c r="H2850" t="s">
        <v>7709</v>
      </c>
      <c r="I2850" t="s">
        <v>7776</v>
      </c>
    </row>
    <row r="2851">
      <c r="A2851" t="s">
        <v>6499</v>
      </c>
      <c r="B2851" s="232" t="s">
        <v>6498</v>
      </c>
      <c r="C2851" s="232">
        <v>0.0</v>
      </c>
      <c r="D2851" s="232">
        <v>0.0</v>
      </c>
      <c r="F2851" t="s">
        <v>7702</v>
      </c>
      <c r="G2851" t="s">
        <v>310</v>
      </c>
      <c r="H2851" t="s">
        <v>45</v>
      </c>
      <c r="I2851" t="s">
        <v>7776</v>
      </c>
    </row>
    <row r="2852">
      <c r="A2852" t="s">
        <v>6501</v>
      </c>
      <c r="B2852" s="232" t="s">
        <v>6500</v>
      </c>
      <c r="C2852" s="232">
        <v>177.0</v>
      </c>
      <c r="D2852" s="232">
        <v>170.25</v>
      </c>
      <c r="E2852" s="232">
        <v>0.9619</v>
      </c>
      <c r="F2852" t="s">
        <v>7702</v>
      </c>
      <c r="G2852" t="s">
        <v>330</v>
      </c>
      <c r="H2852" t="s">
        <v>7709</v>
      </c>
      <c r="I2852" t="s">
        <v>7776</v>
      </c>
    </row>
    <row r="2853">
      <c r="A2853" t="s">
        <v>6505</v>
      </c>
      <c r="B2853" s="232" t="s">
        <v>6504</v>
      </c>
      <c r="C2853" s="232">
        <v>0.0</v>
      </c>
      <c r="D2853" s="232">
        <v>0.0</v>
      </c>
      <c r="F2853" t="s">
        <v>7702</v>
      </c>
      <c r="G2853" t="s">
        <v>310</v>
      </c>
      <c r="H2853" t="s">
        <v>45</v>
      </c>
      <c r="I2853" t="s">
        <v>7776</v>
      </c>
    </row>
    <row r="2854">
      <c r="A2854" t="s">
        <v>6511</v>
      </c>
      <c r="B2854" s="232" t="s">
        <v>6510</v>
      </c>
      <c r="C2854" s="232">
        <v>0.0</v>
      </c>
      <c r="D2854" s="232">
        <v>0.0</v>
      </c>
      <c r="F2854" t="s">
        <v>7702</v>
      </c>
      <c r="G2854" t="s">
        <v>330</v>
      </c>
      <c r="H2854" t="s">
        <v>7709</v>
      </c>
      <c r="I2854" t="s">
        <v>7776</v>
      </c>
    </row>
    <row r="2855">
      <c r="A2855" t="s">
        <v>6513</v>
      </c>
      <c r="B2855" s="232" t="s">
        <v>6512</v>
      </c>
      <c r="C2855" s="232">
        <v>0.0</v>
      </c>
      <c r="D2855" s="232">
        <v>0.0</v>
      </c>
      <c r="F2855" t="s">
        <v>7702</v>
      </c>
      <c r="G2855" t="s">
        <v>310</v>
      </c>
      <c r="H2855" t="s">
        <v>45</v>
      </c>
      <c r="I2855" t="s">
        <v>7776</v>
      </c>
    </row>
    <row r="2856">
      <c r="A2856" t="s">
        <v>6517</v>
      </c>
      <c r="B2856" s="232" t="s">
        <v>6516</v>
      </c>
      <c r="C2856" s="232">
        <v>0.0</v>
      </c>
      <c r="D2856" s="232">
        <v>0.0</v>
      </c>
      <c r="F2856" t="s">
        <v>7702</v>
      </c>
      <c r="G2856" t="s">
        <v>330</v>
      </c>
      <c r="H2856" t="s">
        <v>7709</v>
      </c>
      <c r="I2856" t="s">
        <v>7776</v>
      </c>
    </row>
    <row r="2857">
      <c r="A2857" t="s">
        <v>6519</v>
      </c>
      <c r="B2857" s="232" t="s">
        <v>6518</v>
      </c>
      <c r="C2857" s="232">
        <v>42.0</v>
      </c>
      <c r="D2857" s="232">
        <v>40.26</v>
      </c>
      <c r="E2857" s="232">
        <v>0.9586</v>
      </c>
      <c r="F2857" t="s">
        <v>7702</v>
      </c>
      <c r="G2857" t="s">
        <v>330</v>
      </c>
      <c r="H2857" t="s">
        <v>7709</v>
      </c>
      <c r="I2857" t="s">
        <v>7776</v>
      </c>
    </row>
    <row r="2858">
      <c r="A2858" t="s">
        <v>6521</v>
      </c>
      <c r="B2858" s="232" t="s">
        <v>6520</v>
      </c>
      <c r="C2858" s="232">
        <v>73.0</v>
      </c>
      <c r="D2858" s="232">
        <v>70.85</v>
      </c>
      <c r="E2858" s="232">
        <v>0.9705</v>
      </c>
      <c r="F2858" t="s">
        <v>7702</v>
      </c>
      <c r="G2858" t="s">
        <v>330</v>
      </c>
      <c r="H2858" t="s">
        <v>45</v>
      </c>
      <c r="I2858" t="s">
        <v>7776</v>
      </c>
    </row>
    <row r="2859">
      <c r="A2859" t="s">
        <v>6525</v>
      </c>
      <c r="B2859" s="232" t="s">
        <v>6524</v>
      </c>
      <c r="C2859" s="232">
        <v>28.0</v>
      </c>
      <c r="D2859" s="232">
        <v>126.0</v>
      </c>
      <c r="E2859" s="232">
        <v>4.5</v>
      </c>
      <c r="F2859" t="s">
        <v>7702</v>
      </c>
      <c r="G2859" t="s">
        <v>330</v>
      </c>
      <c r="I2859" t="s">
        <v>7714</v>
      </c>
    </row>
    <row r="2860">
      <c r="A2860" t="s">
        <v>6527</v>
      </c>
      <c r="B2860" s="232" t="s">
        <v>6526</v>
      </c>
      <c r="C2860" s="232">
        <v>1.0</v>
      </c>
      <c r="D2860" s="232">
        <v>14.49</v>
      </c>
      <c r="E2860" s="232">
        <v>14.49</v>
      </c>
      <c r="F2860" t="s">
        <v>7702</v>
      </c>
      <c r="G2860" t="s">
        <v>330</v>
      </c>
      <c r="H2860" t="s">
        <v>7709</v>
      </c>
      <c r="I2860" t="s">
        <v>7776</v>
      </c>
    </row>
    <row r="2861">
      <c r="A2861" t="s">
        <v>6529</v>
      </c>
      <c r="B2861" s="232" t="s">
        <v>6528</v>
      </c>
      <c r="C2861" s="232">
        <v>0.0</v>
      </c>
      <c r="D2861" s="232">
        <v>0.0</v>
      </c>
      <c r="F2861" t="s">
        <v>7702</v>
      </c>
      <c r="G2861" t="s">
        <v>310</v>
      </c>
      <c r="H2861" t="s">
        <v>7703</v>
      </c>
      <c r="I2861" t="s">
        <v>7714</v>
      </c>
    </row>
    <row r="2862">
      <c r="A2862" t="s">
        <v>6531</v>
      </c>
      <c r="B2862" s="232" t="s">
        <v>6530</v>
      </c>
      <c r="C2862" s="232">
        <v>0.0</v>
      </c>
      <c r="D2862" s="232">
        <v>0.0</v>
      </c>
      <c r="F2862" t="s">
        <v>7702</v>
      </c>
      <c r="G2862" t="s">
        <v>310</v>
      </c>
      <c r="H2862" t="s">
        <v>7703</v>
      </c>
      <c r="I2862" t="s">
        <v>7767</v>
      </c>
    </row>
    <row r="2863">
      <c r="A2863" t="s">
        <v>6532</v>
      </c>
      <c r="B2863" s="232">
        <v>35803.0</v>
      </c>
      <c r="C2863" s="232">
        <v>0.0</v>
      </c>
      <c r="D2863" s="232">
        <v>0.0</v>
      </c>
      <c r="F2863" t="s">
        <v>7702</v>
      </c>
      <c r="G2863" t="s">
        <v>310</v>
      </c>
      <c r="H2863" t="s">
        <v>7703</v>
      </c>
      <c r="I2863" t="s">
        <v>7744</v>
      </c>
    </row>
    <row r="2864">
      <c r="A2864" t="s">
        <v>6533</v>
      </c>
      <c r="B2864" s="232">
        <v>35802.0</v>
      </c>
      <c r="C2864" s="232">
        <v>0.0</v>
      </c>
      <c r="D2864" s="232">
        <v>0.0</v>
      </c>
      <c r="F2864" t="s">
        <v>7702</v>
      </c>
      <c r="G2864" t="s">
        <v>310</v>
      </c>
      <c r="H2864" t="s">
        <v>7703</v>
      </c>
      <c r="I2864" t="s">
        <v>7744</v>
      </c>
    </row>
    <row r="2865">
      <c r="A2865" t="s">
        <v>204</v>
      </c>
      <c r="B2865" s="232" t="s">
        <v>205</v>
      </c>
      <c r="C2865" s="232">
        <v>1998.0</v>
      </c>
      <c r="D2865" s="232">
        <v>7561.36</v>
      </c>
      <c r="E2865" s="232">
        <v>3.7845</v>
      </c>
      <c r="F2865" t="s">
        <v>7702</v>
      </c>
      <c r="G2865" t="s">
        <v>330</v>
      </c>
      <c r="H2865" t="s">
        <v>7709</v>
      </c>
      <c r="I2865" t="s">
        <v>29</v>
      </c>
    </row>
    <row r="2866">
      <c r="A2866" t="s">
        <v>206</v>
      </c>
      <c r="B2866" s="232" t="s">
        <v>207</v>
      </c>
      <c r="C2866" s="232">
        <v>2777.0</v>
      </c>
      <c r="D2866" s="232">
        <v>10505.03</v>
      </c>
      <c r="E2866" s="232">
        <v>3.7829</v>
      </c>
      <c r="F2866" t="s">
        <v>7702</v>
      </c>
      <c r="G2866" t="s">
        <v>330</v>
      </c>
      <c r="H2866" t="s">
        <v>7709</v>
      </c>
      <c r="I2866" t="s">
        <v>29</v>
      </c>
    </row>
    <row r="2867">
      <c r="A2867" t="s">
        <v>202</v>
      </c>
      <c r="B2867" s="232" t="s">
        <v>203</v>
      </c>
      <c r="C2867" s="232">
        <v>0.0</v>
      </c>
      <c r="D2867" s="232">
        <v>0.0</v>
      </c>
      <c r="F2867" t="s">
        <v>7711</v>
      </c>
      <c r="G2867" t="s">
        <v>310</v>
      </c>
      <c r="H2867" t="s">
        <v>28</v>
      </c>
      <c r="I2867" t="s">
        <v>29</v>
      </c>
    </row>
    <row r="2868">
      <c r="A2868" t="s">
        <v>6535</v>
      </c>
      <c r="B2868" s="232" t="s">
        <v>6534</v>
      </c>
      <c r="C2868" s="232">
        <v>10001.0</v>
      </c>
      <c r="D2868" s="232">
        <v>554.83</v>
      </c>
      <c r="E2868" s="232">
        <v>0.0555</v>
      </c>
      <c r="F2868" t="s">
        <v>7732</v>
      </c>
      <c r="G2868" t="s">
        <v>330</v>
      </c>
      <c r="H2868" t="s">
        <v>7734</v>
      </c>
    </row>
    <row r="2869">
      <c r="A2869" t="s">
        <v>6537</v>
      </c>
      <c r="B2869" s="232" t="s">
        <v>6536</v>
      </c>
      <c r="C2869" s="232">
        <v>534.0</v>
      </c>
      <c r="D2869" s="232">
        <v>293.7</v>
      </c>
      <c r="E2869" s="232">
        <v>0.55</v>
      </c>
      <c r="F2869" t="s">
        <v>7702</v>
      </c>
      <c r="G2869" t="s">
        <v>330</v>
      </c>
      <c r="H2869" t="s">
        <v>7725</v>
      </c>
      <c r="I2869" t="s">
        <v>7727</v>
      </c>
    </row>
    <row r="2870">
      <c r="A2870" t="s">
        <v>6539</v>
      </c>
      <c r="B2870" s="232" t="s">
        <v>6538</v>
      </c>
      <c r="C2870" s="232">
        <v>498.0</v>
      </c>
      <c r="D2870" s="232">
        <v>249.0</v>
      </c>
      <c r="E2870" s="232">
        <v>0.5</v>
      </c>
      <c r="F2870" t="s">
        <v>7702</v>
      </c>
      <c r="G2870" t="s">
        <v>330</v>
      </c>
      <c r="H2870" t="s">
        <v>7725</v>
      </c>
      <c r="I2870" t="s">
        <v>7745</v>
      </c>
    </row>
    <row r="2871">
      <c r="A2871" t="s">
        <v>6545</v>
      </c>
      <c r="B2871" s="232" t="s">
        <v>6544</v>
      </c>
      <c r="C2871" s="232">
        <v>183.0</v>
      </c>
      <c r="D2871" s="232">
        <v>918.59</v>
      </c>
      <c r="E2871" s="232">
        <v>5.0196</v>
      </c>
      <c r="F2871" t="s">
        <v>7702</v>
      </c>
      <c r="G2871" t="s">
        <v>330</v>
      </c>
      <c r="H2871" t="s">
        <v>45</v>
      </c>
      <c r="I2871" t="s">
        <v>7758</v>
      </c>
    </row>
    <row r="2872">
      <c r="A2872" t="s">
        <v>6547</v>
      </c>
      <c r="B2872" s="232" t="s">
        <v>6546</v>
      </c>
      <c r="C2872" s="232">
        <v>13.0</v>
      </c>
      <c r="D2872" s="232">
        <v>65.26</v>
      </c>
      <c r="E2872" s="232">
        <v>5.02</v>
      </c>
      <c r="F2872" t="s">
        <v>7702</v>
      </c>
      <c r="G2872" t="s">
        <v>330</v>
      </c>
      <c r="H2872" t="s">
        <v>45</v>
      </c>
      <c r="I2872" t="s">
        <v>7758</v>
      </c>
    </row>
    <row r="2873">
      <c r="A2873" t="s">
        <v>6549</v>
      </c>
      <c r="B2873" s="232" t="s">
        <v>6548</v>
      </c>
      <c r="C2873" s="232">
        <v>58.0</v>
      </c>
      <c r="D2873" s="232">
        <v>266.14</v>
      </c>
      <c r="E2873" s="232">
        <v>4.5886</v>
      </c>
      <c r="F2873" t="s">
        <v>7702</v>
      </c>
      <c r="G2873" t="s">
        <v>330</v>
      </c>
      <c r="H2873" t="s">
        <v>45</v>
      </c>
      <c r="I2873" t="s">
        <v>7758</v>
      </c>
    </row>
    <row r="2874">
      <c r="A2874" t="s">
        <v>6551</v>
      </c>
      <c r="B2874" s="232" t="s">
        <v>6550</v>
      </c>
      <c r="C2874" s="232">
        <v>0.0</v>
      </c>
      <c r="D2874" s="232">
        <v>0.0</v>
      </c>
      <c r="F2874" t="s">
        <v>7702</v>
      </c>
      <c r="G2874" t="s">
        <v>330</v>
      </c>
      <c r="H2874" t="s">
        <v>45</v>
      </c>
      <c r="I2874" t="s">
        <v>7758</v>
      </c>
    </row>
    <row r="2875">
      <c r="A2875" t="s">
        <v>6553</v>
      </c>
      <c r="B2875" s="232" t="s">
        <v>6552</v>
      </c>
      <c r="C2875" s="232">
        <v>280.0</v>
      </c>
      <c r="D2875" s="232">
        <v>1405.6</v>
      </c>
      <c r="E2875" s="232">
        <v>5.02</v>
      </c>
      <c r="F2875" t="s">
        <v>7702</v>
      </c>
      <c r="G2875" t="s">
        <v>330</v>
      </c>
      <c r="H2875" t="s">
        <v>45</v>
      </c>
      <c r="I2875" t="s">
        <v>7758</v>
      </c>
    </row>
    <row r="2876">
      <c r="A2876" t="s">
        <v>6555</v>
      </c>
      <c r="B2876" s="232" t="s">
        <v>6554</v>
      </c>
      <c r="C2876" s="232">
        <v>510.0</v>
      </c>
      <c r="D2876" s="232">
        <v>713.58</v>
      </c>
      <c r="E2876" s="232">
        <v>1.3992</v>
      </c>
      <c r="F2876" t="s">
        <v>7702</v>
      </c>
      <c r="G2876" t="s">
        <v>330</v>
      </c>
      <c r="H2876" t="s">
        <v>7709</v>
      </c>
      <c r="I2876" t="s">
        <v>7743</v>
      </c>
    </row>
    <row r="2877">
      <c r="A2877" t="s">
        <v>6557</v>
      </c>
      <c r="B2877" s="232" t="s">
        <v>6556</v>
      </c>
      <c r="C2877" s="232">
        <v>582.0</v>
      </c>
      <c r="D2877" s="232">
        <v>814.29</v>
      </c>
      <c r="E2877" s="232">
        <v>1.3991</v>
      </c>
      <c r="F2877" t="s">
        <v>7702</v>
      </c>
      <c r="G2877" t="s">
        <v>330</v>
      </c>
      <c r="H2877" t="s">
        <v>7709</v>
      </c>
      <c r="I2877" t="s">
        <v>7743</v>
      </c>
    </row>
    <row r="2878">
      <c r="A2878" t="s">
        <v>6559</v>
      </c>
      <c r="B2878" s="232" t="s">
        <v>6558</v>
      </c>
      <c r="C2878" s="232">
        <v>177.0</v>
      </c>
      <c r="D2878" s="232">
        <v>247.66</v>
      </c>
      <c r="E2878" s="232">
        <v>1.3992</v>
      </c>
      <c r="F2878" t="s">
        <v>7702</v>
      </c>
      <c r="G2878" t="s">
        <v>330</v>
      </c>
      <c r="H2878" t="s">
        <v>7709</v>
      </c>
      <c r="I2878" t="s">
        <v>7743</v>
      </c>
    </row>
    <row r="2879">
      <c r="A2879" t="s">
        <v>6561</v>
      </c>
      <c r="B2879" s="232" t="s">
        <v>6560</v>
      </c>
      <c r="C2879" s="232">
        <v>594.0</v>
      </c>
      <c r="D2879" s="232">
        <v>831.07</v>
      </c>
      <c r="E2879" s="232">
        <v>1.3991</v>
      </c>
      <c r="F2879" t="s">
        <v>7702</v>
      </c>
      <c r="G2879" t="s">
        <v>330</v>
      </c>
      <c r="H2879" t="s">
        <v>7709</v>
      </c>
      <c r="I2879" t="s">
        <v>7743</v>
      </c>
    </row>
    <row r="2880">
      <c r="A2880" t="s">
        <v>6563</v>
      </c>
      <c r="B2880" s="232" t="s">
        <v>6562</v>
      </c>
      <c r="C2880" s="232">
        <v>189.0</v>
      </c>
      <c r="D2880" s="232">
        <v>264.44</v>
      </c>
      <c r="E2880" s="232">
        <v>1.3992</v>
      </c>
      <c r="F2880" t="s">
        <v>7702</v>
      </c>
      <c r="G2880" t="s">
        <v>330</v>
      </c>
      <c r="H2880" t="s">
        <v>7709</v>
      </c>
      <c r="I2880" t="s">
        <v>7743</v>
      </c>
    </row>
    <row r="2881">
      <c r="A2881" t="s">
        <v>6565</v>
      </c>
      <c r="B2881" s="232" t="s">
        <v>6564</v>
      </c>
      <c r="C2881" s="232">
        <v>708.0</v>
      </c>
      <c r="D2881" s="232">
        <v>990.56</v>
      </c>
      <c r="E2881" s="232">
        <v>1.3991</v>
      </c>
      <c r="F2881" t="s">
        <v>7702</v>
      </c>
      <c r="G2881" t="s">
        <v>330</v>
      </c>
      <c r="H2881" t="s">
        <v>7709</v>
      </c>
      <c r="I2881" t="s">
        <v>7743</v>
      </c>
    </row>
    <row r="2882">
      <c r="A2882" t="s">
        <v>6567</v>
      </c>
      <c r="B2882" s="232" t="s">
        <v>6566</v>
      </c>
      <c r="C2882" s="232">
        <v>144.0</v>
      </c>
      <c r="D2882" s="232">
        <v>384.55</v>
      </c>
      <c r="E2882" s="232">
        <v>2.6705</v>
      </c>
      <c r="F2882" t="s">
        <v>7702</v>
      </c>
      <c r="G2882" t="s">
        <v>330</v>
      </c>
      <c r="H2882" t="s">
        <v>7709</v>
      </c>
      <c r="I2882" t="s">
        <v>7714</v>
      </c>
    </row>
    <row r="2883">
      <c r="A2883" t="s">
        <v>6569</v>
      </c>
      <c r="B2883" s="232" t="s">
        <v>6568</v>
      </c>
      <c r="C2883" s="232">
        <v>8.0</v>
      </c>
      <c r="D2883" s="232">
        <v>424.28</v>
      </c>
      <c r="E2883" s="232">
        <v>53.035</v>
      </c>
      <c r="F2883" t="s">
        <v>7702</v>
      </c>
      <c r="G2883" t="s">
        <v>330</v>
      </c>
      <c r="H2883" t="s">
        <v>7709</v>
      </c>
      <c r="I2883" t="s">
        <v>7743</v>
      </c>
    </row>
    <row r="2884">
      <c r="A2884" t="s">
        <v>92</v>
      </c>
      <c r="B2884" s="232" t="s">
        <v>93</v>
      </c>
      <c r="C2884" s="232">
        <v>1674.0</v>
      </c>
      <c r="D2884" s="232">
        <v>11154.71</v>
      </c>
      <c r="E2884" s="232">
        <v>6.6635</v>
      </c>
      <c r="F2884" t="s">
        <v>7702</v>
      </c>
      <c r="G2884" t="s">
        <v>330</v>
      </c>
      <c r="H2884" t="s">
        <v>28</v>
      </c>
      <c r="I2884" t="s">
        <v>29</v>
      </c>
    </row>
    <row r="2885">
      <c r="A2885" t="s">
        <v>6571</v>
      </c>
      <c r="B2885" s="232" t="s">
        <v>6570</v>
      </c>
      <c r="C2885" s="232">
        <v>340.0</v>
      </c>
      <c r="D2885" s="232">
        <v>1942.87</v>
      </c>
      <c r="E2885" s="232">
        <v>5.7143</v>
      </c>
      <c r="F2885" t="s">
        <v>7702</v>
      </c>
      <c r="G2885" t="s">
        <v>330</v>
      </c>
      <c r="H2885" t="s">
        <v>7709</v>
      </c>
      <c r="I2885" t="s">
        <v>7770</v>
      </c>
    </row>
    <row r="2886">
      <c r="A2886" t="s">
        <v>6573</v>
      </c>
      <c r="B2886" s="232" t="s">
        <v>6572</v>
      </c>
      <c r="C2886" s="232">
        <v>178.0</v>
      </c>
      <c r="D2886" s="232">
        <v>908.36</v>
      </c>
      <c r="E2886" s="232">
        <v>5.1031</v>
      </c>
      <c r="F2886" t="s">
        <v>7702</v>
      </c>
      <c r="G2886" t="s">
        <v>330</v>
      </c>
      <c r="H2886" t="s">
        <v>150</v>
      </c>
      <c r="I2886" t="s">
        <v>7770</v>
      </c>
    </row>
    <row r="2887">
      <c r="A2887" t="s">
        <v>6575</v>
      </c>
      <c r="B2887" s="232" t="s">
        <v>6574</v>
      </c>
      <c r="C2887" s="232">
        <v>83.0</v>
      </c>
      <c r="D2887" s="232">
        <v>521.78</v>
      </c>
      <c r="E2887" s="232">
        <v>6.2865</v>
      </c>
      <c r="F2887" t="s">
        <v>7702</v>
      </c>
      <c r="G2887" t="s">
        <v>330</v>
      </c>
      <c r="H2887" t="s">
        <v>150</v>
      </c>
      <c r="I2887" t="s">
        <v>7770</v>
      </c>
    </row>
    <row r="2888">
      <c r="A2888" t="s">
        <v>6577</v>
      </c>
      <c r="B2888" s="232" t="s">
        <v>6576</v>
      </c>
      <c r="C2888" s="232">
        <v>23.0</v>
      </c>
      <c r="D2888" s="232">
        <v>144.97</v>
      </c>
      <c r="E2888" s="232">
        <v>6.303</v>
      </c>
      <c r="F2888" t="s">
        <v>7702</v>
      </c>
      <c r="G2888" t="s">
        <v>330</v>
      </c>
      <c r="H2888" t="s">
        <v>45</v>
      </c>
      <c r="I2888" t="s">
        <v>7770</v>
      </c>
    </row>
    <row r="2889">
      <c r="A2889" t="s">
        <v>6579</v>
      </c>
      <c r="B2889" s="232" t="s">
        <v>6578</v>
      </c>
      <c r="C2889" s="232">
        <v>0.0</v>
      </c>
      <c r="D2889" s="232">
        <v>0.0</v>
      </c>
      <c r="F2889" t="s">
        <v>7702</v>
      </c>
      <c r="G2889" t="s">
        <v>310</v>
      </c>
      <c r="H2889" t="s">
        <v>45</v>
      </c>
      <c r="I2889" t="s">
        <v>7770</v>
      </c>
    </row>
    <row r="2890">
      <c r="A2890" t="s">
        <v>6581</v>
      </c>
      <c r="B2890" s="232" t="s">
        <v>6580</v>
      </c>
      <c r="C2890" s="232">
        <v>252.0</v>
      </c>
      <c r="D2890" s="232">
        <v>1855.36</v>
      </c>
      <c r="E2890" s="232">
        <v>7.3625</v>
      </c>
      <c r="F2890" t="s">
        <v>7702</v>
      </c>
      <c r="G2890" t="s">
        <v>330</v>
      </c>
      <c r="H2890" t="s">
        <v>150</v>
      </c>
      <c r="I2890" t="s">
        <v>7770</v>
      </c>
    </row>
    <row r="2891">
      <c r="A2891" t="s">
        <v>6583</v>
      </c>
      <c r="B2891" s="232" t="s">
        <v>6582</v>
      </c>
      <c r="C2891" s="232">
        <v>203.0</v>
      </c>
      <c r="D2891" s="232">
        <v>1494.31</v>
      </c>
      <c r="E2891" s="232">
        <v>7.3611</v>
      </c>
      <c r="F2891" t="s">
        <v>7702</v>
      </c>
      <c r="G2891" t="s">
        <v>330</v>
      </c>
      <c r="H2891" t="s">
        <v>150</v>
      </c>
      <c r="I2891" t="s">
        <v>7770</v>
      </c>
    </row>
    <row r="2892">
      <c r="A2892" t="s">
        <v>6585</v>
      </c>
      <c r="B2892" s="232" t="s">
        <v>6584</v>
      </c>
      <c r="C2892" s="232">
        <v>362.0</v>
      </c>
      <c r="D2892" s="232">
        <v>2665.44</v>
      </c>
      <c r="E2892" s="232">
        <v>7.3631</v>
      </c>
      <c r="F2892" t="s">
        <v>7702</v>
      </c>
      <c r="G2892" t="s">
        <v>330</v>
      </c>
      <c r="H2892" t="s">
        <v>45</v>
      </c>
      <c r="I2892" t="s">
        <v>7770</v>
      </c>
    </row>
    <row r="2893">
      <c r="A2893" t="s">
        <v>6587</v>
      </c>
      <c r="B2893" s="232" t="s">
        <v>6586</v>
      </c>
      <c r="C2893" s="232">
        <v>384.0</v>
      </c>
      <c r="D2893" s="232">
        <v>2194.21</v>
      </c>
      <c r="E2893" s="232">
        <v>5.7141</v>
      </c>
      <c r="F2893" t="s">
        <v>7702</v>
      </c>
      <c r="G2893" t="s">
        <v>330</v>
      </c>
      <c r="H2893" t="s">
        <v>7709</v>
      </c>
      <c r="I2893" t="s">
        <v>7770</v>
      </c>
    </row>
    <row r="2894">
      <c r="A2894" t="s">
        <v>6589</v>
      </c>
      <c r="B2894" s="232" t="s">
        <v>6588</v>
      </c>
      <c r="C2894" s="232">
        <v>451.0</v>
      </c>
      <c r="D2894" s="232">
        <v>2251.07</v>
      </c>
      <c r="E2894" s="232">
        <v>4.9913</v>
      </c>
      <c r="F2894" t="s">
        <v>7702</v>
      </c>
      <c r="G2894" t="s">
        <v>330</v>
      </c>
      <c r="H2894" t="s">
        <v>150</v>
      </c>
      <c r="I2894" t="s">
        <v>7770</v>
      </c>
    </row>
    <row r="2895">
      <c r="A2895" t="s">
        <v>6591</v>
      </c>
      <c r="B2895" s="232" t="s">
        <v>6590</v>
      </c>
      <c r="C2895" s="232">
        <v>371.0</v>
      </c>
      <c r="D2895" s="232">
        <v>1894.32</v>
      </c>
      <c r="E2895" s="232">
        <v>5.106</v>
      </c>
      <c r="F2895" t="s">
        <v>7702</v>
      </c>
      <c r="G2895" t="s">
        <v>330</v>
      </c>
      <c r="H2895" t="s">
        <v>150</v>
      </c>
      <c r="I2895" t="s">
        <v>7770</v>
      </c>
    </row>
    <row r="2896">
      <c r="A2896" t="s">
        <v>6593</v>
      </c>
      <c r="B2896" s="232" t="s">
        <v>6592</v>
      </c>
      <c r="C2896" s="232">
        <v>184.0</v>
      </c>
      <c r="D2896" s="232">
        <v>961.93</v>
      </c>
      <c r="E2896" s="232">
        <v>5.2279</v>
      </c>
      <c r="F2896" t="s">
        <v>7702</v>
      </c>
      <c r="G2896" t="s">
        <v>330</v>
      </c>
      <c r="H2896" t="s">
        <v>150</v>
      </c>
      <c r="I2896" t="s">
        <v>7770</v>
      </c>
    </row>
    <row r="2897">
      <c r="A2897" t="s">
        <v>6595</v>
      </c>
      <c r="B2897" s="232" t="s">
        <v>6594</v>
      </c>
      <c r="C2897" s="232">
        <v>0.0</v>
      </c>
      <c r="D2897" s="232">
        <v>0.0</v>
      </c>
      <c r="F2897" t="s">
        <v>7702</v>
      </c>
      <c r="G2897" t="s">
        <v>310</v>
      </c>
      <c r="H2897" t="s">
        <v>7703</v>
      </c>
      <c r="I2897" t="s">
        <v>7770</v>
      </c>
    </row>
    <row r="2898">
      <c r="A2898" t="s">
        <v>6597</v>
      </c>
      <c r="B2898" s="232" t="s">
        <v>6596</v>
      </c>
      <c r="C2898" s="232">
        <v>440.0</v>
      </c>
      <c r="D2898" s="232">
        <v>2513.99</v>
      </c>
      <c r="E2898" s="232">
        <v>5.7136</v>
      </c>
      <c r="F2898" t="s">
        <v>7702</v>
      </c>
      <c r="G2898" t="s">
        <v>330</v>
      </c>
      <c r="H2898" t="s">
        <v>7709</v>
      </c>
      <c r="I2898" t="s">
        <v>7770</v>
      </c>
    </row>
    <row r="2899">
      <c r="A2899" t="s">
        <v>6599</v>
      </c>
      <c r="B2899" s="232" t="s">
        <v>6598</v>
      </c>
      <c r="C2899" s="232">
        <v>935.0</v>
      </c>
      <c r="D2899" s="232">
        <v>6885.3</v>
      </c>
      <c r="E2899" s="232">
        <v>7.364</v>
      </c>
      <c r="F2899" t="s">
        <v>7702</v>
      </c>
      <c r="G2899" t="s">
        <v>330</v>
      </c>
      <c r="H2899" t="s">
        <v>45</v>
      </c>
      <c r="I2899" t="s">
        <v>7770</v>
      </c>
    </row>
    <row r="2900">
      <c r="A2900" t="s">
        <v>6601</v>
      </c>
      <c r="B2900" s="232" t="s">
        <v>6600</v>
      </c>
      <c r="C2900" s="232">
        <v>307.0</v>
      </c>
      <c r="D2900" s="232">
        <v>1928.47</v>
      </c>
      <c r="E2900" s="232">
        <v>6.2817</v>
      </c>
      <c r="F2900" t="s">
        <v>7702</v>
      </c>
      <c r="G2900" t="s">
        <v>330</v>
      </c>
      <c r="H2900" t="s">
        <v>150</v>
      </c>
      <c r="I2900" t="s">
        <v>7770</v>
      </c>
    </row>
    <row r="2901">
      <c r="A2901" t="s">
        <v>6603</v>
      </c>
      <c r="B2901" s="232" t="s">
        <v>6602</v>
      </c>
      <c r="C2901" s="232">
        <v>0.0</v>
      </c>
      <c r="D2901" s="232">
        <v>0.0</v>
      </c>
      <c r="F2901" t="s">
        <v>7702</v>
      </c>
      <c r="G2901" t="s">
        <v>310</v>
      </c>
      <c r="H2901" t="s">
        <v>7703</v>
      </c>
      <c r="I2901" t="s">
        <v>7770</v>
      </c>
    </row>
    <row r="2902">
      <c r="A2902" t="s">
        <v>6605</v>
      </c>
      <c r="B2902" s="232" t="s">
        <v>6604</v>
      </c>
      <c r="C2902" s="232">
        <v>407.0</v>
      </c>
      <c r="D2902" s="232">
        <v>2325.56</v>
      </c>
      <c r="E2902" s="232">
        <v>5.7139</v>
      </c>
      <c r="F2902" t="s">
        <v>7702</v>
      </c>
      <c r="G2902" t="s">
        <v>330</v>
      </c>
      <c r="H2902" t="s">
        <v>150</v>
      </c>
      <c r="I2902" t="s">
        <v>7770</v>
      </c>
    </row>
    <row r="2903">
      <c r="A2903" t="s">
        <v>6607</v>
      </c>
      <c r="B2903" s="232" t="s">
        <v>6606</v>
      </c>
      <c r="C2903" s="232">
        <v>322.0</v>
      </c>
      <c r="D2903" s="232">
        <v>2022.71</v>
      </c>
      <c r="E2903" s="232">
        <v>6.2817</v>
      </c>
      <c r="F2903" t="s">
        <v>7702</v>
      </c>
      <c r="G2903" t="s">
        <v>330</v>
      </c>
      <c r="H2903" t="s">
        <v>45</v>
      </c>
      <c r="I2903" t="s">
        <v>7770</v>
      </c>
    </row>
    <row r="2904">
      <c r="A2904" t="s">
        <v>6609</v>
      </c>
      <c r="B2904" s="232" t="s">
        <v>6608</v>
      </c>
      <c r="C2904" s="232">
        <v>0.0</v>
      </c>
      <c r="D2904" s="232">
        <v>0.0</v>
      </c>
      <c r="F2904" t="s">
        <v>7702</v>
      </c>
      <c r="G2904" t="s">
        <v>310</v>
      </c>
      <c r="H2904" t="s">
        <v>7703</v>
      </c>
      <c r="I2904" t="s">
        <v>7770</v>
      </c>
    </row>
    <row r="2905">
      <c r="A2905" t="s">
        <v>6611</v>
      </c>
      <c r="B2905" s="232" t="s">
        <v>6610</v>
      </c>
      <c r="C2905" s="232">
        <v>1055.0</v>
      </c>
      <c r="D2905" s="232">
        <v>7803.78</v>
      </c>
      <c r="E2905" s="232">
        <v>7.3969</v>
      </c>
      <c r="F2905" t="s">
        <v>7702</v>
      </c>
      <c r="G2905" t="s">
        <v>330</v>
      </c>
      <c r="H2905" t="s">
        <v>45</v>
      </c>
      <c r="I2905" t="s">
        <v>7770</v>
      </c>
    </row>
    <row r="2906">
      <c r="A2906" t="s">
        <v>6613</v>
      </c>
      <c r="B2906" s="232" t="s">
        <v>6612</v>
      </c>
      <c r="C2906" s="232">
        <v>917.0</v>
      </c>
      <c r="D2906" s="232">
        <v>6752.62</v>
      </c>
      <c r="E2906" s="232">
        <v>7.3638</v>
      </c>
      <c r="F2906" t="s">
        <v>7702</v>
      </c>
      <c r="G2906" t="s">
        <v>330</v>
      </c>
      <c r="H2906" t="s">
        <v>45</v>
      </c>
      <c r="I2906" t="s">
        <v>7770</v>
      </c>
    </row>
    <row r="2907">
      <c r="A2907" t="s">
        <v>6615</v>
      </c>
      <c r="B2907" s="232" t="s">
        <v>6614</v>
      </c>
      <c r="C2907" s="232">
        <v>0.0</v>
      </c>
      <c r="D2907" s="232">
        <v>0.0</v>
      </c>
      <c r="F2907" t="s">
        <v>7702</v>
      </c>
      <c r="G2907" t="s">
        <v>310</v>
      </c>
      <c r="H2907" t="s">
        <v>7703</v>
      </c>
      <c r="I2907" t="s">
        <v>7770</v>
      </c>
    </row>
    <row r="2908">
      <c r="A2908" t="s">
        <v>6617</v>
      </c>
      <c r="B2908" s="232" t="s">
        <v>6616</v>
      </c>
      <c r="C2908" s="232">
        <v>0.0</v>
      </c>
      <c r="D2908" s="232">
        <v>0.0</v>
      </c>
      <c r="F2908" t="s">
        <v>7702</v>
      </c>
      <c r="G2908" t="s">
        <v>310</v>
      </c>
      <c r="H2908" t="s">
        <v>7703</v>
      </c>
      <c r="I2908" t="s">
        <v>7770</v>
      </c>
    </row>
    <row r="2909">
      <c r="A2909" t="s">
        <v>6619</v>
      </c>
      <c r="B2909" s="232" t="s">
        <v>6618</v>
      </c>
      <c r="C2909" s="232">
        <v>1.0</v>
      </c>
      <c r="D2909" s="232">
        <v>451.53</v>
      </c>
      <c r="E2909" s="232">
        <v>451.53</v>
      </c>
      <c r="F2909" t="s">
        <v>7702</v>
      </c>
      <c r="G2909" t="s">
        <v>330</v>
      </c>
      <c r="H2909" t="s">
        <v>150</v>
      </c>
      <c r="I2909" t="s">
        <v>7770</v>
      </c>
    </row>
    <row r="2910">
      <c r="A2910" t="s">
        <v>6621</v>
      </c>
      <c r="B2910" s="232" t="s">
        <v>6620</v>
      </c>
      <c r="C2910" s="232">
        <v>0.0</v>
      </c>
      <c r="D2910" s="232">
        <v>0.0</v>
      </c>
      <c r="F2910" t="s">
        <v>7702</v>
      </c>
      <c r="G2910" t="s">
        <v>310</v>
      </c>
      <c r="H2910" t="s">
        <v>7703</v>
      </c>
      <c r="I2910" t="s">
        <v>7714</v>
      </c>
    </row>
    <row r="2911">
      <c r="A2911" t="s">
        <v>6623</v>
      </c>
      <c r="B2911" s="232" t="s">
        <v>6622</v>
      </c>
      <c r="C2911" s="232">
        <v>0.0</v>
      </c>
      <c r="D2911" s="232">
        <v>0.0</v>
      </c>
      <c r="F2911" t="s">
        <v>7702</v>
      </c>
      <c r="G2911" t="s">
        <v>330</v>
      </c>
      <c r="H2911" t="s">
        <v>150</v>
      </c>
      <c r="I2911" t="s">
        <v>7770</v>
      </c>
    </row>
    <row r="2912">
      <c r="A2912" t="s">
        <v>6625</v>
      </c>
      <c r="B2912" s="232" t="s">
        <v>6624</v>
      </c>
      <c r="C2912" s="232">
        <v>0.0</v>
      </c>
      <c r="D2912" s="232">
        <v>0.0</v>
      </c>
      <c r="F2912" t="s">
        <v>7702</v>
      </c>
      <c r="G2912" t="s">
        <v>310</v>
      </c>
      <c r="H2912" t="s">
        <v>7703</v>
      </c>
      <c r="I2912" t="s">
        <v>7770</v>
      </c>
    </row>
    <row r="2913">
      <c r="A2913" t="s">
        <v>6627</v>
      </c>
      <c r="B2913" s="232" t="s">
        <v>6626</v>
      </c>
      <c r="C2913" s="232">
        <v>0.0</v>
      </c>
      <c r="D2913" s="232">
        <v>0.0</v>
      </c>
      <c r="F2913" t="s">
        <v>7702</v>
      </c>
      <c r="G2913" t="s">
        <v>330</v>
      </c>
      <c r="H2913" t="s">
        <v>150</v>
      </c>
      <c r="I2913" t="s">
        <v>7770</v>
      </c>
    </row>
    <row r="2914">
      <c r="A2914" t="s">
        <v>6629</v>
      </c>
      <c r="B2914" s="232" t="s">
        <v>6628</v>
      </c>
      <c r="C2914" s="232">
        <v>1.0</v>
      </c>
      <c r="D2914" s="232">
        <v>114.71</v>
      </c>
      <c r="E2914" s="232">
        <v>114.71</v>
      </c>
      <c r="F2914" t="s">
        <v>7711</v>
      </c>
      <c r="G2914" t="s">
        <v>330</v>
      </c>
      <c r="H2914" t="s">
        <v>150</v>
      </c>
      <c r="I2914" t="s">
        <v>7770</v>
      </c>
    </row>
    <row r="2915">
      <c r="A2915" t="s">
        <v>6631</v>
      </c>
      <c r="B2915" s="232" t="s">
        <v>6630</v>
      </c>
      <c r="C2915" s="232">
        <v>0.0</v>
      </c>
      <c r="D2915" s="232">
        <v>0.0</v>
      </c>
      <c r="F2915" t="s">
        <v>7702</v>
      </c>
      <c r="G2915" t="s">
        <v>330</v>
      </c>
      <c r="H2915" t="s">
        <v>7709</v>
      </c>
      <c r="I2915" t="s">
        <v>7770</v>
      </c>
    </row>
    <row r="2916">
      <c r="A2916" t="s">
        <v>6635</v>
      </c>
      <c r="B2916" s="232" t="s">
        <v>6634</v>
      </c>
      <c r="C2916" s="232">
        <v>228.0</v>
      </c>
      <c r="D2916" s="232">
        <v>1231.5</v>
      </c>
      <c r="E2916" s="232">
        <v>5.4013</v>
      </c>
      <c r="F2916" t="s">
        <v>7702</v>
      </c>
      <c r="G2916" t="s">
        <v>330</v>
      </c>
      <c r="H2916" t="s">
        <v>7709</v>
      </c>
      <c r="I2916" t="s">
        <v>7770</v>
      </c>
    </row>
    <row r="2917">
      <c r="A2917" t="s">
        <v>6639</v>
      </c>
      <c r="B2917" s="232" t="s">
        <v>6638</v>
      </c>
      <c r="C2917" s="232">
        <v>304.0</v>
      </c>
      <c r="D2917" s="232">
        <v>1641.89</v>
      </c>
      <c r="E2917" s="232">
        <v>5.401</v>
      </c>
      <c r="F2917" t="s">
        <v>7702</v>
      </c>
      <c r="G2917" t="s">
        <v>330</v>
      </c>
      <c r="H2917" t="s">
        <v>7709</v>
      </c>
      <c r="I2917" t="s">
        <v>7770</v>
      </c>
    </row>
    <row r="2918">
      <c r="A2918" t="s">
        <v>6645</v>
      </c>
      <c r="B2918" s="232" t="s">
        <v>6644</v>
      </c>
      <c r="C2918" s="232">
        <v>242.0</v>
      </c>
      <c r="D2918" s="232">
        <v>1307.1</v>
      </c>
      <c r="E2918" s="232">
        <v>5.4012</v>
      </c>
      <c r="F2918" t="s">
        <v>7702</v>
      </c>
      <c r="G2918" t="s">
        <v>330</v>
      </c>
      <c r="H2918" t="s">
        <v>7709</v>
      </c>
      <c r="I2918" t="s">
        <v>7770</v>
      </c>
    </row>
    <row r="2919">
      <c r="A2919" t="s">
        <v>6647</v>
      </c>
      <c r="B2919" s="232" t="s">
        <v>6646</v>
      </c>
      <c r="C2919" s="232">
        <v>114.0</v>
      </c>
      <c r="D2919" s="232">
        <v>615.88</v>
      </c>
      <c r="E2919" s="232">
        <v>5.4025</v>
      </c>
      <c r="F2919" t="s">
        <v>7702</v>
      </c>
      <c r="G2919" t="s">
        <v>330</v>
      </c>
      <c r="H2919" t="s">
        <v>7709</v>
      </c>
      <c r="I2919" t="s">
        <v>7770</v>
      </c>
    </row>
    <row r="2920">
      <c r="A2920" t="s">
        <v>6651</v>
      </c>
      <c r="B2920" s="232" t="s">
        <v>6650</v>
      </c>
      <c r="C2920" s="232">
        <v>309.0</v>
      </c>
      <c r="D2920" s="232">
        <v>1668.9</v>
      </c>
      <c r="E2920" s="232">
        <v>5.401</v>
      </c>
      <c r="F2920" t="s">
        <v>7702</v>
      </c>
      <c r="G2920" t="s">
        <v>330</v>
      </c>
      <c r="H2920" t="s">
        <v>45</v>
      </c>
      <c r="I2920" t="s">
        <v>7770</v>
      </c>
    </row>
    <row r="2921">
      <c r="A2921" t="s">
        <v>6655</v>
      </c>
      <c r="B2921" s="232" t="s">
        <v>6654</v>
      </c>
      <c r="C2921" s="232">
        <v>0.0</v>
      </c>
      <c r="D2921" s="232">
        <v>0.0</v>
      </c>
      <c r="F2921" t="s">
        <v>7702</v>
      </c>
      <c r="G2921" t="s">
        <v>310</v>
      </c>
      <c r="H2921" t="s">
        <v>7703</v>
      </c>
      <c r="I2921" t="s">
        <v>7773</v>
      </c>
    </row>
    <row r="2922">
      <c r="A2922" t="s">
        <v>6657</v>
      </c>
      <c r="B2922" s="232" t="s">
        <v>6656</v>
      </c>
      <c r="C2922" s="232">
        <v>0.0</v>
      </c>
      <c r="D2922" s="232">
        <v>0.0</v>
      </c>
      <c r="F2922" t="s">
        <v>7702</v>
      </c>
      <c r="G2922" t="s">
        <v>310</v>
      </c>
      <c r="H2922" t="s">
        <v>7703</v>
      </c>
      <c r="I2922" t="s">
        <v>7773</v>
      </c>
    </row>
    <row r="2923">
      <c r="A2923" t="s">
        <v>6659</v>
      </c>
      <c r="B2923" s="232" t="s">
        <v>6658</v>
      </c>
      <c r="C2923" s="232">
        <v>0.0</v>
      </c>
      <c r="D2923" s="232">
        <v>0.0</v>
      </c>
      <c r="F2923" t="s">
        <v>7702</v>
      </c>
      <c r="G2923" t="s">
        <v>330</v>
      </c>
      <c r="H2923" t="s">
        <v>7811</v>
      </c>
      <c r="I2923" t="s">
        <v>7773</v>
      </c>
    </row>
    <row r="2924">
      <c r="A2924" t="s">
        <v>6661</v>
      </c>
      <c r="B2924" s="232" t="s">
        <v>6660</v>
      </c>
      <c r="C2924" s="232">
        <v>863.0</v>
      </c>
      <c r="D2924" s="232">
        <v>360.51</v>
      </c>
      <c r="E2924" s="232">
        <v>0.4177</v>
      </c>
      <c r="F2924" t="s">
        <v>7732</v>
      </c>
      <c r="G2924" t="s">
        <v>330</v>
      </c>
      <c r="H2924" t="s">
        <v>7747</v>
      </c>
    </row>
    <row r="2925">
      <c r="A2925" t="s">
        <v>6663</v>
      </c>
      <c r="B2925" s="232" t="s">
        <v>6662</v>
      </c>
      <c r="C2925" s="232">
        <v>0.0</v>
      </c>
      <c r="D2925" s="232">
        <v>0.0</v>
      </c>
      <c r="F2925" t="s">
        <v>7702</v>
      </c>
      <c r="G2925" t="s">
        <v>330</v>
      </c>
      <c r="H2925" t="s">
        <v>7811</v>
      </c>
      <c r="I2925" t="s">
        <v>7836</v>
      </c>
    </row>
    <row r="2926">
      <c r="A2926" t="s">
        <v>6665</v>
      </c>
      <c r="B2926" s="232" t="s">
        <v>6664</v>
      </c>
      <c r="C2926" s="232">
        <v>0.0</v>
      </c>
      <c r="D2926" s="232">
        <v>0.0</v>
      </c>
      <c r="F2926" t="s">
        <v>7702</v>
      </c>
      <c r="G2926" t="s">
        <v>330</v>
      </c>
      <c r="H2926" t="s">
        <v>7811</v>
      </c>
      <c r="I2926" t="s">
        <v>7707</v>
      </c>
    </row>
    <row r="2927">
      <c r="A2927" t="s">
        <v>6667</v>
      </c>
      <c r="B2927" s="232" t="s">
        <v>6666</v>
      </c>
      <c r="C2927" s="232">
        <v>0.0</v>
      </c>
      <c r="D2927" s="232">
        <v>0.0</v>
      </c>
      <c r="F2927" t="s">
        <v>7702</v>
      </c>
      <c r="G2927" t="s">
        <v>330</v>
      </c>
      <c r="H2927" t="s">
        <v>7811</v>
      </c>
      <c r="I2927" t="s">
        <v>29</v>
      </c>
    </row>
    <row r="2928">
      <c r="A2928" t="s">
        <v>6669</v>
      </c>
      <c r="B2928" s="232" t="s">
        <v>6668</v>
      </c>
      <c r="C2928" s="232">
        <v>0.0</v>
      </c>
      <c r="D2928" s="232">
        <v>0.0</v>
      </c>
      <c r="F2928" t="s">
        <v>7702</v>
      </c>
      <c r="G2928" t="s">
        <v>330</v>
      </c>
      <c r="H2928" t="s">
        <v>7811</v>
      </c>
      <c r="I2928" t="s">
        <v>7837</v>
      </c>
    </row>
    <row r="2929">
      <c r="A2929" t="s">
        <v>6671</v>
      </c>
      <c r="B2929" s="232" t="s">
        <v>6670</v>
      </c>
      <c r="C2929" s="232">
        <v>0.0</v>
      </c>
      <c r="D2929" s="232">
        <v>0.0</v>
      </c>
      <c r="F2929" t="s">
        <v>7702</v>
      </c>
      <c r="G2929" t="s">
        <v>330</v>
      </c>
      <c r="H2929" t="s">
        <v>7811</v>
      </c>
      <c r="I2929" t="s">
        <v>7773</v>
      </c>
    </row>
    <row r="2930">
      <c r="A2930" t="s">
        <v>6673</v>
      </c>
      <c r="B2930" s="232" t="s">
        <v>6672</v>
      </c>
      <c r="C2930" s="232">
        <v>0.0</v>
      </c>
      <c r="D2930" s="232">
        <v>0.0</v>
      </c>
      <c r="F2930" t="s">
        <v>7702</v>
      </c>
      <c r="G2930" t="s">
        <v>330</v>
      </c>
      <c r="H2930" t="s">
        <v>7811</v>
      </c>
      <c r="I2930" t="s">
        <v>7773</v>
      </c>
    </row>
    <row r="2931">
      <c r="A2931" t="s">
        <v>6675</v>
      </c>
      <c r="B2931" s="232" t="s">
        <v>6674</v>
      </c>
      <c r="C2931" s="232">
        <v>0.0</v>
      </c>
      <c r="D2931" s="232">
        <v>0.0</v>
      </c>
      <c r="F2931" t="s">
        <v>7702</v>
      </c>
      <c r="G2931" t="s">
        <v>330</v>
      </c>
      <c r="H2931" t="s">
        <v>7811</v>
      </c>
      <c r="I2931" t="s">
        <v>7773</v>
      </c>
    </row>
    <row r="2932">
      <c r="A2932" t="s">
        <v>6677</v>
      </c>
      <c r="B2932" s="232" t="s">
        <v>6676</v>
      </c>
      <c r="C2932" s="232">
        <v>0.0</v>
      </c>
      <c r="D2932" s="232">
        <v>0.0</v>
      </c>
      <c r="F2932" t="s">
        <v>7702</v>
      </c>
      <c r="G2932" t="s">
        <v>330</v>
      </c>
      <c r="H2932" t="s">
        <v>7811</v>
      </c>
      <c r="I2932" t="s">
        <v>7773</v>
      </c>
    </row>
    <row r="2933">
      <c r="A2933" t="s">
        <v>6679</v>
      </c>
      <c r="B2933" s="232" t="s">
        <v>6678</v>
      </c>
      <c r="C2933" s="232">
        <v>0.0</v>
      </c>
      <c r="D2933" s="232">
        <v>0.0</v>
      </c>
      <c r="F2933" t="s">
        <v>7702</v>
      </c>
      <c r="G2933" t="s">
        <v>330</v>
      </c>
      <c r="H2933" t="s">
        <v>7811</v>
      </c>
      <c r="I2933" t="s">
        <v>7773</v>
      </c>
    </row>
    <row r="2934">
      <c r="A2934" t="s">
        <v>6681</v>
      </c>
      <c r="B2934" s="232" t="s">
        <v>6680</v>
      </c>
      <c r="C2934" s="232">
        <v>0.0</v>
      </c>
      <c r="D2934" s="232">
        <v>0.0</v>
      </c>
      <c r="F2934" t="s">
        <v>7702</v>
      </c>
      <c r="G2934" t="s">
        <v>330</v>
      </c>
      <c r="H2934" t="s">
        <v>7811</v>
      </c>
      <c r="I2934" t="s">
        <v>7773</v>
      </c>
    </row>
    <row r="2935">
      <c r="A2935" t="s">
        <v>6683</v>
      </c>
      <c r="B2935" s="232" t="s">
        <v>6682</v>
      </c>
      <c r="C2935" s="232">
        <v>0.0</v>
      </c>
      <c r="D2935" s="232">
        <v>0.0</v>
      </c>
      <c r="F2935" t="s">
        <v>7702</v>
      </c>
      <c r="G2935" t="s">
        <v>330</v>
      </c>
      <c r="H2935" t="s">
        <v>7811</v>
      </c>
      <c r="I2935" t="s">
        <v>7773</v>
      </c>
    </row>
    <row r="2936">
      <c r="A2936" t="s">
        <v>6685</v>
      </c>
      <c r="B2936" s="232" t="s">
        <v>6684</v>
      </c>
      <c r="C2936" s="232">
        <v>0.0</v>
      </c>
      <c r="D2936" s="232">
        <v>0.0</v>
      </c>
      <c r="F2936" t="s">
        <v>7702</v>
      </c>
      <c r="G2936" t="s">
        <v>330</v>
      </c>
      <c r="H2936" t="s">
        <v>7811</v>
      </c>
      <c r="I2936" t="s">
        <v>7773</v>
      </c>
    </row>
    <row r="2937">
      <c r="A2937" t="s">
        <v>6687</v>
      </c>
      <c r="B2937" s="232" t="s">
        <v>6686</v>
      </c>
      <c r="C2937" s="232">
        <v>0.0</v>
      </c>
      <c r="D2937" s="232">
        <v>0.0</v>
      </c>
      <c r="F2937" t="s">
        <v>7702</v>
      </c>
      <c r="G2937" t="s">
        <v>330</v>
      </c>
      <c r="H2937" t="s">
        <v>7811</v>
      </c>
      <c r="I2937" t="s">
        <v>7773</v>
      </c>
    </row>
    <row r="2938">
      <c r="A2938" t="s">
        <v>6689</v>
      </c>
      <c r="B2938" s="232" t="s">
        <v>6688</v>
      </c>
      <c r="C2938" s="232">
        <v>0.0</v>
      </c>
      <c r="D2938" s="232">
        <v>0.0</v>
      </c>
      <c r="F2938" t="s">
        <v>7702</v>
      </c>
      <c r="G2938" t="s">
        <v>330</v>
      </c>
      <c r="H2938" t="s">
        <v>7811</v>
      </c>
      <c r="I2938" t="s">
        <v>7773</v>
      </c>
    </row>
    <row r="2939">
      <c r="A2939" t="s">
        <v>6691</v>
      </c>
      <c r="B2939" s="232" t="s">
        <v>6690</v>
      </c>
      <c r="C2939" s="232">
        <v>0.0</v>
      </c>
      <c r="D2939" s="232">
        <v>0.0</v>
      </c>
      <c r="F2939" t="s">
        <v>7702</v>
      </c>
      <c r="G2939" t="s">
        <v>330</v>
      </c>
      <c r="H2939" t="s">
        <v>7811</v>
      </c>
      <c r="I2939" t="s">
        <v>7773</v>
      </c>
    </row>
    <row r="2940">
      <c r="A2940" t="s">
        <v>6693</v>
      </c>
      <c r="B2940" s="232" t="s">
        <v>6692</v>
      </c>
      <c r="C2940" s="232">
        <v>0.0</v>
      </c>
      <c r="D2940" s="232">
        <v>0.0</v>
      </c>
      <c r="F2940" t="s">
        <v>7702</v>
      </c>
      <c r="G2940" t="s">
        <v>330</v>
      </c>
      <c r="H2940" t="s">
        <v>7811</v>
      </c>
      <c r="I2940" t="s">
        <v>7744</v>
      </c>
    </row>
    <row r="2941">
      <c r="A2941" t="s">
        <v>6695</v>
      </c>
      <c r="B2941" s="232" t="s">
        <v>6694</v>
      </c>
      <c r="C2941" s="232">
        <v>0.0</v>
      </c>
      <c r="D2941" s="232">
        <v>0.0</v>
      </c>
      <c r="F2941" t="s">
        <v>7702</v>
      </c>
      <c r="G2941" t="s">
        <v>330</v>
      </c>
      <c r="H2941" t="s">
        <v>7811</v>
      </c>
      <c r="I2941" t="s">
        <v>7812</v>
      </c>
    </row>
    <row r="2942">
      <c r="A2942" t="s">
        <v>6697</v>
      </c>
      <c r="B2942" s="232" t="s">
        <v>6696</v>
      </c>
      <c r="C2942" s="232">
        <v>0.0</v>
      </c>
      <c r="D2942" s="232">
        <v>0.0</v>
      </c>
      <c r="F2942" t="s">
        <v>7702</v>
      </c>
      <c r="G2942" t="s">
        <v>330</v>
      </c>
      <c r="H2942" t="s">
        <v>7811</v>
      </c>
      <c r="I2942" t="s">
        <v>7773</v>
      </c>
    </row>
    <row r="2943">
      <c r="A2943" t="s">
        <v>6699</v>
      </c>
      <c r="B2943" s="232" t="s">
        <v>6698</v>
      </c>
      <c r="C2943" s="232">
        <v>0.0</v>
      </c>
      <c r="D2943" s="232">
        <v>0.0</v>
      </c>
      <c r="F2943" t="s">
        <v>7702</v>
      </c>
      <c r="G2943" t="s">
        <v>330</v>
      </c>
      <c r="H2943" t="s">
        <v>7811</v>
      </c>
      <c r="I2943" t="s">
        <v>7773</v>
      </c>
    </row>
    <row r="2944">
      <c r="A2944" t="s">
        <v>6701</v>
      </c>
      <c r="B2944" s="232" t="s">
        <v>6700</v>
      </c>
      <c r="C2944" s="232">
        <v>0.0</v>
      </c>
      <c r="D2944" s="232">
        <v>0.0</v>
      </c>
      <c r="F2944" t="s">
        <v>7702</v>
      </c>
      <c r="G2944" t="s">
        <v>330</v>
      </c>
      <c r="H2944" t="s">
        <v>7811</v>
      </c>
      <c r="I2944" t="s">
        <v>7773</v>
      </c>
    </row>
    <row r="2945">
      <c r="A2945" t="s">
        <v>6703</v>
      </c>
      <c r="B2945" s="232" t="s">
        <v>6702</v>
      </c>
      <c r="C2945" s="232">
        <v>0.0</v>
      </c>
      <c r="D2945" s="232">
        <v>0.0</v>
      </c>
      <c r="F2945" t="s">
        <v>7702</v>
      </c>
      <c r="G2945" t="s">
        <v>330</v>
      </c>
      <c r="H2945" t="s">
        <v>7811</v>
      </c>
      <c r="I2945" t="s">
        <v>7773</v>
      </c>
    </row>
    <row r="2946">
      <c r="A2946" t="s">
        <v>6705</v>
      </c>
      <c r="B2946" s="232" t="s">
        <v>6704</v>
      </c>
      <c r="C2946" s="232">
        <v>0.0</v>
      </c>
      <c r="D2946" s="232">
        <v>0.0</v>
      </c>
      <c r="F2946" t="s">
        <v>7702</v>
      </c>
      <c r="G2946" t="s">
        <v>330</v>
      </c>
      <c r="H2946" t="s">
        <v>7811</v>
      </c>
      <c r="I2946" t="s">
        <v>7816</v>
      </c>
    </row>
    <row r="2947">
      <c r="A2947" t="s">
        <v>6707</v>
      </c>
      <c r="B2947" s="232" t="s">
        <v>6706</v>
      </c>
      <c r="C2947" s="232">
        <v>0.0</v>
      </c>
      <c r="D2947" s="232">
        <v>0.0</v>
      </c>
      <c r="F2947" t="s">
        <v>7702</v>
      </c>
      <c r="G2947" t="s">
        <v>330</v>
      </c>
      <c r="H2947" t="s">
        <v>7811</v>
      </c>
      <c r="I2947" t="s">
        <v>7816</v>
      </c>
    </row>
    <row r="2948">
      <c r="A2948" t="s">
        <v>6709</v>
      </c>
      <c r="B2948" s="232" t="s">
        <v>6708</v>
      </c>
      <c r="C2948" s="232">
        <v>0.0</v>
      </c>
      <c r="D2948" s="232">
        <v>0.0</v>
      </c>
      <c r="F2948" t="s">
        <v>7702</v>
      </c>
      <c r="G2948" t="s">
        <v>330</v>
      </c>
      <c r="H2948" t="s">
        <v>7811</v>
      </c>
      <c r="I2948" t="s">
        <v>7773</v>
      </c>
    </row>
    <row r="2949">
      <c r="A2949" t="s">
        <v>6711</v>
      </c>
      <c r="B2949" s="232" t="s">
        <v>6710</v>
      </c>
      <c r="C2949" s="232">
        <v>0.0</v>
      </c>
      <c r="D2949" s="232">
        <v>0.0</v>
      </c>
      <c r="F2949" t="s">
        <v>7702</v>
      </c>
      <c r="G2949" t="s">
        <v>330</v>
      </c>
      <c r="H2949" t="s">
        <v>7811</v>
      </c>
      <c r="I2949" t="s">
        <v>7773</v>
      </c>
    </row>
    <row r="2950">
      <c r="A2950" t="s">
        <v>6713</v>
      </c>
      <c r="B2950" s="232" t="s">
        <v>6712</v>
      </c>
      <c r="C2950" s="232">
        <v>0.0</v>
      </c>
      <c r="D2950" s="232">
        <v>0.0</v>
      </c>
      <c r="F2950" t="s">
        <v>7702</v>
      </c>
      <c r="G2950" t="s">
        <v>330</v>
      </c>
      <c r="H2950" t="s">
        <v>7811</v>
      </c>
      <c r="I2950" t="s">
        <v>7773</v>
      </c>
    </row>
    <row r="2951">
      <c r="A2951" t="s">
        <v>6715</v>
      </c>
      <c r="B2951" s="232" t="s">
        <v>6714</v>
      </c>
      <c r="C2951" s="232">
        <v>0.0</v>
      </c>
      <c r="D2951" s="232">
        <v>0.0</v>
      </c>
      <c r="F2951" t="s">
        <v>7702</v>
      </c>
      <c r="G2951" t="s">
        <v>330</v>
      </c>
      <c r="H2951" t="s">
        <v>7811</v>
      </c>
      <c r="I2951" t="s">
        <v>7773</v>
      </c>
    </row>
    <row r="2952">
      <c r="A2952" t="s">
        <v>6717</v>
      </c>
      <c r="B2952" s="232" t="s">
        <v>6716</v>
      </c>
      <c r="C2952" s="232">
        <v>0.0</v>
      </c>
      <c r="D2952" s="232">
        <v>0.0</v>
      </c>
      <c r="F2952" t="s">
        <v>7702</v>
      </c>
      <c r="G2952" t="s">
        <v>330</v>
      </c>
      <c r="H2952" t="s">
        <v>7811</v>
      </c>
      <c r="I2952" t="s">
        <v>7836</v>
      </c>
    </row>
    <row r="2953">
      <c r="A2953" t="s">
        <v>6719</v>
      </c>
      <c r="B2953" s="232" t="s">
        <v>6718</v>
      </c>
      <c r="C2953" s="232">
        <v>0.0</v>
      </c>
      <c r="D2953" s="232">
        <v>0.0</v>
      </c>
      <c r="F2953" t="s">
        <v>7702</v>
      </c>
      <c r="G2953" t="s">
        <v>330</v>
      </c>
      <c r="H2953" t="s">
        <v>7811</v>
      </c>
      <c r="I2953" t="s">
        <v>7836</v>
      </c>
    </row>
    <row r="2954">
      <c r="A2954" t="s">
        <v>6721</v>
      </c>
      <c r="B2954" s="232" t="s">
        <v>6720</v>
      </c>
      <c r="C2954" s="232">
        <v>0.0</v>
      </c>
      <c r="D2954" s="232">
        <v>0.0</v>
      </c>
      <c r="F2954" t="s">
        <v>7702</v>
      </c>
      <c r="G2954" t="s">
        <v>330</v>
      </c>
      <c r="H2954" t="s">
        <v>7811</v>
      </c>
      <c r="I2954" t="s">
        <v>7836</v>
      </c>
    </row>
    <row r="2955">
      <c r="A2955" t="s">
        <v>6723</v>
      </c>
      <c r="B2955" s="232" t="s">
        <v>6722</v>
      </c>
      <c r="C2955" s="232">
        <v>0.0</v>
      </c>
      <c r="D2955" s="232">
        <v>0.0</v>
      </c>
      <c r="F2955" t="s">
        <v>7702</v>
      </c>
      <c r="G2955" t="s">
        <v>330</v>
      </c>
      <c r="H2955" t="s">
        <v>7811</v>
      </c>
      <c r="I2955" t="s">
        <v>7836</v>
      </c>
    </row>
    <row r="2956">
      <c r="A2956" t="s">
        <v>6725</v>
      </c>
      <c r="B2956" s="232" t="s">
        <v>6724</v>
      </c>
      <c r="C2956" s="232">
        <v>0.0</v>
      </c>
      <c r="D2956" s="232">
        <v>0.0</v>
      </c>
      <c r="F2956" t="s">
        <v>7702</v>
      </c>
      <c r="G2956" t="s">
        <v>330</v>
      </c>
      <c r="H2956" t="s">
        <v>7811</v>
      </c>
      <c r="I2956" t="s">
        <v>98</v>
      </c>
    </row>
    <row r="2957">
      <c r="A2957" t="s">
        <v>6727</v>
      </c>
      <c r="B2957" s="232" t="s">
        <v>6726</v>
      </c>
      <c r="C2957" s="232">
        <v>0.0</v>
      </c>
      <c r="D2957" s="232">
        <v>0.0</v>
      </c>
      <c r="F2957" t="s">
        <v>7702</v>
      </c>
      <c r="G2957" t="s">
        <v>330</v>
      </c>
      <c r="H2957" t="s">
        <v>7811</v>
      </c>
      <c r="I2957" t="s">
        <v>7773</v>
      </c>
    </row>
    <row r="2958">
      <c r="A2958" t="s">
        <v>6729</v>
      </c>
      <c r="B2958" s="232" t="s">
        <v>6728</v>
      </c>
      <c r="C2958" s="232">
        <v>0.0</v>
      </c>
      <c r="D2958" s="232">
        <v>0.0</v>
      </c>
      <c r="F2958" t="s">
        <v>7702</v>
      </c>
      <c r="G2958" t="s">
        <v>330</v>
      </c>
      <c r="H2958" t="s">
        <v>7811</v>
      </c>
    </row>
    <row r="2959">
      <c r="A2959" t="s">
        <v>6731</v>
      </c>
      <c r="B2959" s="232" t="s">
        <v>6730</v>
      </c>
      <c r="C2959" s="232">
        <v>0.0</v>
      </c>
      <c r="D2959" s="232">
        <v>0.0</v>
      </c>
      <c r="F2959" t="s">
        <v>7702</v>
      </c>
      <c r="G2959" t="s">
        <v>330</v>
      </c>
      <c r="H2959" t="s">
        <v>7811</v>
      </c>
    </row>
    <row r="2960">
      <c r="A2960" t="s">
        <v>6733</v>
      </c>
      <c r="B2960" s="232" t="s">
        <v>6732</v>
      </c>
      <c r="C2960" s="232">
        <v>0.0</v>
      </c>
      <c r="D2960" s="232">
        <v>0.0</v>
      </c>
      <c r="F2960" t="s">
        <v>7702</v>
      </c>
      <c r="G2960" t="s">
        <v>330</v>
      </c>
      <c r="H2960" t="s">
        <v>7811</v>
      </c>
      <c r="I2960" t="s">
        <v>29</v>
      </c>
    </row>
    <row r="2961">
      <c r="A2961" t="s">
        <v>6735</v>
      </c>
      <c r="B2961" s="232" t="s">
        <v>6734</v>
      </c>
      <c r="C2961" s="232">
        <v>0.0</v>
      </c>
      <c r="D2961" s="232">
        <v>0.0</v>
      </c>
      <c r="F2961" t="s">
        <v>7702</v>
      </c>
      <c r="G2961" t="s">
        <v>330</v>
      </c>
      <c r="H2961" t="s">
        <v>7811</v>
      </c>
      <c r="I2961" t="s">
        <v>29</v>
      </c>
    </row>
    <row r="2962">
      <c r="A2962" t="s">
        <v>6737</v>
      </c>
      <c r="B2962" s="232" t="s">
        <v>6736</v>
      </c>
      <c r="C2962" s="232">
        <v>0.0</v>
      </c>
      <c r="D2962" s="232">
        <v>0.0</v>
      </c>
      <c r="F2962" t="s">
        <v>7702</v>
      </c>
      <c r="G2962" t="s">
        <v>330</v>
      </c>
      <c r="H2962" t="s">
        <v>7811</v>
      </c>
      <c r="I2962" t="s">
        <v>7773</v>
      </c>
    </row>
    <row r="2963">
      <c r="A2963" t="s">
        <v>6739</v>
      </c>
      <c r="B2963" s="232" t="s">
        <v>6738</v>
      </c>
      <c r="C2963" s="232">
        <v>0.0</v>
      </c>
      <c r="D2963" s="232">
        <v>0.0</v>
      </c>
      <c r="F2963" t="s">
        <v>7702</v>
      </c>
      <c r="G2963" t="s">
        <v>330</v>
      </c>
      <c r="H2963" t="s">
        <v>7811</v>
      </c>
      <c r="I2963" t="s">
        <v>7773</v>
      </c>
    </row>
    <row r="2964">
      <c r="A2964" t="s">
        <v>6741</v>
      </c>
      <c r="B2964" s="232" t="s">
        <v>6740</v>
      </c>
      <c r="C2964" s="232">
        <v>0.0</v>
      </c>
      <c r="D2964" s="232">
        <v>0.0</v>
      </c>
      <c r="F2964" t="s">
        <v>7702</v>
      </c>
      <c r="G2964" t="s">
        <v>330</v>
      </c>
      <c r="H2964" t="s">
        <v>7811</v>
      </c>
      <c r="I2964" t="s">
        <v>7707</v>
      </c>
    </row>
    <row r="2965">
      <c r="A2965" t="s">
        <v>6743</v>
      </c>
      <c r="B2965" s="232" t="s">
        <v>6742</v>
      </c>
      <c r="C2965" s="232">
        <v>0.0</v>
      </c>
      <c r="D2965" s="232">
        <v>0.0</v>
      </c>
      <c r="F2965" t="s">
        <v>7702</v>
      </c>
      <c r="G2965" t="s">
        <v>330</v>
      </c>
      <c r="H2965" t="s">
        <v>7811</v>
      </c>
      <c r="I2965" t="s">
        <v>7773</v>
      </c>
    </row>
    <row r="2966">
      <c r="A2966" t="s">
        <v>6745</v>
      </c>
      <c r="B2966" s="232" t="s">
        <v>6744</v>
      </c>
      <c r="C2966" s="232">
        <v>0.0</v>
      </c>
      <c r="D2966" s="232">
        <v>0.0</v>
      </c>
      <c r="F2966" t="s">
        <v>7702</v>
      </c>
      <c r="G2966" t="s">
        <v>330</v>
      </c>
      <c r="H2966" t="s">
        <v>7811</v>
      </c>
      <c r="I2966" t="s">
        <v>7773</v>
      </c>
    </row>
    <row r="2967">
      <c r="A2967" t="s">
        <v>6747</v>
      </c>
      <c r="B2967" s="232" t="s">
        <v>6746</v>
      </c>
      <c r="C2967" s="232">
        <v>0.0</v>
      </c>
      <c r="D2967" s="232">
        <v>0.0</v>
      </c>
      <c r="F2967" t="s">
        <v>7702</v>
      </c>
      <c r="G2967" t="s">
        <v>330</v>
      </c>
      <c r="H2967" t="s">
        <v>7811</v>
      </c>
      <c r="I2967" t="s">
        <v>7707</v>
      </c>
    </row>
    <row r="2968">
      <c r="A2968" t="s">
        <v>6749</v>
      </c>
      <c r="B2968" s="232" t="s">
        <v>6748</v>
      </c>
      <c r="C2968" s="232">
        <v>0.0</v>
      </c>
      <c r="D2968" s="232">
        <v>0.0</v>
      </c>
      <c r="F2968" t="s">
        <v>7702</v>
      </c>
      <c r="G2968" t="s">
        <v>330</v>
      </c>
      <c r="H2968" t="s">
        <v>7811</v>
      </c>
      <c r="I2968" t="s">
        <v>7773</v>
      </c>
    </row>
    <row r="2969">
      <c r="A2969" t="s">
        <v>6751</v>
      </c>
      <c r="B2969" s="232" t="s">
        <v>6750</v>
      </c>
      <c r="C2969" s="232">
        <v>0.0</v>
      </c>
      <c r="D2969" s="232">
        <v>0.0</v>
      </c>
      <c r="F2969" t="s">
        <v>7702</v>
      </c>
      <c r="G2969" t="s">
        <v>330</v>
      </c>
      <c r="H2969" t="s">
        <v>7811</v>
      </c>
      <c r="I2969" t="s">
        <v>7773</v>
      </c>
    </row>
    <row r="2970">
      <c r="A2970" t="s">
        <v>6753</v>
      </c>
      <c r="B2970" s="232" t="s">
        <v>6752</v>
      </c>
      <c r="C2970" s="232">
        <v>0.0</v>
      </c>
      <c r="D2970" s="232">
        <v>0.0</v>
      </c>
      <c r="F2970" t="s">
        <v>7702</v>
      </c>
      <c r="G2970" t="s">
        <v>330</v>
      </c>
      <c r="H2970" t="s">
        <v>7811</v>
      </c>
      <c r="I2970" t="s">
        <v>7773</v>
      </c>
    </row>
    <row r="2971">
      <c r="A2971" t="s">
        <v>6755</v>
      </c>
      <c r="B2971" s="232" t="s">
        <v>6754</v>
      </c>
      <c r="C2971" s="232">
        <v>0.0</v>
      </c>
      <c r="D2971" s="232">
        <v>0.0</v>
      </c>
      <c r="F2971" t="s">
        <v>7702</v>
      </c>
      <c r="G2971" t="s">
        <v>330</v>
      </c>
      <c r="H2971" t="s">
        <v>7811</v>
      </c>
      <c r="I2971" t="s">
        <v>7773</v>
      </c>
    </row>
    <row r="2972">
      <c r="A2972" t="s">
        <v>6757</v>
      </c>
      <c r="B2972" s="232" t="s">
        <v>6756</v>
      </c>
      <c r="C2972" s="232">
        <v>0.0</v>
      </c>
      <c r="D2972" s="232">
        <v>0.0</v>
      </c>
      <c r="F2972" t="s">
        <v>7702</v>
      </c>
      <c r="G2972" t="s">
        <v>330</v>
      </c>
      <c r="H2972" t="s">
        <v>7811</v>
      </c>
      <c r="I2972" t="s">
        <v>7773</v>
      </c>
    </row>
    <row r="2973">
      <c r="A2973" t="s">
        <v>6759</v>
      </c>
      <c r="B2973" s="232" t="s">
        <v>6758</v>
      </c>
      <c r="C2973" s="232">
        <v>0.0</v>
      </c>
      <c r="D2973" s="232">
        <v>0.0</v>
      </c>
      <c r="F2973" t="s">
        <v>7702</v>
      </c>
      <c r="G2973" t="s">
        <v>330</v>
      </c>
      <c r="H2973" t="s">
        <v>7811</v>
      </c>
      <c r="I2973" t="s">
        <v>7773</v>
      </c>
    </row>
    <row r="2974">
      <c r="A2974" t="s">
        <v>6761</v>
      </c>
      <c r="B2974" s="232" t="s">
        <v>6760</v>
      </c>
      <c r="C2974" s="232">
        <v>0.0</v>
      </c>
      <c r="D2974" s="232">
        <v>0.0</v>
      </c>
      <c r="F2974" t="s">
        <v>7702</v>
      </c>
      <c r="G2974" t="s">
        <v>330</v>
      </c>
      <c r="H2974" t="s">
        <v>7811</v>
      </c>
      <c r="I2974" t="s">
        <v>7838</v>
      </c>
    </row>
    <row r="2975">
      <c r="A2975" t="s">
        <v>6763</v>
      </c>
      <c r="B2975" s="232" t="s">
        <v>6762</v>
      </c>
      <c r="C2975" s="232">
        <v>0.0</v>
      </c>
      <c r="D2975" s="232">
        <v>0.0</v>
      </c>
      <c r="F2975" t="s">
        <v>7702</v>
      </c>
      <c r="G2975" t="s">
        <v>330</v>
      </c>
      <c r="H2975" t="s">
        <v>7811</v>
      </c>
      <c r="I2975" t="s">
        <v>7773</v>
      </c>
    </row>
    <row r="2976">
      <c r="A2976" t="s">
        <v>6765</v>
      </c>
      <c r="B2976" s="232" t="s">
        <v>6764</v>
      </c>
      <c r="C2976" s="232">
        <v>0.0</v>
      </c>
      <c r="D2976" s="232">
        <v>0.0</v>
      </c>
      <c r="F2976" t="s">
        <v>7702</v>
      </c>
      <c r="G2976" t="s">
        <v>330</v>
      </c>
      <c r="H2976" t="s">
        <v>7811</v>
      </c>
      <c r="I2976" t="s">
        <v>7707</v>
      </c>
    </row>
    <row r="2977">
      <c r="A2977" t="s">
        <v>6767</v>
      </c>
      <c r="B2977" s="232" t="s">
        <v>6766</v>
      </c>
      <c r="C2977" s="232">
        <v>0.0</v>
      </c>
      <c r="D2977" s="232">
        <v>0.0</v>
      </c>
      <c r="F2977" t="s">
        <v>7702</v>
      </c>
      <c r="G2977" t="s">
        <v>330</v>
      </c>
      <c r="H2977" t="s">
        <v>7811</v>
      </c>
      <c r="I2977" t="s">
        <v>7836</v>
      </c>
    </row>
    <row r="2978">
      <c r="A2978" t="s">
        <v>6769</v>
      </c>
      <c r="B2978" s="232" t="s">
        <v>6768</v>
      </c>
      <c r="C2978" s="232">
        <v>0.0</v>
      </c>
      <c r="D2978" s="232">
        <v>0.0</v>
      </c>
      <c r="F2978" t="s">
        <v>7702</v>
      </c>
      <c r="G2978" t="s">
        <v>330</v>
      </c>
      <c r="H2978" t="s">
        <v>7811</v>
      </c>
      <c r="I2978" t="s">
        <v>7707</v>
      </c>
    </row>
    <row r="2979">
      <c r="A2979" t="s">
        <v>6771</v>
      </c>
      <c r="B2979" s="232" t="s">
        <v>6770</v>
      </c>
      <c r="C2979" s="232">
        <v>0.0</v>
      </c>
      <c r="D2979" s="232">
        <v>0.0</v>
      </c>
      <c r="F2979" t="s">
        <v>7702</v>
      </c>
      <c r="G2979" t="s">
        <v>330</v>
      </c>
      <c r="H2979" t="s">
        <v>7811</v>
      </c>
      <c r="I2979" t="s">
        <v>7836</v>
      </c>
    </row>
    <row r="2980">
      <c r="A2980" t="s">
        <v>6773</v>
      </c>
      <c r="B2980" s="232" t="s">
        <v>6772</v>
      </c>
      <c r="C2980" s="232">
        <v>0.0</v>
      </c>
      <c r="D2980" s="232">
        <v>0.0</v>
      </c>
      <c r="F2980" t="s">
        <v>7702</v>
      </c>
      <c r="G2980" t="s">
        <v>330</v>
      </c>
      <c r="H2980" t="s">
        <v>7811</v>
      </c>
      <c r="I2980" t="s">
        <v>7836</v>
      </c>
    </row>
    <row r="2981">
      <c r="A2981" t="s">
        <v>6775</v>
      </c>
      <c r="B2981" s="232" t="s">
        <v>6774</v>
      </c>
      <c r="C2981" s="232">
        <v>0.0</v>
      </c>
      <c r="D2981" s="232">
        <v>0.0</v>
      </c>
      <c r="F2981" t="s">
        <v>7702</v>
      </c>
      <c r="G2981" t="s">
        <v>330</v>
      </c>
      <c r="H2981" t="s">
        <v>7811</v>
      </c>
      <c r="I2981" t="s">
        <v>7836</v>
      </c>
    </row>
    <row r="2982">
      <c r="A2982" t="s">
        <v>6777</v>
      </c>
      <c r="B2982" s="232" t="s">
        <v>6776</v>
      </c>
      <c r="C2982" s="232">
        <v>0.0</v>
      </c>
      <c r="D2982" s="232">
        <v>0.0</v>
      </c>
      <c r="F2982" t="s">
        <v>7702</v>
      </c>
      <c r="G2982" t="s">
        <v>330</v>
      </c>
      <c r="H2982" t="s">
        <v>7811</v>
      </c>
      <c r="I2982" t="s">
        <v>7836</v>
      </c>
    </row>
    <row r="2983">
      <c r="A2983" t="s">
        <v>6779</v>
      </c>
      <c r="B2983" s="232" t="s">
        <v>6778</v>
      </c>
      <c r="C2983" s="232">
        <v>0.0</v>
      </c>
      <c r="D2983" s="232">
        <v>0.0</v>
      </c>
      <c r="F2983" t="s">
        <v>7702</v>
      </c>
      <c r="G2983" t="s">
        <v>330</v>
      </c>
      <c r="H2983" t="s">
        <v>7811</v>
      </c>
      <c r="I2983" t="s">
        <v>7836</v>
      </c>
    </row>
    <row r="2984">
      <c r="A2984" t="s">
        <v>6781</v>
      </c>
      <c r="B2984" s="232" t="s">
        <v>6780</v>
      </c>
      <c r="C2984" s="232">
        <v>0.0</v>
      </c>
      <c r="D2984" s="232">
        <v>0.0</v>
      </c>
      <c r="F2984" t="s">
        <v>7702</v>
      </c>
      <c r="G2984" t="s">
        <v>330</v>
      </c>
      <c r="H2984" t="s">
        <v>7811</v>
      </c>
      <c r="I2984" t="s">
        <v>7819</v>
      </c>
    </row>
    <row r="2985">
      <c r="A2985" t="s">
        <v>6783</v>
      </c>
      <c r="B2985" s="232" t="s">
        <v>6782</v>
      </c>
      <c r="C2985" s="232">
        <v>0.0</v>
      </c>
      <c r="D2985" s="232">
        <v>0.0</v>
      </c>
      <c r="F2985" t="s">
        <v>7702</v>
      </c>
      <c r="G2985" t="s">
        <v>330</v>
      </c>
      <c r="H2985" t="s">
        <v>7811</v>
      </c>
      <c r="I2985" t="s">
        <v>7819</v>
      </c>
    </row>
    <row r="2986">
      <c r="A2986" t="s">
        <v>6785</v>
      </c>
      <c r="B2986" s="232" t="s">
        <v>6784</v>
      </c>
      <c r="C2986" s="232">
        <v>0.0</v>
      </c>
      <c r="D2986" s="232">
        <v>0.0</v>
      </c>
      <c r="F2986" t="s">
        <v>7702</v>
      </c>
      <c r="G2986" t="s">
        <v>330</v>
      </c>
      <c r="H2986" t="s">
        <v>7811</v>
      </c>
      <c r="I2986" t="s">
        <v>7819</v>
      </c>
    </row>
    <row r="2987">
      <c r="A2987" t="s">
        <v>6787</v>
      </c>
      <c r="B2987" s="232" t="s">
        <v>6786</v>
      </c>
      <c r="C2987" s="232">
        <v>0.0</v>
      </c>
      <c r="D2987" s="232">
        <v>0.0</v>
      </c>
      <c r="F2987" t="s">
        <v>7702</v>
      </c>
      <c r="G2987" t="s">
        <v>330</v>
      </c>
      <c r="H2987" t="s">
        <v>7811</v>
      </c>
      <c r="I2987" t="s">
        <v>7819</v>
      </c>
    </row>
    <row r="2988">
      <c r="A2988" t="s">
        <v>6789</v>
      </c>
      <c r="B2988" s="232" t="s">
        <v>6788</v>
      </c>
      <c r="C2988" s="232">
        <v>0.0</v>
      </c>
      <c r="D2988" s="232">
        <v>0.0</v>
      </c>
      <c r="F2988" t="s">
        <v>7702</v>
      </c>
      <c r="G2988" t="s">
        <v>330</v>
      </c>
      <c r="H2988" t="s">
        <v>7811</v>
      </c>
      <c r="I2988" t="s">
        <v>7819</v>
      </c>
    </row>
    <row r="2989">
      <c r="A2989" t="s">
        <v>6791</v>
      </c>
      <c r="B2989" s="232" t="s">
        <v>6790</v>
      </c>
      <c r="C2989" s="232">
        <v>0.0</v>
      </c>
      <c r="D2989" s="232">
        <v>0.0</v>
      </c>
      <c r="F2989" t="s">
        <v>7702</v>
      </c>
      <c r="G2989" t="s">
        <v>330</v>
      </c>
      <c r="H2989" t="s">
        <v>7811</v>
      </c>
      <c r="I2989" t="s">
        <v>7819</v>
      </c>
    </row>
    <row r="2990">
      <c r="A2990" t="s">
        <v>6793</v>
      </c>
      <c r="B2990" s="232" t="s">
        <v>6792</v>
      </c>
      <c r="C2990" s="232">
        <v>0.0</v>
      </c>
      <c r="D2990" s="232">
        <v>0.0</v>
      </c>
      <c r="F2990" t="s">
        <v>7702</v>
      </c>
      <c r="G2990" t="s">
        <v>330</v>
      </c>
      <c r="H2990" t="s">
        <v>7811</v>
      </c>
      <c r="I2990" t="s">
        <v>7707</v>
      </c>
    </row>
    <row r="2991">
      <c r="A2991" t="s">
        <v>6795</v>
      </c>
      <c r="B2991" s="232" t="s">
        <v>6794</v>
      </c>
      <c r="C2991" s="232">
        <v>0.0</v>
      </c>
      <c r="D2991" s="232">
        <v>0.0</v>
      </c>
      <c r="F2991" t="s">
        <v>7702</v>
      </c>
      <c r="G2991" t="s">
        <v>330</v>
      </c>
      <c r="H2991" t="s">
        <v>7811</v>
      </c>
      <c r="I2991" t="s">
        <v>29</v>
      </c>
    </row>
    <row r="2992">
      <c r="A2992" t="s">
        <v>6797</v>
      </c>
      <c r="B2992" s="232" t="s">
        <v>6796</v>
      </c>
      <c r="C2992" s="232">
        <v>0.0</v>
      </c>
      <c r="D2992" s="232">
        <v>0.0</v>
      </c>
      <c r="F2992" t="s">
        <v>7702</v>
      </c>
      <c r="G2992" t="s">
        <v>330</v>
      </c>
      <c r="H2992" t="s">
        <v>7811</v>
      </c>
      <c r="I2992" t="s">
        <v>29</v>
      </c>
    </row>
    <row r="2993">
      <c r="A2993" t="s">
        <v>6799</v>
      </c>
      <c r="B2993" s="232" t="s">
        <v>6798</v>
      </c>
      <c r="C2993" s="232">
        <v>0.0</v>
      </c>
      <c r="D2993" s="232">
        <v>0.0</v>
      </c>
      <c r="F2993" t="s">
        <v>7702</v>
      </c>
      <c r="G2993" t="s">
        <v>330</v>
      </c>
      <c r="H2993" t="s">
        <v>7811</v>
      </c>
      <c r="I2993" t="s">
        <v>29</v>
      </c>
    </row>
    <row r="2994">
      <c r="A2994" t="s">
        <v>6801</v>
      </c>
      <c r="B2994" s="232" t="s">
        <v>6800</v>
      </c>
      <c r="C2994" s="232">
        <v>0.0</v>
      </c>
      <c r="D2994" s="232">
        <v>0.0</v>
      </c>
      <c r="F2994" t="s">
        <v>7702</v>
      </c>
      <c r="G2994" t="s">
        <v>330</v>
      </c>
      <c r="H2994" t="s">
        <v>7811</v>
      </c>
      <c r="I2994" t="s">
        <v>29</v>
      </c>
    </row>
    <row r="2995">
      <c r="A2995" t="s">
        <v>6803</v>
      </c>
      <c r="B2995" s="232" t="s">
        <v>6802</v>
      </c>
      <c r="C2995" s="232">
        <v>0.0</v>
      </c>
      <c r="D2995" s="232">
        <v>0.0</v>
      </c>
      <c r="F2995" t="s">
        <v>7702</v>
      </c>
      <c r="G2995" t="s">
        <v>330</v>
      </c>
      <c r="H2995" t="s">
        <v>7811</v>
      </c>
      <c r="I2995" t="s">
        <v>29</v>
      </c>
    </row>
    <row r="2996">
      <c r="A2996" t="s">
        <v>6805</v>
      </c>
      <c r="B2996" s="232" t="s">
        <v>6804</v>
      </c>
      <c r="C2996" s="232">
        <v>0.0</v>
      </c>
      <c r="D2996" s="232">
        <v>0.0</v>
      </c>
      <c r="F2996" t="s">
        <v>7702</v>
      </c>
      <c r="G2996" t="s">
        <v>330</v>
      </c>
      <c r="H2996" t="s">
        <v>7811</v>
      </c>
      <c r="I2996" t="s">
        <v>29</v>
      </c>
    </row>
    <row r="2997">
      <c r="A2997" t="s">
        <v>6807</v>
      </c>
      <c r="B2997" s="232" t="s">
        <v>6806</v>
      </c>
      <c r="C2997" s="232">
        <v>0.0</v>
      </c>
      <c r="D2997" s="232">
        <v>0.0</v>
      </c>
      <c r="F2997" t="s">
        <v>7702</v>
      </c>
      <c r="G2997" t="s">
        <v>330</v>
      </c>
      <c r="H2997" t="s">
        <v>7811</v>
      </c>
      <c r="I2997" t="s">
        <v>29</v>
      </c>
    </row>
    <row r="2998">
      <c r="A2998" t="s">
        <v>6809</v>
      </c>
      <c r="B2998" s="232" t="s">
        <v>6808</v>
      </c>
      <c r="C2998" s="232">
        <v>0.0</v>
      </c>
      <c r="D2998" s="232">
        <v>0.0</v>
      </c>
      <c r="F2998" t="s">
        <v>7702</v>
      </c>
      <c r="G2998" t="s">
        <v>330</v>
      </c>
      <c r="H2998" t="s">
        <v>7811</v>
      </c>
      <c r="I2998" t="s">
        <v>29</v>
      </c>
    </row>
    <row r="2999">
      <c r="A2999" t="s">
        <v>6811</v>
      </c>
      <c r="B2999" s="232" t="s">
        <v>6810</v>
      </c>
      <c r="C2999" s="232">
        <v>0.0</v>
      </c>
      <c r="D2999" s="232">
        <v>0.0</v>
      </c>
      <c r="F2999" t="s">
        <v>7702</v>
      </c>
      <c r="G2999" t="s">
        <v>330</v>
      </c>
      <c r="H2999" t="s">
        <v>7811</v>
      </c>
      <c r="I2999" t="s">
        <v>29</v>
      </c>
    </row>
    <row r="3000">
      <c r="A3000" t="s">
        <v>6813</v>
      </c>
      <c r="B3000" s="232" t="s">
        <v>6812</v>
      </c>
      <c r="C3000" s="232">
        <v>0.0</v>
      </c>
      <c r="D3000" s="232">
        <v>0.0</v>
      </c>
      <c r="F3000" t="s">
        <v>7702</v>
      </c>
      <c r="G3000" t="s">
        <v>330</v>
      </c>
      <c r="H3000" t="s">
        <v>7811</v>
      </c>
      <c r="I3000" t="s">
        <v>29</v>
      </c>
    </row>
    <row r="3001">
      <c r="A3001" t="s">
        <v>6814</v>
      </c>
      <c r="B3001" s="232">
        <v>97202.0</v>
      </c>
      <c r="C3001" s="232">
        <v>0.0</v>
      </c>
      <c r="D3001" s="232">
        <v>0.0</v>
      </c>
      <c r="F3001" t="s">
        <v>7702</v>
      </c>
      <c r="G3001" t="s">
        <v>310</v>
      </c>
      <c r="H3001" t="s">
        <v>7703</v>
      </c>
      <c r="I3001" t="s">
        <v>7751</v>
      </c>
    </row>
    <row r="3002">
      <c r="A3002" t="s">
        <v>6815</v>
      </c>
      <c r="B3002" s="232">
        <v>97204.0</v>
      </c>
      <c r="C3002" s="232">
        <v>0.0</v>
      </c>
      <c r="D3002" s="232">
        <v>0.0</v>
      </c>
      <c r="F3002" t="s">
        <v>7702</v>
      </c>
      <c r="G3002" t="s">
        <v>310</v>
      </c>
      <c r="H3002" t="s">
        <v>7703</v>
      </c>
      <c r="I3002" t="s">
        <v>7751</v>
      </c>
    </row>
    <row r="3003">
      <c r="A3003" t="s">
        <v>6816</v>
      </c>
      <c r="B3003" s="232">
        <v>97203.0</v>
      </c>
      <c r="C3003" s="232">
        <v>0.0</v>
      </c>
      <c r="D3003" s="232">
        <v>0.0</v>
      </c>
      <c r="F3003" t="s">
        <v>7702</v>
      </c>
      <c r="G3003" t="s">
        <v>310</v>
      </c>
      <c r="H3003" t="s">
        <v>7703</v>
      </c>
      <c r="I3003" t="s">
        <v>7751</v>
      </c>
    </row>
    <row r="3004">
      <c r="A3004" t="s">
        <v>6817</v>
      </c>
      <c r="B3004" s="232">
        <v>97201.0</v>
      </c>
      <c r="C3004" s="232">
        <v>0.0</v>
      </c>
      <c r="D3004" s="232">
        <v>0.0</v>
      </c>
      <c r="F3004" t="s">
        <v>7702</v>
      </c>
      <c r="G3004" t="s">
        <v>310</v>
      </c>
      <c r="H3004" t="s">
        <v>7703</v>
      </c>
      <c r="I3004" t="s">
        <v>7751</v>
      </c>
    </row>
    <row r="3005">
      <c r="A3005" t="s">
        <v>6820</v>
      </c>
      <c r="B3005" s="232">
        <v>97306.0</v>
      </c>
      <c r="C3005" s="232">
        <v>0.0</v>
      </c>
      <c r="D3005" s="232">
        <v>0.0</v>
      </c>
      <c r="F3005" t="s">
        <v>7702</v>
      </c>
      <c r="G3005" t="s">
        <v>310</v>
      </c>
      <c r="H3005" t="s">
        <v>7703</v>
      </c>
      <c r="I3005" t="s">
        <v>98</v>
      </c>
    </row>
    <row r="3006">
      <c r="A3006" t="s">
        <v>6821</v>
      </c>
      <c r="B3006" s="232">
        <v>97305.0</v>
      </c>
      <c r="C3006" s="232">
        <v>0.0</v>
      </c>
      <c r="D3006" s="232">
        <v>0.0</v>
      </c>
      <c r="F3006" t="s">
        <v>7702</v>
      </c>
      <c r="G3006" t="s">
        <v>310</v>
      </c>
      <c r="H3006" t="s">
        <v>7703</v>
      </c>
      <c r="I3006" t="s">
        <v>98</v>
      </c>
    </row>
    <row r="3007">
      <c r="A3007" t="s">
        <v>6822</v>
      </c>
      <c r="B3007" s="232">
        <v>97307.0</v>
      </c>
      <c r="C3007" s="232">
        <v>0.0</v>
      </c>
      <c r="D3007" s="232">
        <v>0.0</v>
      </c>
      <c r="F3007" t="s">
        <v>7702</v>
      </c>
      <c r="G3007" t="s">
        <v>310</v>
      </c>
      <c r="H3007" t="s">
        <v>7703</v>
      </c>
      <c r="I3007" t="s">
        <v>98</v>
      </c>
    </row>
    <row r="3008">
      <c r="A3008" t="s">
        <v>6823</v>
      </c>
      <c r="B3008" s="232">
        <v>97304.0</v>
      </c>
      <c r="C3008" s="232">
        <v>0.0</v>
      </c>
      <c r="D3008" s="232">
        <v>0.0</v>
      </c>
      <c r="F3008" t="s">
        <v>7702</v>
      </c>
      <c r="G3008" t="s">
        <v>310</v>
      </c>
      <c r="H3008" t="s">
        <v>7703</v>
      </c>
      <c r="I3008" t="s">
        <v>98</v>
      </c>
    </row>
    <row r="3009">
      <c r="A3009" t="s">
        <v>6824</v>
      </c>
      <c r="B3009" s="232">
        <v>97302.0</v>
      </c>
      <c r="C3009" s="232">
        <v>0.0</v>
      </c>
      <c r="D3009" s="232">
        <v>0.0</v>
      </c>
      <c r="F3009" t="s">
        <v>7702</v>
      </c>
      <c r="G3009" t="s">
        <v>310</v>
      </c>
      <c r="H3009" t="s">
        <v>7703</v>
      </c>
      <c r="I3009" t="s">
        <v>98</v>
      </c>
    </row>
    <row r="3010">
      <c r="A3010" t="s">
        <v>6825</v>
      </c>
      <c r="B3010" s="232">
        <v>97303.0</v>
      </c>
      <c r="C3010" s="232">
        <v>0.0</v>
      </c>
      <c r="D3010" s="232">
        <v>0.0</v>
      </c>
      <c r="F3010" t="s">
        <v>7702</v>
      </c>
      <c r="G3010" t="s">
        <v>310</v>
      </c>
      <c r="H3010" t="s">
        <v>7703</v>
      </c>
      <c r="I3010" t="s">
        <v>98</v>
      </c>
    </row>
    <row r="3011">
      <c r="A3011" t="s">
        <v>6827</v>
      </c>
      <c r="B3011" s="232">
        <v>97301.0</v>
      </c>
      <c r="C3011" s="232">
        <v>0.0</v>
      </c>
      <c r="D3011" s="232">
        <v>0.0</v>
      </c>
      <c r="F3011" t="s">
        <v>7702</v>
      </c>
      <c r="G3011" t="s">
        <v>310</v>
      </c>
      <c r="H3011" t="s">
        <v>7703</v>
      </c>
      <c r="I3011" t="s">
        <v>98</v>
      </c>
    </row>
    <row r="3012">
      <c r="A3012" t="s">
        <v>6829</v>
      </c>
      <c r="B3012" s="232" t="s">
        <v>6828</v>
      </c>
      <c r="C3012" s="232">
        <v>0.0</v>
      </c>
      <c r="D3012" s="232">
        <v>0.0</v>
      </c>
      <c r="F3012" t="s">
        <v>7702</v>
      </c>
      <c r="G3012" t="s">
        <v>310</v>
      </c>
      <c r="H3012" t="s">
        <v>7703</v>
      </c>
      <c r="I3012" t="s">
        <v>151</v>
      </c>
    </row>
    <row r="3013">
      <c r="A3013" t="s">
        <v>6831</v>
      </c>
      <c r="B3013" s="232" t="s">
        <v>6830</v>
      </c>
      <c r="C3013" s="232">
        <v>0.0</v>
      </c>
      <c r="D3013" s="232">
        <v>0.0</v>
      </c>
      <c r="F3013" t="s">
        <v>7702</v>
      </c>
      <c r="G3013" t="s">
        <v>310</v>
      </c>
      <c r="H3013" t="s">
        <v>7703</v>
      </c>
      <c r="I3013" t="s">
        <v>166</v>
      </c>
    </row>
    <row r="3014">
      <c r="A3014" t="s">
        <v>6833</v>
      </c>
      <c r="B3014" s="232" t="s">
        <v>6832</v>
      </c>
      <c r="C3014" s="232">
        <v>14.0</v>
      </c>
      <c r="D3014" s="232">
        <v>70.59</v>
      </c>
      <c r="E3014" s="232">
        <v>5.0421</v>
      </c>
      <c r="F3014" t="s">
        <v>7702</v>
      </c>
      <c r="G3014" t="s">
        <v>330</v>
      </c>
      <c r="H3014" t="s">
        <v>45</v>
      </c>
      <c r="I3014" t="s">
        <v>7827</v>
      </c>
    </row>
    <row r="3015">
      <c r="A3015" t="s">
        <v>6835</v>
      </c>
      <c r="B3015" s="232" t="s">
        <v>6834</v>
      </c>
      <c r="C3015" s="232">
        <v>442.0</v>
      </c>
      <c r="D3015" s="232">
        <v>3851.19</v>
      </c>
      <c r="E3015" s="232">
        <v>8.7131</v>
      </c>
      <c r="F3015" t="s">
        <v>7702</v>
      </c>
      <c r="G3015" t="s">
        <v>330</v>
      </c>
      <c r="H3015" t="s">
        <v>45</v>
      </c>
      <c r="I3015" t="s">
        <v>7827</v>
      </c>
    </row>
    <row r="3016">
      <c r="A3016" t="s">
        <v>6837</v>
      </c>
      <c r="B3016" s="232" t="s">
        <v>6836</v>
      </c>
      <c r="C3016" s="232">
        <v>63.0</v>
      </c>
      <c r="D3016" s="232">
        <v>325.94</v>
      </c>
      <c r="E3016" s="232">
        <v>5.1737</v>
      </c>
      <c r="F3016" t="s">
        <v>7702</v>
      </c>
      <c r="G3016" t="s">
        <v>330</v>
      </c>
      <c r="H3016" t="s">
        <v>45</v>
      </c>
      <c r="I3016" t="s">
        <v>7827</v>
      </c>
    </row>
    <row r="3017">
      <c r="A3017" t="s">
        <v>6839</v>
      </c>
      <c r="B3017" s="232" t="s">
        <v>6838</v>
      </c>
      <c r="C3017" s="232">
        <v>0.0</v>
      </c>
      <c r="D3017" s="232">
        <v>0.0</v>
      </c>
      <c r="F3017" t="s">
        <v>7702</v>
      </c>
      <c r="G3017" t="s">
        <v>310</v>
      </c>
      <c r="H3017" t="s">
        <v>45</v>
      </c>
      <c r="I3017" t="s">
        <v>7827</v>
      </c>
    </row>
    <row r="3018">
      <c r="A3018" t="s">
        <v>6841</v>
      </c>
      <c r="B3018" s="232" t="s">
        <v>6840</v>
      </c>
      <c r="C3018" s="232">
        <v>80.0</v>
      </c>
      <c r="D3018" s="232">
        <v>273.2</v>
      </c>
      <c r="E3018" s="232">
        <v>3.415</v>
      </c>
      <c r="F3018" t="s">
        <v>7702</v>
      </c>
      <c r="G3018" t="s">
        <v>330</v>
      </c>
      <c r="H3018" t="s">
        <v>45</v>
      </c>
      <c r="I3018" t="s">
        <v>7827</v>
      </c>
    </row>
    <row r="3019">
      <c r="A3019" t="s">
        <v>6843</v>
      </c>
      <c r="B3019" s="232" t="s">
        <v>6842</v>
      </c>
      <c r="C3019" s="232">
        <v>0.0</v>
      </c>
      <c r="D3019" s="232">
        <v>0.0</v>
      </c>
      <c r="F3019" t="s">
        <v>7702</v>
      </c>
      <c r="G3019" t="s">
        <v>330</v>
      </c>
      <c r="H3019" t="s">
        <v>45</v>
      </c>
      <c r="I3019" t="s">
        <v>7827</v>
      </c>
    </row>
    <row r="3020">
      <c r="A3020" t="s">
        <v>6845</v>
      </c>
      <c r="B3020" s="232" t="s">
        <v>6844</v>
      </c>
      <c r="C3020" s="232">
        <v>0.0</v>
      </c>
      <c r="D3020" s="232">
        <v>0.0</v>
      </c>
      <c r="F3020" t="s">
        <v>7702</v>
      </c>
      <c r="G3020" t="s">
        <v>310</v>
      </c>
      <c r="H3020" t="s">
        <v>45</v>
      </c>
      <c r="I3020" t="s">
        <v>7827</v>
      </c>
    </row>
    <row r="3021">
      <c r="A3021" t="s">
        <v>6847</v>
      </c>
      <c r="B3021" s="232" t="s">
        <v>6846</v>
      </c>
      <c r="C3021" s="232">
        <v>455.0</v>
      </c>
      <c r="D3021" s="232">
        <v>1161.35</v>
      </c>
      <c r="E3021" s="232">
        <v>2.5524</v>
      </c>
      <c r="F3021" t="s">
        <v>7702</v>
      </c>
      <c r="G3021" t="s">
        <v>330</v>
      </c>
      <c r="H3021" t="s">
        <v>45</v>
      </c>
      <c r="I3021" t="s">
        <v>7827</v>
      </c>
    </row>
    <row r="3022">
      <c r="A3022" t="s">
        <v>6849</v>
      </c>
      <c r="B3022" s="232" t="s">
        <v>6848</v>
      </c>
      <c r="C3022" s="232">
        <v>28.0</v>
      </c>
      <c r="D3022" s="232">
        <v>71.5</v>
      </c>
      <c r="E3022" s="232">
        <v>2.5536</v>
      </c>
      <c r="F3022" t="s">
        <v>7702</v>
      </c>
      <c r="G3022" t="s">
        <v>330</v>
      </c>
      <c r="H3022" t="s">
        <v>45</v>
      </c>
      <c r="I3022" t="s">
        <v>7827</v>
      </c>
    </row>
    <row r="3023">
      <c r="A3023" t="s">
        <v>6851</v>
      </c>
      <c r="B3023" s="232" t="s">
        <v>6850</v>
      </c>
      <c r="C3023" s="232">
        <v>4.0</v>
      </c>
      <c r="D3023" s="232">
        <v>10.61</v>
      </c>
      <c r="E3023" s="232">
        <v>2.6525</v>
      </c>
      <c r="F3023" t="s">
        <v>7702</v>
      </c>
      <c r="G3023" t="s">
        <v>330</v>
      </c>
      <c r="H3023" t="s">
        <v>45</v>
      </c>
      <c r="I3023" t="s">
        <v>7827</v>
      </c>
    </row>
    <row r="3024">
      <c r="A3024" t="s">
        <v>6853</v>
      </c>
      <c r="B3024" s="232" t="s">
        <v>6852</v>
      </c>
      <c r="C3024" s="232">
        <v>156.0</v>
      </c>
      <c r="D3024" s="232">
        <v>558.17</v>
      </c>
      <c r="E3024" s="232">
        <v>3.578</v>
      </c>
      <c r="F3024" t="s">
        <v>7702</v>
      </c>
      <c r="G3024" t="s">
        <v>330</v>
      </c>
      <c r="H3024" t="s">
        <v>45</v>
      </c>
      <c r="I3024" t="s">
        <v>7827</v>
      </c>
    </row>
    <row r="3025">
      <c r="A3025" t="s">
        <v>6855</v>
      </c>
      <c r="B3025" s="232" t="s">
        <v>6854</v>
      </c>
      <c r="C3025" s="232">
        <v>0.0</v>
      </c>
      <c r="D3025" s="232">
        <v>0.0</v>
      </c>
      <c r="F3025" t="s">
        <v>7702</v>
      </c>
      <c r="G3025" t="s">
        <v>310</v>
      </c>
      <c r="H3025" t="s">
        <v>45</v>
      </c>
      <c r="I3025" t="s">
        <v>7827</v>
      </c>
    </row>
    <row r="3026">
      <c r="A3026" t="s">
        <v>6857</v>
      </c>
      <c r="B3026" s="232" t="s">
        <v>6856</v>
      </c>
      <c r="C3026" s="232">
        <v>187.0</v>
      </c>
      <c r="D3026" s="232">
        <v>805.53</v>
      </c>
      <c r="E3026" s="232">
        <v>4.3076</v>
      </c>
      <c r="F3026" t="s">
        <v>7702</v>
      </c>
      <c r="G3026" t="s">
        <v>330</v>
      </c>
      <c r="H3026" t="s">
        <v>45</v>
      </c>
      <c r="I3026" t="s">
        <v>7827</v>
      </c>
    </row>
    <row r="3027">
      <c r="A3027" t="s">
        <v>6859</v>
      </c>
      <c r="B3027" s="232" t="s">
        <v>6858</v>
      </c>
      <c r="C3027" s="232">
        <v>0.0</v>
      </c>
      <c r="D3027" s="232">
        <v>0.0</v>
      </c>
      <c r="F3027" t="s">
        <v>7702</v>
      </c>
      <c r="G3027" t="s">
        <v>310</v>
      </c>
      <c r="H3027" t="s">
        <v>45</v>
      </c>
      <c r="I3027" t="s">
        <v>7827</v>
      </c>
    </row>
    <row r="3028">
      <c r="A3028" t="s">
        <v>6863</v>
      </c>
      <c r="B3028" s="232" t="s">
        <v>6862</v>
      </c>
      <c r="C3028" s="232">
        <v>15.0</v>
      </c>
      <c r="D3028" s="232">
        <v>47.08</v>
      </c>
      <c r="E3028" s="232">
        <v>3.1387</v>
      </c>
      <c r="F3028" t="s">
        <v>7702</v>
      </c>
      <c r="G3028" t="s">
        <v>330</v>
      </c>
      <c r="H3028" t="s">
        <v>45</v>
      </c>
      <c r="I3028" t="s">
        <v>7827</v>
      </c>
    </row>
    <row r="3029">
      <c r="A3029" t="s">
        <v>6865</v>
      </c>
      <c r="B3029" s="232" t="s">
        <v>6864</v>
      </c>
      <c r="C3029" s="232">
        <v>256.0</v>
      </c>
      <c r="D3029" s="232">
        <v>618.01</v>
      </c>
      <c r="E3029" s="232">
        <v>2.4141</v>
      </c>
      <c r="F3029" t="s">
        <v>7702</v>
      </c>
      <c r="G3029" t="s">
        <v>330</v>
      </c>
      <c r="H3029" t="s">
        <v>45</v>
      </c>
      <c r="I3029" t="s">
        <v>7827</v>
      </c>
    </row>
    <row r="3030">
      <c r="A3030" t="s">
        <v>6867</v>
      </c>
      <c r="B3030" s="232" t="s">
        <v>6866</v>
      </c>
      <c r="C3030" s="232">
        <v>214.0</v>
      </c>
      <c r="D3030" s="232">
        <v>576.23</v>
      </c>
      <c r="E3030" s="232">
        <v>2.6927</v>
      </c>
      <c r="F3030" t="s">
        <v>7702</v>
      </c>
      <c r="G3030" t="s">
        <v>330</v>
      </c>
      <c r="H3030" t="s">
        <v>45</v>
      </c>
      <c r="I3030" t="s">
        <v>7827</v>
      </c>
    </row>
    <row r="3031">
      <c r="A3031" t="s">
        <v>6870</v>
      </c>
      <c r="B3031" s="232" t="s">
        <v>6869</v>
      </c>
      <c r="C3031" s="232">
        <v>1.0</v>
      </c>
      <c r="D3031" s="232">
        <v>32.47</v>
      </c>
      <c r="E3031" s="232">
        <v>32.47</v>
      </c>
      <c r="F3031" t="s">
        <v>7702</v>
      </c>
      <c r="G3031" t="s">
        <v>330</v>
      </c>
      <c r="H3031" t="s">
        <v>45</v>
      </c>
      <c r="I3031" t="s">
        <v>7827</v>
      </c>
    </row>
    <row r="3032">
      <c r="A3032" t="s">
        <v>6872</v>
      </c>
      <c r="B3032" s="232" t="s">
        <v>6871</v>
      </c>
      <c r="C3032" s="232">
        <v>4.0</v>
      </c>
      <c r="D3032" s="232">
        <v>0.04</v>
      </c>
      <c r="E3032" s="232">
        <v>0.01</v>
      </c>
      <c r="F3032" t="s">
        <v>7702</v>
      </c>
      <c r="G3032" t="s">
        <v>330</v>
      </c>
      <c r="H3032" t="s">
        <v>7725</v>
      </c>
      <c r="I3032" t="s">
        <v>7827</v>
      </c>
    </row>
    <row r="3033">
      <c r="A3033" t="s">
        <v>6876</v>
      </c>
      <c r="B3033" s="232" t="s">
        <v>6875</v>
      </c>
      <c r="C3033" s="232">
        <v>0.0</v>
      </c>
      <c r="D3033" s="232">
        <v>0.0</v>
      </c>
      <c r="F3033" t="s">
        <v>7702</v>
      </c>
      <c r="G3033" t="s">
        <v>310</v>
      </c>
      <c r="H3033" t="s">
        <v>7703</v>
      </c>
      <c r="I3033" t="s">
        <v>7746</v>
      </c>
    </row>
    <row r="3034">
      <c r="A3034" t="s">
        <v>6878</v>
      </c>
      <c r="B3034" s="232" t="s">
        <v>6877</v>
      </c>
      <c r="C3034" s="232">
        <v>530.0</v>
      </c>
      <c r="D3034" s="232">
        <v>291.5</v>
      </c>
      <c r="E3034" s="232">
        <v>0.55</v>
      </c>
      <c r="F3034" t="s">
        <v>7702</v>
      </c>
      <c r="G3034" t="s">
        <v>330</v>
      </c>
      <c r="H3034" t="s">
        <v>7725</v>
      </c>
      <c r="I3034" t="s">
        <v>7727</v>
      </c>
    </row>
    <row r="3035">
      <c r="A3035" t="s">
        <v>6880</v>
      </c>
      <c r="B3035" s="232" t="s">
        <v>6879</v>
      </c>
      <c r="C3035" s="232">
        <v>89.0</v>
      </c>
      <c r="D3035" s="232">
        <v>44.5</v>
      </c>
      <c r="E3035" s="232">
        <v>0.5</v>
      </c>
      <c r="F3035" t="s">
        <v>7702</v>
      </c>
      <c r="G3035" t="s">
        <v>330</v>
      </c>
      <c r="H3035" t="s">
        <v>7725</v>
      </c>
      <c r="I3035" t="s">
        <v>7745</v>
      </c>
    </row>
    <row r="3036">
      <c r="A3036" t="s">
        <v>6882</v>
      </c>
      <c r="B3036" s="232" t="s">
        <v>6881</v>
      </c>
      <c r="C3036" s="232">
        <v>216.0</v>
      </c>
      <c r="D3036" s="232">
        <v>355.1</v>
      </c>
      <c r="E3036" s="232">
        <v>1.644</v>
      </c>
      <c r="F3036" t="s">
        <v>7702</v>
      </c>
      <c r="G3036" t="s">
        <v>330</v>
      </c>
      <c r="H3036" t="s">
        <v>45</v>
      </c>
      <c r="I3036" t="s">
        <v>7721</v>
      </c>
    </row>
    <row r="3037">
      <c r="A3037" t="s">
        <v>6884</v>
      </c>
      <c r="B3037" s="232" t="s">
        <v>6883</v>
      </c>
      <c r="C3037" s="232">
        <v>18.0</v>
      </c>
      <c r="D3037" s="232">
        <v>378.0</v>
      </c>
      <c r="E3037" s="232">
        <v>21.0</v>
      </c>
      <c r="F3037" t="s">
        <v>7702</v>
      </c>
      <c r="G3037" t="s">
        <v>330</v>
      </c>
      <c r="H3037" t="s">
        <v>45</v>
      </c>
      <c r="I3037" t="s">
        <v>7714</v>
      </c>
    </row>
    <row r="3038">
      <c r="A3038" t="s">
        <v>6886</v>
      </c>
      <c r="B3038" s="232" t="s">
        <v>6885</v>
      </c>
      <c r="C3038" s="232">
        <v>0.0</v>
      </c>
      <c r="D3038" s="232">
        <v>0.0</v>
      </c>
      <c r="F3038" t="s">
        <v>7702</v>
      </c>
      <c r="G3038" t="s">
        <v>310</v>
      </c>
      <c r="H3038" t="s">
        <v>45</v>
      </c>
      <c r="I3038" t="s">
        <v>7721</v>
      </c>
    </row>
    <row r="3039">
      <c r="A3039" t="s">
        <v>6888</v>
      </c>
      <c r="B3039" s="232" t="s">
        <v>6887</v>
      </c>
      <c r="C3039" s="232">
        <v>822.0</v>
      </c>
      <c r="D3039" s="232">
        <v>1446.2</v>
      </c>
      <c r="E3039" s="232">
        <v>1.7594</v>
      </c>
      <c r="F3039" t="s">
        <v>7702</v>
      </c>
      <c r="G3039" t="s">
        <v>330</v>
      </c>
      <c r="H3039" t="s">
        <v>45</v>
      </c>
      <c r="I3039" t="s">
        <v>7721</v>
      </c>
    </row>
    <row r="3040">
      <c r="A3040" t="s">
        <v>6890</v>
      </c>
      <c r="B3040" s="232" t="s">
        <v>6889</v>
      </c>
      <c r="C3040" s="232">
        <v>0.0</v>
      </c>
      <c r="D3040" s="232">
        <v>0.0</v>
      </c>
      <c r="F3040" t="s">
        <v>7702</v>
      </c>
      <c r="G3040" t="s">
        <v>330</v>
      </c>
      <c r="H3040" t="s">
        <v>45</v>
      </c>
      <c r="I3040" t="s">
        <v>7721</v>
      </c>
    </row>
    <row r="3041">
      <c r="A3041" t="s">
        <v>6892</v>
      </c>
      <c r="B3041" s="232" t="s">
        <v>6891</v>
      </c>
      <c r="C3041" s="232">
        <v>0.0</v>
      </c>
      <c r="D3041" s="232">
        <v>0.0</v>
      </c>
      <c r="F3041" t="s">
        <v>7702</v>
      </c>
      <c r="G3041" t="s">
        <v>330</v>
      </c>
      <c r="H3041" t="s">
        <v>45</v>
      </c>
      <c r="I3041" t="s">
        <v>7721</v>
      </c>
    </row>
    <row r="3042">
      <c r="A3042" t="s">
        <v>6894</v>
      </c>
      <c r="B3042" s="232" t="s">
        <v>6893</v>
      </c>
      <c r="C3042" s="232">
        <v>0.0</v>
      </c>
      <c r="D3042" s="232">
        <v>0.0</v>
      </c>
      <c r="F3042" t="s">
        <v>7702</v>
      </c>
      <c r="G3042" t="s">
        <v>310</v>
      </c>
      <c r="H3042" t="s">
        <v>45</v>
      </c>
      <c r="I3042" t="s">
        <v>7721</v>
      </c>
    </row>
    <row r="3043">
      <c r="A3043" t="s">
        <v>6896</v>
      </c>
      <c r="B3043" s="232" t="s">
        <v>6895</v>
      </c>
      <c r="C3043" s="232">
        <v>546.0</v>
      </c>
      <c r="D3043" s="232">
        <v>894.21</v>
      </c>
      <c r="E3043" s="232">
        <v>1.6377</v>
      </c>
      <c r="F3043" t="s">
        <v>7702</v>
      </c>
      <c r="G3043" t="s">
        <v>330</v>
      </c>
      <c r="H3043" t="s">
        <v>45</v>
      </c>
      <c r="I3043" t="s">
        <v>7721</v>
      </c>
    </row>
    <row r="3044">
      <c r="A3044" t="s">
        <v>6898</v>
      </c>
      <c r="B3044" s="232" t="s">
        <v>6897</v>
      </c>
      <c r="C3044" s="232">
        <v>846.0</v>
      </c>
      <c r="D3044" s="232">
        <v>1383.71</v>
      </c>
      <c r="E3044" s="232">
        <v>1.6356</v>
      </c>
      <c r="F3044" t="s">
        <v>7702</v>
      </c>
      <c r="G3044" t="s">
        <v>330</v>
      </c>
      <c r="H3044" t="s">
        <v>45</v>
      </c>
      <c r="I3044" t="s">
        <v>7721</v>
      </c>
    </row>
    <row r="3045">
      <c r="A3045" t="s">
        <v>6900</v>
      </c>
      <c r="B3045" s="232" t="s">
        <v>6899</v>
      </c>
      <c r="C3045" s="232">
        <v>378.0</v>
      </c>
      <c r="D3045" s="232">
        <v>619.77</v>
      </c>
      <c r="E3045" s="232">
        <v>1.6396</v>
      </c>
      <c r="F3045" t="s">
        <v>7702</v>
      </c>
      <c r="G3045" t="s">
        <v>330</v>
      </c>
      <c r="H3045" t="s">
        <v>45</v>
      </c>
      <c r="I3045" t="s">
        <v>7721</v>
      </c>
    </row>
    <row r="3046">
      <c r="A3046" t="s">
        <v>6902</v>
      </c>
      <c r="B3046" s="232" t="s">
        <v>6901</v>
      </c>
      <c r="C3046" s="232">
        <v>0.0</v>
      </c>
      <c r="D3046" s="232">
        <v>0.0</v>
      </c>
      <c r="F3046" t="s">
        <v>7702</v>
      </c>
      <c r="G3046" t="s">
        <v>310</v>
      </c>
      <c r="H3046" t="s">
        <v>45</v>
      </c>
      <c r="I3046" t="s">
        <v>7721</v>
      </c>
    </row>
    <row r="3047">
      <c r="A3047" t="s">
        <v>6904</v>
      </c>
      <c r="B3047" s="232" t="s">
        <v>6903</v>
      </c>
      <c r="C3047" s="232">
        <v>276.0</v>
      </c>
      <c r="D3047" s="232">
        <v>453.25</v>
      </c>
      <c r="E3047" s="232">
        <v>1.6422</v>
      </c>
      <c r="F3047" t="s">
        <v>7702</v>
      </c>
      <c r="G3047" t="s">
        <v>330</v>
      </c>
      <c r="H3047" t="s">
        <v>45</v>
      </c>
      <c r="I3047" t="s">
        <v>7721</v>
      </c>
    </row>
    <row r="3048">
      <c r="A3048" t="s">
        <v>6906</v>
      </c>
      <c r="B3048" s="232" t="s">
        <v>6905</v>
      </c>
      <c r="C3048" s="232">
        <v>0.0</v>
      </c>
      <c r="D3048" s="232">
        <v>0.0</v>
      </c>
      <c r="F3048" t="s">
        <v>7702</v>
      </c>
      <c r="G3048" t="s">
        <v>310</v>
      </c>
      <c r="H3048" t="s">
        <v>45</v>
      </c>
      <c r="I3048" t="s">
        <v>7721</v>
      </c>
    </row>
    <row r="3049">
      <c r="A3049" t="s">
        <v>6908</v>
      </c>
      <c r="B3049" s="232" t="s">
        <v>6907</v>
      </c>
      <c r="C3049" s="232">
        <v>3.0</v>
      </c>
      <c r="D3049" s="232">
        <v>239.64</v>
      </c>
      <c r="E3049" s="232">
        <v>79.88</v>
      </c>
      <c r="F3049" t="s">
        <v>7702</v>
      </c>
      <c r="G3049" t="s">
        <v>330</v>
      </c>
      <c r="H3049" t="s">
        <v>45</v>
      </c>
      <c r="I3049" t="s">
        <v>7721</v>
      </c>
    </row>
    <row r="3050">
      <c r="A3050" t="s">
        <v>6910</v>
      </c>
      <c r="B3050" s="232" t="s">
        <v>6909</v>
      </c>
      <c r="C3050" s="232">
        <v>900.0</v>
      </c>
      <c r="D3050" s="232">
        <v>1472.02</v>
      </c>
      <c r="E3050" s="232">
        <v>1.6356</v>
      </c>
      <c r="F3050" t="s">
        <v>7702</v>
      </c>
      <c r="G3050" t="s">
        <v>330</v>
      </c>
      <c r="H3050" t="s">
        <v>45</v>
      </c>
      <c r="I3050" t="s">
        <v>7721</v>
      </c>
    </row>
    <row r="3051">
      <c r="A3051" t="s">
        <v>6920</v>
      </c>
      <c r="B3051" s="232" t="s">
        <v>6919</v>
      </c>
      <c r="C3051" s="232">
        <v>0.0</v>
      </c>
      <c r="D3051" s="232">
        <v>0.0</v>
      </c>
      <c r="F3051" t="s">
        <v>7702</v>
      </c>
      <c r="G3051" t="s">
        <v>310</v>
      </c>
      <c r="H3051" t="s">
        <v>7703</v>
      </c>
      <c r="I3051" t="s">
        <v>7716</v>
      </c>
    </row>
    <row r="3052">
      <c r="A3052" t="s">
        <v>6922</v>
      </c>
      <c r="B3052" s="232" t="s">
        <v>6921</v>
      </c>
      <c r="C3052" s="232">
        <v>0.0</v>
      </c>
      <c r="D3052" s="232">
        <v>0.0</v>
      </c>
      <c r="F3052" t="s">
        <v>7702</v>
      </c>
      <c r="G3052" t="s">
        <v>310</v>
      </c>
      <c r="H3052" t="s">
        <v>45</v>
      </c>
      <c r="I3052" t="s">
        <v>7765</v>
      </c>
    </row>
    <row r="3053">
      <c r="A3053" t="s">
        <v>6924</v>
      </c>
      <c r="B3053" s="232" t="s">
        <v>6923</v>
      </c>
      <c r="C3053" s="232">
        <v>0.0</v>
      </c>
      <c r="D3053" s="232">
        <v>0.0</v>
      </c>
      <c r="F3053" t="s">
        <v>7702</v>
      </c>
      <c r="G3053" t="s">
        <v>310</v>
      </c>
      <c r="H3053" t="s">
        <v>7703</v>
      </c>
      <c r="I3053" t="s">
        <v>7716</v>
      </c>
    </row>
    <row r="3054">
      <c r="A3054" t="s">
        <v>6926</v>
      </c>
      <c r="B3054" s="232" t="s">
        <v>6925</v>
      </c>
      <c r="C3054" s="232">
        <v>0.0</v>
      </c>
      <c r="D3054" s="232">
        <v>0.0</v>
      </c>
      <c r="F3054" t="s">
        <v>7702</v>
      </c>
      <c r="G3054" t="s">
        <v>310</v>
      </c>
      <c r="H3054" t="s">
        <v>7703</v>
      </c>
      <c r="I3054" t="s">
        <v>7716</v>
      </c>
    </row>
    <row r="3055">
      <c r="A3055" t="s">
        <v>6928</v>
      </c>
      <c r="B3055" s="232" t="s">
        <v>6927</v>
      </c>
      <c r="C3055" s="232">
        <v>0.0</v>
      </c>
      <c r="D3055" s="232">
        <v>0.0</v>
      </c>
      <c r="F3055" t="s">
        <v>7702</v>
      </c>
      <c r="G3055" t="s">
        <v>330</v>
      </c>
      <c r="H3055" t="s">
        <v>7709</v>
      </c>
      <c r="I3055" t="s">
        <v>7815</v>
      </c>
    </row>
    <row r="3056">
      <c r="A3056" t="s">
        <v>6934</v>
      </c>
      <c r="B3056" s="232" t="s">
        <v>6933</v>
      </c>
      <c r="C3056" s="232">
        <v>183.0</v>
      </c>
      <c r="D3056" s="232">
        <v>1459.61</v>
      </c>
      <c r="E3056" s="232">
        <v>7.976</v>
      </c>
      <c r="F3056" t="s">
        <v>7702</v>
      </c>
      <c r="G3056" t="s">
        <v>330</v>
      </c>
      <c r="H3056" t="s">
        <v>7709</v>
      </c>
      <c r="I3056" t="s">
        <v>7815</v>
      </c>
    </row>
    <row r="3057">
      <c r="A3057" t="s">
        <v>6936</v>
      </c>
      <c r="B3057" s="232" t="s">
        <v>6935</v>
      </c>
      <c r="C3057" s="232">
        <v>53.0</v>
      </c>
      <c r="D3057" s="232">
        <v>434.83</v>
      </c>
      <c r="E3057" s="232">
        <v>8.2043</v>
      </c>
      <c r="F3057" t="s">
        <v>7702</v>
      </c>
      <c r="G3057" t="s">
        <v>330</v>
      </c>
      <c r="H3057" t="s">
        <v>7709</v>
      </c>
      <c r="I3057" t="s">
        <v>7815</v>
      </c>
    </row>
    <row r="3058">
      <c r="A3058" t="s">
        <v>6938</v>
      </c>
      <c r="B3058" s="232" t="s">
        <v>6937</v>
      </c>
      <c r="C3058" s="232">
        <v>271.0</v>
      </c>
      <c r="D3058" s="232">
        <v>2156.06</v>
      </c>
      <c r="E3058" s="232">
        <v>7.9559</v>
      </c>
      <c r="F3058" t="s">
        <v>7702</v>
      </c>
      <c r="G3058" t="s">
        <v>330</v>
      </c>
      <c r="H3058" t="s">
        <v>7709</v>
      </c>
      <c r="I3058" t="s">
        <v>7815</v>
      </c>
    </row>
    <row r="3059">
      <c r="A3059" t="s">
        <v>6942</v>
      </c>
      <c r="B3059" s="232" t="s">
        <v>6941</v>
      </c>
      <c r="C3059" s="232">
        <v>263.0</v>
      </c>
      <c r="D3059" s="232">
        <v>2097.84</v>
      </c>
      <c r="E3059" s="232">
        <v>7.9766</v>
      </c>
      <c r="F3059" t="s">
        <v>7702</v>
      </c>
      <c r="G3059" t="s">
        <v>330</v>
      </c>
      <c r="H3059" t="s">
        <v>7709</v>
      </c>
      <c r="I3059" t="s">
        <v>7815</v>
      </c>
    </row>
    <row r="3060">
      <c r="A3060" t="s">
        <v>6944</v>
      </c>
      <c r="B3060" s="232" t="s">
        <v>6943</v>
      </c>
      <c r="C3060" s="232">
        <v>151.0</v>
      </c>
      <c r="D3060" s="232">
        <v>1258.1</v>
      </c>
      <c r="E3060" s="232">
        <v>8.3318</v>
      </c>
      <c r="F3060" t="s">
        <v>7702</v>
      </c>
      <c r="G3060" t="s">
        <v>330</v>
      </c>
      <c r="H3060" t="s">
        <v>7709</v>
      </c>
      <c r="I3060" t="s">
        <v>7815</v>
      </c>
    </row>
    <row r="3061">
      <c r="A3061" t="s">
        <v>6948</v>
      </c>
      <c r="B3061" s="232" t="s">
        <v>6947</v>
      </c>
      <c r="C3061" s="232">
        <v>95.0</v>
      </c>
      <c r="D3061" s="232">
        <v>792.91</v>
      </c>
      <c r="E3061" s="232">
        <v>8.3464</v>
      </c>
      <c r="F3061" t="s">
        <v>7702</v>
      </c>
      <c r="G3061" t="s">
        <v>330</v>
      </c>
      <c r="H3061" t="s">
        <v>7709</v>
      </c>
      <c r="I3061" t="s">
        <v>7815</v>
      </c>
    </row>
    <row r="3062">
      <c r="A3062" t="s">
        <v>6952</v>
      </c>
      <c r="B3062" s="232" t="s">
        <v>6951</v>
      </c>
      <c r="C3062" s="232">
        <v>270.0</v>
      </c>
      <c r="D3062" s="232">
        <v>2153.61</v>
      </c>
      <c r="E3062" s="232">
        <v>7.9763</v>
      </c>
      <c r="F3062" t="s">
        <v>7702</v>
      </c>
      <c r="G3062" t="s">
        <v>330</v>
      </c>
      <c r="H3062" t="s">
        <v>45</v>
      </c>
      <c r="I3062" t="s">
        <v>7815</v>
      </c>
    </row>
    <row r="3063">
      <c r="A3063" t="s">
        <v>6956</v>
      </c>
      <c r="B3063" s="232" t="s">
        <v>6955</v>
      </c>
      <c r="C3063" s="232">
        <v>650.0</v>
      </c>
      <c r="D3063" s="232">
        <v>0.0</v>
      </c>
      <c r="E3063" s="232">
        <v>0.0</v>
      </c>
      <c r="F3063" t="s">
        <v>7702</v>
      </c>
      <c r="G3063" t="s">
        <v>330</v>
      </c>
      <c r="H3063" t="s">
        <v>7733</v>
      </c>
      <c r="I3063" t="s">
        <v>7815</v>
      </c>
    </row>
    <row r="3064">
      <c r="A3064" t="s">
        <v>6960</v>
      </c>
      <c r="B3064" s="232" t="s">
        <v>6959</v>
      </c>
      <c r="C3064" s="232">
        <v>0.0</v>
      </c>
      <c r="D3064" s="232">
        <v>0.0</v>
      </c>
      <c r="F3064" t="s">
        <v>7711</v>
      </c>
      <c r="G3064" t="s">
        <v>310</v>
      </c>
      <c r="H3064" t="s">
        <v>7703</v>
      </c>
    </row>
    <row r="3065" ht="14.0">
      <c r="A3065" t="s">
        <v>6962</v>
      </c>
      <c r="B3065" s="232" t="s">
        <v>6961</v>
      </c>
      <c r="C3065" s="232">
        <v>437.0</v>
      </c>
      <c r="D3065" s="232">
        <v>2054.0</v>
      </c>
      <c r="E3065" s="232">
        <v>4.7002</v>
      </c>
      <c r="F3065" t="s">
        <v>7702</v>
      </c>
      <c r="G3065" t="s">
        <v>330</v>
      </c>
      <c r="H3065" t="s">
        <v>214</v>
      </c>
      <c r="I3065" t="s">
        <v>7712</v>
      </c>
    </row>
    <row r="3066">
      <c r="A3066" t="s">
        <v>6966</v>
      </c>
      <c r="B3066" s="232" t="s">
        <v>6965</v>
      </c>
      <c r="C3066" s="232">
        <v>0.0</v>
      </c>
      <c r="D3066" s="232">
        <v>0.0</v>
      </c>
      <c r="F3066" t="s">
        <v>7702</v>
      </c>
      <c r="G3066" t="s">
        <v>310</v>
      </c>
      <c r="H3066" t="s">
        <v>7703</v>
      </c>
      <c r="I3066" t="s">
        <v>7839</v>
      </c>
    </row>
    <row r="3067" ht="17.0">
      <c r="A3067" t="s">
        <v>6970</v>
      </c>
      <c r="B3067" s="232" t="s">
        <v>6969</v>
      </c>
      <c r="C3067" s="232">
        <v>0.0</v>
      </c>
      <c r="D3067" s="232">
        <v>0.0</v>
      </c>
      <c r="F3067" t="s">
        <v>7702</v>
      </c>
      <c r="G3067" t="s">
        <v>310</v>
      </c>
      <c r="H3067" t="s">
        <v>7703</v>
      </c>
      <c r="I3067" t="s">
        <v>7839</v>
      </c>
    </row>
    <row r="3068" customHeight="1" ht="6.0">
      <c r="A3068" t="s">
        <v>6974</v>
      </c>
      <c r="B3068" s="232" t="s">
        <v>6973</v>
      </c>
      <c r="C3068" s="232">
        <v>0.0</v>
      </c>
      <c r="D3068" s="232">
        <v>0.0</v>
      </c>
      <c r="F3068" t="s">
        <v>7702</v>
      </c>
      <c r="G3068" t="s">
        <v>310</v>
      </c>
      <c r="H3068" t="s">
        <v>45</v>
      </c>
      <c r="I3068" t="s">
        <v>7723</v>
      </c>
    </row>
    <row r="3069" ht="17.0">
      <c r="A3069" t="s">
        <v>6976</v>
      </c>
      <c r="B3069" s="232" t="s">
        <v>6975</v>
      </c>
      <c r="C3069" s="232">
        <v>0.0</v>
      </c>
      <c r="D3069" s="232">
        <v>0.0</v>
      </c>
      <c r="F3069" t="s">
        <v>7702</v>
      </c>
      <c r="G3069" t="s">
        <v>310</v>
      </c>
      <c r="H3069" t="s">
        <v>7703</v>
      </c>
      <c r="I3069" t="s">
        <v>7714</v>
      </c>
    </row>
    <row r="3070" ht="17.0">
      <c r="A3070" t="s">
        <v>6978</v>
      </c>
      <c r="B3070" s="232" t="s">
        <v>6977</v>
      </c>
      <c r="C3070" s="232">
        <v>0.0</v>
      </c>
      <c r="D3070" s="232">
        <v>0.0</v>
      </c>
      <c r="F3070" t="s">
        <v>7702</v>
      </c>
      <c r="G3070" t="s">
        <v>310</v>
      </c>
      <c r="H3070" t="s">
        <v>45</v>
      </c>
      <c r="I3070" t="s">
        <v>98</v>
      </c>
    </row>
    <row r="3071" ht="17.0">
      <c r="A3071" t="s">
        <v>6980</v>
      </c>
      <c r="B3071" s="232" t="s">
        <v>6979</v>
      </c>
      <c r="C3071" s="232">
        <v>0.0</v>
      </c>
      <c r="D3071" s="232">
        <v>0.0</v>
      </c>
      <c r="F3071" t="s">
        <v>7702</v>
      </c>
      <c r="G3071" t="s">
        <v>330</v>
      </c>
      <c r="H3071" t="s">
        <v>45</v>
      </c>
      <c r="I3071" t="s">
        <v>98</v>
      </c>
    </row>
    <row r="3072" customHeight="1" ht="8.0">
      <c r="A3072" t="s">
        <v>6982</v>
      </c>
      <c r="B3072" s="232" t="s">
        <v>6981</v>
      </c>
      <c r="C3072" s="232">
        <v>0.0</v>
      </c>
      <c r="D3072" s="232">
        <v>0.0</v>
      </c>
      <c r="F3072" t="s">
        <v>7702</v>
      </c>
      <c r="G3072" t="s">
        <v>330</v>
      </c>
      <c r="H3072" t="s">
        <v>45</v>
      </c>
      <c r="I3072" t="s">
        <v>98</v>
      </c>
    </row>
    <row r="3073">
      <c r="A3073" t="s">
        <v>6984</v>
      </c>
      <c r="B3073" s="232" t="s">
        <v>6983</v>
      </c>
      <c r="C3073" s="232">
        <v>0.0</v>
      </c>
      <c r="D3073" s="232">
        <v>0.0</v>
      </c>
      <c r="F3073" t="s">
        <v>7702</v>
      </c>
      <c r="G3073" t="s">
        <v>330</v>
      </c>
      <c r="H3073" t="s">
        <v>45</v>
      </c>
      <c r="I3073" t="s">
        <v>98</v>
      </c>
    </row>
    <row r="3074">
      <c r="A3074" t="s">
        <v>6986</v>
      </c>
      <c r="B3074" s="232" t="s">
        <v>6985</v>
      </c>
      <c r="C3074" s="232">
        <v>516.0</v>
      </c>
      <c r="D3074" s="232">
        <v>197.56</v>
      </c>
      <c r="E3074" s="232">
        <v>0.3829</v>
      </c>
      <c r="F3074" t="s">
        <v>7702</v>
      </c>
      <c r="G3074" t="s">
        <v>330</v>
      </c>
      <c r="H3074" t="s">
        <v>45</v>
      </c>
      <c r="I3074" t="s">
        <v>98</v>
      </c>
    </row>
    <row r="3075">
      <c r="A3075" t="s">
        <v>6988</v>
      </c>
      <c r="B3075" s="232" t="s">
        <v>6987</v>
      </c>
      <c r="C3075" s="232">
        <v>324.0</v>
      </c>
      <c r="D3075" s="232">
        <v>159.73</v>
      </c>
      <c r="E3075" s="232">
        <v>0.493</v>
      </c>
      <c r="F3075" t="s">
        <v>7702</v>
      </c>
      <c r="G3075" t="s">
        <v>330</v>
      </c>
      <c r="H3075" t="s">
        <v>45</v>
      </c>
      <c r="I3075" t="s">
        <v>98</v>
      </c>
    </row>
    <row r="3076">
      <c r="A3076" t="s">
        <v>6990</v>
      </c>
      <c r="B3076" s="232" t="s">
        <v>6989</v>
      </c>
      <c r="C3076" s="232">
        <v>504.0</v>
      </c>
      <c r="D3076" s="232">
        <v>190.05</v>
      </c>
      <c r="E3076" s="232">
        <v>0.3771</v>
      </c>
      <c r="F3076" t="s">
        <v>7702</v>
      </c>
      <c r="G3076" t="s">
        <v>330</v>
      </c>
      <c r="H3076" t="s">
        <v>45</v>
      </c>
      <c r="I3076" t="s">
        <v>98</v>
      </c>
    </row>
    <row r="3077">
      <c r="A3077" t="s">
        <v>6992</v>
      </c>
      <c r="B3077" s="232" t="s">
        <v>6991</v>
      </c>
      <c r="C3077" s="232">
        <v>252.0</v>
      </c>
      <c r="D3077" s="232">
        <v>124.1</v>
      </c>
      <c r="E3077" s="232">
        <v>0.4925</v>
      </c>
      <c r="F3077" t="s">
        <v>7702</v>
      </c>
      <c r="G3077" t="s">
        <v>330</v>
      </c>
      <c r="H3077" t="s">
        <v>45</v>
      </c>
      <c r="I3077" t="s">
        <v>98</v>
      </c>
    </row>
    <row r="3078">
      <c r="A3078" t="s">
        <v>6994</v>
      </c>
      <c r="B3078" s="232" t="s">
        <v>6993</v>
      </c>
      <c r="C3078" s="232">
        <v>396.0</v>
      </c>
      <c r="D3078" s="232">
        <v>151.58</v>
      </c>
      <c r="E3078" s="232">
        <v>0.3828</v>
      </c>
      <c r="F3078" t="s">
        <v>7702</v>
      </c>
      <c r="G3078" t="s">
        <v>330</v>
      </c>
      <c r="H3078" t="s">
        <v>45</v>
      </c>
      <c r="I3078" t="s">
        <v>98</v>
      </c>
    </row>
    <row r="3079">
      <c r="A3079" t="s">
        <v>6996</v>
      </c>
      <c r="B3079" s="232" t="s">
        <v>6995</v>
      </c>
      <c r="C3079" s="232">
        <v>42.0</v>
      </c>
      <c r="D3079" s="232">
        <v>15.85</v>
      </c>
      <c r="E3079" s="232">
        <v>0.3774</v>
      </c>
      <c r="F3079" t="s">
        <v>7702</v>
      </c>
      <c r="G3079" t="s">
        <v>330</v>
      </c>
      <c r="H3079" t="s">
        <v>45</v>
      </c>
      <c r="I3079" t="s">
        <v>98</v>
      </c>
    </row>
    <row r="3080">
      <c r="A3080" t="s">
        <v>6998</v>
      </c>
      <c r="B3080" s="232" t="s">
        <v>6997</v>
      </c>
      <c r="C3080" s="232">
        <v>270.0</v>
      </c>
      <c r="D3080" s="232">
        <v>133.08</v>
      </c>
      <c r="E3080" s="232">
        <v>0.4929</v>
      </c>
      <c r="F3080" t="s">
        <v>7702</v>
      </c>
      <c r="G3080" t="s">
        <v>330</v>
      </c>
      <c r="H3080" t="s">
        <v>45</v>
      </c>
      <c r="I3080" t="s">
        <v>98</v>
      </c>
    </row>
    <row r="3081">
      <c r="A3081" t="s">
        <v>7000</v>
      </c>
      <c r="B3081" s="232" t="s">
        <v>6999</v>
      </c>
      <c r="C3081" s="232">
        <v>0.0</v>
      </c>
      <c r="D3081" s="232">
        <v>0.0</v>
      </c>
      <c r="F3081" t="s">
        <v>7702</v>
      </c>
      <c r="G3081" t="s">
        <v>330</v>
      </c>
      <c r="H3081" t="s">
        <v>45</v>
      </c>
      <c r="I3081" t="s">
        <v>98</v>
      </c>
    </row>
    <row r="3082">
      <c r="A3082" t="s">
        <v>7002</v>
      </c>
      <c r="B3082" s="232" t="s">
        <v>7001</v>
      </c>
      <c r="C3082" s="232">
        <v>0.0</v>
      </c>
      <c r="D3082" s="232">
        <v>0.0</v>
      </c>
      <c r="F3082" t="s">
        <v>7711</v>
      </c>
      <c r="G3082" t="s">
        <v>330</v>
      </c>
      <c r="H3082" t="s">
        <v>45</v>
      </c>
      <c r="I3082" t="s">
        <v>98</v>
      </c>
    </row>
    <row r="3083">
      <c r="A3083" t="s">
        <v>7004</v>
      </c>
      <c r="B3083" s="232" t="s">
        <v>7003</v>
      </c>
      <c r="C3083" s="232">
        <v>0.0</v>
      </c>
      <c r="D3083" s="232">
        <v>0.0</v>
      </c>
      <c r="F3083" t="s">
        <v>7702</v>
      </c>
      <c r="G3083" t="s">
        <v>310</v>
      </c>
      <c r="H3083" t="s">
        <v>7703</v>
      </c>
      <c r="I3083" t="s">
        <v>7768</v>
      </c>
    </row>
    <row r="3084">
      <c r="A3084" t="s">
        <v>7009</v>
      </c>
      <c r="B3084" s="232">
        <v>78358.0</v>
      </c>
      <c r="C3084" s="232">
        <v>0.0</v>
      </c>
      <c r="D3084" s="232">
        <v>0.0</v>
      </c>
      <c r="F3084" t="s">
        <v>7702</v>
      </c>
      <c r="G3084" t="s">
        <v>310</v>
      </c>
      <c r="H3084" t="s">
        <v>7703</v>
      </c>
      <c r="I3084" t="s">
        <v>7786</v>
      </c>
    </row>
    <row r="3085">
      <c r="A3085" t="s">
        <v>7010</v>
      </c>
      <c r="B3085" s="232">
        <v>78354.0</v>
      </c>
      <c r="C3085" s="232">
        <v>0.0</v>
      </c>
      <c r="D3085" s="232">
        <v>0.0</v>
      </c>
      <c r="F3085" t="s">
        <v>7702</v>
      </c>
      <c r="G3085" t="s">
        <v>310</v>
      </c>
      <c r="H3085" t="s">
        <v>7703</v>
      </c>
      <c r="I3085" t="s">
        <v>7786</v>
      </c>
    </row>
    <row r="3086">
      <c r="A3086" t="s">
        <v>7012</v>
      </c>
      <c r="B3086" s="232" t="s">
        <v>7011</v>
      </c>
      <c r="C3086" s="232">
        <v>1.0</v>
      </c>
      <c r="D3086" s="232">
        <v>0.0</v>
      </c>
      <c r="E3086" s="232">
        <v>0.0</v>
      </c>
      <c r="F3086" t="s">
        <v>7702</v>
      </c>
      <c r="G3086" t="s">
        <v>330</v>
      </c>
      <c r="H3086" t="s">
        <v>7725</v>
      </c>
    </row>
    <row r="3087">
      <c r="A3087" t="s">
        <v>7013</v>
      </c>
      <c r="B3087" s="232">
        <v>78799.0</v>
      </c>
      <c r="C3087" s="232">
        <v>0.0</v>
      </c>
      <c r="D3087" s="232">
        <v>0.0</v>
      </c>
      <c r="F3087" t="s">
        <v>7702</v>
      </c>
      <c r="G3087" t="s">
        <v>310</v>
      </c>
      <c r="H3087" t="s">
        <v>7703</v>
      </c>
      <c r="I3087" t="s">
        <v>7786</v>
      </c>
    </row>
    <row r="3088">
      <c r="A3088" t="s">
        <v>7014</v>
      </c>
      <c r="B3088" s="232">
        <v>78795.0</v>
      </c>
      <c r="C3088" s="232">
        <v>0.0</v>
      </c>
      <c r="D3088" s="232">
        <v>0.0</v>
      </c>
      <c r="F3088" t="s">
        <v>7702</v>
      </c>
      <c r="G3088" t="s">
        <v>310</v>
      </c>
      <c r="H3088" t="s">
        <v>7703</v>
      </c>
      <c r="I3088" t="s">
        <v>7786</v>
      </c>
    </row>
    <row r="3089">
      <c r="A3089" t="s">
        <v>7016</v>
      </c>
      <c r="B3089" s="232" t="s">
        <v>7015</v>
      </c>
      <c r="C3089" s="232">
        <v>0.0</v>
      </c>
      <c r="D3089" s="232">
        <v>0.0</v>
      </c>
      <c r="F3089" t="s">
        <v>7702</v>
      </c>
      <c r="G3089" t="s">
        <v>310</v>
      </c>
      <c r="H3089" t="s">
        <v>45</v>
      </c>
      <c r="I3089" t="s">
        <v>7714</v>
      </c>
    </row>
    <row r="3090">
      <c r="A3090" t="s">
        <v>7018</v>
      </c>
      <c r="B3090" s="232" t="s">
        <v>7017</v>
      </c>
      <c r="C3090" s="232">
        <v>304.0</v>
      </c>
      <c r="D3090" s="232">
        <v>7192.23</v>
      </c>
      <c r="E3090" s="232">
        <v>23.6587</v>
      </c>
      <c r="F3090" t="s">
        <v>7702</v>
      </c>
      <c r="G3090" t="s">
        <v>330</v>
      </c>
      <c r="H3090" t="s">
        <v>150</v>
      </c>
      <c r="I3090" t="s">
        <v>7714</v>
      </c>
    </row>
    <row r="3091">
      <c r="A3091" t="s">
        <v>7020</v>
      </c>
      <c r="B3091" s="232" t="s">
        <v>7019</v>
      </c>
      <c r="C3091" s="232">
        <v>0.0</v>
      </c>
      <c r="D3091" s="232">
        <v>0.0</v>
      </c>
      <c r="F3091" t="s">
        <v>7702</v>
      </c>
      <c r="G3091" t="s">
        <v>330</v>
      </c>
      <c r="H3091" t="s">
        <v>45</v>
      </c>
    </row>
    <row r="3092">
      <c r="A3092" t="s">
        <v>7022</v>
      </c>
      <c r="B3092" s="232" t="s">
        <v>7021</v>
      </c>
      <c r="C3092" s="232">
        <v>6.0</v>
      </c>
      <c r="D3092" s="232">
        <v>2.88</v>
      </c>
      <c r="E3092" s="232">
        <v>0.48</v>
      </c>
      <c r="F3092" t="s">
        <v>7702</v>
      </c>
      <c r="G3092" t="s">
        <v>330</v>
      </c>
      <c r="H3092" t="s">
        <v>7725</v>
      </c>
      <c r="I3092" t="s">
        <v>7739</v>
      </c>
    </row>
    <row r="3093">
      <c r="A3093" t="s">
        <v>7024</v>
      </c>
      <c r="B3093" s="232" t="s">
        <v>7023</v>
      </c>
      <c r="C3093" s="232">
        <v>0.0</v>
      </c>
      <c r="D3093" s="232">
        <v>0.0</v>
      </c>
      <c r="F3093" t="s">
        <v>7702</v>
      </c>
      <c r="G3093" t="s">
        <v>310</v>
      </c>
      <c r="H3093" t="s">
        <v>7703</v>
      </c>
      <c r="I3093" t="s">
        <v>7840</v>
      </c>
    </row>
    <row r="3094">
      <c r="A3094" t="s">
        <v>7026</v>
      </c>
      <c r="B3094" s="232" t="s">
        <v>7025</v>
      </c>
      <c r="C3094" s="232">
        <v>0.0</v>
      </c>
      <c r="D3094" s="232">
        <v>0.0</v>
      </c>
      <c r="F3094" t="s">
        <v>7711</v>
      </c>
      <c r="G3094" t="s">
        <v>310</v>
      </c>
      <c r="H3094" t="s">
        <v>7703</v>
      </c>
    </row>
    <row r="3095">
      <c r="A3095" t="s">
        <v>7028</v>
      </c>
      <c r="B3095" s="232" t="s">
        <v>7027</v>
      </c>
      <c r="C3095" s="232">
        <v>0.0</v>
      </c>
      <c r="D3095" s="232">
        <v>0.0</v>
      </c>
      <c r="F3095" t="s">
        <v>7702</v>
      </c>
      <c r="G3095" t="s">
        <v>310</v>
      </c>
      <c r="H3095" t="s">
        <v>45</v>
      </c>
      <c r="I3095" t="s">
        <v>7840</v>
      </c>
    </row>
    <row r="3096">
      <c r="A3096" t="s">
        <v>7030</v>
      </c>
      <c r="B3096" s="232" t="s">
        <v>7029</v>
      </c>
      <c r="C3096" s="232">
        <v>0.0</v>
      </c>
      <c r="D3096" s="232">
        <v>0.0</v>
      </c>
      <c r="F3096" t="s">
        <v>7711</v>
      </c>
      <c r="G3096" t="s">
        <v>310</v>
      </c>
      <c r="H3096" t="s">
        <v>7703</v>
      </c>
    </row>
    <row r="3097">
      <c r="A3097" t="s">
        <v>7032</v>
      </c>
      <c r="B3097" s="232" t="s">
        <v>7031</v>
      </c>
      <c r="C3097" s="232">
        <v>0.0</v>
      </c>
      <c r="D3097" s="232">
        <v>0.0</v>
      </c>
      <c r="F3097" t="s">
        <v>7702</v>
      </c>
      <c r="G3097" t="s">
        <v>330</v>
      </c>
      <c r="H3097" t="s">
        <v>45</v>
      </c>
      <c r="I3097" t="s">
        <v>7840</v>
      </c>
    </row>
    <row r="3098">
      <c r="A3098" t="s">
        <v>7034</v>
      </c>
      <c r="B3098" s="232" t="s">
        <v>7033</v>
      </c>
      <c r="C3098" s="232">
        <v>0.0</v>
      </c>
      <c r="D3098" s="232">
        <v>0.0</v>
      </c>
      <c r="F3098" t="s">
        <v>7702</v>
      </c>
      <c r="G3098" t="s">
        <v>310</v>
      </c>
      <c r="H3098" t="s">
        <v>7703</v>
      </c>
    </row>
    <row r="3099">
      <c r="A3099" t="s">
        <v>7042</v>
      </c>
      <c r="B3099" s="232" t="s">
        <v>7041</v>
      </c>
      <c r="C3099" s="232">
        <v>0.0</v>
      </c>
      <c r="D3099" s="232">
        <v>0.0</v>
      </c>
      <c r="F3099" t="s">
        <v>7702</v>
      </c>
      <c r="G3099" t="s">
        <v>310</v>
      </c>
      <c r="H3099" t="s">
        <v>7703</v>
      </c>
      <c r="I3099" t="s">
        <v>7840</v>
      </c>
    </row>
    <row r="3100">
      <c r="A3100" t="s">
        <v>7050</v>
      </c>
      <c r="B3100" s="232" t="s">
        <v>7049</v>
      </c>
      <c r="C3100" s="232">
        <v>15.0</v>
      </c>
      <c r="D3100" s="232">
        <v>37.05</v>
      </c>
      <c r="E3100" s="232">
        <v>2.47</v>
      </c>
      <c r="F3100" t="s">
        <v>7702</v>
      </c>
      <c r="G3100" t="s">
        <v>330</v>
      </c>
      <c r="I3100" t="s">
        <v>7714</v>
      </c>
    </row>
    <row r="3101">
      <c r="A3101" t="s">
        <v>7052</v>
      </c>
      <c r="B3101" s="232" t="s">
        <v>7051</v>
      </c>
      <c r="C3101" s="232">
        <v>4000.0</v>
      </c>
      <c r="D3101" s="232">
        <v>721.44</v>
      </c>
      <c r="E3101" s="232">
        <v>0.1804</v>
      </c>
      <c r="F3101" t="s">
        <v>7732</v>
      </c>
      <c r="G3101" t="s">
        <v>330</v>
      </c>
      <c r="H3101" t="s">
        <v>7747</v>
      </c>
    </row>
    <row r="3102">
      <c r="A3102" t="s">
        <v>7056</v>
      </c>
      <c r="B3102" s="232" t="s">
        <v>7055</v>
      </c>
      <c r="C3102" s="232">
        <v>1.0</v>
      </c>
      <c r="D3102" s="232">
        <v>0.0</v>
      </c>
      <c r="E3102" s="232">
        <v>0.0</v>
      </c>
      <c r="F3102" t="s">
        <v>7702</v>
      </c>
      <c r="G3102" t="s">
        <v>330</v>
      </c>
      <c r="H3102" t="s">
        <v>7703</v>
      </c>
      <c r="I3102" t="s">
        <v>7714</v>
      </c>
    </row>
    <row r="3103">
      <c r="A3103" t="s">
        <v>7064</v>
      </c>
      <c r="B3103" s="232" t="s">
        <v>7063</v>
      </c>
      <c r="C3103" s="232">
        <v>0.0</v>
      </c>
      <c r="D3103" s="232">
        <v>0.0</v>
      </c>
      <c r="F3103" t="s">
        <v>7702</v>
      </c>
      <c r="G3103" t="s">
        <v>330</v>
      </c>
      <c r="H3103" t="s">
        <v>214</v>
      </c>
      <c r="I3103" t="s">
        <v>7720</v>
      </c>
    </row>
    <row r="3104">
      <c r="A3104" t="s">
        <v>7066</v>
      </c>
      <c r="B3104" s="232" t="s">
        <v>7065</v>
      </c>
      <c r="C3104" s="232">
        <v>20.0</v>
      </c>
      <c r="D3104" s="232">
        <v>178.58</v>
      </c>
      <c r="E3104" s="232">
        <v>8.929</v>
      </c>
      <c r="F3104" t="s">
        <v>7702</v>
      </c>
      <c r="G3104" t="s">
        <v>330</v>
      </c>
      <c r="I3104" t="s">
        <v>7714</v>
      </c>
    </row>
    <row r="3105">
      <c r="A3105" t="s">
        <v>7068</v>
      </c>
      <c r="B3105" s="232" t="s">
        <v>7067</v>
      </c>
      <c r="C3105" s="232">
        <v>408.0</v>
      </c>
      <c r="D3105" s="232">
        <v>1808.41</v>
      </c>
      <c r="E3105" s="232">
        <v>4.4324</v>
      </c>
      <c r="F3105" t="s">
        <v>7702</v>
      </c>
      <c r="G3105" t="s">
        <v>330</v>
      </c>
      <c r="H3105" t="s">
        <v>214</v>
      </c>
      <c r="I3105" t="s">
        <v>7720</v>
      </c>
    </row>
    <row r="3106">
      <c r="A3106" t="s">
        <v>7070</v>
      </c>
      <c r="B3106" s="232" t="s">
        <v>7069</v>
      </c>
      <c r="C3106" s="232">
        <v>348.0</v>
      </c>
      <c r="D3106" s="232">
        <v>1520.66</v>
      </c>
      <c r="E3106" s="232">
        <v>4.3697</v>
      </c>
      <c r="F3106" t="s">
        <v>7702</v>
      </c>
      <c r="G3106" t="s">
        <v>330</v>
      </c>
      <c r="H3106" t="s">
        <v>214</v>
      </c>
      <c r="I3106" t="s">
        <v>7720</v>
      </c>
    </row>
    <row r="3107">
      <c r="A3107" t="s">
        <v>7072</v>
      </c>
      <c r="B3107" s="232" t="s">
        <v>7071</v>
      </c>
      <c r="C3107" s="232">
        <v>264.0</v>
      </c>
      <c r="D3107" s="232">
        <v>1114.86</v>
      </c>
      <c r="E3107" s="232">
        <v>4.223</v>
      </c>
      <c r="F3107" t="s">
        <v>7702</v>
      </c>
      <c r="G3107" t="s">
        <v>330</v>
      </c>
      <c r="H3107" t="s">
        <v>214</v>
      </c>
      <c r="I3107" t="s">
        <v>7720</v>
      </c>
    </row>
    <row r="3108">
      <c r="A3108" t="s">
        <v>7074</v>
      </c>
      <c r="B3108" s="232" t="s">
        <v>7073</v>
      </c>
      <c r="C3108" s="232">
        <v>200.0</v>
      </c>
      <c r="D3108" s="232">
        <v>864.75</v>
      </c>
      <c r="E3108" s="232">
        <v>4.3238</v>
      </c>
      <c r="F3108" t="s">
        <v>7702</v>
      </c>
      <c r="G3108" t="s">
        <v>330</v>
      </c>
      <c r="H3108" t="s">
        <v>214</v>
      </c>
      <c r="I3108" t="s">
        <v>7720</v>
      </c>
    </row>
    <row r="3109">
      <c r="A3109" t="s">
        <v>7076</v>
      </c>
      <c r="B3109" s="232" t="s">
        <v>7075</v>
      </c>
      <c r="C3109" s="232">
        <v>305.0</v>
      </c>
      <c r="D3109" s="232">
        <v>1433.1</v>
      </c>
      <c r="E3109" s="232">
        <v>4.6987</v>
      </c>
      <c r="F3109" t="s">
        <v>7702</v>
      </c>
      <c r="G3109" t="s">
        <v>330</v>
      </c>
      <c r="H3109" t="s">
        <v>214</v>
      </c>
      <c r="I3109" t="s">
        <v>7720</v>
      </c>
    </row>
    <row r="3110">
      <c r="A3110" t="s">
        <v>7078</v>
      </c>
      <c r="B3110" s="232" t="s">
        <v>7077</v>
      </c>
      <c r="C3110" s="232">
        <v>177.0</v>
      </c>
      <c r="D3110" s="232">
        <v>773.44</v>
      </c>
      <c r="E3110" s="232">
        <v>4.3697</v>
      </c>
      <c r="F3110" t="s">
        <v>7702</v>
      </c>
      <c r="G3110" t="s">
        <v>330</v>
      </c>
      <c r="H3110" t="s">
        <v>214</v>
      </c>
      <c r="I3110" t="s">
        <v>7720</v>
      </c>
    </row>
    <row r="3111">
      <c r="A3111" t="s">
        <v>7080</v>
      </c>
      <c r="B3111" s="232" t="s">
        <v>7079</v>
      </c>
      <c r="C3111" s="232">
        <v>0.0</v>
      </c>
      <c r="D3111" s="232">
        <v>0.0</v>
      </c>
      <c r="F3111" t="s">
        <v>7702</v>
      </c>
      <c r="G3111" t="s">
        <v>310</v>
      </c>
      <c r="H3111" t="s">
        <v>7703</v>
      </c>
      <c r="I3111" t="s">
        <v>29</v>
      </c>
    </row>
    <row r="3112">
      <c r="A3112" t="s">
        <v>94</v>
      </c>
      <c r="B3112" s="232" t="s">
        <v>95</v>
      </c>
      <c r="C3112" s="232">
        <v>1425.0</v>
      </c>
      <c r="D3112" s="232">
        <v>11551.52</v>
      </c>
      <c r="E3112" s="232">
        <v>8.1063</v>
      </c>
      <c r="F3112" t="s">
        <v>7702</v>
      </c>
      <c r="G3112" t="s">
        <v>330</v>
      </c>
      <c r="H3112" t="s">
        <v>28</v>
      </c>
      <c r="I3112" t="s">
        <v>29</v>
      </c>
    </row>
    <row r="3113">
      <c r="A3113" t="s">
        <v>96</v>
      </c>
      <c r="B3113" s="232" t="s">
        <v>97</v>
      </c>
      <c r="C3113" s="232">
        <v>657.0</v>
      </c>
      <c r="D3113" s="232">
        <v>5227.45</v>
      </c>
      <c r="E3113" s="232">
        <v>7.9565</v>
      </c>
      <c r="F3113" t="s">
        <v>7702</v>
      </c>
      <c r="G3113" t="s">
        <v>330</v>
      </c>
      <c r="H3113" t="s">
        <v>28</v>
      </c>
      <c r="I3113" t="s">
        <v>29</v>
      </c>
    </row>
    <row r="3114">
      <c r="A3114" t="s">
        <v>7082</v>
      </c>
      <c r="B3114" s="232" t="s">
        <v>7081</v>
      </c>
      <c r="C3114" s="232">
        <v>0.0</v>
      </c>
      <c r="D3114" s="232">
        <v>0.0</v>
      </c>
      <c r="F3114" t="s">
        <v>7702</v>
      </c>
      <c r="G3114" t="s">
        <v>310</v>
      </c>
      <c r="H3114" t="s">
        <v>7703</v>
      </c>
      <c r="I3114" t="s">
        <v>7718</v>
      </c>
    </row>
    <row r="3115">
      <c r="A3115" t="s">
        <v>7084</v>
      </c>
      <c r="B3115" s="232" t="s">
        <v>7083</v>
      </c>
      <c r="C3115" s="232">
        <v>0.0</v>
      </c>
      <c r="D3115" s="232">
        <v>0.0</v>
      </c>
      <c r="F3115" t="s">
        <v>7702</v>
      </c>
      <c r="G3115" t="s">
        <v>310</v>
      </c>
      <c r="H3115" t="s">
        <v>7703</v>
      </c>
      <c r="I3115" t="s">
        <v>166</v>
      </c>
    </row>
    <row r="3116">
      <c r="A3116" t="s">
        <v>7096</v>
      </c>
      <c r="B3116" s="232" t="s">
        <v>7095</v>
      </c>
      <c r="C3116" s="232">
        <v>0.0</v>
      </c>
      <c r="D3116" s="232">
        <v>0.0</v>
      </c>
      <c r="F3116" t="s">
        <v>7702</v>
      </c>
      <c r="G3116" t="s">
        <v>310</v>
      </c>
      <c r="H3116" t="s">
        <v>7725</v>
      </c>
      <c r="I3116" t="s">
        <v>98</v>
      </c>
    </row>
    <row r="3117">
      <c r="A3117" t="s">
        <v>7098</v>
      </c>
      <c r="B3117" s="232" t="s">
        <v>7097</v>
      </c>
      <c r="C3117" s="232">
        <v>0.0</v>
      </c>
      <c r="D3117" s="232">
        <v>0.0</v>
      </c>
      <c r="F3117" t="s">
        <v>7702</v>
      </c>
      <c r="G3117" t="s">
        <v>310</v>
      </c>
      <c r="H3117" t="s">
        <v>7725</v>
      </c>
      <c r="I3117" t="s">
        <v>7713</v>
      </c>
    </row>
    <row r="3118">
      <c r="A3118" t="s">
        <v>7100</v>
      </c>
      <c r="B3118" s="232" t="s">
        <v>7099</v>
      </c>
      <c r="C3118" s="232">
        <v>0.0</v>
      </c>
      <c r="D3118" s="232">
        <v>0.0</v>
      </c>
      <c r="F3118" t="s">
        <v>7702</v>
      </c>
      <c r="G3118" t="s">
        <v>310</v>
      </c>
      <c r="H3118" t="s">
        <v>7725</v>
      </c>
      <c r="I3118" t="s">
        <v>7713</v>
      </c>
    </row>
    <row r="3119">
      <c r="A3119" t="s">
        <v>7102</v>
      </c>
      <c r="B3119" s="232" t="s">
        <v>7101</v>
      </c>
      <c r="C3119" s="232">
        <v>0.0</v>
      </c>
      <c r="D3119" s="232">
        <v>0.0</v>
      </c>
      <c r="F3119" t="s">
        <v>7702</v>
      </c>
      <c r="G3119" t="s">
        <v>310</v>
      </c>
      <c r="H3119" t="s">
        <v>7725</v>
      </c>
      <c r="I3119" t="s">
        <v>7714</v>
      </c>
    </row>
    <row r="3120">
      <c r="A3120" t="s">
        <v>7104</v>
      </c>
      <c r="B3120" s="232" t="s">
        <v>7103</v>
      </c>
      <c r="C3120" s="232">
        <v>0.0</v>
      </c>
      <c r="D3120" s="232">
        <v>0.0</v>
      </c>
      <c r="F3120" t="s">
        <v>7702</v>
      </c>
      <c r="G3120" t="s">
        <v>310</v>
      </c>
      <c r="H3120" t="s">
        <v>7725</v>
      </c>
      <c r="I3120" t="s">
        <v>7714</v>
      </c>
    </row>
    <row r="3121">
      <c r="A3121" t="s">
        <v>7106</v>
      </c>
      <c r="B3121" s="232" t="s">
        <v>7105</v>
      </c>
      <c r="C3121" s="232">
        <v>0.0</v>
      </c>
      <c r="D3121" s="232">
        <v>0.0</v>
      </c>
      <c r="F3121" t="s">
        <v>7702</v>
      </c>
      <c r="G3121" t="s">
        <v>310</v>
      </c>
      <c r="H3121" t="s">
        <v>7725</v>
      </c>
      <c r="I3121" t="s">
        <v>98</v>
      </c>
    </row>
    <row r="3122">
      <c r="A3122" t="s">
        <v>7108</v>
      </c>
      <c r="B3122" s="232" t="s">
        <v>7107</v>
      </c>
      <c r="C3122" s="232">
        <v>0.0</v>
      </c>
      <c r="D3122" s="232">
        <v>0.0</v>
      </c>
      <c r="F3122" t="s">
        <v>7702</v>
      </c>
      <c r="G3122" t="s">
        <v>310</v>
      </c>
      <c r="H3122" t="s">
        <v>7725</v>
      </c>
      <c r="I3122" t="s">
        <v>7739</v>
      </c>
    </row>
    <row r="3123">
      <c r="A3123" t="s">
        <v>7110</v>
      </c>
      <c r="B3123" s="232" t="s">
        <v>7109</v>
      </c>
      <c r="C3123" s="232">
        <v>0.0</v>
      </c>
      <c r="D3123" s="232">
        <v>0.0</v>
      </c>
      <c r="F3123" t="s">
        <v>7702</v>
      </c>
      <c r="G3123" t="s">
        <v>310</v>
      </c>
      <c r="H3123" t="s">
        <v>7725</v>
      </c>
      <c r="I3123" t="s">
        <v>98</v>
      </c>
    </row>
    <row r="3124">
      <c r="A3124" t="s">
        <v>7112</v>
      </c>
      <c r="B3124" s="232" t="s">
        <v>7111</v>
      </c>
      <c r="C3124" s="232">
        <v>0.0</v>
      </c>
      <c r="D3124" s="232">
        <v>0.0</v>
      </c>
      <c r="F3124" t="s">
        <v>7702</v>
      </c>
      <c r="G3124" t="s">
        <v>310</v>
      </c>
      <c r="H3124" t="s">
        <v>7725</v>
      </c>
      <c r="I3124" t="s">
        <v>7739</v>
      </c>
    </row>
    <row r="3125">
      <c r="A3125" t="s">
        <v>7114</v>
      </c>
      <c r="B3125" s="232" t="s">
        <v>7113</v>
      </c>
      <c r="C3125" s="232">
        <v>0.0</v>
      </c>
      <c r="D3125" s="232">
        <v>0.0</v>
      </c>
      <c r="F3125" t="s">
        <v>7702</v>
      </c>
      <c r="G3125" t="s">
        <v>310</v>
      </c>
      <c r="H3125" t="s">
        <v>7725</v>
      </c>
      <c r="I3125" t="s">
        <v>7739</v>
      </c>
    </row>
    <row r="3126">
      <c r="A3126" t="s">
        <v>7116</v>
      </c>
      <c r="B3126" s="232" t="s">
        <v>7115</v>
      </c>
      <c r="C3126" s="232">
        <v>0.0</v>
      </c>
      <c r="D3126" s="232">
        <v>0.0</v>
      </c>
      <c r="F3126" t="s">
        <v>7702</v>
      </c>
      <c r="G3126" t="s">
        <v>310</v>
      </c>
      <c r="H3126" t="s">
        <v>7725</v>
      </c>
      <c r="I3126" t="s">
        <v>7739</v>
      </c>
    </row>
    <row r="3127">
      <c r="A3127" t="s">
        <v>7118</v>
      </c>
      <c r="B3127" s="232" t="s">
        <v>7117</v>
      </c>
      <c r="C3127" s="232">
        <v>0.0</v>
      </c>
      <c r="D3127" s="232">
        <v>0.0</v>
      </c>
      <c r="F3127" t="s">
        <v>7702</v>
      </c>
      <c r="G3127" t="s">
        <v>310</v>
      </c>
      <c r="H3127" t="s">
        <v>7725</v>
      </c>
      <c r="I3127" t="s">
        <v>7739</v>
      </c>
    </row>
    <row r="3128">
      <c r="A3128" t="s">
        <v>7120</v>
      </c>
      <c r="B3128" s="232" t="s">
        <v>7119</v>
      </c>
      <c r="C3128" s="232">
        <v>0.0</v>
      </c>
      <c r="D3128" s="232">
        <v>0.0</v>
      </c>
      <c r="F3128" t="s">
        <v>7702</v>
      </c>
      <c r="G3128" t="s">
        <v>310</v>
      </c>
      <c r="H3128" t="s">
        <v>7725</v>
      </c>
      <c r="I3128" t="s">
        <v>7739</v>
      </c>
    </row>
    <row r="3129">
      <c r="A3129" t="s">
        <v>7122</v>
      </c>
      <c r="B3129" s="232" t="s">
        <v>7121</v>
      </c>
      <c r="C3129" s="232">
        <v>0.0</v>
      </c>
      <c r="D3129" s="232">
        <v>0.0</v>
      </c>
      <c r="F3129" t="s">
        <v>7702</v>
      </c>
      <c r="G3129" t="s">
        <v>310</v>
      </c>
      <c r="H3129" t="s">
        <v>7725</v>
      </c>
      <c r="I3129" t="s">
        <v>7739</v>
      </c>
    </row>
    <row r="3130">
      <c r="A3130" t="s">
        <v>7124</v>
      </c>
      <c r="B3130" s="232" t="s">
        <v>7123</v>
      </c>
      <c r="C3130" s="232">
        <v>0.0</v>
      </c>
      <c r="D3130" s="232">
        <v>0.0</v>
      </c>
      <c r="F3130" t="s">
        <v>7702</v>
      </c>
      <c r="G3130" t="s">
        <v>310</v>
      </c>
      <c r="H3130" t="s">
        <v>7725</v>
      </c>
      <c r="I3130" t="s">
        <v>7739</v>
      </c>
    </row>
    <row r="3131">
      <c r="A3131" t="s">
        <v>7126</v>
      </c>
      <c r="B3131" s="232" t="s">
        <v>7125</v>
      </c>
      <c r="C3131" s="232">
        <v>0.0</v>
      </c>
      <c r="D3131" s="232">
        <v>0.0</v>
      </c>
      <c r="F3131" t="s">
        <v>7702</v>
      </c>
      <c r="G3131" t="s">
        <v>310</v>
      </c>
      <c r="H3131" t="s">
        <v>7725</v>
      </c>
      <c r="I3131" t="s">
        <v>7739</v>
      </c>
    </row>
    <row r="3132">
      <c r="A3132" t="s">
        <v>7128</v>
      </c>
      <c r="B3132" s="232" t="s">
        <v>7127</v>
      </c>
      <c r="C3132" s="232">
        <v>0.0</v>
      </c>
      <c r="D3132" s="232">
        <v>0.0</v>
      </c>
      <c r="F3132" t="s">
        <v>7702</v>
      </c>
      <c r="G3132" t="s">
        <v>310</v>
      </c>
      <c r="H3132" t="s">
        <v>7725</v>
      </c>
      <c r="I3132" t="s">
        <v>7739</v>
      </c>
    </row>
    <row r="3133">
      <c r="A3133" t="s">
        <v>7130</v>
      </c>
      <c r="B3133" s="232" t="s">
        <v>7129</v>
      </c>
      <c r="C3133" s="232">
        <v>0.0</v>
      </c>
      <c r="D3133" s="232">
        <v>0.0</v>
      </c>
      <c r="F3133" t="s">
        <v>7702</v>
      </c>
      <c r="G3133" t="s">
        <v>310</v>
      </c>
      <c r="H3133" t="s">
        <v>7725</v>
      </c>
      <c r="I3133" t="s">
        <v>7739</v>
      </c>
    </row>
    <row r="3134">
      <c r="A3134" t="s">
        <v>7132</v>
      </c>
      <c r="B3134" s="232" t="s">
        <v>7131</v>
      </c>
      <c r="C3134" s="232">
        <v>0.0</v>
      </c>
      <c r="D3134" s="232">
        <v>0.0</v>
      </c>
      <c r="F3134" t="s">
        <v>7702</v>
      </c>
      <c r="G3134" t="s">
        <v>310</v>
      </c>
      <c r="H3134" t="s">
        <v>7725</v>
      </c>
      <c r="I3134" t="s">
        <v>7739</v>
      </c>
    </row>
    <row r="3135">
      <c r="A3135" t="s">
        <v>7134</v>
      </c>
      <c r="B3135" s="232" t="s">
        <v>7133</v>
      </c>
      <c r="C3135" s="232">
        <v>0.0</v>
      </c>
      <c r="D3135" s="232">
        <v>0.0</v>
      </c>
      <c r="F3135" t="s">
        <v>7702</v>
      </c>
      <c r="G3135" t="s">
        <v>310</v>
      </c>
      <c r="H3135" t="s">
        <v>7725</v>
      </c>
      <c r="I3135" t="s">
        <v>7739</v>
      </c>
    </row>
    <row r="3136">
      <c r="A3136" t="s">
        <v>7136</v>
      </c>
      <c r="B3136" s="232" t="s">
        <v>7135</v>
      </c>
      <c r="C3136" s="232">
        <v>0.0</v>
      </c>
      <c r="D3136" s="232">
        <v>0.0</v>
      </c>
      <c r="F3136" t="s">
        <v>7702</v>
      </c>
      <c r="G3136" t="s">
        <v>310</v>
      </c>
      <c r="H3136" t="s">
        <v>7725</v>
      </c>
      <c r="I3136" t="s">
        <v>7739</v>
      </c>
    </row>
    <row r="3137">
      <c r="A3137" t="s">
        <v>7138</v>
      </c>
      <c r="B3137" s="232" t="s">
        <v>7137</v>
      </c>
      <c r="C3137" s="232">
        <v>0.0</v>
      </c>
      <c r="D3137" s="232">
        <v>0.0</v>
      </c>
      <c r="F3137" t="s">
        <v>7702</v>
      </c>
      <c r="G3137" t="s">
        <v>310</v>
      </c>
      <c r="H3137" t="s">
        <v>7725</v>
      </c>
      <c r="I3137" t="s">
        <v>7739</v>
      </c>
    </row>
    <row r="3138">
      <c r="A3138" t="s">
        <v>7140</v>
      </c>
      <c r="B3138" s="232" t="s">
        <v>7139</v>
      </c>
      <c r="C3138" s="232">
        <v>0.0</v>
      </c>
      <c r="D3138" s="232">
        <v>0.0</v>
      </c>
      <c r="F3138" t="s">
        <v>7702</v>
      </c>
      <c r="G3138" t="s">
        <v>310</v>
      </c>
      <c r="H3138" t="s">
        <v>7725</v>
      </c>
      <c r="I3138" t="s">
        <v>7739</v>
      </c>
    </row>
    <row r="3139">
      <c r="A3139" t="s">
        <v>7142</v>
      </c>
      <c r="B3139" s="232" t="s">
        <v>7141</v>
      </c>
      <c r="C3139" s="232">
        <v>0.0</v>
      </c>
      <c r="D3139" s="232">
        <v>0.0</v>
      </c>
      <c r="F3139" t="s">
        <v>7702</v>
      </c>
      <c r="G3139" t="s">
        <v>310</v>
      </c>
      <c r="H3139" t="s">
        <v>7725</v>
      </c>
      <c r="I3139" t="s">
        <v>7739</v>
      </c>
    </row>
    <row r="3140">
      <c r="A3140" t="s">
        <v>7144</v>
      </c>
      <c r="B3140" s="232" t="s">
        <v>7143</v>
      </c>
      <c r="C3140" s="232">
        <v>0.0</v>
      </c>
      <c r="D3140" s="232">
        <v>0.0</v>
      </c>
      <c r="F3140" t="s">
        <v>7702</v>
      </c>
      <c r="G3140" t="s">
        <v>310</v>
      </c>
      <c r="H3140" t="s">
        <v>7725</v>
      </c>
      <c r="I3140" t="s">
        <v>7739</v>
      </c>
    </row>
    <row r="3141">
      <c r="A3141" t="s">
        <v>7146</v>
      </c>
      <c r="B3141" s="232" t="s">
        <v>7145</v>
      </c>
      <c r="C3141" s="232">
        <v>0.0</v>
      </c>
      <c r="D3141" s="232">
        <v>0.0</v>
      </c>
      <c r="F3141" t="s">
        <v>7702</v>
      </c>
      <c r="G3141" t="s">
        <v>310</v>
      </c>
      <c r="H3141" t="s">
        <v>7725</v>
      </c>
      <c r="I3141" t="s">
        <v>7739</v>
      </c>
    </row>
    <row r="3142">
      <c r="A3142" t="s">
        <v>7148</v>
      </c>
      <c r="B3142" s="232" t="s">
        <v>7147</v>
      </c>
      <c r="C3142" s="232">
        <v>0.0</v>
      </c>
      <c r="D3142" s="232">
        <v>0.0</v>
      </c>
      <c r="F3142" t="s">
        <v>7702</v>
      </c>
      <c r="G3142" t="s">
        <v>310</v>
      </c>
      <c r="H3142" t="s">
        <v>7725</v>
      </c>
      <c r="I3142" t="s">
        <v>7739</v>
      </c>
    </row>
    <row r="3143">
      <c r="A3143" t="s">
        <v>7150</v>
      </c>
      <c r="B3143" s="232" t="s">
        <v>7149</v>
      </c>
      <c r="C3143" s="232">
        <v>0.0</v>
      </c>
      <c r="D3143" s="232">
        <v>0.0</v>
      </c>
      <c r="F3143" t="s">
        <v>7702</v>
      </c>
      <c r="G3143" t="s">
        <v>310</v>
      </c>
      <c r="H3143" t="s">
        <v>7725</v>
      </c>
      <c r="I3143" t="s">
        <v>7739</v>
      </c>
    </row>
    <row r="3144">
      <c r="A3144" t="s">
        <v>7152</v>
      </c>
      <c r="B3144" s="232" t="s">
        <v>7151</v>
      </c>
      <c r="C3144" s="232">
        <v>0.0</v>
      </c>
      <c r="D3144" s="232">
        <v>0.0</v>
      </c>
      <c r="F3144" t="s">
        <v>7702</v>
      </c>
      <c r="G3144" t="s">
        <v>310</v>
      </c>
      <c r="H3144" t="s">
        <v>7725</v>
      </c>
      <c r="I3144" t="s">
        <v>7739</v>
      </c>
    </row>
    <row r="3145">
      <c r="A3145" t="s">
        <v>7154</v>
      </c>
      <c r="B3145" s="232" t="s">
        <v>7153</v>
      </c>
      <c r="C3145" s="232">
        <v>0.0</v>
      </c>
      <c r="D3145" s="232">
        <v>0.0</v>
      </c>
      <c r="F3145" t="s">
        <v>7702</v>
      </c>
      <c r="G3145" t="s">
        <v>310</v>
      </c>
      <c r="H3145" t="s">
        <v>7725</v>
      </c>
      <c r="I3145" t="s">
        <v>7739</v>
      </c>
    </row>
    <row r="3146">
      <c r="A3146" t="s">
        <v>7156</v>
      </c>
      <c r="B3146" s="232" t="s">
        <v>7155</v>
      </c>
      <c r="C3146" s="232">
        <v>0.0</v>
      </c>
      <c r="D3146" s="232">
        <v>0.0</v>
      </c>
      <c r="F3146" t="s">
        <v>7702</v>
      </c>
      <c r="G3146" t="s">
        <v>310</v>
      </c>
      <c r="H3146" t="s">
        <v>7725</v>
      </c>
      <c r="I3146" t="s">
        <v>7739</v>
      </c>
    </row>
    <row r="3147">
      <c r="A3147" t="s">
        <v>7158</v>
      </c>
      <c r="B3147" s="232" t="s">
        <v>7157</v>
      </c>
      <c r="C3147" s="232">
        <v>0.0</v>
      </c>
      <c r="D3147" s="232">
        <v>0.0</v>
      </c>
      <c r="F3147" t="s">
        <v>7702</v>
      </c>
      <c r="G3147" t="s">
        <v>310</v>
      </c>
      <c r="H3147" t="s">
        <v>7725</v>
      </c>
      <c r="I3147" t="s">
        <v>7739</v>
      </c>
    </row>
    <row r="3148">
      <c r="A3148" t="s">
        <v>7160</v>
      </c>
      <c r="B3148" s="232" t="s">
        <v>7159</v>
      </c>
      <c r="C3148" s="232">
        <v>0.0</v>
      </c>
      <c r="D3148" s="232">
        <v>0.0</v>
      </c>
      <c r="F3148" t="s">
        <v>7702</v>
      </c>
      <c r="G3148" t="s">
        <v>310</v>
      </c>
      <c r="H3148" t="s">
        <v>7725</v>
      </c>
      <c r="I3148" t="s">
        <v>7739</v>
      </c>
    </row>
    <row r="3149">
      <c r="A3149" t="s">
        <v>7162</v>
      </c>
      <c r="B3149" s="232" t="s">
        <v>7161</v>
      </c>
      <c r="C3149" s="232">
        <v>0.0</v>
      </c>
      <c r="D3149" s="232">
        <v>0.0</v>
      </c>
      <c r="F3149" t="s">
        <v>7702</v>
      </c>
      <c r="G3149" t="s">
        <v>310</v>
      </c>
      <c r="H3149" t="s">
        <v>7725</v>
      </c>
      <c r="I3149" t="s">
        <v>7739</v>
      </c>
    </row>
    <row r="3150">
      <c r="A3150" t="s">
        <v>7164</v>
      </c>
      <c r="B3150" s="232" t="s">
        <v>7163</v>
      </c>
      <c r="C3150" s="232">
        <v>0.0</v>
      </c>
      <c r="D3150" s="232">
        <v>0.0</v>
      </c>
      <c r="F3150" t="s">
        <v>7702</v>
      </c>
      <c r="G3150" t="s">
        <v>310</v>
      </c>
      <c r="H3150" t="s">
        <v>7725</v>
      </c>
      <c r="I3150" t="s">
        <v>7739</v>
      </c>
    </row>
    <row r="3151">
      <c r="A3151" t="s">
        <v>7166</v>
      </c>
      <c r="B3151" s="232" t="s">
        <v>7165</v>
      </c>
      <c r="C3151" s="232">
        <v>0.0</v>
      </c>
      <c r="D3151" s="232">
        <v>0.0</v>
      </c>
      <c r="F3151" t="s">
        <v>7702</v>
      </c>
      <c r="G3151" t="s">
        <v>310</v>
      </c>
      <c r="H3151" t="s">
        <v>7725</v>
      </c>
      <c r="I3151" t="s">
        <v>7739</v>
      </c>
    </row>
    <row r="3152">
      <c r="A3152" t="s">
        <v>7168</v>
      </c>
      <c r="B3152" s="232" t="s">
        <v>7167</v>
      </c>
      <c r="C3152" s="232">
        <v>0.0</v>
      </c>
      <c r="D3152" s="232">
        <v>0.0</v>
      </c>
      <c r="F3152" t="s">
        <v>7702</v>
      </c>
      <c r="G3152" t="s">
        <v>310</v>
      </c>
      <c r="H3152" t="s">
        <v>7725</v>
      </c>
      <c r="I3152" t="s">
        <v>7739</v>
      </c>
    </row>
    <row r="3153">
      <c r="A3153" t="s">
        <v>7170</v>
      </c>
      <c r="B3153" s="232" t="s">
        <v>7169</v>
      </c>
      <c r="C3153" s="232">
        <v>0.0</v>
      </c>
      <c r="D3153" s="232">
        <v>0.0</v>
      </c>
      <c r="F3153" t="s">
        <v>7702</v>
      </c>
      <c r="G3153" t="s">
        <v>310</v>
      </c>
      <c r="H3153" t="s">
        <v>7725</v>
      </c>
      <c r="I3153" t="s">
        <v>7739</v>
      </c>
    </row>
    <row r="3154">
      <c r="A3154" t="s">
        <v>7172</v>
      </c>
      <c r="B3154" s="232" t="s">
        <v>7171</v>
      </c>
      <c r="C3154" s="232">
        <v>0.0</v>
      </c>
      <c r="D3154" s="232">
        <v>0.0</v>
      </c>
      <c r="F3154" t="s">
        <v>7702</v>
      </c>
      <c r="G3154" t="s">
        <v>310</v>
      </c>
      <c r="H3154" t="s">
        <v>7725</v>
      </c>
      <c r="I3154" t="s">
        <v>7739</v>
      </c>
    </row>
    <row r="3155">
      <c r="A3155" t="s">
        <v>7174</v>
      </c>
      <c r="B3155" s="232" t="s">
        <v>7173</v>
      </c>
      <c r="C3155" s="232">
        <v>0.0</v>
      </c>
      <c r="D3155" s="232">
        <v>0.0</v>
      </c>
      <c r="F3155" t="s">
        <v>7702</v>
      </c>
      <c r="G3155" t="s">
        <v>310</v>
      </c>
      <c r="H3155" t="s">
        <v>7725</v>
      </c>
      <c r="I3155" t="s">
        <v>7739</v>
      </c>
    </row>
    <row r="3156">
      <c r="A3156" t="s">
        <v>7176</v>
      </c>
      <c r="B3156" s="232" t="s">
        <v>7175</v>
      </c>
      <c r="C3156" s="232">
        <v>0.0</v>
      </c>
      <c r="D3156" s="232">
        <v>0.0</v>
      </c>
      <c r="F3156" t="s">
        <v>7702</v>
      </c>
      <c r="G3156" t="s">
        <v>310</v>
      </c>
      <c r="H3156" t="s">
        <v>7725</v>
      </c>
      <c r="I3156" t="s">
        <v>7739</v>
      </c>
    </row>
    <row r="3157">
      <c r="A3157" t="s">
        <v>7178</v>
      </c>
      <c r="B3157" s="232" t="s">
        <v>7177</v>
      </c>
      <c r="C3157" s="232">
        <v>0.0</v>
      </c>
      <c r="D3157" s="232">
        <v>0.0</v>
      </c>
      <c r="F3157" t="s">
        <v>7702</v>
      </c>
      <c r="G3157" t="s">
        <v>310</v>
      </c>
      <c r="H3157" t="s">
        <v>7725</v>
      </c>
      <c r="I3157" t="s">
        <v>7739</v>
      </c>
    </row>
    <row r="3158">
      <c r="A3158" t="s">
        <v>7180</v>
      </c>
      <c r="B3158" s="232" t="s">
        <v>7179</v>
      </c>
      <c r="C3158" s="232">
        <v>0.0</v>
      </c>
      <c r="D3158" s="232">
        <v>0.0</v>
      </c>
      <c r="F3158" t="s">
        <v>7702</v>
      </c>
      <c r="G3158" t="s">
        <v>310</v>
      </c>
      <c r="H3158" t="s">
        <v>7725</v>
      </c>
      <c r="I3158" t="s">
        <v>7743</v>
      </c>
    </row>
    <row r="3159">
      <c r="A3159" t="s">
        <v>7182</v>
      </c>
      <c r="B3159" s="232" t="s">
        <v>7181</v>
      </c>
      <c r="C3159" s="232">
        <v>0.0</v>
      </c>
      <c r="D3159" s="232">
        <v>0.0</v>
      </c>
      <c r="F3159" t="s">
        <v>7702</v>
      </c>
      <c r="G3159" t="s">
        <v>310</v>
      </c>
      <c r="H3159" t="s">
        <v>7725</v>
      </c>
      <c r="I3159" t="s">
        <v>98</v>
      </c>
    </row>
    <row r="3160">
      <c r="A3160" t="s">
        <v>7184</v>
      </c>
      <c r="B3160" s="232" t="s">
        <v>7183</v>
      </c>
      <c r="C3160" s="232">
        <v>0.0</v>
      </c>
      <c r="D3160" s="232">
        <v>0.0</v>
      </c>
      <c r="F3160" t="s">
        <v>7702</v>
      </c>
      <c r="G3160" t="s">
        <v>310</v>
      </c>
      <c r="H3160" t="s">
        <v>7725</v>
      </c>
      <c r="I3160" t="s">
        <v>7727</v>
      </c>
    </row>
    <row r="3161">
      <c r="A3161" t="s">
        <v>7186</v>
      </c>
      <c r="B3161" s="232" t="s">
        <v>7185</v>
      </c>
      <c r="C3161" s="232">
        <v>0.0</v>
      </c>
      <c r="D3161" s="232">
        <v>0.0</v>
      </c>
      <c r="F3161" t="s">
        <v>7702</v>
      </c>
      <c r="G3161" t="s">
        <v>310</v>
      </c>
      <c r="H3161" t="s">
        <v>7725</v>
      </c>
      <c r="I3161" t="s">
        <v>7745</v>
      </c>
    </row>
    <row r="3162">
      <c r="A3162" t="s">
        <v>7188</v>
      </c>
      <c r="B3162" s="232" t="s">
        <v>7187</v>
      </c>
      <c r="C3162" s="232">
        <v>0.0</v>
      </c>
      <c r="D3162" s="232">
        <v>0.0</v>
      </c>
      <c r="F3162" t="s">
        <v>7702</v>
      </c>
      <c r="G3162" t="s">
        <v>310</v>
      </c>
      <c r="H3162" t="s">
        <v>7725</v>
      </c>
      <c r="I3162" t="s">
        <v>98</v>
      </c>
    </row>
    <row r="3163">
      <c r="A3163" t="s">
        <v>7190</v>
      </c>
      <c r="B3163" s="232" t="s">
        <v>7189</v>
      </c>
      <c r="C3163" s="232">
        <v>0.0</v>
      </c>
      <c r="D3163" s="232">
        <v>0.0</v>
      </c>
      <c r="F3163" t="s">
        <v>7702</v>
      </c>
      <c r="G3163" t="s">
        <v>310</v>
      </c>
      <c r="H3163" t="s">
        <v>7725</v>
      </c>
      <c r="I3163" t="s">
        <v>7739</v>
      </c>
    </row>
    <row r="3164">
      <c r="A3164" t="s">
        <v>7192</v>
      </c>
      <c r="B3164" s="232" t="s">
        <v>7191</v>
      </c>
      <c r="C3164" s="232">
        <v>0.0</v>
      </c>
      <c r="D3164" s="232">
        <v>0.0</v>
      </c>
      <c r="F3164" t="s">
        <v>7702</v>
      </c>
      <c r="G3164" t="s">
        <v>310</v>
      </c>
      <c r="H3164" t="s">
        <v>7725</v>
      </c>
      <c r="I3164" t="s">
        <v>7739</v>
      </c>
    </row>
    <row r="3165">
      <c r="A3165" t="s">
        <v>7194</v>
      </c>
      <c r="B3165" s="232" t="s">
        <v>7193</v>
      </c>
      <c r="C3165" s="232">
        <v>0.0</v>
      </c>
      <c r="D3165" s="232">
        <v>0.0</v>
      </c>
      <c r="F3165" t="s">
        <v>7702</v>
      </c>
      <c r="G3165" t="s">
        <v>310</v>
      </c>
      <c r="H3165" t="s">
        <v>7725</v>
      </c>
      <c r="I3165" t="s">
        <v>98</v>
      </c>
    </row>
    <row r="3166">
      <c r="A3166" t="s">
        <v>7196</v>
      </c>
      <c r="B3166" s="232" t="s">
        <v>7195</v>
      </c>
      <c r="C3166" s="232">
        <v>0.0</v>
      </c>
      <c r="D3166" s="232">
        <v>0.0</v>
      </c>
      <c r="F3166" t="s">
        <v>7702</v>
      </c>
      <c r="G3166" t="s">
        <v>310</v>
      </c>
      <c r="H3166" t="s">
        <v>7725</v>
      </c>
      <c r="I3166" t="s">
        <v>7727</v>
      </c>
    </row>
    <row r="3167">
      <c r="A3167" t="s">
        <v>7198</v>
      </c>
      <c r="B3167" s="232" t="s">
        <v>7197</v>
      </c>
      <c r="C3167" s="232">
        <v>0.0</v>
      </c>
      <c r="D3167" s="232">
        <v>0.0</v>
      </c>
      <c r="F3167" t="s">
        <v>7702</v>
      </c>
      <c r="G3167" t="s">
        <v>310</v>
      </c>
      <c r="H3167" t="s">
        <v>7725</v>
      </c>
      <c r="I3167" t="s">
        <v>98</v>
      </c>
    </row>
    <row r="3168">
      <c r="A3168" t="s">
        <v>7200</v>
      </c>
      <c r="B3168" s="232" t="s">
        <v>7199</v>
      </c>
      <c r="C3168" s="232">
        <v>0.0</v>
      </c>
      <c r="D3168" s="232">
        <v>0.0</v>
      </c>
      <c r="F3168" t="s">
        <v>7702</v>
      </c>
      <c r="G3168" t="s">
        <v>310</v>
      </c>
      <c r="H3168" t="s">
        <v>7725</v>
      </c>
      <c r="I3168" t="s">
        <v>7727</v>
      </c>
    </row>
    <row r="3169">
      <c r="A3169" t="s">
        <v>7202</v>
      </c>
      <c r="B3169" s="232" t="s">
        <v>7201</v>
      </c>
      <c r="C3169" s="232">
        <v>0.0</v>
      </c>
      <c r="D3169" s="232">
        <v>0.0</v>
      </c>
      <c r="F3169" t="s">
        <v>7702</v>
      </c>
      <c r="G3169" t="s">
        <v>310</v>
      </c>
      <c r="H3169" t="s">
        <v>7725</v>
      </c>
      <c r="I3169" t="s">
        <v>98</v>
      </c>
    </row>
    <row r="3170">
      <c r="A3170" t="s">
        <v>7204</v>
      </c>
      <c r="B3170" s="232" t="s">
        <v>7203</v>
      </c>
      <c r="C3170" s="232">
        <v>0.0</v>
      </c>
      <c r="D3170" s="232">
        <v>0.0</v>
      </c>
      <c r="F3170" t="s">
        <v>7702</v>
      </c>
      <c r="G3170" t="s">
        <v>310</v>
      </c>
      <c r="H3170" t="s">
        <v>7725</v>
      </c>
      <c r="I3170" t="s">
        <v>7727</v>
      </c>
    </row>
    <row r="3171">
      <c r="A3171" t="s">
        <v>7206</v>
      </c>
      <c r="B3171" s="232" t="s">
        <v>7205</v>
      </c>
      <c r="C3171" s="232">
        <v>0.0</v>
      </c>
      <c r="D3171" s="232">
        <v>0.0</v>
      </c>
      <c r="F3171" t="s">
        <v>7702</v>
      </c>
      <c r="G3171" t="s">
        <v>310</v>
      </c>
      <c r="H3171" t="s">
        <v>7725</v>
      </c>
      <c r="I3171" t="s">
        <v>98</v>
      </c>
    </row>
    <row r="3172">
      <c r="A3172" t="s">
        <v>7208</v>
      </c>
      <c r="B3172" s="232" t="s">
        <v>7207</v>
      </c>
      <c r="C3172" s="232">
        <v>0.0</v>
      </c>
      <c r="D3172" s="232">
        <v>0.0</v>
      </c>
      <c r="F3172" t="s">
        <v>7702</v>
      </c>
      <c r="G3172" t="s">
        <v>310</v>
      </c>
      <c r="H3172" t="s">
        <v>7725</v>
      </c>
      <c r="I3172" t="s">
        <v>7727</v>
      </c>
    </row>
    <row r="3173">
      <c r="A3173" t="s">
        <v>7210</v>
      </c>
      <c r="B3173" s="232" t="s">
        <v>7209</v>
      </c>
      <c r="C3173" s="232">
        <v>0.0</v>
      </c>
      <c r="D3173" s="232">
        <v>0.0</v>
      </c>
      <c r="F3173" t="s">
        <v>7702</v>
      </c>
      <c r="G3173" t="s">
        <v>310</v>
      </c>
      <c r="H3173" t="s">
        <v>7725</v>
      </c>
      <c r="I3173" t="s">
        <v>98</v>
      </c>
    </row>
    <row r="3174">
      <c r="A3174" t="s">
        <v>7212</v>
      </c>
      <c r="B3174" s="232" t="s">
        <v>7211</v>
      </c>
      <c r="C3174" s="232">
        <v>0.0</v>
      </c>
      <c r="D3174" s="232">
        <v>0.0</v>
      </c>
      <c r="F3174" t="s">
        <v>7702</v>
      </c>
      <c r="G3174" t="s">
        <v>310</v>
      </c>
      <c r="H3174" t="s">
        <v>7725</v>
      </c>
      <c r="I3174" t="s">
        <v>7727</v>
      </c>
    </row>
    <row r="3175">
      <c r="A3175" t="s">
        <v>7214</v>
      </c>
      <c r="B3175" s="232" t="s">
        <v>7213</v>
      </c>
      <c r="C3175" s="232">
        <v>0.0</v>
      </c>
      <c r="D3175" s="232">
        <v>0.0</v>
      </c>
      <c r="F3175" t="s">
        <v>7702</v>
      </c>
      <c r="G3175" t="s">
        <v>310</v>
      </c>
      <c r="H3175" t="s">
        <v>7725</v>
      </c>
      <c r="I3175" t="s">
        <v>98</v>
      </c>
    </row>
    <row r="3176">
      <c r="A3176" t="s">
        <v>7216</v>
      </c>
      <c r="B3176" s="232" t="s">
        <v>7215</v>
      </c>
      <c r="C3176" s="232">
        <v>0.0</v>
      </c>
      <c r="D3176" s="232">
        <v>0.0</v>
      </c>
      <c r="F3176" t="s">
        <v>7702</v>
      </c>
      <c r="G3176" t="s">
        <v>310</v>
      </c>
      <c r="H3176" t="s">
        <v>7725</v>
      </c>
      <c r="I3176" t="s">
        <v>7727</v>
      </c>
    </row>
    <row r="3177">
      <c r="A3177" t="s">
        <v>7218</v>
      </c>
      <c r="B3177" s="232" t="s">
        <v>7217</v>
      </c>
      <c r="C3177" s="232">
        <v>0.0</v>
      </c>
      <c r="D3177" s="232">
        <v>0.0</v>
      </c>
      <c r="F3177" t="s">
        <v>7702</v>
      </c>
      <c r="G3177" t="s">
        <v>310</v>
      </c>
      <c r="H3177" t="s">
        <v>7725</v>
      </c>
      <c r="I3177" t="s">
        <v>98</v>
      </c>
    </row>
    <row r="3178">
      <c r="A3178" t="s">
        <v>7220</v>
      </c>
      <c r="B3178" s="232" t="s">
        <v>7219</v>
      </c>
      <c r="C3178" s="232">
        <v>0.0</v>
      </c>
      <c r="D3178" s="232">
        <v>0.0</v>
      </c>
      <c r="F3178" t="s">
        <v>7702</v>
      </c>
      <c r="G3178" t="s">
        <v>310</v>
      </c>
      <c r="H3178" t="s">
        <v>7725</v>
      </c>
      <c r="I3178" t="s">
        <v>7727</v>
      </c>
    </row>
    <row r="3179">
      <c r="A3179" t="s">
        <v>7222</v>
      </c>
      <c r="B3179" s="232" t="s">
        <v>7221</v>
      </c>
      <c r="C3179" s="232">
        <v>0.0</v>
      </c>
      <c r="D3179" s="232">
        <v>0.0</v>
      </c>
      <c r="F3179" t="s">
        <v>7702</v>
      </c>
      <c r="G3179" t="s">
        <v>310</v>
      </c>
      <c r="H3179" t="s">
        <v>7725</v>
      </c>
      <c r="I3179" t="s">
        <v>7739</v>
      </c>
    </row>
    <row r="3180">
      <c r="A3180" t="s">
        <v>7224</v>
      </c>
      <c r="B3180" s="232" t="s">
        <v>7223</v>
      </c>
      <c r="C3180" s="232">
        <v>0.0</v>
      </c>
      <c r="D3180" s="232">
        <v>0.0</v>
      </c>
      <c r="F3180" t="s">
        <v>7702</v>
      </c>
      <c r="G3180" t="s">
        <v>310</v>
      </c>
      <c r="H3180" t="s">
        <v>7725</v>
      </c>
      <c r="I3180" t="s">
        <v>98</v>
      </c>
    </row>
    <row r="3181">
      <c r="A3181" t="s">
        <v>7226</v>
      </c>
      <c r="B3181" s="232" t="s">
        <v>7225</v>
      </c>
      <c r="C3181" s="232">
        <v>0.0</v>
      </c>
      <c r="D3181" s="232">
        <v>0.0</v>
      </c>
      <c r="F3181" t="s">
        <v>7702</v>
      </c>
      <c r="G3181" t="s">
        <v>310</v>
      </c>
      <c r="H3181" t="s">
        <v>7725</v>
      </c>
      <c r="I3181" t="s">
        <v>7727</v>
      </c>
    </row>
    <row r="3182">
      <c r="A3182" t="s">
        <v>7228</v>
      </c>
      <c r="B3182" s="232" t="s">
        <v>7227</v>
      </c>
      <c r="C3182" s="232">
        <v>1.0</v>
      </c>
      <c r="D3182" s="232">
        <v>1.0</v>
      </c>
      <c r="E3182" s="232">
        <v>1.0</v>
      </c>
      <c r="F3182" t="s">
        <v>7702</v>
      </c>
      <c r="G3182" t="s">
        <v>310</v>
      </c>
      <c r="H3182" t="s">
        <v>7725</v>
      </c>
      <c r="I3182" t="s">
        <v>7745</v>
      </c>
    </row>
    <row r="3183">
      <c r="A3183" t="s">
        <v>7230</v>
      </c>
      <c r="B3183" s="232" t="s">
        <v>7229</v>
      </c>
      <c r="C3183" s="232">
        <v>0.0</v>
      </c>
      <c r="D3183" s="232">
        <v>0.0</v>
      </c>
      <c r="F3183" t="s">
        <v>7702</v>
      </c>
      <c r="G3183" t="s">
        <v>310</v>
      </c>
      <c r="H3183" t="s">
        <v>7725</v>
      </c>
      <c r="I3183" t="s">
        <v>7739</v>
      </c>
    </row>
    <row r="3184">
      <c r="A3184" t="s">
        <v>7232</v>
      </c>
      <c r="B3184" s="232" t="s">
        <v>7231</v>
      </c>
      <c r="C3184" s="232">
        <v>0.0</v>
      </c>
      <c r="D3184" s="232">
        <v>0.0</v>
      </c>
      <c r="F3184" t="s">
        <v>7702</v>
      </c>
      <c r="G3184" t="s">
        <v>310</v>
      </c>
      <c r="H3184" t="s">
        <v>7725</v>
      </c>
      <c r="I3184" t="s">
        <v>98</v>
      </c>
    </row>
    <row r="3185">
      <c r="A3185" t="s">
        <v>7234</v>
      </c>
      <c r="B3185" s="232" t="s">
        <v>7233</v>
      </c>
      <c r="C3185" s="232">
        <v>0.0</v>
      </c>
      <c r="D3185" s="232">
        <v>0.0</v>
      </c>
      <c r="F3185" t="s">
        <v>7702</v>
      </c>
      <c r="G3185" t="s">
        <v>310</v>
      </c>
      <c r="H3185" t="s">
        <v>7725</v>
      </c>
      <c r="I3185" t="s">
        <v>7727</v>
      </c>
    </row>
    <row r="3186">
      <c r="A3186" t="s">
        <v>7236</v>
      </c>
      <c r="B3186" s="232" t="s">
        <v>7235</v>
      </c>
      <c r="C3186" s="232">
        <v>0.0</v>
      </c>
      <c r="D3186" s="232">
        <v>0.0</v>
      </c>
      <c r="F3186" t="s">
        <v>7702</v>
      </c>
      <c r="G3186" t="s">
        <v>310</v>
      </c>
      <c r="H3186" t="s">
        <v>7725</v>
      </c>
      <c r="I3186" t="s">
        <v>7745</v>
      </c>
    </row>
    <row r="3187">
      <c r="A3187" t="s">
        <v>7238</v>
      </c>
      <c r="B3187" s="232" t="s">
        <v>7237</v>
      </c>
      <c r="C3187" s="232">
        <v>0.0</v>
      </c>
      <c r="D3187" s="232">
        <v>0.0</v>
      </c>
      <c r="F3187" t="s">
        <v>7702</v>
      </c>
      <c r="G3187" t="s">
        <v>310</v>
      </c>
      <c r="H3187" t="s">
        <v>7725</v>
      </c>
      <c r="I3187" t="s">
        <v>98</v>
      </c>
    </row>
    <row r="3188">
      <c r="A3188" t="s">
        <v>7240</v>
      </c>
      <c r="B3188" s="232" t="s">
        <v>7239</v>
      </c>
      <c r="C3188" s="232">
        <v>0.0</v>
      </c>
      <c r="D3188" s="232">
        <v>0.0</v>
      </c>
      <c r="F3188" t="s">
        <v>7702</v>
      </c>
      <c r="G3188" t="s">
        <v>310</v>
      </c>
      <c r="H3188" t="s">
        <v>7725</v>
      </c>
      <c r="I3188" t="s">
        <v>7727</v>
      </c>
    </row>
    <row r="3189">
      <c r="A3189" t="s">
        <v>7242</v>
      </c>
      <c r="B3189" s="232" t="s">
        <v>7241</v>
      </c>
      <c r="C3189" s="232">
        <v>0.0</v>
      </c>
      <c r="D3189" s="232">
        <v>0.0</v>
      </c>
      <c r="F3189" t="s">
        <v>7702</v>
      </c>
      <c r="G3189" t="s">
        <v>310</v>
      </c>
      <c r="H3189" t="s">
        <v>7725</v>
      </c>
      <c r="I3189" t="s">
        <v>7745</v>
      </c>
    </row>
    <row r="3190">
      <c r="A3190" t="s">
        <v>7244</v>
      </c>
      <c r="B3190" s="232" t="s">
        <v>7243</v>
      </c>
      <c r="C3190" s="232">
        <v>2.0</v>
      </c>
      <c r="D3190" s="232">
        <v>2.0</v>
      </c>
      <c r="E3190" s="232">
        <v>1.0</v>
      </c>
      <c r="F3190" t="s">
        <v>7702</v>
      </c>
      <c r="G3190" t="s">
        <v>310</v>
      </c>
      <c r="H3190" t="s">
        <v>7725</v>
      </c>
      <c r="I3190" t="s">
        <v>98</v>
      </c>
    </row>
    <row r="3191">
      <c r="A3191" t="s">
        <v>7246</v>
      </c>
      <c r="B3191" s="232" t="s">
        <v>7245</v>
      </c>
      <c r="C3191" s="232">
        <v>0.0</v>
      </c>
      <c r="D3191" s="232">
        <v>0.0</v>
      </c>
      <c r="F3191" t="s">
        <v>7702</v>
      </c>
      <c r="G3191" t="s">
        <v>310</v>
      </c>
      <c r="H3191" t="s">
        <v>7725</v>
      </c>
      <c r="I3191" t="s">
        <v>7727</v>
      </c>
    </row>
    <row r="3192">
      <c r="A3192" t="s">
        <v>7248</v>
      </c>
      <c r="B3192" s="232" t="s">
        <v>7247</v>
      </c>
      <c r="C3192" s="232">
        <v>0.0</v>
      </c>
      <c r="D3192" s="232">
        <v>0.0</v>
      </c>
      <c r="F3192" t="s">
        <v>7702</v>
      </c>
      <c r="G3192" t="s">
        <v>310</v>
      </c>
      <c r="H3192" t="s">
        <v>7725</v>
      </c>
      <c r="I3192" t="s">
        <v>7745</v>
      </c>
    </row>
    <row r="3193">
      <c r="A3193" t="s">
        <v>7250</v>
      </c>
      <c r="B3193" s="232" t="s">
        <v>7249</v>
      </c>
      <c r="C3193" s="232">
        <v>0.0</v>
      </c>
      <c r="D3193" s="232">
        <v>0.0</v>
      </c>
      <c r="F3193" t="s">
        <v>7702</v>
      </c>
      <c r="G3193" t="s">
        <v>310</v>
      </c>
      <c r="H3193" t="s">
        <v>7725</v>
      </c>
      <c r="I3193" t="s">
        <v>7739</v>
      </c>
    </row>
    <row r="3194">
      <c r="A3194" t="s">
        <v>7252</v>
      </c>
      <c r="B3194" s="232" t="s">
        <v>7251</v>
      </c>
      <c r="C3194" s="232">
        <v>0.0</v>
      </c>
      <c r="D3194" s="232">
        <v>0.0</v>
      </c>
      <c r="F3194" t="s">
        <v>7702</v>
      </c>
      <c r="G3194" t="s">
        <v>310</v>
      </c>
      <c r="H3194" t="s">
        <v>7725</v>
      </c>
      <c r="I3194" t="s">
        <v>170</v>
      </c>
    </row>
    <row r="3195">
      <c r="A3195" t="s">
        <v>7254</v>
      </c>
      <c r="B3195" s="232" t="s">
        <v>7253</v>
      </c>
      <c r="C3195" s="232">
        <v>0.0</v>
      </c>
      <c r="D3195" s="232">
        <v>0.0</v>
      </c>
      <c r="F3195" t="s">
        <v>7702</v>
      </c>
      <c r="G3195" t="s">
        <v>310</v>
      </c>
      <c r="H3195" t="s">
        <v>7725</v>
      </c>
      <c r="I3195" t="s">
        <v>170</v>
      </c>
    </row>
    <row r="3196">
      <c r="A3196" t="s">
        <v>7256</v>
      </c>
      <c r="B3196" s="232" t="s">
        <v>7255</v>
      </c>
      <c r="C3196" s="232">
        <v>0.0</v>
      </c>
      <c r="D3196" s="232">
        <v>0.0</v>
      </c>
      <c r="F3196" t="s">
        <v>7702</v>
      </c>
      <c r="G3196" t="s">
        <v>310</v>
      </c>
      <c r="H3196" t="s">
        <v>7725</v>
      </c>
      <c r="I3196" t="s">
        <v>7742</v>
      </c>
    </row>
    <row r="3197">
      <c r="A3197" t="s">
        <v>7258</v>
      </c>
      <c r="B3197" s="232" t="s">
        <v>7257</v>
      </c>
      <c r="C3197" s="232">
        <v>2.0</v>
      </c>
      <c r="D3197" s="232">
        <v>2.0</v>
      </c>
      <c r="E3197" s="232">
        <v>1.0</v>
      </c>
      <c r="F3197" t="s">
        <v>7702</v>
      </c>
      <c r="G3197" t="s">
        <v>310</v>
      </c>
      <c r="H3197" t="s">
        <v>7725</v>
      </c>
      <c r="I3197" t="s">
        <v>98</v>
      </c>
    </row>
    <row r="3198">
      <c r="A3198" t="s">
        <v>7260</v>
      </c>
      <c r="B3198" s="232" t="s">
        <v>7259</v>
      </c>
      <c r="C3198" s="232">
        <v>0.0</v>
      </c>
      <c r="D3198" s="232">
        <v>0.0</v>
      </c>
      <c r="F3198" t="s">
        <v>7702</v>
      </c>
      <c r="G3198" t="s">
        <v>310</v>
      </c>
      <c r="H3198" t="s">
        <v>7725</v>
      </c>
      <c r="I3198" t="s">
        <v>7727</v>
      </c>
    </row>
    <row r="3199">
      <c r="A3199" t="s">
        <v>7262</v>
      </c>
      <c r="B3199" s="232" t="s">
        <v>7261</v>
      </c>
      <c r="C3199" s="232">
        <v>0.0</v>
      </c>
      <c r="D3199" s="232">
        <v>0.0</v>
      </c>
      <c r="F3199" t="s">
        <v>7702</v>
      </c>
      <c r="G3199" t="s">
        <v>310</v>
      </c>
      <c r="H3199" t="s">
        <v>7725</v>
      </c>
      <c r="I3199" t="s">
        <v>7745</v>
      </c>
    </row>
    <row r="3200">
      <c r="A3200" t="s">
        <v>7264</v>
      </c>
      <c r="B3200" s="232" t="s">
        <v>7263</v>
      </c>
      <c r="C3200" s="232">
        <v>0.0</v>
      </c>
      <c r="D3200" s="232">
        <v>0.0</v>
      </c>
      <c r="F3200" t="s">
        <v>7702</v>
      </c>
      <c r="G3200" t="s">
        <v>310</v>
      </c>
      <c r="H3200" t="s">
        <v>7725</v>
      </c>
      <c r="I3200" t="s">
        <v>7739</v>
      </c>
    </row>
    <row r="3201">
      <c r="A3201" t="s">
        <v>7266</v>
      </c>
      <c r="B3201" s="232" t="s">
        <v>7265</v>
      </c>
      <c r="C3201" s="232">
        <v>0.0</v>
      </c>
      <c r="D3201" s="232">
        <v>0.0</v>
      </c>
      <c r="F3201" t="s">
        <v>7702</v>
      </c>
      <c r="G3201" t="s">
        <v>310</v>
      </c>
      <c r="H3201" t="s">
        <v>7725</v>
      </c>
      <c r="I3201" t="s">
        <v>7739</v>
      </c>
    </row>
    <row r="3202">
      <c r="A3202" t="s">
        <v>7268</v>
      </c>
      <c r="B3202" s="232" t="s">
        <v>7267</v>
      </c>
      <c r="C3202" s="232">
        <v>4.0</v>
      </c>
      <c r="D3202" s="232">
        <v>4.0</v>
      </c>
      <c r="E3202" s="232">
        <v>1.0</v>
      </c>
      <c r="F3202" t="s">
        <v>7702</v>
      </c>
      <c r="G3202" t="s">
        <v>310</v>
      </c>
      <c r="H3202" t="s">
        <v>7725</v>
      </c>
      <c r="I3202" t="s">
        <v>98</v>
      </c>
    </row>
    <row r="3203">
      <c r="A3203" t="s">
        <v>7270</v>
      </c>
      <c r="B3203" s="232" t="s">
        <v>7269</v>
      </c>
      <c r="C3203" s="232">
        <v>0.0</v>
      </c>
      <c r="D3203" s="232">
        <v>0.0</v>
      </c>
      <c r="F3203" t="s">
        <v>7702</v>
      </c>
      <c r="G3203" t="s">
        <v>310</v>
      </c>
      <c r="H3203" t="s">
        <v>7725</v>
      </c>
      <c r="I3203" t="s">
        <v>7727</v>
      </c>
    </row>
    <row r="3204">
      <c r="A3204" t="s">
        <v>7272</v>
      </c>
      <c r="B3204" s="232" t="s">
        <v>7271</v>
      </c>
      <c r="C3204" s="232">
        <v>0.0</v>
      </c>
      <c r="D3204" s="232">
        <v>0.0</v>
      </c>
      <c r="F3204" t="s">
        <v>7702</v>
      </c>
      <c r="G3204" t="s">
        <v>310</v>
      </c>
      <c r="H3204" t="s">
        <v>7725</v>
      </c>
      <c r="I3204" t="s">
        <v>7745</v>
      </c>
    </row>
    <row r="3205">
      <c r="A3205" t="s">
        <v>7274</v>
      </c>
      <c r="B3205" s="232" t="s">
        <v>7273</v>
      </c>
      <c r="C3205" s="232">
        <v>0.0</v>
      </c>
      <c r="D3205" s="232">
        <v>0.0</v>
      </c>
      <c r="F3205" t="s">
        <v>7702</v>
      </c>
      <c r="G3205" t="s">
        <v>310</v>
      </c>
      <c r="H3205" t="s">
        <v>7725</v>
      </c>
      <c r="I3205" t="s">
        <v>7739</v>
      </c>
    </row>
    <row r="3206">
      <c r="A3206" t="s">
        <v>7276</v>
      </c>
      <c r="B3206" s="232" t="s">
        <v>7275</v>
      </c>
      <c r="C3206" s="232">
        <v>4.0</v>
      </c>
      <c r="D3206" s="232">
        <v>4.0</v>
      </c>
      <c r="E3206" s="232">
        <v>1.0</v>
      </c>
      <c r="F3206" t="s">
        <v>7702</v>
      </c>
      <c r="G3206" t="s">
        <v>310</v>
      </c>
      <c r="H3206" t="s">
        <v>7725</v>
      </c>
      <c r="I3206" t="s">
        <v>98</v>
      </c>
    </row>
    <row r="3207">
      <c r="A3207" t="s">
        <v>7278</v>
      </c>
      <c r="B3207" s="232" t="s">
        <v>7277</v>
      </c>
      <c r="C3207" s="232">
        <v>0.0</v>
      </c>
      <c r="D3207" s="232">
        <v>0.0</v>
      </c>
      <c r="F3207" t="s">
        <v>7702</v>
      </c>
      <c r="G3207" t="s">
        <v>310</v>
      </c>
      <c r="H3207" t="s">
        <v>7725</v>
      </c>
      <c r="I3207" t="s">
        <v>7727</v>
      </c>
    </row>
    <row r="3208">
      <c r="A3208" t="s">
        <v>7280</v>
      </c>
      <c r="B3208" s="232" t="s">
        <v>7279</v>
      </c>
      <c r="C3208" s="232">
        <v>0.0</v>
      </c>
      <c r="D3208" s="232">
        <v>0.0</v>
      </c>
      <c r="F3208" t="s">
        <v>7702</v>
      </c>
      <c r="G3208" t="s">
        <v>310</v>
      </c>
      <c r="H3208" t="s">
        <v>7725</v>
      </c>
      <c r="I3208" t="s">
        <v>7745</v>
      </c>
    </row>
    <row r="3209">
      <c r="A3209" t="s">
        <v>7282</v>
      </c>
      <c r="B3209" s="232" t="s">
        <v>7281</v>
      </c>
      <c r="C3209" s="232">
        <v>0.0</v>
      </c>
      <c r="D3209" s="232">
        <v>0.0</v>
      </c>
      <c r="F3209" t="s">
        <v>7702</v>
      </c>
      <c r="G3209" t="s">
        <v>310</v>
      </c>
      <c r="H3209" t="s">
        <v>7725</v>
      </c>
      <c r="I3209" t="s">
        <v>7739</v>
      </c>
    </row>
    <row r="3210">
      <c r="A3210" t="s">
        <v>7284</v>
      </c>
      <c r="B3210" s="232" t="s">
        <v>7283</v>
      </c>
      <c r="C3210" s="232">
        <v>0.0</v>
      </c>
      <c r="D3210" s="232">
        <v>0.0</v>
      </c>
      <c r="F3210" t="s">
        <v>7702</v>
      </c>
      <c r="G3210" t="s">
        <v>310</v>
      </c>
      <c r="H3210" t="s">
        <v>7725</v>
      </c>
      <c r="I3210" t="s">
        <v>98</v>
      </c>
    </row>
    <row r="3211">
      <c r="A3211" t="s">
        <v>7286</v>
      </c>
      <c r="B3211" s="232" t="s">
        <v>7285</v>
      </c>
      <c r="C3211" s="232">
        <v>0.0</v>
      </c>
      <c r="D3211" s="232">
        <v>0.0</v>
      </c>
      <c r="F3211" t="s">
        <v>7702</v>
      </c>
      <c r="G3211" t="s">
        <v>310</v>
      </c>
      <c r="H3211" t="s">
        <v>7725</v>
      </c>
      <c r="I3211" t="s">
        <v>7841</v>
      </c>
    </row>
    <row r="3212">
      <c r="A3212" t="s">
        <v>7288</v>
      </c>
      <c r="B3212" s="232" t="s">
        <v>7287</v>
      </c>
      <c r="C3212" s="232">
        <v>2.0</v>
      </c>
      <c r="D3212" s="232">
        <v>2.0</v>
      </c>
      <c r="E3212" s="232">
        <v>1.0</v>
      </c>
      <c r="F3212" t="s">
        <v>7702</v>
      </c>
      <c r="G3212" t="s">
        <v>310</v>
      </c>
      <c r="H3212" t="s">
        <v>7725</v>
      </c>
      <c r="I3212" t="s">
        <v>98</v>
      </c>
    </row>
    <row r="3213">
      <c r="A3213" t="s">
        <v>7290</v>
      </c>
      <c r="B3213" s="232" t="s">
        <v>7289</v>
      </c>
      <c r="C3213" s="232">
        <v>0.0</v>
      </c>
      <c r="D3213" s="232">
        <v>0.0</v>
      </c>
      <c r="F3213" t="s">
        <v>7702</v>
      </c>
      <c r="G3213" t="s">
        <v>310</v>
      </c>
      <c r="H3213" t="s">
        <v>7725</v>
      </c>
      <c r="I3213" t="s">
        <v>7727</v>
      </c>
    </row>
    <row r="3214">
      <c r="A3214" t="s">
        <v>7292</v>
      </c>
      <c r="B3214" s="232" t="s">
        <v>7291</v>
      </c>
      <c r="C3214" s="232">
        <v>0.0</v>
      </c>
      <c r="D3214" s="232">
        <v>0.0</v>
      </c>
      <c r="F3214" t="s">
        <v>7702</v>
      </c>
      <c r="G3214" t="s">
        <v>310</v>
      </c>
      <c r="H3214" t="s">
        <v>7725</v>
      </c>
      <c r="I3214" t="s">
        <v>7745</v>
      </c>
    </row>
    <row r="3215">
      <c r="A3215" t="s">
        <v>7294</v>
      </c>
      <c r="B3215" s="232" t="s">
        <v>7293</v>
      </c>
      <c r="C3215" s="232">
        <v>0.0</v>
      </c>
      <c r="D3215" s="232">
        <v>0.0</v>
      </c>
      <c r="F3215" t="s">
        <v>7702</v>
      </c>
      <c r="G3215" t="s">
        <v>310</v>
      </c>
      <c r="H3215" t="s">
        <v>7725</v>
      </c>
      <c r="I3215" t="s">
        <v>7739</v>
      </c>
    </row>
    <row r="3216">
      <c r="A3216" t="s">
        <v>7296</v>
      </c>
      <c r="B3216" s="232" t="s">
        <v>7295</v>
      </c>
      <c r="C3216" s="232">
        <v>126.0</v>
      </c>
      <c r="D3216" s="232">
        <v>702.47</v>
      </c>
      <c r="E3216" s="232">
        <v>5.5752</v>
      </c>
      <c r="F3216" t="s">
        <v>7702</v>
      </c>
      <c r="G3216" t="s">
        <v>310</v>
      </c>
      <c r="H3216" t="s">
        <v>7725</v>
      </c>
      <c r="I3216" t="s">
        <v>7714</v>
      </c>
    </row>
    <row r="3217">
      <c r="A3217" t="s">
        <v>7298</v>
      </c>
      <c r="B3217" s="232" t="s">
        <v>7297</v>
      </c>
      <c r="C3217" s="232">
        <v>0.0</v>
      </c>
      <c r="D3217" s="232">
        <v>0.0</v>
      </c>
      <c r="F3217" t="s">
        <v>7702</v>
      </c>
      <c r="G3217" t="s">
        <v>310</v>
      </c>
      <c r="H3217" t="s">
        <v>7725</v>
      </c>
      <c r="I3217" t="s">
        <v>98</v>
      </c>
    </row>
    <row r="3218">
      <c r="A3218" t="s">
        <v>7300</v>
      </c>
      <c r="B3218" s="232" t="s">
        <v>7299</v>
      </c>
      <c r="C3218" s="232">
        <v>0.0</v>
      </c>
      <c r="D3218" s="232">
        <v>0.0</v>
      </c>
      <c r="F3218" t="s">
        <v>7702</v>
      </c>
      <c r="G3218" t="s">
        <v>310</v>
      </c>
      <c r="H3218" t="s">
        <v>7725</v>
      </c>
      <c r="I3218" t="s">
        <v>98</v>
      </c>
    </row>
    <row r="3219">
      <c r="A3219" t="s">
        <v>7302</v>
      </c>
      <c r="B3219" s="232" t="s">
        <v>7301</v>
      </c>
      <c r="C3219" s="232">
        <v>0.0</v>
      </c>
      <c r="D3219" s="232">
        <v>0.0</v>
      </c>
      <c r="F3219" t="s">
        <v>7702</v>
      </c>
      <c r="G3219" t="s">
        <v>310</v>
      </c>
      <c r="H3219" t="s">
        <v>7725</v>
      </c>
      <c r="I3219" t="s">
        <v>7742</v>
      </c>
    </row>
    <row r="3220">
      <c r="A3220" t="s">
        <v>7304</v>
      </c>
      <c r="B3220" s="232" t="s">
        <v>7303</v>
      </c>
      <c r="C3220" s="232">
        <v>1.0</v>
      </c>
      <c r="D3220" s="232">
        <v>1.0</v>
      </c>
      <c r="E3220" s="232">
        <v>1.0</v>
      </c>
      <c r="F3220" t="s">
        <v>7702</v>
      </c>
      <c r="G3220" t="s">
        <v>310</v>
      </c>
      <c r="H3220" t="s">
        <v>7725</v>
      </c>
      <c r="I3220" t="s">
        <v>98</v>
      </c>
    </row>
    <row r="3221">
      <c r="A3221" t="s">
        <v>7306</v>
      </c>
      <c r="B3221" s="232" t="s">
        <v>7305</v>
      </c>
      <c r="C3221" s="232">
        <v>0.0</v>
      </c>
      <c r="D3221" s="232">
        <v>0.0</v>
      </c>
      <c r="F3221" t="s">
        <v>7702</v>
      </c>
      <c r="G3221" t="s">
        <v>310</v>
      </c>
      <c r="H3221" t="s">
        <v>7725</v>
      </c>
      <c r="I3221" t="s">
        <v>7727</v>
      </c>
    </row>
    <row r="3222">
      <c r="A3222" t="s">
        <v>7308</v>
      </c>
      <c r="B3222" s="232" t="s">
        <v>7307</v>
      </c>
      <c r="C3222" s="232">
        <v>0.0</v>
      </c>
      <c r="D3222" s="232">
        <v>0.0</v>
      </c>
      <c r="F3222" t="s">
        <v>7702</v>
      </c>
      <c r="G3222" t="s">
        <v>310</v>
      </c>
      <c r="H3222" t="s">
        <v>7725</v>
      </c>
      <c r="I3222" t="s">
        <v>7745</v>
      </c>
    </row>
    <row r="3223">
      <c r="A3223" t="s">
        <v>7310</v>
      </c>
      <c r="B3223" s="232" t="s">
        <v>7309</v>
      </c>
      <c r="C3223" s="232">
        <v>0.0</v>
      </c>
      <c r="D3223" s="232">
        <v>0.0</v>
      </c>
      <c r="F3223" t="s">
        <v>7702</v>
      </c>
      <c r="G3223" t="s">
        <v>310</v>
      </c>
      <c r="H3223" t="s">
        <v>7725</v>
      </c>
      <c r="I3223" t="s">
        <v>7739</v>
      </c>
    </row>
    <row r="3224">
      <c r="A3224" t="s">
        <v>7312</v>
      </c>
      <c r="B3224" s="232" t="s">
        <v>7311</v>
      </c>
      <c r="C3224" s="232">
        <v>0.0</v>
      </c>
      <c r="D3224" s="232">
        <v>0.0</v>
      </c>
      <c r="F3224" t="s">
        <v>7702</v>
      </c>
      <c r="G3224" t="s">
        <v>310</v>
      </c>
      <c r="H3224" t="s">
        <v>7725</v>
      </c>
      <c r="I3224" t="s">
        <v>7714</v>
      </c>
    </row>
    <row r="3225">
      <c r="A3225" t="s">
        <v>7314</v>
      </c>
      <c r="B3225" s="232" t="s">
        <v>7313</v>
      </c>
      <c r="C3225" s="232">
        <v>0.0</v>
      </c>
      <c r="D3225" s="232">
        <v>0.0</v>
      </c>
      <c r="F3225" t="s">
        <v>7702</v>
      </c>
      <c r="G3225" t="s">
        <v>310</v>
      </c>
      <c r="H3225" t="s">
        <v>7725</v>
      </c>
      <c r="I3225" t="s">
        <v>7714</v>
      </c>
    </row>
    <row r="3226">
      <c r="A3226" t="s">
        <v>7316</v>
      </c>
      <c r="B3226" s="232" t="s">
        <v>7315</v>
      </c>
      <c r="C3226" s="232">
        <v>1.0</v>
      </c>
      <c r="D3226" s="232">
        <v>1.0</v>
      </c>
      <c r="E3226" s="232">
        <v>1.0</v>
      </c>
      <c r="F3226" t="s">
        <v>7702</v>
      </c>
      <c r="G3226" t="s">
        <v>310</v>
      </c>
      <c r="H3226" t="s">
        <v>7725</v>
      </c>
      <c r="I3226" t="s">
        <v>98</v>
      </c>
    </row>
    <row r="3227">
      <c r="A3227" t="s">
        <v>7318</v>
      </c>
      <c r="B3227" s="232" t="s">
        <v>7317</v>
      </c>
      <c r="C3227" s="232">
        <v>0.0</v>
      </c>
      <c r="D3227" s="232">
        <v>0.0</v>
      </c>
      <c r="F3227" t="s">
        <v>7702</v>
      </c>
      <c r="G3227" t="s">
        <v>310</v>
      </c>
      <c r="H3227" t="s">
        <v>7725</v>
      </c>
      <c r="I3227" t="s">
        <v>7727</v>
      </c>
    </row>
    <row r="3228">
      <c r="A3228" t="s">
        <v>7320</v>
      </c>
      <c r="B3228" s="232" t="s">
        <v>7319</v>
      </c>
      <c r="C3228" s="232">
        <v>0.0</v>
      </c>
      <c r="D3228" s="232">
        <v>0.0</v>
      </c>
      <c r="F3228" t="s">
        <v>7702</v>
      </c>
      <c r="G3228" t="s">
        <v>310</v>
      </c>
      <c r="H3228" t="s">
        <v>7725</v>
      </c>
      <c r="I3228" t="s">
        <v>7745</v>
      </c>
    </row>
    <row r="3229">
      <c r="A3229" t="s">
        <v>7322</v>
      </c>
      <c r="B3229" s="232" t="s">
        <v>7321</v>
      </c>
      <c r="C3229" s="232">
        <v>0.0</v>
      </c>
      <c r="D3229" s="232">
        <v>0.0</v>
      </c>
      <c r="F3229" t="s">
        <v>7702</v>
      </c>
      <c r="G3229" t="s">
        <v>310</v>
      </c>
      <c r="H3229" t="s">
        <v>7725</v>
      </c>
      <c r="I3229" t="s">
        <v>98</v>
      </c>
    </row>
    <row r="3230">
      <c r="A3230" t="s">
        <v>7324</v>
      </c>
      <c r="B3230" s="232" t="s">
        <v>7323</v>
      </c>
      <c r="C3230" s="232">
        <v>0.0</v>
      </c>
      <c r="D3230" s="232">
        <v>0.0</v>
      </c>
      <c r="F3230" t="s">
        <v>7702</v>
      </c>
      <c r="G3230" t="s">
        <v>310</v>
      </c>
      <c r="H3230" t="s">
        <v>7725</v>
      </c>
      <c r="I3230" t="s">
        <v>7714</v>
      </c>
    </row>
    <row r="3231">
      <c r="A3231" t="s">
        <v>7326</v>
      </c>
      <c r="B3231" s="232" t="s">
        <v>7325</v>
      </c>
      <c r="C3231" s="232">
        <v>1.0</v>
      </c>
      <c r="D3231" s="232">
        <v>0.01</v>
      </c>
      <c r="E3231" s="232">
        <v>0.01</v>
      </c>
      <c r="F3231" t="s">
        <v>7702</v>
      </c>
      <c r="G3231" t="s">
        <v>310</v>
      </c>
      <c r="H3231" t="s">
        <v>7725</v>
      </c>
      <c r="I3231" t="s">
        <v>7714</v>
      </c>
    </row>
    <row r="3232">
      <c r="A3232" t="s">
        <v>7328</v>
      </c>
      <c r="B3232" s="232" t="s">
        <v>7327</v>
      </c>
      <c r="C3232" s="232">
        <v>0.0</v>
      </c>
      <c r="D3232" s="232">
        <v>0.0</v>
      </c>
      <c r="F3232" t="s">
        <v>7702</v>
      </c>
      <c r="G3232" t="s">
        <v>310</v>
      </c>
      <c r="H3232" t="s">
        <v>7725</v>
      </c>
      <c r="I3232" t="s">
        <v>98</v>
      </c>
    </row>
    <row r="3233">
      <c r="A3233" t="s">
        <v>7330</v>
      </c>
      <c r="B3233" s="232" t="s">
        <v>7329</v>
      </c>
      <c r="C3233" s="232">
        <v>0.0</v>
      </c>
      <c r="D3233" s="232">
        <v>0.0</v>
      </c>
      <c r="F3233" t="s">
        <v>7702</v>
      </c>
      <c r="G3233" t="s">
        <v>310</v>
      </c>
      <c r="H3233" t="s">
        <v>7725</v>
      </c>
      <c r="I3233" t="s">
        <v>98</v>
      </c>
    </row>
    <row r="3234">
      <c r="A3234" t="s">
        <v>7332</v>
      </c>
      <c r="B3234" s="232" t="s">
        <v>7331</v>
      </c>
      <c r="C3234" s="232">
        <v>0.0</v>
      </c>
      <c r="D3234" s="232">
        <v>0.0</v>
      </c>
      <c r="F3234" t="s">
        <v>7702</v>
      </c>
      <c r="G3234" t="s">
        <v>310</v>
      </c>
      <c r="H3234" t="s">
        <v>7725</v>
      </c>
      <c r="I3234" t="s">
        <v>98</v>
      </c>
    </row>
    <row r="3235">
      <c r="A3235" t="s">
        <v>7334</v>
      </c>
      <c r="B3235" s="232" t="s">
        <v>7333</v>
      </c>
      <c r="C3235" s="232">
        <v>0.0</v>
      </c>
      <c r="D3235" s="232">
        <v>0.0</v>
      </c>
      <c r="F3235" t="s">
        <v>7702</v>
      </c>
      <c r="G3235" t="s">
        <v>310</v>
      </c>
      <c r="H3235" t="s">
        <v>7725</v>
      </c>
      <c r="I3235" t="s">
        <v>98</v>
      </c>
    </row>
    <row r="3236">
      <c r="A3236" t="s">
        <v>7336</v>
      </c>
      <c r="B3236" s="232" t="s">
        <v>7335</v>
      </c>
      <c r="C3236" s="232">
        <v>0.0</v>
      </c>
      <c r="D3236" s="232">
        <v>0.0</v>
      </c>
      <c r="F3236" t="s">
        <v>7702</v>
      </c>
      <c r="G3236" t="s">
        <v>310</v>
      </c>
      <c r="H3236" t="s">
        <v>7725</v>
      </c>
      <c r="I3236" t="s">
        <v>98</v>
      </c>
    </row>
    <row r="3237">
      <c r="A3237" t="s">
        <v>7338</v>
      </c>
      <c r="B3237" s="232" t="s">
        <v>7337</v>
      </c>
      <c r="C3237" s="232">
        <v>0.0</v>
      </c>
      <c r="D3237" s="232">
        <v>0.0</v>
      </c>
      <c r="F3237" t="s">
        <v>7702</v>
      </c>
      <c r="G3237" t="s">
        <v>310</v>
      </c>
      <c r="H3237" t="s">
        <v>7725</v>
      </c>
      <c r="I3237" t="s">
        <v>98</v>
      </c>
    </row>
    <row r="3238">
      <c r="A3238" t="s">
        <v>7340</v>
      </c>
      <c r="B3238" s="232" t="s">
        <v>7339</v>
      </c>
      <c r="C3238" s="232">
        <v>0.0</v>
      </c>
      <c r="D3238" s="232">
        <v>0.0</v>
      </c>
      <c r="F3238" t="s">
        <v>7702</v>
      </c>
      <c r="G3238" t="s">
        <v>310</v>
      </c>
      <c r="H3238" t="s">
        <v>7725</v>
      </c>
      <c r="I3238" t="s">
        <v>7842</v>
      </c>
    </row>
    <row r="3239">
      <c r="A3239" t="s">
        <v>7342</v>
      </c>
      <c r="B3239" s="232" t="s">
        <v>7341</v>
      </c>
      <c r="C3239" s="232">
        <v>0.0</v>
      </c>
      <c r="D3239" s="232">
        <v>0.0</v>
      </c>
      <c r="F3239" t="s">
        <v>7702</v>
      </c>
      <c r="G3239" t="s">
        <v>310</v>
      </c>
      <c r="H3239" t="s">
        <v>7725</v>
      </c>
      <c r="I3239" t="s">
        <v>98</v>
      </c>
    </row>
    <row r="3240">
      <c r="A3240" t="s">
        <v>7344</v>
      </c>
      <c r="B3240" s="232" t="s">
        <v>7343</v>
      </c>
      <c r="C3240" s="232">
        <v>0.0</v>
      </c>
      <c r="D3240" s="232">
        <v>0.0</v>
      </c>
      <c r="F3240" t="s">
        <v>7702</v>
      </c>
      <c r="G3240" t="s">
        <v>310</v>
      </c>
      <c r="H3240" t="s">
        <v>7725</v>
      </c>
      <c r="I3240" t="s">
        <v>7727</v>
      </c>
    </row>
    <row r="3241">
      <c r="A3241" t="s">
        <v>7346</v>
      </c>
      <c r="B3241" s="232" t="s">
        <v>7345</v>
      </c>
      <c r="C3241" s="232">
        <v>0.0</v>
      </c>
      <c r="D3241" s="232">
        <v>0.0</v>
      </c>
      <c r="F3241" t="s">
        <v>7702</v>
      </c>
      <c r="G3241" t="s">
        <v>310</v>
      </c>
      <c r="H3241" t="s">
        <v>7725</v>
      </c>
      <c r="I3241" t="s">
        <v>7745</v>
      </c>
    </row>
    <row r="3242">
      <c r="A3242" t="s">
        <v>7348</v>
      </c>
      <c r="B3242" s="232" t="s">
        <v>7347</v>
      </c>
      <c r="C3242" s="232">
        <v>0.0</v>
      </c>
      <c r="D3242" s="232">
        <v>0.0</v>
      </c>
      <c r="F3242" t="s">
        <v>7702</v>
      </c>
      <c r="G3242" t="s">
        <v>310</v>
      </c>
      <c r="H3242" t="s">
        <v>7725</v>
      </c>
    </row>
    <row r="3243">
      <c r="A3243" t="s">
        <v>7350</v>
      </c>
      <c r="B3243" s="232" t="s">
        <v>7349</v>
      </c>
      <c r="C3243" s="232">
        <v>0.0</v>
      </c>
      <c r="D3243" s="232">
        <v>0.0</v>
      </c>
      <c r="F3243" t="s">
        <v>7702</v>
      </c>
      <c r="G3243" t="s">
        <v>310</v>
      </c>
      <c r="H3243" t="s">
        <v>7725</v>
      </c>
      <c r="I3243" t="s">
        <v>98</v>
      </c>
    </row>
    <row r="3244">
      <c r="A3244" t="s">
        <v>7352</v>
      </c>
      <c r="B3244" s="232" t="s">
        <v>7351</v>
      </c>
      <c r="C3244" s="232">
        <v>0.0</v>
      </c>
      <c r="D3244" s="232">
        <v>0.0</v>
      </c>
      <c r="F3244" t="s">
        <v>7702</v>
      </c>
      <c r="G3244" t="s">
        <v>310</v>
      </c>
      <c r="H3244" t="s">
        <v>7725</v>
      </c>
      <c r="I3244" t="s">
        <v>98</v>
      </c>
    </row>
    <row r="3245">
      <c r="A3245" t="s">
        <v>7354</v>
      </c>
      <c r="B3245" s="232" t="s">
        <v>7353</v>
      </c>
      <c r="C3245" s="232">
        <v>0.0</v>
      </c>
      <c r="D3245" s="232">
        <v>0.0</v>
      </c>
      <c r="F3245" t="s">
        <v>7702</v>
      </c>
      <c r="G3245" t="s">
        <v>310</v>
      </c>
      <c r="H3245" t="s">
        <v>7725</v>
      </c>
      <c r="I3245" t="s">
        <v>98</v>
      </c>
    </row>
    <row r="3246">
      <c r="A3246" t="s">
        <v>7356</v>
      </c>
      <c r="B3246" s="232" t="s">
        <v>7355</v>
      </c>
      <c r="C3246" s="232">
        <v>1.0</v>
      </c>
      <c r="D3246" s="232">
        <v>1.0</v>
      </c>
      <c r="E3246" s="232">
        <v>1.0</v>
      </c>
      <c r="F3246" t="s">
        <v>7702</v>
      </c>
      <c r="G3246" t="s">
        <v>310</v>
      </c>
      <c r="H3246" t="s">
        <v>7725</v>
      </c>
      <c r="I3246" t="s">
        <v>98</v>
      </c>
    </row>
    <row r="3247">
      <c r="A3247" t="s">
        <v>7358</v>
      </c>
      <c r="B3247" s="232" t="s">
        <v>7357</v>
      </c>
      <c r="C3247" s="232">
        <v>0.0</v>
      </c>
      <c r="D3247" s="232">
        <v>0.0</v>
      </c>
      <c r="F3247" t="s">
        <v>7702</v>
      </c>
      <c r="G3247" t="s">
        <v>310</v>
      </c>
      <c r="H3247" t="s">
        <v>7725</v>
      </c>
      <c r="I3247" t="s">
        <v>7727</v>
      </c>
    </row>
    <row r="3248">
      <c r="A3248" t="s">
        <v>7360</v>
      </c>
      <c r="B3248" s="232" t="s">
        <v>7359</v>
      </c>
      <c r="C3248" s="232">
        <v>0.0</v>
      </c>
      <c r="D3248" s="232">
        <v>0.0</v>
      </c>
      <c r="F3248" t="s">
        <v>7702</v>
      </c>
      <c r="G3248" t="s">
        <v>310</v>
      </c>
      <c r="H3248" t="s">
        <v>7725</v>
      </c>
      <c r="I3248" t="s">
        <v>7745</v>
      </c>
    </row>
    <row r="3249">
      <c r="A3249" t="s">
        <v>7362</v>
      </c>
      <c r="B3249" s="232" t="s">
        <v>7361</v>
      </c>
      <c r="C3249" s="232">
        <v>0.0</v>
      </c>
      <c r="D3249" s="232">
        <v>0.0</v>
      </c>
      <c r="F3249" t="s">
        <v>7702</v>
      </c>
      <c r="G3249" t="s">
        <v>310</v>
      </c>
      <c r="H3249" t="s">
        <v>7725</v>
      </c>
      <c r="I3249" t="s">
        <v>7739</v>
      </c>
    </row>
    <row r="3250">
      <c r="A3250" t="s">
        <v>7364</v>
      </c>
      <c r="B3250" s="232" t="s">
        <v>7363</v>
      </c>
      <c r="C3250" s="232">
        <v>0.0</v>
      </c>
      <c r="D3250" s="232">
        <v>0.0</v>
      </c>
      <c r="F3250" t="s">
        <v>7702</v>
      </c>
      <c r="G3250" t="s">
        <v>310</v>
      </c>
      <c r="H3250" t="s">
        <v>7725</v>
      </c>
      <c r="I3250" t="s">
        <v>7739</v>
      </c>
    </row>
    <row r="3251">
      <c r="A3251" t="s">
        <v>7366</v>
      </c>
      <c r="B3251" s="232" t="s">
        <v>7365</v>
      </c>
      <c r="C3251" s="232">
        <v>1.0</v>
      </c>
      <c r="D3251" s="232">
        <v>1.0</v>
      </c>
      <c r="E3251" s="232">
        <v>1.0</v>
      </c>
      <c r="F3251" t="s">
        <v>7702</v>
      </c>
      <c r="G3251" t="s">
        <v>310</v>
      </c>
      <c r="H3251" t="s">
        <v>7725</v>
      </c>
      <c r="I3251" t="s">
        <v>98</v>
      </c>
    </row>
    <row r="3252">
      <c r="A3252" t="s">
        <v>7368</v>
      </c>
      <c r="B3252" s="232" t="s">
        <v>7367</v>
      </c>
      <c r="C3252" s="232">
        <v>0.0</v>
      </c>
      <c r="D3252" s="232">
        <v>0.0</v>
      </c>
      <c r="F3252" t="s">
        <v>7702</v>
      </c>
      <c r="G3252" t="s">
        <v>310</v>
      </c>
      <c r="H3252" t="s">
        <v>7725</v>
      </c>
      <c r="I3252" t="s">
        <v>7727</v>
      </c>
    </row>
    <row r="3253">
      <c r="A3253" t="s">
        <v>7370</v>
      </c>
      <c r="B3253" s="232" t="s">
        <v>7369</v>
      </c>
      <c r="C3253" s="232">
        <v>0.0</v>
      </c>
      <c r="D3253" s="232">
        <v>0.0</v>
      </c>
      <c r="F3253" t="s">
        <v>7702</v>
      </c>
      <c r="G3253" t="s">
        <v>310</v>
      </c>
      <c r="H3253" t="s">
        <v>7725</v>
      </c>
      <c r="I3253" t="s">
        <v>7745</v>
      </c>
    </row>
    <row r="3254">
      <c r="A3254" t="s">
        <v>7372</v>
      </c>
      <c r="B3254" s="232" t="s">
        <v>7371</v>
      </c>
      <c r="C3254" s="232">
        <v>0.0</v>
      </c>
      <c r="D3254" s="232">
        <v>0.0</v>
      </c>
      <c r="F3254" t="s">
        <v>7702</v>
      </c>
      <c r="G3254" t="s">
        <v>310</v>
      </c>
      <c r="H3254" t="s">
        <v>7725</v>
      </c>
      <c r="I3254" t="s">
        <v>7739</v>
      </c>
    </row>
    <row r="3255">
      <c r="A3255" t="s">
        <v>7374</v>
      </c>
      <c r="B3255" s="232" t="s">
        <v>7373</v>
      </c>
      <c r="C3255" s="232">
        <v>0.0</v>
      </c>
      <c r="D3255" s="232">
        <v>0.0</v>
      </c>
      <c r="F3255" t="s">
        <v>7702</v>
      </c>
      <c r="G3255" t="s">
        <v>310</v>
      </c>
      <c r="H3255" t="s">
        <v>7725</v>
      </c>
      <c r="I3255" t="s">
        <v>7726</v>
      </c>
    </row>
    <row r="3256">
      <c r="A3256" t="s">
        <v>7376</v>
      </c>
      <c r="B3256" s="232" t="s">
        <v>7375</v>
      </c>
      <c r="C3256" s="232">
        <v>0.0</v>
      </c>
      <c r="D3256" s="232">
        <v>0.0</v>
      </c>
      <c r="F3256" t="s">
        <v>7702</v>
      </c>
      <c r="G3256" t="s">
        <v>310</v>
      </c>
      <c r="H3256" t="s">
        <v>7725</v>
      </c>
      <c r="I3256" t="s">
        <v>7739</v>
      </c>
    </row>
    <row r="3257">
      <c r="A3257" t="s">
        <v>7378</v>
      </c>
      <c r="B3257" s="232" t="s">
        <v>7377</v>
      </c>
      <c r="C3257" s="232">
        <v>0.0</v>
      </c>
      <c r="D3257" s="232">
        <v>0.0</v>
      </c>
      <c r="F3257" t="s">
        <v>7702</v>
      </c>
      <c r="G3257" t="s">
        <v>310</v>
      </c>
      <c r="H3257" t="s">
        <v>7725</v>
      </c>
      <c r="I3257" t="s">
        <v>98</v>
      </c>
    </row>
    <row r="3258">
      <c r="A3258" t="s">
        <v>7380</v>
      </c>
      <c r="B3258" s="232" t="s">
        <v>7379</v>
      </c>
      <c r="C3258" s="232">
        <v>0.0</v>
      </c>
      <c r="D3258" s="232">
        <v>0.0</v>
      </c>
      <c r="F3258" t="s">
        <v>7702</v>
      </c>
      <c r="G3258" t="s">
        <v>310</v>
      </c>
      <c r="H3258" t="s">
        <v>7725</v>
      </c>
      <c r="I3258" t="s">
        <v>7727</v>
      </c>
    </row>
    <row r="3259">
      <c r="A3259" t="s">
        <v>7382</v>
      </c>
      <c r="B3259" s="232" t="s">
        <v>7381</v>
      </c>
      <c r="C3259" s="232">
        <v>0.0</v>
      </c>
      <c r="D3259" s="232">
        <v>0.0</v>
      </c>
      <c r="F3259" t="s">
        <v>7702</v>
      </c>
      <c r="G3259" t="s">
        <v>310</v>
      </c>
      <c r="H3259" t="s">
        <v>7725</v>
      </c>
      <c r="I3259" t="s">
        <v>7745</v>
      </c>
    </row>
    <row r="3260">
      <c r="A3260" t="s">
        <v>7384</v>
      </c>
      <c r="B3260" s="232" t="s">
        <v>7383</v>
      </c>
      <c r="C3260" s="232">
        <v>0.0</v>
      </c>
      <c r="D3260" s="232">
        <v>0.0</v>
      </c>
      <c r="F3260" t="s">
        <v>7702</v>
      </c>
      <c r="G3260" t="s">
        <v>310</v>
      </c>
      <c r="H3260" t="s">
        <v>7725</v>
      </c>
      <c r="I3260" t="s">
        <v>7739</v>
      </c>
    </row>
    <row r="3261">
      <c r="A3261" t="s">
        <v>7386</v>
      </c>
      <c r="B3261" s="232" t="s">
        <v>7385</v>
      </c>
      <c r="C3261" s="232">
        <v>0.0</v>
      </c>
      <c r="D3261" s="232">
        <v>0.0</v>
      </c>
      <c r="F3261" t="s">
        <v>7702</v>
      </c>
      <c r="G3261" t="s">
        <v>310</v>
      </c>
      <c r="H3261" t="s">
        <v>7725</v>
      </c>
      <c r="I3261" t="s">
        <v>7739</v>
      </c>
    </row>
    <row r="3262">
      <c r="A3262" t="s">
        <v>7388</v>
      </c>
      <c r="B3262" s="232" t="s">
        <v>7387</v>
      </c>
      <c r="C3262" s="232">
        <v>0.0</v>
      </c>
      <c r="D3262" s="232">
        <v>0.0</v>
      </c>
      <c r="F3262" t="s">
        <v>7702</v>
      </c>
      <c r="G3262" t="s">
        <v>310</v>
      </c>
      <c r="H3262" t="s">
        <v>7725</v>
      </c>
      <c r="I3262" t="s">
        <v>7739</v>
      </c>
    </row>
    <row r="3263">
      <c r="A3263" t="s">
        <v>7390</v>
      </c>
      <c r="B3263" s="232" t="s">
        <v>7389</v>
      </c>
      <c r="C3263" s="232">
        <v>0.0</v>
      </c>
      <c r="D3263" s="232">
        <v>0.0</v>
      </c>
      <c r="F3263" t="s">
        <v>7702</v>
      </c>
      <c r="G3263" t="s">
        <v>310</v>
      </c>
      <c r="H3263" t="s">
        <v>7725</v>
      </c>
      <c r="I3263" t="s">
        <v>98</v>
      </c>
    </row>
    <row r="3264">
      <c r="A3264" t="s">
        <v>7392</v>
      </c>
      <c r="B3264" s="232" t="s">
        <v>7391</v>
      </c>
      <c r="C3264" s="232">
        <v>0.0</v>
      </c>
      <c r="D3264" s="232">
        <v>0.0</v>
      </c>
      <c r="F3264" t="s">
        <v>7702</v>
      </c>
      <c r="G3264" t="s">
        <v>310</v>
      </c>
      <c r="H3264" t="s">
        <v>7725</v>
      </c>
      <c r="I3264" t="s">
        <v>7727</v>
      </c>
    </row>
    <row r="3265">
      <c r="A3265" t="s">
        <v>7394</v>
      </c>
      <c r="B3265" s="232" t="s">
        <v>7393</v>
      </c>
      <c r="C3265" s="232">
        <v>0.0</v>
      </c>
      <c r="D3265" s="232">
        <v>0.0</v>
      </c>
      <c r="F3265" t="s">
        <v>7702</v>
      </c>
      <c r="G3265" t="s">
        <v>310</v>
      </c>
      <c r="H3265" t="s">
        <v>7725</v>
      </c>
      <c r="I3265" t="s">
        <v>7739</v>
      </c>
    </row>
    <row r="3266">
      <c r="A3266" t="s">
        <v>7396</v>
      </c>
      <c r="B3266" s="232" t="s">
        <v>7395</v>
      </c>
      <c r="C3266" s="232">
        <v>0.0</v>
      </c>
      <c r="D3266" s="232">
        <v>0.0</v>
      </c>
      <c r="F3266" t="s">
        <v>7702</v>
      </c>
      <c r="G3266" t="s">
        <v>310</v>
      </c>
      <c r="H3266" t="s">
        <v>7725</v>
      </c>
      <c r="I3266" t="s">
        <v>7714</v>
      </c>
    </row>
    <row r="3267">
      <c r="A3267" t="s">
        <v>7398</v>
      </c>
      <c r="B3267" s="232" t="s">
        <v>7397</v>
      </c>
      <c r="C3267" s="232">
        <v>0.0</v>
      </c>
      <c r="D3267" s="232">
        <v>0.0</v>
      </c>
      <c r="F3267" t="s">
        <v>7702</v>
      </c>
      <c r="G3267" t="s">
        <v>310</v>
      </c>
      <c r="H3267" t="s">
        <v>7725</v>
      </c>
      <c r="I3267" t="s">
        <v>7714</v>
      </c>
    </row>
    <row r="3268">
      <c r="A3268" t="s">
        <v>7400</v>
      </c>
      <c r="B3268" s="232" t="s">
        <v>7399</v>
      </c>
      <c r="C3268" s="232">
        <v>0.0</v>
      </c>
      <c r="D3268" s="232">
        <v>0.0</v>
      </c>
      <c r="F3268" t="s">
        <v>7702</v>
      </c>
      <c r="G3268" t="s">
        <v>310</v>
      </c>
      <c r="H3268" t="s">
        <v>7725</v>
      </c>
      <c r="I3268" t="s">
        <v>7714</v>
      </c>
    </row>
    <row r="3269">
      <c r="A3269" t="s">
        <v>7404</v>
      </c>
      <c r="B3269" s="232" t="s">
        <v>7403</v>
      </c>
      <c r="C3269" s="232">
        <v>0.0</v>
      </c>
      <c r="D3269" s="232">
        <v>0.0</v>
      </c>
      <c r="F3269" t="s">
        <v>7702</v>
      </c>
      <c r="G3269" t="s">
        <v>310</v>
      </c>
      <c r="H3269" t="s">
        <v>7725</v>
      </c>
      <c r="I3269" t="s">
        <v>7843</v>
      </c>
    </row>
    <row r="3270">
      <c r="A3270" t="s">
        <v>7406</v>
      </c>
      <c r="B3270" s="232" t="s">
        <v>7405</v>
      </c>
      <c r="C3270" s="232">
        <v>0.0</v>
      </c>
      <c r="D3270" s="232">
        <v>0.0</v>
      </c>
      <c r="F3270" t="s">
        <v>7702</v>
      </c>
      <c r="G3270" t="s">
        <v>310</v>
      </c>
      <c r="H3270" t="s">
        <v>7725</v>
      </c>
      <c r="I3270" t="s">
        <v>7727</v>
      </c>
    </row>
    <row r="3271">
      <c r="A3271" t="s">
        <v>7408</v>
      </c>
      <c r="B3271" s="232" t="s">
        <v>7407</v>
      </c>
      <c r="C3271" s="232">
        <v>0.0</v>
      </c>
      <c r="D3271" s="232">
        <v>0.0</v>
      </c>
      <c r="F3271" t="s">
        <v>7702</v>
      </c>
      <c r="G3271" t="s">
        <v>310</v>
      </c>
      <c r="H3271" t="s">
        <v>7725</v>
      </c>
      <c r="I3271" t="s">
        <v>7745</v>
      </c>
    </row>
    <row r="3272">
      <c r="A3272" t="s">
        <v>7410</v>
      </c>
      <c r="B3272" s="232" t="s">
        <v>7409</v>
      </c>
      <c r="C3272" s="232">
        <v>0.0</v>
      </c>
      <c r="D3272" s="232">
        <v>0.0</v>
      </c>
      <c r="F3272" t="s">
        <v>7702</v>
      </c>
      <c r="G3272" t="s">
        <v>310</v>
      </c>
      <c r="H3272" t="s">
        <v>7725</v>
      </c>
      <c r="I3272" t="s">
        <v>7727</v>
      </c>
    </row>
    <row r="3273">
      <c r="A3273" t="s">
        <v>7412</v>
      </c>
      <c r="B3273" s="232" t="s">
        <v>7411</v>
      </c>
      <c r="C3273" s="232">
        <v>0.0</v>
      </c>
      <c r="D3273" s="232">
        <v>0.0</v>
      </c>
      <c r="F3273" t="s">
        <v>7702</v>
      </c>
      <c r="G3273" t="s">
        <v>310</v>
      </c>
      <c r="H3273" t="s">
        <v>7725</v>
      </c>
      <c r="I3273" t="s">
        <v>7745</v>
      </c>
    </row>
    <row r="3274">
      <c r="A3274" t="s">
        <v>7414</v>
      </c>
      <c r="B3274" s="232" t="s">
        <v>7413</v>
      </c>
      <c r="C3274" s="232">
        <v>0.0</v>
      </c>
      <c r="D3274" s="232">
        <v>0.0</v>
      </c>
      <c r="F3274" t="s">
        <v>7702</v>
      </c>
      <c r="G3274" t="s">
        <v>310</v>
      </c>
      <c r="H3274" t="s">
        <v>7725</v>
      </c>
      <c r="I3274" t="s">
        <v>98</v>
      </c>
    </row>
    <row r="3275">
      <c r="A3275" t="s">
        <v>7416</v>
      </c>
      <c r="B3275" s="232" t="s">
        <v>7415</v>
      </c>
      <c r="C3275" s="232">
        <v>0.0</v>
      </c>
      <c r="D3275" s="232">
        <v>0.0</v>
      </c>
      <c r="F3275" t="s">
        <v>7702</v>
      </c>
      <c r="G3275" t="s">
        <v>310</v>
      </c>
      <c r="H3275" t="s">
        <v>7725</v>
      </c>
      <c r="I3275" t="s">
        <v>7739</v>
      </c>
    </row>
    <row r="3276">
      <c r="A3276" t="s">
        <v>7418</v>
      </c>
      <c r="B3276" s="232" t="s">
        <v>7417</v>
      </c>
      <c r="C3276" s="232">
        <v>0.0</v>
      </c>
      <c r="D3276" s="232">
        <v>0.0</v>
      </c>
      <c r="F3276" t="s">
        <v>7702</v>
      </c>
      <c r="G3276" t="s">
        <v>310</v>
      </c>
      <c r="H3276" t="s">
        <v>7725</v>
      </c>
      <c r="I3276" t="s">
        <v>7739</v>
      </c>
    </row>
    <row r="3277">
      <c r="A3277" t="s">
        <v>7420</v>
      </c>
      <c r="B3277" s="232" t="s">
        <v>7419</v>
      </c>
      <c r="C3277" s="232">
        <v>0.0</v>
      </c>
      <c r="D3277" s="232">
        <v>0.0</v>
      </c>
      <c r="F3277" t="s">
        <v>7702</v>
      </c>
      <c r="G3277" t="s">
        <v>310</v>
      </c>
      <c r="H3277" t="s">
        <v>7725</v>
      </c>
      <c r="I3277" t="s">
        <v>98</v>
      </c>
    </row>
    <row r="3278">
      <c r="A3278" t="s">
        <v>7422</v>
      </c>
      <c r="B3278" s="232" t="s">
        <v>7421</v>
      </c>
      <c r="C3278" s="232">
        <v>0.0</v>
      </c>
      <c r="D3278" s="232">
        <v>0.0</v>
      </c>
      <c r="F3278" t="s">
        <v>7702</v>
      </c>
      <c r="G3278" t="s">
        <v>310</v>
      </c>
      <c r="H3278" t="s">
        <v>7725</v>
      </c>
      <c r="I3278" t="s">
        <v>7727</v>
      </c>
    </row>
    <row r="3279">
      <c r="A3279" t="s">
        <v>7424</v>
      </c>
      <c r="B3279" s="232" t="s">
        <v>7423</v>
      </c>
      <c r="C3279" s="232">
        <v>0.0</v>
      </c>
      <c r="D3279" s="232">
        <v>0.0</v>
      </c>
      <c r="F3279" t="s">
        <v>7702</v>
      </c>
      <c r="G3279" t="s">
        <v>310</v>
      </c>
      <c r="H3279" t="s">
        <v>7725</v>
      </c>
      <c r="I3279" t="s">
        <v>7745</v>
      </c>
    </row>
    <row r="3280">
      <c r="A3280" t="s">
        <v>7426</v>
      </c>
      <c r="B3280" s="232" t="s">
        <v>7425</v>
      </c>
      <c r="C3280" s="232">
        <v>0.0</v>
      </c>
      <c r="D3280" s="232">
        <v>0.0</v>
      </c>
      <c r="F3280" t="s">
        <v>7702</v>
      </c>
      <c r="G3280" t="s">
        <v>310</v>
      </c>
      <c r="H3280" t="s">
        <v>7725</v>
      </c>
      <c r="I3280" t="s">
        <v>98</v>
      </c>
    </row>
    <row r="3281">
      <c r="A3281" t="s">
        <v>7428</v>
      </c>
      <c r="B3281" s="232" t="s">
        <v>7427</v>
      </c>
      <c r="C3281" s="232">
        <v>0.0</v>
      </c>
      <c r="D3281" s="232">
        <v>0.0</v>
      </c>
      <c r="F3281" t="s">
        <v>7702</v>
      </c>
      <c r="G3281" t="s">
        <v>310</v>
      </c>
      <c r="H3281" t="s">
        <v>7725</v>
      </c>
      <c r="I3281" t="s">
        <v>7727</v>
      </c>
    </row>
    <row r="3282">
      <c r="A3282" t="s">
        <v>7430</v>
      </c>
      <c r="B3282" s="232" t="s">
        <v>7429</v>
      </c>
      <c r="C3282" s="232">
        <v>0.0</v>
      </c>
      <c r="D3282" s="232">
        <v>0.0</v>
      </c>
      <c r="F3282" t="s">
        <v>7702</v>
      </c>
      <c r="G3282" t="s">
        <v>310</v>
      </c>
      <c r="H3282" t="s">
        <v>7725</v>
      </c>
      <c r="I3282" t="s">
        <v>7745</v>
      </c>
    </row>
    <row r="3283">
      <c r="A3283" t="s">
        <v>7432</v>
      </c>
      <c r="B3283" s="232" t="s">
        <v>7431</v>
      </c>
      <c r="C3283" s="232">
        <v>0.0</v>
      </c>
      <c r="D3283" s="232">
        <v>0.0</v>
      </c>
      <c r="F3283" t="s">
        <v>7702</v>
      </c>
      <c r="G3283" t="s">
        <v>310</v>
      </c>
      <c r="H3283" t="s">
        <v>7725</v>
      </c>
      <c r="I3283" t="s">
        <v>7739</v>
      </c>
    </row>
    <row r="3284">
      <c r="A3284" t="s">
        <v>7434</v>
      </c>
      <c r="B3284" s="232" t="s">
        <v>7433</v>
      </c>
      <c r="C3284" s="232">
        <v>0.0</v>
      </c>
      <c r="D3284" s="232">
        <v>0.0</v>
      </c>
      <c r="F3284" t="s">
        <v>7702</v>
      </c>
      <c r="G3284" t="s">
        <v>310</v>
      </c>
      <c r="H3284" t="s">
        <v>7725</v>
      </c>
      <c r="I3284" t="s">
        <v>7759</v>
      </c>
    </row>
    <row r="3285">
      <c r="A3285" t="s">
        <v>7436</v>
      </c>
      <c r="B3285" s="232" t="s">
        <v>7435</v>
      </c>
      <c r="C3285" s="232">
        <v>0.0</v>
      </c>
      <c r="D3285" s="232">
        <v>0.0</v>
      </c>
      <c r="F3285" t="s">
        <v>7702</v>
      </c>
      <c r="G3285" t="s">
        <v>310</v>
      </c>
      <c r="H3285" t="s">
        <v>7725</v>
      </c>
      <c r="I3285" t="s">
        <v>7739</v>
      </c>
    </row>
    <row r="3286">
      <c r="A3286" t="s">
        <v>7438</v>
      </c>
      <c r="B3286" s="232" t="s">
        <v>7437</v>
      </c>
      <c r="C3286" s="232">
        <v>0.0</v>
      </c>
      <c r="D3286" s="232">
        <v>0.0</v>
      </c>
      <c r="F3286" t="s">
        <v>7702</v>
      </c>
      <c r="G3286" t="s">
        <v>310</v>
      </c>
      <c r="H3286" t="s">
        <v>7725</v>
      </c>
      <c r="I3286" t="s">
        <v>98</v>
      </c>
    </row>
    <row r="3287">
      <c r="A3287" t="s">
        <v>7440</v>
      </c>
      <c r="B3287" s="232" t="s">
        <v>7439</v>
      </c>
      <c r="C3287" s="232">
        <v>0.0</v>
      </c>
      <c r="D3287" s="232">
        <v>0.0</v>
      </c>
      <c r="F3287" t="s">
        <v>7702</v>
      </c>
      <c r="G3287" t="s">
        <v>310</v>
      </c>
      <c r="H3287" t="s">
        <v>7725</v>
      </c>
      <c r="I3287" t="s">
        <v>7727</v>
      </c>
    </row>
    <row r="3288">
      <c r="A3288" t="s">
        <v>7442</v>
      </c>
      <c r="B3288" s="232" t="s">
        <v>7441</v>
      </c>
      <c r="C3288" s="232">
        <v>0.0</v>
      </c>
      <c r="D3288" s="232">
        <v>0.0</v>
      </c>
      <c r="F3288" t="s">
        <v>7702</v>
      </c>
      <c r="G3288" t="s">
        <v>310</v>
      </c>
      <c r="H3288" t="s">
        <v>7725</v>
      </c>
      <c r="I3288" t="s">
        <v>7745</v>
      </c>
    </row>
    <row r="3289">
      <c r="A3289" t="s">
        <v>7444</v>
      </c>
      <c r="B3289" s="232" t="s">
        <v>7443</v>
      </c>
      <c r="C3289" s="232">
        <v>0.0</v>
      </c>
      <c r="D3289" s="232">
        <v>0.0</v>
      </c>
      <c r="F3289" t="s">
        <v>7702</v>
      </c>
      <c r="G3289" t="s">
        <v>310</v>
      </c>
      <c r="H3289" t="s">
        <v>7725</v>
      </c>
      <c r="I3289" t="s">
        <v>7739</v>
      </c>
    </row>
    <row r="3290">
      <c r="A3290" t="s">
        <v>7446</v>
      </c>
      <c r="B3290" s="232" t="s">
        <v>7445</v>
      </c>
      <c r="C3290" s="232">
        <v>0.0</v>
      </c>
      <c r="D3290" s="232">
        <v>0.0</v>
      </c>
      <c r="F3290" t="s">
        <v>7702</v>
      </c>
      <c r="G3290" t="s">
        <v>310</v>
      </c>
      <c r="H3290" t="s">
        <v>7725</v>
      </c>
      <c r="I3290" t="s">
        <v>7836</v>
      </c>
    </row>
    <row r="3291">
      <c r="A3291" t="s">
        <v>7448</v>
      </c>
      <c r="B3291" s="232" t="s">
        <v>7447</v>
      </c>
      <c r="C3291" s="232">
        <v>0.0</v>
      </c>
      <c r="D3291" s="232">
        <v>0.0</v>
      </c>
      <c r="F3291" t="s">
        <v>7702</v>
      </c>
      <c r="G3291" t="s">
        <v>310</v>
      </c>
      <c r="H3291" t="s">
        <v>7725</v>
      </c>
      <c r="I3291" t="s">
        <v>7714</v>
      </c>
    </row>
    <row r="3292">
      <c r="A3292" t="s">
        <v>7450</v>
      </c>
      <c r="B3292" s="232" t="s">
        <v>7449</v>
      </c>
      <c r="C3292" s="232">
        <v>0.0</v>
      </c>
      <c r="D3292" s="232">
        <v>0.0</v>
      </c>
      <c r="F3292" t="s">
        <v>7702</v>
      </c>
      <c r="G3292" t="s">
        <v>310</v>
      </c>
      <c r="H3292" t="s">
        <v>7725</v>
      </c>
      <c r="I3292" t="s">
        <v>7844</v>
      </c>
    </row>
    <row r="3293">
      <c r="A3293" t="s">
        <v>7452</v>
      </c>
      <c r="B3293" s="232" t="s">
        <v>7451</v>
      </c>
      <c r="C3293" s="232">
        <v>0.0</v>
      </c>
      <c r="D3293" s="232">
        <v>0.0</v>
      </c>
      <c r="F3293" t="s">
        <v>7702</v>
      </c>
      <c r="G3293" t="s">
        <v>310</v>
      </c>
      <c r="H3293" t="s">
        <v>7725</v>
      </c>
      <c r="I3293" t="s">
        <v>7760</v>
      </c>
    </row>
    <row r="3294">
      <c r="A3294" t="s">
        <v>7454</v>
      </c>
      <c r="B3294" s="232" t="s">
        <v>7453</v>
      </c>
      <c r="C3294" s="232">
        <v>0.0</v>
      </c>
      <c r="D3294" s="232">
        <v>0.0</v>
      </c>
      <c r="F3294" t="s">
        <v>7702</v>
      </c>
      <c r="G3294" t="s">
        <v>310</v>
      </c>
      <c r="H3294" t="s">
        <v>7725</v>
      </c>
      <c r="I3294" t="s">
        <v>98</v>
      </c>
    </row>
    <row r="3295">
      <c r="A3295" t="s">
        <v>7456</v>
      </c>
      <c r="B3295" s="232" t="s">
        <v>7455</v>
      </c>
      <c r="C3295" s="232">
        <v>0.0</v>
      </c>
      <c r="D3295" s="232">
        <v>0.0</v>
      </c>
      <c r="F3295" t="s">
        <v>7702</v>
      </c>
      <c r="G3295" t="s">
        <v>310</v>
      </c>
      <c r="H3295" t="s">
        <v>7725</v>
      </c>
      <c r="I3295" t="s">
        <v>7727</v>
      </c>
    </row>
    <row r="3296">
      <c r="A3296" t="s">
        <v>7458</v>
      </c>
      <c r="B3296" s="232" t="s">
        <v>7457</v>
      </c>
      <c r="C3296" s="232">
        <v>0.0</v>
      </c>
      <c r="D3296" s="232">
        <v>0.0</v>
      </c>
      <c r="F3296" t="s">
        <v>7702</v>
      </c>
      <c r="G3296" t="s">
        <v>310</v>
      </c>
      <c r="H3296" t="s">
        <v>7725</v>
      </c>
      <c r="I3296" t="s">
        <v>7745</v>
      </c>
    </row>
    <row r="3297">
      <c r="A3297" t="s">
        <v>7460</v>
      </c>
      <c r="B3297" s="232" t="s">
        <v>7459</v>
      </c>
      <c r="C3297" s="232">
        <v>0.0</v>
      </c>
      <c r="D3297" s="232">
        <v>0.0</v>
      </c>
      <c r="F3297" t="s">
        <v>7702</v>
      </c>
      <c r="G3297" t="s">
        <v>310</v>
      </c>
      <c r="H3297" t="s">
        <v>7725</v>
      </c>
      <c r="I3297" t="s">
        <v>7739</v>
      </c>
    </row>
    <row r="3298">
      <c r="A3298" t="s">
        <v>7462</v>
      </c>
      <c r="B3298" s="232" t="s">
        <v>7461</v>
      </c>
      <c r="C3298" s="232">
        <v>0.0</v>
      </c>
      <c r="D3298" s="232">
        <v>0.0</v>
      </c>
      <c r="F3298" t="s">
        <v>7702</v>
      </c>
      <c r="G3298" t="s">
        <v>310</v>
      </c>
      <c r="H3298" t="s">
        <v>7725</v>
      </c>
      <c r="I3298" t="s">
        <v>7739</v>
      </c>
    </row>
    <row r="3299">
      <c r="A3299" t="s">
        <v>7464</v>
      </c>
      <c r="B3299" s="232" t="s">
        <v>7463</v>
      </c>
      <c r="C3299" s="232">
        <v>0.0</v>
      </c>
      <c r="D3299" s="232">
        <v>0.0</v>
      </c>
      <c r="F3299" t="s">
        <v>7702</v>
      </c>
      <c r="G3299" t="s">
        <v>310</v>
      </c>
      <c r="H3299" t="s">
        <v>7725</v>
      </c>
      <c r="I3299" t="s">
        <v>7754</v>
      </c>
    </row>
    <row r="3300">
      <c r="A3300" t="s">
        <v>7466</v>
      </c>
      <c r="B3300" s="232" t="s">
        <v>7465</v>
      </c>
      <c r="C3300" s="232">
        <v>0.0</v>
      </c>
      <c r="D3300" s="232">
        <v>0.0</v>
      </c>
      <c r="F3300" t="s">
        <v>7702</v>
      </c>
      <c r="G3300" t="s">
        <v>310</v>
      </c>
      <c r="H3300" t="s">
        <v>7725</v>
      </c>
      <c r="I3300" t="s">
        <v>7739</v>
      </c>
    </row>
    <row r="3301">
      <c r="A3301" t="s">
        <v>7468</v>
      </c>
      <c r="B3301" s="232" t="s">
        <v>7467</v>
      </c>
      <c r="C3301" s="232">
        <v>0.0</v>
      </c>
      <c r="D3301" s="232">
        <v>0.0</v>
      </c>
      <c r="F3301" t="s">
        <v>7702</v>
      </c>
      <c r="G3301" t="s">
        <v>310</v>
      </c>
      <c r="H3301" t="s">
        <v>7725</v>
      </c>
      <c r="I3301" t="s">
        <v>98</v>
      </c>
    </row>
    <row r="3302">
      <c r="A3302" t="s">
        <v>7470</v>
      </c>
      <c r="B3302" s="232" t="s">
        <v>7469</v>
      </c>
      <c r="C3302" s="232">
        <v>0.0</v>
      </c>
      <c r="D3302" s="232">
        <v>0.0</v>
      </c>
      <c r="F3302" t="s">
        <v>7702</v>
      </c>
      <c r="G3302" t="s">
        <v>310</v>
      </c>
      <c r="H3302" t="s">
        <v>7725</v>
      </c>
      <c r="I3302" t="s">
        <v>98</v>
      </c>
    </row>
    <row r="3303">
      <c r="A3303" t="s">
        <v>7472</v>
      </c>
      <c r="B3303" s="232" t="s">
        <v>7471</v>
      </c>
      <c r="C3303" s="232">
        <v>0.0</v>
      </c>
      <c r="D3303" s="232">
        <v>0.0</v>
      </c>
      <c r="F3303" t="s">
        <v>7702</v>
      </c>
      <c r="G3303" t="s">
        <v>310</v>
      </c>
      <c r="H3303" t="s">
        <v>7725</v>
      </c>
      <c r="I3303" t="s">
        <v>7727</v>
      </c>
    </row>
    <row r="3304">
      <c r="A3304" t="s">
        <v>7474</v>
      </c>
      <c r="B3304" s="232" t="s">
        <v>7473</v>
      </c>
      <c r="C3304" s="232">
        <v>0.0</v>
      </c>
      <c r="D3304" s="232">
        <v>0.0</v>
      </c>
      <c r="F3304" t="s">
        <v>7702</v>
      </c>
      <c r="G3304" t="s">
        <v>310</v>
      </c>
      <c r="H3304" t="s">
        <v>7725</v>
      </c>
      <c r="I3304" t="s">
        <v>7745</v>
      </c>
    </row>
    <row r="3305">
      <c r="A3305" t="s">
        <v>7476</v>
      </c>
      <c r="B3305" s="232" t="s">
        <v>7475</v>
      </c>
      <c r="C3305" s="232">
        <v>0.0</v>
      </c>
      <c r="D3305" s="232">
        <v>0.0</v>
      </c>
      <c r="F3305" t="s">
        <v>7702</v>
      </c>
      <c r="G3305" t="s">
        <v>310</v>
      </c>
      <c r="H3305" t="s">
        <v>7725</v>
      </c>
      <c r="I3305" t="s">
        <v>7739</v>
      </c>
    </row>
    <row r="3306">
      <c r="A3306" t="s">
        <v>7478</v>
      </c>
      <c r="B3306" s="232" t="s">
        <v>7477</v>
      </c>
      <c r="C3306" s="232">
        <v>0.0</v>
      </c>
      <c r="D3306" s="232">
        <v>0.0</v>
      </c>
      <c r="F3306" t="s">
        <v>7702</v>
      </c>
      <c r="G3306" t="s">
        <v>310</v>
      </c>
      <c r="H3306" t="s">
        <v>7725</v>
      </c>
      <c r="I3306" t="s">
        <v>98</v>
      </c>
    </row>
    <row r="3307">
      <c r="A3307" t="s">
        <v>7480</v>
      </c>
      <c r="B3307" s="232" t="s">
        <v>7479</v>
      </c>
      <c r="C3307" s="232">
        <v>0.0</v>
      </c>
      <c r="D3307" s="232">
        <v>0.0</v>
      </c>
      <c r="F3307" t="s">
        <v>7702</v>
      </c>
      <c r="G3307" t="s">
        <v>310</v>
      </c>
      <c r="H3307" t="s">
        <v>7725</v>
      </c>
      <c r="I3307" t="s">
        <v>98</v>
      </c>
    </row>
    <row r="3308">
      <c r="A3308" t="s">
        <v>7482</v>
      </c>
      <c r="B3308" s="232" t="s">
        <v>7481</v>
      </c>
      <c r="C3308" s="232">
        <v>0.0</v>
      </c>
      <c r="D3308" s="232">
        <v>0.0</v>
      </c>
      <c r="F3308" t="s">
        <v>7702</v>
      </c>
      <c r="G3308" t="s">
        <v>310</v>
      </c>
      <c r="H3308" t="s">
        <v>7725</v>
      </c>
      <c r="I3308" t="s">
        <v>98</v>
      </c>
    </row>
    <row r="3309">
      <c r="A3309" t="s">
        <v>7484</v>
      </c>
      <c r="B3309" s="232" t="s">
        <v>7483</v>
      </c>
      <c r="C3309" s="232">
        <v>0.0</v>
      </c>
      <c r="D3309" s="232">
        <v>0.0</v>
      </c>
      <c r="F3309" t="s">
        <v>7702</v>
      </c>
      <c r="G3309" t="s">
        <v>310</v>
      </c>
      <c r="H3309" t="s">
        <v>7725</v>
      </c>
      <c r="I3309" t="s">
        <v>98</v>
      </c>
    </row>
    <row r="3310">
      <c r="A3310" t="s">
        <v>7486</v>
      </c>
      <c r="B3310" s="232" t="s">
        <v>7485</v>
      </c>
      <c r="C3310" s="232">
        <v>0.0</v>
      </c>
      <c r="D3310" s="232">
        <v>0.0</v>
      </c>
      <c r="F3310" t="s">
        <v>7702</v>
      </c>
      <c r="G3310" t="s">
        <v>310</v>
      </c>
      <c r="H3310" t="s">
        <v>7725</v>
      </c>
      <c r="I3310" t="s">
        <v>7727</v>
      </c>
    </row>
    <row r="3311">
      <c r="A3311" t="s">
        <v>7488</v>
      </c>
      <c r="B3311" s="232" t="s">
        <v>7487</v>
      </c>
      <c r="C3311" s="232">
        <v>1.0</v>
      </c>
      <c r="D3311" s="232">
        <v>1.0</v>
      </c>
      <c r="E3311" s="232">
        <v>1.0</v>
      </c>
      <c r="F3311" t="s">
        <v>7702</v>
      </c>
      <c r="G3311" t="s">
        <v>310</v>
      </c>
      <c r="H3311" t="s">
        <v>7725</v>
      </c>
      <c r="I3311" t="s">
        <v>7745</v>
      </c>
    </row>
    <row r="3312">
      <c r="A3312" t="s">
        <v>7490</v>
      </c>
      <c r="B3312" s="232" t="s">
        <v>7489</v>
      </c>
      <c r="C3312" s="232">
        <v>0.0</v>
      </c>
      <c r="D3312" s="232">
        <v>0.0</v>
      </c>
      <c r="F3312" t="s">
        <v>7702</v>
      </c>
      <c r="G3312" t="s">
        <v>310</v>
      </c>
      <c r="H3312" t="s">
        <v>7725</v>
      </c>
      <c r="I3312" t="s">
        <v>7739</v>
      </c>
    </row>
    <row r="3313">
      <c r="A3313" t="s">
        <v>7492</v>
      </c>
      <c r="B3313" s="232" t="s">
        <v>7491</v>
      </c>
      <c r="C3313" s="232">
        <v>0.0</v>
      </c>
      <c r="D3313" s="232">
        <v>0.0</v>
      </c>
      <c r="F3313" t="s">
        <v>7702</v>
      </c>
      <c r="G3313" t="s">
        <v>310</v>
      </c>
      <c r="H3313" t="s">
        <v>7725</v>
      </c>
      <c r="I3313" t="s">
        <v>7739</v>
      </c>
    </row>
    <row r="3314">
      <c r="A3314" t="s">
        <v>7494</v>
      </c>
      <c r="B3314" s="232" t="s">
        <v>7493</v>
      </c>
      <c r="C3314" s="232">
        <v>0.0</v>
      </c>
      <c r="D3314" s="232">
        <v>0.0</v>
      </c>
      <c r="F3314" t="s">
        <v>7702</v>
      </c>
      <c r="G3314" t="s">
        <v>310</v>
      </c>
      <c r="H3314" t="s">
        <v>7725</v>
      </c>
      <c r="I3314" t="s">
        <v>98</v>
      </c>
    </row>
    <row r="3315">
      <c r="A3315" t="s">
        <v>7496</v>
      </c>
      <c r="B3315" s="232" t="s">
        <v>7495</v>
      </c>
      <c r="C3315" s="232">
        <v>0.0</v>
      </c>
      <c r="D3315" s="232">
        <v>0.0</v>
      </c>
      <c r="F3315" t="s">
        <v>7702</v>
      </c>
      <c r="G3315" t="s">
        <v>310</v>
      </c>
      <c r="H3315" t="s">
        <v>7725</v>
      </c>
      <c r="I3315" t="s">
        <v>98</v>
      </c>
    </row>
    <row r="3316">
      <c r="A3316" t="s">
        <v>7498</v>
      </c>
      <c r="B3316" s="232" t="s">
        <v>7497</v>
      </c>
      <c r="C3316" s="232">
        <v>0.0</v>
      </c>
      <c r="D3316" s="232">
        <v>0.0</v>
      </c>
      <c r="F3316" t="s">
        <v>7702</v>
      </c>
      <c r="G3316" t="s">
        <v>310</v>
      </c>
      <c r="H3316" t="s">
        <v>7725</v>
      </c>
      <c r="I3316" t="s">
        <v>98</v>
      </c>
    </row>
    <row r="3317">
      <c r="A3317" t="s">
        <v>7500</v>
      </c>
      <c r="B3317" s="232" t="s">
        <v>7499</v>
      </c>
      <c r="C3317" s="232">
        <v>0.0</v>
      </c>
      <c r="D3317" s="232">
        <v>0.0</v>
      </c>
      <c r="F3317" t="s">
        <v>7702</v>
      </c>
      <c r="G3317" t="s">
        <v>310</v>
      </c>
      <c r="H3317" t="s">
        <v>7725</v>
      </c>
      <c r="I3317" t="s">
        <v>7739</v>
      </c>
    </row>
    <row r="3318">
      <c r="A3318" t="s">
        <v>7502</v>
      </c>
      <c r="B3318" s="232" t="s">
        <v>7501</v>
      </c>
      <c r="C3318" s="232">
        <v>0.0</v>
      </c>
      <c r="D3318" s="232">
        <v>0.0</v>
      </c>
      <c r="F3318" t="s">
        <v>7702</v>
      </c>
      <c r="G3318" t="s">
        <v>310</v>
      </c>
      <c r="H3318" t="s">
        <v>7725</v>
      </c>
      <c r="I3318" t="s">
        <v>7739</v>
      </c>
    </row>
    <row r="3319">
      <c r="A3319" t="s">
        <v>7504</v>
      </c>
      <c r="B3319" s="232" t="s">
        <v>7503</v>
      </c>
      <c r="C3319" s="232">
        <v>0.0</v>
      </c>
      <c r="D3319" s="232">
        <v>0.0</v>
      </c>
      <c r="F3319" t="s">
        <v>7702</v>
      </c>
      <c r="G3319" t="s">
        <v>310</v>
      </c>
      <c r="H3319" t="s">
        <v>7725</v>
      </c>
      <c r="I3319" t="s">
        <v>7776</v>
      </c>
    </row>
    <row r="3320">
      <c r="A3320" t="s">
        <v>7506</v>
      </c>
      <c r="B3320" s="232" t="s">
        <v>7505</v>
      </c>
      <c r="C3320" s="232">
        <v>0.0</v>
      </c>
      <c r="D3320" s="232">
        <v>0.0</v>
      </c>
      <c r="F3320" t="s">
        <v>7702</v>
      </c>
      <c r="G3320" t="s">
        <v>310</v>
      </c>
      <c r="H3320" t="s">
        <v>7725</v>
      </c>
      <c r="I3320" t="s">
        <v>98</v>
      </c>
    </row>
    <row r="3321">
      <c r="A3321" t="s">
        <v>7508</v>
      </c>
      <c r="B3321" s="232" t="s">
        <v>7507</v>
      </c>
      <c r="C3321" s="232">
        <v>0.0</v>
      </c>
      <c r="D3321" s="232">
        <v>0.0</v>
      </c>
      <c r="F3321" t="s">
        <v>7702</v>
      </c>
      <c r="G3321" t="s">
        <v>310</v>
      </c>
      <c r="H3321" t="s">
        <v>7725</v>
      </c>
      <c r="I3321" t="s">
        <v>7727</v>
      </c>
    </row>
    <row r="3322">
      <c r="A3322" t="s">
        <v>7510</v>
      </c>
      <c r="B3322" s="232" t="s">
        <v>7509</v>
      </c>
      <c r="C3322" s="232">
        <v>0.0</v>
      </c>
      <c r="D3322" s="232">
        <v>0.0</v>
      </c>
      <c r="F3322" t="s">
        <v>7702</v>
      </c>
      <c r="G3322" t="s">
        <v>310</v>
      </c>
      <c r="H3322" t="s">
        <v>7725</v>
      </c>
      <c r="I3322" t="s">
        <v>7745</v>
      </c>
    </row>
    <row r="3323">
      <c r="A3323" t="s">
        <v>7512</v>
      </c>
      <c r="B3323" s="232" t="s">
        <v>7511</v>
      </c>
      <c r="C3323" s="232">
        <v>0.0</v>
      </c>
      <c r="D3323" s="232">
        <v>0.0</v>
      </c>
      <c r="F3323" t="s">
        <v>7702</v>
      </c>
      <c r="G3323" t="s">
        <v>310</v>
      </c>
      <c r="H3323" t="s">
        <v>7725</v>
      </c>
      <c r="I3323" t="s">
        <v>98</v>
      </c>
    </row>
    <row r="3324">
      <c r="A3324" t="s">
        <v>7514</v>
      </c>
      <c r="B3324" s="232" t="s">
        <v>7513</v>
      </c>
      <c r="C3324" s="232">
        <v>0.0</v>
      </c>
      <c r="D3324" s="232">
        <v>0.0</v>
      </c>
      <c r="F3324" t="s">
        <v>7702</v>
      </c>
      <c r="G3324" t="s">
        <v>310</v>
      </c>
      <c r="H3324" t="s">
        <v>7725</v>
      </c>
      <c r="I3324" t="s">
        <v>98</v>
      </c>
    </row>
    <row r="3325">
      <c r="A3325" t="s">
        <v>7516</v>
      </c>
      <c r="B3325" s="232" t="s">
        <v>7515</v>
      </c>
      <c r="C3325" s="232">
        <v>0.0</v>
      </c>
      <c r="D3325" s="232">
        <v>0.0</v>
      </c>
      <c r="F3325" t="s">
        <v>7702</v>
      </c>
      <c r="G3325" t="s">
        <v>310</v>
      </c>
      <c r="H3325" t="s">
        <v>7725</v>
      </c>
      <c r="I3325" t="s">
        <v>7739</v>
      </c>
    </row>
    <row r="3326">
      <c r="A3326" t="s">
        <v>7518</v>
      </c>
      <c r="B3326" s="232" t="s">
        <v>7517</v>
      </c>
      <c r="C3326" s="232">
        <v>0.0</v>
      </c>
      <c r="D3326" s="232">
        <v>0.0</v>
      </c>
      <c r="F3326" t="s">
        <v>7702</v>
      </c>
      <c r="G3326" t="s">
        <v>310</v>
      </c>
      <c r="H3326" t="s">
        <v>7725</v>
      </c>
      <c r="I3326" t="s">
        <v>98</v>
      </c>
    </row>
    <row r="3327">
      <c r="A3327" t="s">
        <v>7520</v>
      </c>
      <c r="B3327" s="232" t="s">
        <v>7519</v>
      </c>
      <c r="C3327" s="232">
        <v>0.0</v>
      </c>
      <c r="D3327" s="232">
        <v>0.0</v>
      </c>
      <c r="F3327" t="s">
        <v>7702</v>
      </c>
      <c r="G3327" t="s">
        <v>310</v>
      </c>
      <c r="H3327" t="s">
        <v>7725</v>
      </c>
      <c r="I3327" t="s">
        <v>7727</v>
      </c>
    </row>
    <row r="3328">
      <c r="A3328" t="s">
        <v>7522</v>
      </c>
      <c r="B3328" s="232" t="s">
        <v>7521</v>
      </c>
      <c r="C3328" s="232">
        <v>0.0</v>
      </c>
      <c r="D3328" s="232">
        <v>0.0</v>
      </c>
      <c r="F3328" t="s">
        <v>7702</v>
      </c>
      <c r="G3328" t="s">
        <v>310</v>
      </c>
      <c r="H3328" t="s">
        <v>7725</v>
      </c>
      <c r="I3328" t="s">
        <v>7745</v>
      </c>
    </row>
    <row r="3329">
      <c r="A3329" t="s">
        <v>7524</v>
      </c>
      <c r="B3329" s="232" t="s">
        <v>7523</v>
      </c>
      <c r="C3329" s="232">
        <v>0.0</v>
      </c>
      <c r="D3329" s="232">
        <v>0.0</v>
      </c>
      <c r="F3329" t="s">
        <v>7702</v>
      </c>
      <c r="G3329" t="s">
        <v>310</v>
      </c>
      <c r="H3329" t="s">
        <v>7725</v>
      </c>
      <c r="I3329" t="s">
        <v>7739</v>
      </c>
    </row>
    <row r="3330">
      <c r="A3330" t="s">
        <v>7526</v>
      </c>
      <c r="B3330" s="232" t="s">
        <v>7525</v>
      </c>
      <c r="C3330" s="232">
        <v>0.0</v>
      </c>
      <c r="D3330" s="232">
        <v>0.0</v>
      </c>
      <c r="F3330" t="s">
        <v>7702</v>
      </c>
      <c r="G3330" t="s">
        <v>310</v>
      </c>
      <c r="H3330" t="s">
        <v>7725</v>
      </c>
      <c r="I3330" t="s">
        <v>7714</v>
      </c>
    </row>
    <row r="3331">
      <c r="A3331" t="s">
        <v>7528</v>
      </c>
      <c r="B3331" s="232" t="s">
        <v>7527</v>
      </c>
      <c r="C3331" s="232">
        <v>0.0</v>
      </c>
      <c r="D3331" s="232">
        <v>0.0</v>
      </c>
      <c r="F3331" t="s">
        <v>7702</v>
      </c>
      <c r="G3331" t="s">
        <v>310</v>
      </c>
      <c r="H3331" t="s">
        <v>7725</v>
      </c>
      <c r="I3331" t="s">
        <v>7720</v>
      </c>
    </row>
    <row r="3332">
      <c r="A3332" t="s">
        <v>7550</v>
      </c>
      <c r="B3332" s="232" t="s">
        <v>7549</v>
      </c>
      <c r="C3332" s="232">
        <v>348.0</v>
      </c>
      <c r="D3332" s="232">
        <v>1645.24</v>
      </c>
      <c r="E3332" s="232">
        <v>4.7277</v>
      </c>
      <c r="F3332" t="s">
        <v>7702</v>
      </c>
      <c r="G3332" t="s">
        <v>330</v>
      </c>
      <c r="H3332" t="s">
        <v>214</v>
      </c>
      <c r="I3332" t="s">
        <v>7712</v>
      </c>
    </row>
    <row r="3333">
      <c r="A3333" t="s">
        <v>7552</v>
      </c>
      <c r="B3333" s="232" t="s">
        <v>7551</v>
      </c>
      <c r="C3333" s="232">
        <v>0.0</v>
      </c>
      <c r="D3333" s="232">
        <v>0.0</v>
      </c>
      <c r="F3333" t="s">
        <v>7702</v>
      </c>
      <c r="G3333" t="s">
        <v>310</v>
      </c>
      <c r="H3333" t="s">
        <v>7703</v>
      </c>
      <c r="I3333" t="s">
        <v>7713</v>
      </c>
    </row>
    <row r="3334">
      <c r="A3334" t="s">
        <v>7554</v>
      </c>
      <c r="B3334" s="232" t="s">
        <v>7553</v>
      </c>
      <c r="C3334" s="232">
        <v>0.0</v>
      </c>
      <c r="D3334" s="232">
        <v>0.0</v>
      </c>
      <c r="F3334" t="s">
        <v>7702</v>
      </c>
      <c r="G3334" t="s">
        <v>310</v>
      </c>
      <c r="H3334" t="s">
        <v>7703</v>
      </c>
      <c r="I3334" t="s">
        <v>7713</v>
      </c>
    </row>
    <row r="3335">
      <c r="A3335" t="s">
        <v>7556</v>
      </c>
      <c r="B3335" s="232" t="s">
        <v>7555</v>
      </c>
      <c r="C3335" s="232">
        <v>0.0</v>
      </c>
      <c r="D3335" s="232">
        <v>0.0</v>
      </c>
      <c r="F3335" t="s">
        <v>7702</v>
      </c>
      <c r="G3335" t="s">
        <v>310</v>
      </c>
      <c r="H3335" t="s">
        <v>45</v>
      </c>
      <c r="I3335" t="s">
        <v>7713</v>
      </c>
    </row>
    <row r="3336">
      <c r="A3336" t="s">
        <v>7558</v>
      </c>
      <c r="B3336" s="232" t="s">
        <v>7557</v>
      </c>
      <c r="C3336" s="232">
        <v>0.0</v>
      </c>
      <c r="D3336" s="232">
        <v>0.0</v>
      </c>
      <c r="F3336" t="s">
        <v>7702</v>
      </c>
      <c r="G3336" t="s">
        <v>310</v>
      </c>
      <c r="H3336" t="s">
        <v>7703</v>
      </c>
      <c r="I3336" t="s">
        <v>7713</v>
      </c>
    </row>
    <row r="3337">
      <c r="A3337" t="s">
        <v>7560</v>
      </c>
      <c r="B3337" s="232" t="s">
        <v>7559</v>
      </c>
      <c r="C3337" s="232">
        <v>0.0</v>
      </c>
      <c r="D3337" s="232">
        <v>0.0</v>
      </c>
      <c r="F3337" t="s">
        <v>7702</v>
      </c>
      <c r="G3337" t="s">
        <v>310</v>
      </c>
      <c r="H3337" t="s">
        <v>7703</v>
      </c>
      <c r="I3337" t="s">
        <v>7713</v>
      </c>
    </row>
    <row r="3338">
      <c r="A3338" t="s">
        <v>7562</v>
      </c>
      <c r="B3338" s="232" t="s">
        <v>7561</v>
      </c>
      <c r="C3338" s="232">
        <v>0.0</v>
      </c>
      <c r="D3338" s="232">
        <v>0.0</v>
      </c>
      <c r="F3338" t="s">
        <v>7702</v>
      </c>
      <c r="G3338" t="s">
        <v>310</v>
      </c>
      <c r="H3338" t="s">
        <v>7703</v>
      </c>
      <c r="I3338" t="s">
        <v>7713</v>
      </c>
    </row>
    <row r="3339">
      <c r="A3339" t="s">
        <v>7564</v>
      </c>
      <c r="B3339" s="232" t="s">
        <v>7563</v>
      </c>
      <c r="C3339" s="232">
        <v>0.0</v>
      </c>
      <c r="D3339" s="232">
        <v>0.0</v>
      </c>
      <c r="F3339" t="s">
        <v>7702</v>
      </c>
      <c r="G3339" t="s">
        <v>310</v>
      </c>
      <c r="H3339" t="s">
        <v>7703</v>
      </c>
      <c r="I3339" t="s">
        <v>7713</v>
      </c>
    </row>
    <row r="3340">
      <c r="A3340" t="s">
        <v>7566</v>
      </c>
      <c r="B3340" s="232" t="s">
        <v>7565</v>
      </c>
      <c r="C3340" s="232">
        <v>0.0</v>
      </c>
      <c r="D3340" s="232">
        <v>0.0</v>
      </c>
      <c r="F3340" t="s">
        <v>7702</v>
      </c>
      <c r="G3340" t="s">
        <v>310</v>
      </c>
      <c r="H3340" t="s">
        <v>7703</v>
      </c>
      <c r="I3340" t="s">
        <v>7713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2026-02-26T09:02:28Z</dcterms:created>
</cp:coreProperties>
</file>